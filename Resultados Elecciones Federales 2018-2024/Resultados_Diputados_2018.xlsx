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Por estado" sheetId="2" state="visible" r:id="rId4"/>
    <sheet name="Por distrito" sheetId="3" state="visible" r:id="rId5"/>
    <sheet name="Votos por partido" sheetId="4" state="visible" r:id="rId6"/>
  </sheets>
  <definedNames>
    <definedName function="false" hidden="true" localSheetId="2" name="_xlnm._FilterDatabase" vbProcedure="false">'Por distrito'!$A$3:$O$303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<sst xmlns="http://schemas.openxmlformats.org/spreadsheetml/2006/main" count="423" uniqueCount="95">
  <si>
    <t xml:space="preserve">Diputaciones federales 2018 – Resumen</t>
  </si>
  <si>
    <t xml:space="preserve">Fuente: Diputados Federales 2018.csv (PREP)</t>
  </si>
  <si>
    <t xml:space="preserve">Bloque</t>
  </si>
  <si>
    <t xml:space="preserve">Votos</t>
  </si>
  <si>
    <t xml:space="preserve">% del total</t>
  </si>
  <si>
    <t xml:space="preserve">% de votos válidos</t>
  </si>
  <si>
    <t xml:space="preserve">Distritos ganados</t>
  </si>
  <si>
    <t xml:space="preserve">Estados ganados</t>
  </si>
  <si>
    <t xml:space="preserve">PT-Morena-PES</t>
  </si>
  <si>
    <t xml:space="preserve">PAN-PRD-MC</t>
  </si>
  <si>
    <t xml:space="preserve">PRI-PVEM-NA</t>
  </si>
  <si>
    <t xml:space="preserve">Independientes</t>
  </si>
  <si>
    <t xml:space="preserve">No registrados</t>
  </si>
  <si>
    <t xml:space="preserve">Votos nulos</t>
  </si>
  <si>
    <t xml:space="preserve">Total votos emitidos</t>
  </si>
  <si>
    <t xml:space="preserve">Lista nominal (actas con dato)</t>
  </si>
  <si>
    <t xml:space="preserve">Participación</t>
  </si>
  <si>
    <t xml:space="preserve">Actas</t>
  </si>
  <si>
    <t xml:space="preserve">Notas:</t>
  </si>
  <si>
    <t xml:space="preserve">Cada bloque suma el voto del partido solo más las combinaciones de coalición. Las coaliciones no fueron iguales en todos los distritos (PAN-PRD-MC en 283, PT-Morena-PES en 292, PRI-PVEM-NA en 133); donde no hubo, los partidos compitieron por separado.</t>
  </si>
  <si>
    <t xml:space="preserve">Las 217 actas sin voto (paquetes no entregados o casillas no instaladas) se tomaron como cero y no tienen lista nominal; las casillas especiales tampoco, por lo que la participación es aproximada (63.30%; el encabezado del archivo dice 63.21%).</t>
  </si>
  <si>
    <t xml:space="preserve">Los nombres de los estados se corrigieron porque los acentos venían dañados en el archivo.</t>
  </si>
  <si>
    <t xml:space="preserve">Resultados por estado y bloque – Diputaciones federales 2018 (fuente: Diputados Federales 2018.csv)</t>
  </si>
  <si>
    <t xml:space="preserve">Cada bloque suma el voto del partido solo más las combinaciones de coalición. Porcentajes sobre el total de votos emitidos.</t>
  </si>
  <si>
    <t xml:space="preserve">Estado</t>
  </si>
  <si>
    <t xml:space="preserve">Total votos</t>
  </si>
  <si>
    <t xml:space="preserve">Lista nominal</t>
  </si>
  <si>
    <t xml:space="preserve">PT-Morena-PES %</t>
  </si>
  <si>
    <t xml:space="preserve">PAN-PRD-MC %</t>
  </si>
  <si>
    <t xml:space="preserve">PRI-PVEM-NA %</t>
  </si>
  <si>
    <t xml:space="preserve">Independientes %</t>
  </si>
  <si>
    <t xml:space="preserve">No registrados %</t>
  </si>
  <si>
    <t xml:space="preserve">Votos nulos %</t>
  </si>
  <si>
    <t xml:space="preserve">Bloque ganador</t>
  </si>
  <si>
    <t xml:space="preserve">Margen (pts)</t>
  </si>
  <si>
    <t xml:space="preserve">Nacional</t>
  </si>
  <si>
    <t xml:space="preserve">Resultados por distrito federal – Diputaciones federales 2018 (fuente: Diputados Federales 2018.csv)</t>
  </si>
  <si>
    <t xml:space="preserve">El margen es la diferencia entre el primer y el segundo bloque, en puntos porcentuales sobre el total de votos emitidos.</t>
  </si>
  <si>
    <t xml:space="preserve">Distrito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</si>
  <si>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</si>
  <si>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</si>
  <si>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</si>
  <si>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</si>
  <si>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</si>
  <si>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</si>
  <si>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</si>
  <si>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</si>
  <si>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</si>
  <si>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</si>
  <si>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</si>
  <si>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</si>
  <si>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</si>
  <si>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</si>
  <si>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</si>
  <si>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</si>
  <si>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</si>
  <si>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</si>
  <si>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</si>
  <si>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</si>
  <si>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</si>
  <si>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</si>
  <si>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</si>
  <si>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</si>
  <si>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</si>
  <si>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</si>
  <si>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</si>
  <si>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</si>
  <si>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</si>
  <si>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</si>
  <si>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</si>
  <si>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</si>
  <si>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Votos por partido y combinación de coalición, por estado – Diputaciones federales 2018 (fuente: Diputados Federales 2018.csv)</t>
  </si>
  <si>
    <t xml:space="preserve">PAN</t>
  </si>
  <si>
    <t xml:space="preserve">PRI</t>
  </si>
  <si>
    <t xml:space="preserve">PRD</t>
  </si>
  <si>
    <t xml:space="preserve">PVEM</t>
  </si>
  <si>
    <t xml:space="preserve">PT</t>
  </si>
  <si>
    <t xml:space="preserve">MOVIMIENTO CIUDADANO</t>
  </si>
  <si>
    <t xml:space="preserve">NUEVA ALIANZA</t>
  </si>
  <si>
    <t xml:space="preserve">MORENA</t>
  </si>
  <si>
    <t xml:space="preserve">ENCUENTRO SOCIAL</t>
  </si>
  <si>
    <t xml:space="preserve">PAN-PRD</t>
  </si>
  <si>
    <t xml:space="preserve">PAN-MC</t>
  </si>
  <si>
    <t xml:space="preserve">PRD-MC</t>
  </si>
  <si>
    <t xml:space="preserve">PRI-PVEM</t>
  </si>
  <si>
    <t xml:space="preserve">PRI-NA</t>
  </si>
  <si>
    <t xml:space="preserve">PVEM-NA</t>
  </si>
  <si>
    <t xml:space="preserve">PT-MORENA-PES</t>
  </si>
  <si>
    <t xml:space="preserve">PT-MORENA</t>
  </si>
  <si>
    <t xml:space="preserve">PT-PES</t>
  </si>
  <si>
    <t xml:space="preserve">MORENA-PES</t>
  </si>
  <si>
    <t xml:space="preserve">CAND-IND-01</t>
  </si>
  <si>
    <t xml:space="preserve">CAND-IND-02</t>
  </si>
  <si>
    <t xml:space="preserve">CNR</t>
  </si>
  <si>
    <t xml:space="preserve">VN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</si>
</sst>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0.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'Por estado'!B36</f>
        <v>24538267</v>
      </c>
      <c r="C5" s="6" t="n">
        <f aca="false">B5/$B$11</f>
        <v>0.43584652479411</v>
      </c>
      <c r="D5" s="6" t="n">
        <f aca="false">IF(0&lt;4,B5/SUM($B$5:$B$8),"")</f>
        <v>0.454204822304061</v>
      </c>
      <c r="E5" s="4" t="n">
        <f aca="false">COUNTIF('Por distrito'!$N$4:$N$303,A5)</f>
        <v>214</v>
      </c>
      <c r="F5" s="4" t="n">
        <f aca="false">COUNTIF('Por estado'!$Q$4:$Q$35,A5)</f>
        <v>25</v>
      </c>
    </row>
    <row r="6" customFormat="false" ht="15" hidden="false" customHeight="false" outlineLevel="0" collapsed="false">
      <c r="A6" s="4" t="s">
        <v>9</v>
      </c>
      <c r="B6" s="5" t="n">
        <f aca="false">'Por estado'!C36</f>
        <v>15549755</v>
      </c>
      <c r="C6" s="6" t="n">
        <f aca="false">B6/$B$11</f>
        <v>0.276193370874554</v>
      </c>
      <c r="D6" s="6" t="n">
        <f aca="false">IF(1&lt;4,B6/SUM($B$5:$B$8),"")</f>
        <v>0.287826915676102</v>
      </c>
      <c r="E6" s="4" t="n">
        <f aca="false">COUNTIF('Por distrito'!$N$4:$N$303,A6)</f>
        <v>68</v>
      </c>
      <c r="F6" s="4" t="n">
        <f aca="false">COUNTIF('Por estado'!$Q$4:$Q$35,A6)</f>
        <v>6</v>
      </c>
    </row>
    <row r="7" customFormat="false" ht="15" hidden="false" customHeight="false" outlineLevel="0" collapsed="false">
      <c r="A7" s="4" t="s">
        <v>10</v>
      </c>
      <c r="B7" s="5" t="n">
        <f aca="false">'Por estado'!D36</f>
        <v>13397304</v>
      </c>
      <c r="C7" s="6" t="n">
        <f aca="false">B7/$B$11</f>
        <v>0.237961726881944</v>
      </c>
      <c r="D7" s="6" t="n">
        <f aca="false">IF(2&lt;4,B7/SUM($B$5:$B$8),"")</f>
        <v>0.247984916077141</v>
      </c>
      <c r="E7" s="4" t="n">
        <f aca="false">COUNTIF('Por distrito'!$N$4:$N$303,A7)</f>
        <v>18</v>
      </c>
      <c r="F7" s="4" t="n">
        <f aca="false">COUNTIF('Por estado'!$Q$4:$Q$35,A7)</f>
        <v>1</v>
      </c>
    </row>
    <row r="8" customFormat="false" ht="15" hidden="false" customHeight="false" outlineLevel="0" collapsed="false">
      <c r="A8" s="4" t="s">
        <v>11</v>
      </c>
      <c r="B8" s="5" t="n">
        <f aca="false">'Por estado'!E36</f>
        <v>539347</v>
      </c>
      <c r="C8" s="6" t="n">
        <f aca="false">B8/$B$11</f>
        <v>0.00957983363731957</v>
      </c>
      <c r="D8" s="6" t="n">
        <f aca="false">IF(3&lt;4,B8/SUM($B$5:$B$8),"")</f>
        <v>0.00998334594269548</v>
      </c>
      <c r="E8" s="4"/>
      <c r="F8" s="4"/>
    </row>
    <row r="9" customFormat="false" ht="15" hidden="false" customHeight="false" outlineLevel="0" collapsed="false">
      <c r="A9" s="4" t="s">
        <v>12</v>
      </c>
      <c r="B9" s="5" t="n">
        <f aca="false">'Por estado'!F36</f>
        <v>32959</v>
      </c>
      <c r="C9" s="6" t="n">
        <f aca="false">B9/$B$11</f>
        <v>0.000585414838410922</v>
      </c>
      <c r="D9" s="6"/>
      <c r="E9" s="4"/>
      <c r="F9" s="4"/>
    </row>
    <row r="10" customFormat="false" ht="15" hidden="false" customHeight="false" outlineLevel="0" collapsed="false">
      <c r="A10" s="4" t="s">
        <v>13</v>
      </c>
      <c r="B10" s="5" t="n">
        <f aca="false">'Por estado'!G36</f>
        <v>2242615</v>
      </c>
      <c r="C10" s="6" t="n">
        <f aca="false">B10/$B$11</f>
        <v>0.0398331289736615</v>
      </c>
      <c r="D10" s="6"/>
      <c r="E10" s="4"/>
      <c r="F10" s="4"/>
    </row>
    <row r="11" customFormat="false" ht="15" hidden="false" customHeight="false" outlineLevel="0" collapsed="false">
      <c r="A11" s="7" t="s">
        <v>14</v>
      </c>
      <c r="B11" s="5" t="n">
        <f aca="false">'Por estado'!H36</f>
        <v>56300247</v>
      </c>
      <c r="C11" s="6"/>
      <c r="D11" s="6"/>
      <c r="E11" s="4"/>
      <c r="F11" s="4"/>
    </row>
    <row r="12" customFormat="false" ht="15" hidden="false" customHeight="false" outlineLevel="0" collapsed="false">
      <c r="A12" s="7" t="s">
        <v>15</v>
      </c>
      <c r="B12" s="5" t="n">
        <f aca="false">'Por estado'!I36</f>
        <v>88948697</v>
      </c>
      <c r="C12" s="6"/>
      <c r="D12" s="6"/>
      <c r="E12" s="4"/>
      <c r="F12" s="4"/>
    </row>
    <row r="13" customFormat="false" ht="15" hidden="false" customHeight="false" outlineLevel="0" collapsed="false">
      <c r="A13" s="7" t="s">
        <v>16</v>
      </c>
      <c r="B13" s="6" t="n">
        <f aca="false">B11/B12</f>
        <v>0.632951902600664</v>
      </c>
      <c r="C13" s="6"/>
      <c r="D13" s="6"/>
      <c r="E13" s="4"/>
      <c r="F13" s="4"/>
    </row>
    <row r="14" customFormat="false" ht="15" hidden="false" customHeight="false" outlineLevel="0" collapsed="false">
      <c r="A14" s="7" t="s">
        <v>17</v>
      </c>
      <c r="B14" s="5" t="n">
        <f aca="false">'Votos por partido'!B36</f>
        <v>157859</v>
      </c>
      <c r="C14" s="6"/>
      <c r="D14" s="6"/>
      <c r="E14" s="4"/>
      <c r="F14" s="4"/>
    </row>
    <row r="16" customFormat="false" ht="15" hidden="false" customHeight="false" outlineLevel="0" collapsed="false">
      <c r="A16" s="8" t="s">
        <v>18</v>
      </c>
    </row>
    <row r="17" customFormat="false" ht="48" hidden="false" customHeight="true" outlineLevel="0" collapsed="false">
      <c r="A17" s="9" t="s">
        <v>19</v>
      </c>
      <c r="B17" s="9"/>
      <c r="C17" s="9"/>
      <c r="D17" s="9"/>
      <c r="E17" s="9"/>
      <c r="F17" s="9"/>
    </row>
    <row r="18" customFormat="false" ht="48" hidden="false" customHeight="true" outlineLevel="0" collapsed="false">
      <c r="A18" s="9" t="s">
        <v>20</v>
      </c>
      <c r="B18" s="9"/>
      <c r="C18" s="9"/>
      <c r="D18" s="9"/>
      <c r="E18" s="9"/>
      <c r="F18" s="9"/>
    </row>
    <row r="19" customFormat="false" ht="48" hidden="false" customHeight="true" outlineLevel="0" collapsed="false">
      <c r="A19" s="9" t="s">
        <v>21</v>
      </c>
      <c r="B19" s="9"/>
      <c r="C19" s="9"/>
      <c r="D19" s="9"/>
      <c r="E19" s="9"/>
      <c r="F19" s="9"/>
    </row>
  </sheetData>
  <mergeCells count="3"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6" min="2" style="0" width="14"/>
    <col collapsed="false" customWidth="true" hidden="false" outlineLevel="0" max="17" min="17" style="0" width="17"/>
    <col collapsed="false" customWidth="true" hidden="false" outlineLevel="0" max="18" min="18" style="0" width="14"/>
  </cols>
  <sheetData>
    <row r="1" customFormat="false" ht="16.15" hidden="false" customHeight="false" outlineLevel="0" collapsed="false">
      <c r="A1" s="10" t="s">
        <v>22</v>
      </c>
    </row>
    <row r="2" customFormat="false" ht="15" hidden="false" customHeight="false" outlineLevel="0" collapsed="false">
      <c r="A2" s="2" t="s">
        <v>23</v>
      </c>
    </row>
    <row r="3" customFormat="false" ht="33.75" hidden="false" customHeight="true" outlineLevel="0" collapsed="false">
      <c r="A3" s="3" t="s">
        <v>24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25</v>
      </c>
      <c r="I3" s="3" t="s">
        <v>26</v>
      </c>
      <c r="J3" s="3" t="s">
        <v>16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customFormat="false" ht="15" hidden="false" customHeight="false" outlineLevel="0" collapsed="false">
      <c r="A4" s="4" t="str">
        <f aca="false">'Votos por partido'!A4</f>
        <v>Aguascalientes</v>
      </c>
      <c r="B4" s="5" t="n">
        <f aca="false">'Votos por partido'!G4+'Votos por partido'!J4+'Votos por partido'!K4+'Votos por partido'!T4+'Votos por partido'!U4+'Votos por partido'!V4+'Votos por partido'!W4</f>
        <v>178547</v>
      </c>
      <c r="C4" s="5" t="n">
        <f aca="false">'Votos por partido'!C4+'Votos por partido'!E4+'Votos por partido'!H4+'Votos por partido'!L4+'Votos por partido'!M4+'Votos por partido'!N4+'Votos por partido'!O4</f>
        <v>208053</v>
      </c>
      <c r="D4" s="5" t="n">
        <f aca="false">'Votos por partido'!D4+'Votos por partido'!F4+'Votos por partido'!I4+'Votos por partido'!P4+'Votos por partido'!Q4+'Votos por partido'!R4+'Votos por partido'!S4</f>
        <v>147515</v>
      </c>
      <c r="E4" s="5" t="n">
        <f aca="false">'Votos por partido'!X4+'Votos por partido'!Y4</f>
        <v>0</v>
      </c>
      <c r="F4" s="5" t="n">
        <f aca="false">'Votos por partido'!Z4</f>
        <v>544</v>
      </c>
      <c r="G4" s="5" t="n">
        <f aca="false">'Votos por partido'!AA4</f>
        <v>21842</v>
      </c>
      <c r="H4" s="5" t="n">
        <f aca="false">'Votos por partido'!AB4</f>
        <v>556501</v>
      </c>
      <c r="I4" s="5" t="n">
        <f aca="false">'Votos por partido'!AC4</f>
        <v>943448</v>
      </c>
      <c r="J4" s="11" t="n">
        <f aca="false">H4/I4</f>
        <v>0.589858688555172</v>
      </c>
      <c r="K4" s="11" t="n">
        <f aca="false">B4/H4</f>
        <v>0.320838596875837</v>
      </c>
      <c r="L4" s="11" t="n">
        <f aca="false">C4/H4</f>
        <v>0.373859166470501</v>
      </c>
      <c r="M4" s="11" t="n">
        <f aca="false">D4/H4</f>
        <v>0.265075893843857</v>
      </c>
      <c r="N4" s="11" t="n">
        <f aca="false">E4/H4</f>
        <v>0</v>
      </c>
      <c r="O4" s="11" t="n">
        <f aca="false">F4/H4</f>
        <v>0.000977536428505969</v>
      </c>
      <c r="P4" s="11" t="n">
        <f aca="false">G4/H4</f>
        <v>0.0392488063813003</v>
      </c>
      <c r="Q4" s="4" t="str">
        <f aca="false">INDEX($B$3:$D$3,MATCH(MAX(B4:D4),B4:D4,0))</f>
        <v>PAN-PRD-MC</v>
      </c>
      <c r="R4" s="12" t="n">
        <f aca="false">(MAX(L4:N4)-LARGE(L4:N4,2))*100</f>
        <v>10.8783272626644</v>
      </c>
    </row>
    <row r="5" customFormat="false" ht="15" hidden="false" customHeight="false" outlineLevel="0" collapsed="false">
      <c r="A5" s="4" t="str">
        <f aca="false">'Votos por partido'!A5</f>
        <v>Baja California</v>
      </c>
      <c r="B5" s="5" t="n">
        <f aca="false">'Votos por partido'!G5+'Votos por partido'!J5+'Votos por partido'!K5+'Votos por partido'!T5+'Votos por partido'!U5+'Votos por partido'!V5+'Votos por partido'!W5</f>
        <v>844588</v>
      </c>
      <c r="C5" s="5" t="n">
        <f aca="false">'Votos por partido'!C5+'Votos por partido'!E5+'Votos por partido'!H5+'Votos por partido'!L5+'Votos por partido'!M5+'Votos por partido'!N5+'Votos por partido'!O5</f>
        <v>334933</v>
      </c>
      <c r="D5" s="5" t="n">
        <f aca="false">'Votos por partido'!D5+'Votos por partido'!F5+'Votos por partido'!I5+'Votos por partido'!P5+'Votos por partido'!Q5+'Votos por partido'!R5+'Votos por partido'!S5</f>
        <v>211472</v>
      </c>
      <c r="E5" s="5" t="n">
        <f aca="false">'Votos por partido'!X5+'Votos por partido'!Y5</f>
        <v>0</v>
      </c>
      <c r="F5" s="5" t="n">
        <f aca="false">'Votos por partido'!Z5</f>
        <v>1311</v>
      </c>
      <c r="G5" s="5" t="n">
        <f aca="false">'Votos por partido'!AA5</f>
        <v>41920</v>
      </c>
      <c r="H5" s="5" t="n">
        <f aca="false">'Votos por partido'!AB5</f>
        <v>1434224</v>
      </c>
      <c r="I5" s="5" t="n">
        <f aca="false">'Votos por partido'!AC5</f>
        <v>2731567</v>
      </c>
      <c r="J5" s="11" t="n">
        <f aca="false">H5/I5</f>
        <v>0.525055398604537</v>
      </c>
      <c r="K5" s="11" t="n">
        <f aca="false">B5/H5</f>
        <v>0.588881513626881</v>
      </c>
      <c r="L5" s="11" t="n">
        <f aca="false">C5/H5</f>
        <v>0.233529072167249</v>
      </c>
      <c r="M5" s="11" t="n">
        <f aca="false">D5/H5</f>
        <v>0.147446981782483</v>
      </c>
      <c r="N5" s="11" t="n">
        <f aca="false">E5/H5</f>
        <v>0</v>
      </c>
      <c r="O5" s="11" t="n">
        <f aca="false">F5/H5</f>
        <v>0.000914083155769252</v>
      </c>
      <c r="P5" s="11" t="n">
        <f aca="false">G5/H5</f>
        <v>0.0292283492676179</v>
      </c>
      <c r="Q5" s="4" t="str">
        <f aca="false">INDEX($B$3:$D$3,MATCH(MAX(B5:D5),B5:D5,0))</f>
        <v>PT-Morena-PES</v>
      </c>
      <c r="R5" s="12" t="n">
        <f aca="false">(MAX(L5:N5)-LARGE(L5:N5,2))*100</f>
        <v>8.60820903847656</v>
      </c>
    </row>
    <row r="6" customFormat="false" ht="15" hidden="false" customHeight="false" outlineLevel="0" collapsed="false">
      <c r="A6" s="4" t="str">
        <f aca="false">'Votos por partido'!A6</f>
        <v>Baja California Sur</v>
      </c>
      <c r="B6" s="5" t="n">
        <f aca="false">'Votos por partido'!G6+'Votos por partido'!J6+'Votos por partido'!K6+'Votos por partido'!T6+'Votos por partido'!U6+'Votos por partido'!V6+'Votos por partido'!W6</f>
        <v>153325</v>
      </c>
      <c r="C6" s="5" t="n">
        <f aca="false">'Votos por partido'!C6+'Votos por partido'!E6+'Votos por partido'!H6+'Votos por partido'!L6+'Votos por partido'!M6+'Votos por partido'!N6+'Votos por partido'!O6</f>
        <v>85799</v>
      </c>
      <c r="D6" s="5" t="n">
        <f aca="false">'Votos por partido'!D6+'Votos por partido'!F6+'Votos por partido'!I6+'Votos por partido'!P6+'Votos por partido'!Q6+'Votos por partido'!R6+'Votos por partido'!S6</f>
        <v>49528</v>
      </c>
      <c r="E6" s="5" t="n">
        <f aca="false">'Votos por partido'!X6+'Votos por partido'!Y6</f>
        <v>0</v>
      </c>
      <c r="F6" s="5" t="n">
        <f aca="false">'Votos por partido'!Z6</f>
        <v>221</v>
      </c>
      <c r="G6" s="5" t="n">
        <f aca="false">'Votos por partido'!AA6</f>
        <v>11094</v>
      </c>
      <c r="H6" s="5" t="n">
        <f aca="false">'Votos por partido'!AB6</f>
        <v>299967</v>
      </c>
      <c r="I6" s="5" t="n">
        <f aca="false">'Votos por partido'!AC6</f>
        <v>516146</v>
      </c>
      <c r="J6" s="11" t="n">
        <f aca="false">H6/I6</f>
        <v>0.581166956636301</v>
      </c>
      <c r="K6" s="11" t="n">
        <f aca="false">B6/H6</f>
        <v>0.511139558684789</v>
      </c>
      <c r="L6" s="11" t="n">
        <f aca="false">C6/H6</f>
        <v>0.28602812976094</v>
      </c>
      <c r="M6" s="11" t="n">
        <f aca="false">D6/H6</f>
        <v>0.165111495597849</v>
      </c>
      <c r="N6" s="11" t="n">
        <f aca="false">E6/H6</f>
        <v>0</v>
      </c>
      <c r="O6" s="11" t="n">
        <f aca="false">F6/H6</f>
        <v>0.000736747708914647</v>
      </c>
      <c r="P6" s="11" t="n">
        <f aca="false">G6/H6</f>
        <v>0.0369840682475072</v>
      </c>
      <c r="Q6" s="4" t="str">
        <f aca="false">INDEX($B$3:$D$3,MATCH(MAX(B6:D6),B6:D6,0))</f>
        <v>PT-Morena-PES</v>
      </c>
      <c r="R6" s="12" t="n">
        <f aca="false">(MAX(L6:N6)-LARGE(L6:N6,2))*100</f>
        <v>12.0916634163091</v>
      </c>
    </row>
    <row r="7" customFormat="false" ht="15" hidden="false" customHeight="false" outlineLevel="0" collapsed="false">
      <c r="A7" s="4" t="str">
        <f aca="false">'Votos por partido'!A7</f>
        <v>Campeche</v>
      </c>
      <c r="B7" s="5" t="n">
        <f aca="false">'Votos por partido'!G7+'Votos por partido'!J7+'Votos por partido'!K7+'Votos por partido'!T7+'Votos por partido'!U7+'Votos por partido'!V7+'Votos por partido'!W7</f>
        <v>205563</v>
      </c>
      <c r="C7" s="5" t="n">
        <f aca="false">'Votos por partido'!C7+'Votos por partido'!E7+'Votos por partido'!H7+'Votos por partido'!L7+'Votos por partido'!M7+'Votos por partido'!N7+'Votos por partido'!O7</f>
        <v>85625</v>
      </c>
      <c r="D7" s="5" t="n">
        <f aca="false">'Votos por partido'!D7+'Votos por partido'!F7+'Votos por partido'!I7+'Votos por partido'!P7+'Votos por partido'!Q7+'Votos por partido'!R7+'Votos por partido'!S7</f>
        <v>142669</v>
      </c>
      <c r="E7" s="5" t="n">
        <f aca="false">'Votos por partido'!X7+'Votos por partido'!Y7</f>
        <v>0</v>
      </c>
      <c r="F7" s="5" t="n">
        <f aca="false">'Votos por partido'!Z7</f>
        <v>130</v>
      </c>
      <c r="G7" s="5" t="n">
        <f aca="false">'Votos por partido'!AA7</f>
        <v>15313</v>
      </c>
      <c r="H7" s="5" t="n">
        <f aca="false">'Votos por partido'!AB7</f>
        <v>449300</v>
      </c>
      <c r="I7" s="5" t="n">
        <f aca="false">'Votos por partido'!AC7</f>
        <v>642056</v>
      </c>
      <c r="J7" s="11" t="n">
        <f aca="false">H7/I7</f>
        <v>0.699783196481304</v>
      </c>
      <c r="K7" s="11" t="n">
        <f aca="false">B7/H7</f>
        <v>0.457518361896283</v>
      </c>
      <c r="L7" s="11" t="n">
        <f aca="false">C7/H7</f>
        <v>0.190574226574672</v>
      </c>
      <c r="M7" s="11" t="n">
        <f aca="false">D7/H7</f>
        <v>0.317536167371467</v>
      </c>
      <c r="N7" s="11" t="n">
        <f aca="false">E7/H7</f>
        <v>0</v>
      </c>
      <c r="O7" s="11" t="n">
        <f aca="false">F7/H7</f>
        <v>0.000289338971733808</v>
      </c>
      <c r="P7" s="11" t="n">
        <f aca="false">G7/H7</f>
        <v>0.0340819051858447</v>
      </c>
      <c r="Q7" s="4" t="str">
        <f aca="false">INDEX($B$3:$D$3,MATCH(MAX(B7:D7),B7:D7,0))</f>
        <v>PT-Morena-PES</v>
      </c>
      <c r="R7" s="12" t="n">
        <f aca="false">(MAX(L7:N7)-LARGE(L7:N7,2))*100</f>
        <v>12.6961940796795</v>
      </c>
    </row>
    <row r="8" customFormat="false" ht="15" hidden="false" customHeight="false" outlineLevel="0" collapsed="false">
      <c r="A8" s="4" t="str">
        <f aca="false">'Votos por partido'!A8</f>
        <v>Coahuila</v>
      </c>
      <c r="B8" s="5" t="n">
        <f aca="false">'Votos por partido'!G8+'Votos por partido'!J8+'Votos por partido'!K8+'Votos por partido'!T8+'Votos por partido'!U8+'Votos por partido'!V8+'Votos por partido'!W8</f>
        <v>470178</v>
      </c>
      <c r="C8" s="5" t="n">
        <f aca="false">'Votos por partido'!C8+'Votos por partido'!E8+'Votos por partido'!H8+'Votos por partido'!L8+'Votos por partido'!M8+'Votos por partido'!N8+'Votos por partido'!O8</f>
        <v>403533</v>
      </c>
      <c r="D8" s="5" t="n">
        <f aca="false">'Votos por partido'!D8+'Votos por partido'!F8+'Votos por partido'!I8+'Votos por partido'!P8+'Votos por partido'!Q8+'Votos por partido'!R8+'Votos por partido'!S8</f>
        <v>458073</v>
      </c>
      <c r="E8" s="5" t="n">
        <f aca="false">'Votos por partido'!X8+'Votos por partido'!Y8</f>
        <v>0</v>
      </c>
      <c r="F8" s="5" t="n">
        <f aca="false">'Votos por partido'!Z8</f>
        <v>431</v>
      </c>
      <c r="G8" s="5" t="n">
        <f aca="false">'Votos por partido'!AA8</f>
        <v>32763</v>
      </c>
      <c r="H8" s="5" t="n">
        <f aca="false">'Votos por partido'!AB8</f>
        <v>1364978</v>
      </c>
      <c r="I8" s="5" t="n">
        <f aca="false">'Votos por partido'!AC8</f>
        <v>2154098</v>
      </c>
      <c r="J8" s="11" t="n">
        <f aca="false">H8/I8</f>
        <v>0.633665692090146</v>
      </c>
      <c r="K8" s="11" t="n">
        <f aca="false">B8/H8</f>
        <v>0.344458298961595</v>
      </c>
      <c r="L8" s="11" t="n">
        <f aca="false">C8/H8</f>
        <v>0.295633336214943</v>
      </c>
      <c r="M8" s="11" t="n">
        <f aca="false">D8/H8</f>
        <v>0.335590024161562</v>
      </c>
      <c r="N8" s="11" t="n">
        <f aca="false">E8/H8</f>
        <v>0</v>
      </c>
      <c r="O8" s="11" t="n">
        <f aca="false">F8/H8</f>
        <v>0.000315756004858686</v>
      </c>
      <c r="P8" s="11" t="n">
        <f aca="false">G8/H8</f>
        <v>0.0240025846570421</v>
      </c>
      <c r="Q8" s="4" t="str">
        <f aca="false">INDEX($B$3:$D$3,MATCH(MAX(B8:D8),B8:D8,0))</f>
        <v>PT-Morena-PES</v>
      </c>
      <c r="R8" s="12" t="n">
        <f aca="false">(MAX(L8:N8)-LARGE(L8:N8,2))*100</f>
        <v>3.99566879466189</v>
      </c>
    </row>
    <row r="9" customFormat="false" ht="15" hidden="false" customHeight="false" outlineLevel="0" collapsed="false">
      <c r="A9" s="4" t="str">
        <f aca="false">'Votos por partido'!A9</f>
        <v>Colima</v>
      </c>
      <c r="B9" s="5" t="n">
        <f aca="false">'Votos por partido'!G9+'Votos por partido'!J9+'Votos por partido'!K9+'Votos por partido'!T9+'Votos por partido'!U9+'Votos por partido'!V9+'Votos por partido'!W9</f>
        <v>148923</v>
      </c>
      <c r="C9" s="5" t="n">
        <f aca="false">'Votos por partido'!C9+'Votos por partido'!E9+'Votos por partido'!H9+'Votos por partido'!L9+'Votos por partido'!M9+'Votos por partido'!N9+'Votos por partido'!O9</f>
        <v>78240</v>
      </c>
      <c r="D9" s="5" t="n">
        <f aca="false">'Votos por partido'!D9+'Votos por partido'!F9+'Votos por partido'!I9+'Votos por partido'!P9+'Votos por partido'!Q9+'Votos por partido'!R9+'Votos por partido'!S9</f>
        <v>95930</v>
      </c>
      <c r="E9" s="5" t="n">
        <f aca="false">'Votos por partido'!X9+'Votos por partido'!Y9</f>
        <v>0</v>
      </c>
      <c r="F9" s="5" t="n">
        <f aca="false">'Votos por partido'!Z9</f>
        <v>208</v>
      </c>
      <c r="G9" s="5" t="n">
        <f aca="false">'Votos por partido'!AA9</f>
        <v>11630</v>
      </c>
      <c r="H9" s="5" t="n">
        <f aca="false">'Votos por partido'!AB9</f>
        <v>334931</v>
      </c>
      <c r="I9" s="5" t="n">
        <f aca="false">'Votos por partido'!AC9</f>
        <v>530720</v>
      </c>
      <c r="J9" s="11" t="n">
        <f aca="false">H9/I9</f>
        <v>0.631087955984323</v>
      </c>
      <c r="K9" s="11" t="n">
        <f aca="false">B9/H9</f>
        <v>0.444637850781206</v>
      </c>
      <c r="L9" s="11" t="n">
        <f aca="false">C9/H9</f>
        <v>0.233600353505647</v>
      </c>
      <c r="M9" s="11" t="n">
        <f aca="false">D9/H9</f>
        <v>0.286417202349141</v>
      </c>
      <c r="N9" s="11" t="n">
        <f aca="false">E9/H9</f>
        <v>0</v>
      </c>
      <c r="O9" s="11" t="n">
        <f aca="false">F9/H9</f>
        <v>0.00062102343467759</v>
      </c>
      <c r="P9" s="11" t="n">
        <f aca="false">G9/H9</f>
        <v>0.0347235699293287</v>
      </c>
      <c r="Q9" s="4" t="str">
        <f aca="false">INDEX($B$3:$D$3,MATCH(MAX(B9:D9),B9:D9,0))</f>
        <v>PT-Morena-PES</v>
      </c>
      <c r="R9" s="12" t="n">
        <f aca="false">(MAX(L9:N9)-LARGE(L9:N9,2))*100</f>
        <v>5.28168488434932</v>
      </c>
    </row>
    <row r="10" customFormat="false" ht="15" hidden="false" customHeight="false" outlineLevel="0" collapsed="false">
      <c r="A10" s="4" t="str">
        <f aca="false">'Votos por partido'!A10</f>
        <v>Chiapas</v>
      </c>
      <c r="B10" s="5" t="n">
        <f aca="false">'Votos por partido'!G10+'Votos por partido'!J10+'Votos por partido'!K10+'Votos por partido'!T10+'Votos por partido'!U10+'Votos por partido'!V10+'Votos por partido'!W10</f>
        <v>1209851</v>
      </c>
      <c r="C10" s="5" t="n">
        <f aca="false">'Votos por partido'!C10+'Votos por partido'!E10+'Votos por partido'!H10+'Votos por partido'!L10+'Votos por partido'!M10+'Votos por partido'!N10+'Votos por partido'!O10</f>
        <v>241017</v>
      </c>
      <c r="D10" s="5" t="n">
        <f aca="false">'Votos por partido'!D10+'Votos por partido'!F10+'Votos por partido'!I10+'Votos por partido'!P10+'Votos por partido'!Q10+'Votos por partido'!R10+'Votos por partido'!S10</f>
        <v>756035</v>
      </c>
      <c r="E10" s="5" t="n">
        <f aca="false">'Votos por partido'!X10+'Votos por partido'!Y10</f>
        <v>3452</v>
      </c>
      <c r="F10" s="5" t="n">
        <f aca="false">'Votos por partido'!Z10</f>
        <v>1350</v>
      </c>
      <c r="G10" s="5" t="n">
        <f aca="false">'Votos por partido'!AA10</f>
        <v>195258</v>
      </c>
      <c r="H10" s="5" t="n">
        <f aca="false">'Votos por partido'!AB10</f>
        <v>2406963</v>
      </c>
      <c r="I10" s="5" t="n">
        <f aca="false">'Votos por partido'!AC10</f>
        <v>3493368</v>
      </c>
      <c r="J10" s="11" t="n">
        <f aca="false">H10/I10</f>
        <v>0.689009288457443</v>
      </c>
      <c r="K10" s="11" t="n">
        <f aca="false">B10/H10</f>
        <v>0.50264628081113</v>
      </c>
      <c r="L10" s="11" t="n">
        <f aca="false">C10/H10</f>
        <v>0.10013323844197</v>
      </c>
      <c r="M10" s="11" t="n">
        <f aca="false">D10/H10</f>
        <v>0.314103291159856</v>
      </c>
      <c r="N10" s="11" t="n">
        <f aca="false">E10/H10</f>
        <v>0.00143417244054022</v>
      </c>
      <c r="O10" s="11" t="n">
        <f aca="false">F10/H10</f>
        <v>0.000560872767882182</v>
      </c>
      <c r="P10" s="11" t="n">
        <f aca="false">G10/H10</f>
        <v>0.0811221443786215</v>
      </c>
      <c r="Q10" s="4" t="str">
        <f aca="false">INDEX($B$3:$D$3,MATCH(MAX(B10:D10),B10:D10,0))</f>
        <v>PT-Morena-PES</v>
      </c>
      <c r="R10" s="12" t="n">
        <f aca="false">(MAX(L10:N10)-LARGE(L10:N10,2))*100</f>
        <v>21.3970052717886</v>
      </c>
    </row>
    <row r="11" customFormat="false" ht="15" hidden="false" customHeight="false" outlineLevel="0" collapsed="false">
      <c r="A11" s="4" t="str">
        <f aca="false">'Votos por partido'!A11</f>
        <v>Chihuahua</v>
      </c>
      <c r="B11" s="5" t="n">
        <f aca="false">'Votos por partido'!G11+'Votos por partido'!J11+'Votos por partido'!K11+'Votos por partido'!T11+'Votos por partido'!U11+'Votos por partido'!V11+'Votos por partido'!W11</f>
        <v>515553</v>
      </c>
      <c r="C11" s="5" t="n">
        <f aca="false">'Votos por partido'!C11+'Votos por partido'!E11+'Votos por partido'!H11+'Votos por partido'!L11+'Votos por partido'!M11+'Votos por partido'!N11+'Votos por partido'!O11</f>
        <v>469624</v>
      </c>
      <c r="D11" s="5" t="n">
        <f aca="false">'Votos por partido'!D11+'Votos por partido'!F11+'Votos por partido'!I11+'Votos por partido'!P11+'Votos por partido'!Q11+'Votos por partido'!R11+'Votos por partido'!S11</f>
        <v>362996</v>
      </c>
      <c r="E11" s="5" t="n">
        <f aca="false">'Votos por partido'!X11+'Votos por partido'!Y11</f>
        <v>73066</v>
      </c>
      <c r="F11" s="5" t="n">
        <f aca="false">'Votos por partido'!Z11</f>
        <v>1042</v>
      </c>
      <c r="G11" s="5" t="n">
        <f aca="false">'Votos por partido'!AA11</f>
        <v>67695</v>
      </c>
      <c r="H11" s="5" t="n">
        <f aca="false">'Votos por partido'!AB11</f>
        <v>1489976</v>
      </c>
      <c r="I11" s="5" t="n">
        <f aca="false">'Votos por partido'!AC11</f>
        <v>2741821</v>
      </c>
      <c r="J11" s="11" t="n">
        <f aca="false">H11/I11</f>
        <v>0.54342570138605</v>
      </c>
      <c r="K11" s="11" t="n">
        <f aca="false">B11/H11</f>
        <v>0.346014298216884</v>
      </c>
      <c r="L11" s="11" t="n">
        <f aca="false">C11/H11</f>
        <v>0.315188969486757</v>
      </c>
      <c r="M11" s="11" t="n">
        <f aca="false">D11/H11</f>
        <v>0.243625400677595</v>
      </c>
      <c r="N11" s="11" t="n">
        <f aca="false">E11/H11</f>
        <v>0.0490383737724635</v>
      </c>
      <c r="O11" s="11" t="n">
        <f aca="false">F11/H11</f>
        <v>0.000699340123599306</v>
      </c>
      <c r="P11" s="11" t="n">
        <f aca="false">G11/H11</f>
        <v>0.0454336177227016</v>
      </c>
      <c r="Q11" s="4" t="str">
        <f aca="false">INDEX($B$3:$D$3,MATCH(MAX(B11:D11),B11:D11,0))</f>
        <v>PT-Morena-PES</v>
      </c>
      <c r="R11" s="12" t="n">
        <f aca="false">(MAX(L11:N11)-LARGE(L11:N11,2))*100</f>
        <v>7.1563568809162</v>
      </c>
    </row>
    <row r="12" customFormat="false" ht="15" hidden="false" customHeight="false" outlineLevel="0" collapsed="false">
      <c r="A12" s="4" t="str">
        <f aca="false">'Votos por partido'!A12</f>
        <v>Ciudad de México</v>
      </c>
      <c r="B12" s="5" t="n">
        <f aca="false">'Votos por partido'!G12+'Votos por partido'!J12+'Votos por partido'!K12+'Votos por partido'!T12+'Votos por partido'!U12+'Votos por partido'!V12+'Votos por partido'!W12</f>
        <v>2729185</v>
      </c>
      <c r="C12" s="5" t="n">
        <f aca="false">'Votos por partido'!C12+'Votos por partido'!E12+'Votos por partido'!H12+'Votos por partido'!L12+'Votos por partido'!M12+'Votos por partido'!N12+'Votos por partido'!O12</f>
        <v>1590649</v>
      </c>
      <c r="D12" s="5" t="n">
        <f aca="false">'Votos por partido'!D12+'Votos por partido'!F12+'Votos por partido'!I12+'Votos por partido'!P12+'Votos por partido'!Q12+'Votos por partido'!R12+'Votos por partido'!S12</f>
        <v>849907</v>
      </c>
      <c r="E12" s="5" t="n">
        <f aca="false">'Votos por partido'!X12+'Votos por partido'!Y12</f>
        <v>0</v>
      </c>
      <c r="F12" s="5" t="n">
        <f aca="false">'Votos por partido'!Z12</f>
        <v>4724</v>
      </c>
      <c r="G12" s="5" t="n">
        <f aca="false">'Votos por partido'!AA12</f>
        <v>190816</v>
      </c>
      <c r="H12" s="5" t="n">
        <f aca="false">'Votos por partido'!AB12</f>
        <v>5365281</v>
      </c>
      <c r="I12" s="5" t="n">
        <f aca="false">'Votos por partido'!AC12</f>
        <v>7626268</v>
      </c>
      <c r="J12" s="11" t="n">
        <f aca="false">H12/I12</f>
        <v>0.703526416852909</v>
      </c>
      <c r="K12" s="11" t="n">
        <f aca="false">B12/H12</f>
        <v>0.508675128106058</v>
      </c>
      <c r="L12" s="11" t="n">
        <f aca="false">C12/H12</f>
        <v>0.296470771987525</v>
      </c>
      <c r="M12" s="11" t="n">
        <f aca="false">D12/H12</f>
        <v>0.15840866489565</v>
      </c>
      <c r="N12" s="11" t="n">
        <f aca="false">E12/H12</f>
        <v>0</v>
      </c>
      <c r="O12" s="11" t="n">
        <f aca="false">F12/H12</f>
        <v>0.000880475784958887</v>
      </c>
      <c r="P12" s="11" t="n">
        <f aca="false">G12/H12</f>
        <v>0.0355649592258076</v>
      </c>
      <c r="Q12" s="4" t="str">
        <f aca="false">INDEX($B$3:$D$3,MATCH(MAX(B12:D12),B12:D12,0))</f>
        <v>PT-Morena-PES</v>
      </c>
      <c r="R12" s="12" t="n">
        <f aca="false">(MAX(L12:N12)-LARGE(L12:N12,2))*100</f>
        <v>13.8062107091875</v>
      </c>
    </row>
    <row r="13" customFormat="false" ht="15" hidden="false" customHeight="false" outlineLevel="0" collapsed="false">
      <c r="A13" s="4" t="str">
        <f aca="false">'Votos por partido'!A13</f>
        <v>Durango</v>
      </c>
      <c r="B13" s="5" t="n">
        <f aca="false">'Votos por partido'!G13+'Votos por partido'!J13+'Votos por partido'!K13+'Votos por partido'!T13+'Votos por partido'!U13+'Votos por partido'!V13+'Votos por partido'!W13</f>
        <v>278520</v>
      </c>
      <c r="C13" s="5" t="n">
        <f aca="false">'Votos por partido'!C13+'Votos por partido'!E13+'Votos por partido'!H13+'Votos por partido'!L13+'Votos por partido'!M13+'Votos por partido'!N13+'Votos por partido'!O13</f>
        <v>216001</v>
      </c>
      <c r="D13" s="5" t="n">
        <f aca="false">'Votos por partido'!D13+'Votos por partido'!F13+'Votos por partido'!I13+'Votos por partido'!P13+'Votos por partido'!Q13+'Votos por partido'!R13+'Votos por partido'!S13</f>
        <v>212128</v>
      </c>
      <c r="E13" s="5" t="n">
        <f aca="false">'Votos por partido'!X13+'Votos por partido'!Y13</f>
        <v>0</v>
      </c>
      <c r="F13" s="5" t="n">
        <f aca="false">'Votos por partido'!Z13</f>
        <v>316</v>
      </c>
      <c r="G13" s="5" t="n">
        <f aca="false">'Votos por partido'!AA13</f>
        <v>25196</v>
      </c>
      <c r="H13" s="5" t="n">
        <f aca="false">'Votos por partido'!AB13</f>
        <v>732161</v>
      </c>
      <c r="I13" s="5" t="n">
        <f aca="false">'Votos por partido'!AC13</f>
        <v>1279679</v>
      </c>
      <c r="J13" s="11" t="n">
        <f aca="false">H13/I13</f>
        <v>0.572144264303782</v>
      </c>
      <c r="K13" s="11" t="n">
        <f aca="false">B13/H13</f>
        <v>0.380408134276477</v>
      </c>
      <c r="L13" s="11" t="n">
        <f aca="false">C13/H13</f>
        <v>0.295018445396573</v>
      </c>
      <c r="M13" s="11" t="n">
        <f aca="false">D13/H13</f>
        <v>0.289728625261384</v>
      </c>
      <c r="N13" s="11" t="n">
        <f aca="false">E13/H13</f>
        <v>0</v>
      </c>
      <c r="O13" s="11" t="n">
        <f aca="false">F13/H13</f>
        <v>0.000431599060862297</v>
      </c>
      <c r="P13" s="11" t="n">
        <f aca="false">G13/H13</f>
        <v>0.0344131960047039</v>
      </c>
      <c r="Q13" s="4" t="str">
        <f aca="false">INDEX($B$3:$D$3,MATCH(MAX(B13:D13),B13:D13,0))</f>
        <v>PT-Morena-PES</v>
      </c>
      <c r="R13" s="12" t="n">
        <f aca="false">(MAX(L13:N13)-LARGE(L13:N13,2))*100</f>
        <v>0.528982013518886</v>
      </c>
    </row>
    <row r="14" customFormat="false" ht="15" hidden="false" customHeight="false" outlineLevel="0" collapsed="false">
      <c r="A14" s="4" t="str">
        <f aca="false">'Votos por partido'!A14</f>
        <v>Guanajuato</v>
      </c>
      <c r="B14" s="5" t="n">
        <f aca="false">'Votos por partido'!G14+'Votos por partido'!J14+'Votos por partido'!K14+'Votos por partido'!T14+'Votos por partido'!U14+'Votos por partido'!V14+'Votos por partido'!W14</f>
        <v>573717</v>
      </c>
      <c r="C14" s="5" t="n">
        <f aca="false">'Votos por partido'!C14+'Votos por partido'!E14+'Votos por partido'!H14+'Votos por partido'!L14+'Votos por partido'!M14+'Votos por partido'!N14+'Votos por partido'!O14</f>
        <v>1020348</v>
      </c>
      <c r="D14" s="5" t="n">
        <f aca="false">'Votos por partido'!D14+'Votos por partido'!F14+'Votos por partido'!I14+'Votos por partido'!P14+'Votos por partido'!Q14+'Votos por partido'!R14+'Votos por partido'!S14</f>
        <v>592636</v>
      </c>
      <c r="E14" s="5" t="n">
        <f aca="false">'Votos por partido'!X14+'Votos por partido'!Y14</f>
        <v>18442</v>
      </c>
      <c r="F14" s="5" t="n">
        <f aca="false">'Votos por partido'!Z14</f>
        <v>1593</v>
      </c>
      <c r="G14" s="5" t="n">
        <f aca="false">'Votos por partido'!AA14</f>
        <v>100099</v>
      </c>
      <c r="H14" s="5" t="n">
        <f aca="false">'Votos por partido'!AB14</f>
        <v>2306835</v>
      </c>
      <c r="I14" s="5" t="n">
        <f aca="false">'Votos por partido'!AC14</f>
        <v>4359031</v>
      </c>
      <c r="J14" s="11" t="n">
        <f aca="false">H14/I14</f>
        <v>0.529208211641532</v>
      </c>
      <c r="K14" s="11" t="n">
        <f aca="false">B14/H14</f>
        <v>0.248703093199123</v>
      </c>
      <c r="L14" s="11" t="n">
        <f aca="false">C14/H14</f>
        <v>0.442315120067105</v>
      </c>
      <c r="M14" s="11" t="n">
        <f aca="false">D14/H14</f>
        <v>0.256904373308017</v>
      </c>
      <c r="N14" s="11" t="n">
        <f aca="false">E14/H14</f>
        <v>0.00799450329130605</v>
      </c>
      <c r="O14" s="11" t="n">
        <f aca="false">F14/H14</f>
        <v>0.000690556541755262</v>
      </c>
      <c r="P14" s="11" t="n">
        <f aca="false">G14/H14</f>
        <v>0.043392353592693</v>
      </c>
      <c r="Q14" s="4" t="str">
        <f aca="false">INDEX($B$3:$D$3,MATCH(MAX(B14:D14),B14:D14,0))</f>
        <v>PAN-PRD-MC</v>
      </c>
      <c r="R14" s="12" t="n">
        <f aca="false">(MAX(L14:N14)-LARGE(L14:N14,2))*100</f>
        <v>18.5410746759088</v>
      </c>
    </row>
    <row r="15" customFormat="false" ht="15" hidden="false" customHeight="false" outlineLevel="0" collapsed="false">
      <c r="A15" s="4" t="str">
        <f aca="false">'Votos por partido'!A15</f>
        <v>Guerrero</v>
      </c>
      <c r="B15" s="5" t="n">
        <f aca="false">'Votos por partido'!G15+'Votos por partido'!J15+'Votos por partido'!K15+'Votos por partido'!T15+'Votos por partido'!U15+'Votos por partido'!V15+'Votos por partido'!W15</f>
        <v>778236</v>
      </c>
      <c r="C15" s="5" t="n">
        <f aca="false">'Votos por partido'!C15+'Votos por partido'!E15+'Votos por partido'!H15+'Votos por partido'!L15+'Votos por partido'!M15+'Votos por partido'!N15+'Votos por partido'!O15</f>
        <v>340787</v>
      </c>
      <c r="D15" s="5" t="n">
        <f aca="false">'Votos por partido'!D15+'Votos por partido'!F15+'Votos por partido'!I15+'Votos por partido'!P15+'Votos por partido'!Q15+'Votos por partido'!R15+'Votos por partido'!S15</f>
        <v>392619</v>
      </c>
      <c r="E15" s="5" t="n">
        <f aca="false">'Votos por partido'!X15+'Votos por partido'!Y15</f>
        <v>9834</v>
      </c>
      <c r="F15" s="5" t="n">
        <f aca="false">'Votos por partido'!Z15</f>
        <v>592</v>
      </c>
      <c r="G15" s="5" t="n">
        <f aca="false">'Votos por partido'!AA15</f>
        <v>83142</v>
      </c>
      <c r="H15" s="5" t="n">
        <f aca="false">'Votos por partido'!AB15</f>
        <v>1605210</v>
      </c>
      <c r="I15" s="5" t="n">
        <f aca="false">'Votos por partido'!AC15</f>
        <v>2503904</v>
      </c>
      <c r="J15" s="11" t="n">
        <f aca="false">H15/I15</f>
        <v>0.641082884966836</v>
      </c>
      <c r="K15" s="11" t="n">
        <f aca="false">B15/H15</f>
        <v>0.484818808753995</v>
      </c>
      <c r="L15" s="11" t="n">
        <f aca="false">C15/H15</f>
        <v>0.212300571264819</v>
      </c>
      <c r="M15" s="11" t="n">
        <f aca="false">D15/H15</f>
        <v>0.244590427420711</v>
      </c>
      <c r="N15" s="11" t="n">
        <f aca="false">E15/H15</f>
        <v>0.00612630123161456</v>
      </c>
      <c r="O15" s="11" t="n">
        <f aca="false">F15/H15</f>
        <v>0.000368799097937342</v>
      </c>
      <c r="P15" s="11" t="n">
        <f aca="false">G15/H15</f>
        <v>0.0517950922309231</v>
      </c>
      <c r="Q15" s="4" t="str">
        <f aca="false">INDEX($B$3:$D$3,MATCH(MAX(B15:D15),B15:D15,0))</f>
        <v>PT-Morena-PES</v>
      </c>
      <c r="R15" s="12" t="n">
        <f aca="false">(MAX(L15:N15)-LARGE(L15:N15,2))*100</f>
        <v>3.22898561558924</v>
      </c>
    </row>
    <row r="16" customFormat="false" ht="15" hidden="false" customHeight="false" outlineLevel="0" collapsed="false">
      <c r="A16" s="4" t="str">
        <f aca="false">'Votos por partido'!A16</f>
        <v>Hidalgo</v>
      </c>
      <c r="B16" s="5" t="n">
        <f aca="false">'Votos por partido'!G16+'Votos por partido'!J16+'Votos por partido'!K16+'Votos por partido'!T16+'Votos por partido'!U16+'Votos por partido'!V16+'Votos por partido'!W16</f>
        <v>757617</v>
      </c>
      <c r="C16" s="5" t="n">
        <f aca="false">'Votos por partido'!C16+'Votos por partido'!E16+'Votos por partido'!H16+'Votos por partido'!L16+'Votos por partido'!M16+'Votos por partido'!N16+'Votos por partido'!O16</f>
        <v>197220</v>
      </c>
      <c r="D16" s="5" t="n">
        <f aca="false">'Votos por partido'!D16+'Votos por partido'!F16+'Votos por partido'!I16+'Votos por partido'!P16+'Votos por partido'!Q16+'Votos por partido'!R16+'Votos por partido'!S16</f>
        <v>362980</v>
      </c>
      <c r="E16" s="5" t="n">
        <f aca="false">'Votos por partido'!X16+'Votos por partido'!Y16</f>
        <v>4673</v>
      </c>
      <c r="F16" s="5" t="n">
        <f aca="false">'Votos por partido'!Z16</f>
        <v>465</v>
      </c>
      <c r="G16" s="5" t="n">
        <f aca="false">'Votos por partido'!AA16</f>
        <v>64262</v>
      </c>
      <c r="H16" s="5" t="n">
        <f aca="false">'Votos por partido'!AB16</f>
        <v>1387217</v>
      </c>
      <c r="I16" s="5" t="n">
        <f aca="false">'Votos por partido'!AC16</f>
        <v>2118481</v>
      </c>
      <c r="J16" s="11" t="n">
        <f aca="false">H16/I16</f>
        <v>0.654816823941305</v>
      </c>
      <c r="K16" s="11" t="n">
        <f aca="false">B16/H16</f>
        <v>0.546141663488841</v>
      </c>
      <c r="L16" s="11" t="n">
        <f aca="false">C16/H16</f>
        <v>0.142169538003067</v>
      </c>
      <c r="M16" s="11" t="n">
        <f aca="false">D16/H16</f>
        <v>0.261660576535611</v>
      </c>
      <c r="N16" s="11" t="n">
        <f aca="false">E16/H16</f>
        <v>0.00336861500399721</v>
      </c>
      <c r="O16" s="11" t="n">
        <f aca="false">F16/H16</f>
        <v>0.000335203504570662</v>
      </c>
      <c r="P16" s="11" t="n">
        <f aca="false">G16/H16</f>
        <v>0.0463244034639137</v>
      </c>
      <c r="Q16" s="4" t="str">
        <f aca="false">INDEX($B$3:$D$3,MATCH(MAX(B16:D16),B16:D16,0))</f>
        <v>PT-Morena-PES</v>
      </c>
      <c r="R16" s="12" t="n">
        <f aca="false">(MAX(L16:N16)-LARGE(L16:N16,2))*100</f>
        <v>11.9491038532544</v>
      </c>
    </row>
    <row r="17" customFormat="false" ht="15" hidden="false" customHeight="false" outlineLevel="0" collapsed="false">
      <c r="A17" s="4" t="str">
        <f aca="false">'Votos por partido'!A17</f>
        <v>Jalisco</v>
      </c>
      <c r="B17" s="5" t="n">
        <f aca="false">'Votos por partido'!G17+'Votos por partido'!J17+'Votos por partido'!K17+'Votos por partido'!T17+'Votos por partido'!U17+'Votos por partido'!V17+'Votos por partido'!W17</f>
        <v>1011776</v>
      </c>
      <c r="C17" s="5" t="n">
        <f aca="false">'Votos por partido'!C17+'Votos por partido'!E17+'Votos por partido'!H17+'Votos por partido'!L17+'Votos por partido'!M17+'Votos por partido'!N17+'Votos por partido'!O17</f>
        <v>1435536</v>
      </c>
      <c r="D17" s="5" t="n">
        <f aca="false">'Votos por partido'!D17+'Votos por partido'!F17+'Votos por partido'!I17+'Votos por partido'!P17+'Votos por partido'!Q17+'Votos por partido'!R17+'Votos por partido'!S17</f>
        <v>762418</v>
      </c>
      <c r="E17" s="5" t="n">
        <f aca="false">'Votos por partido'!X17+'Votos por partido'!Y17</f>
        <v>146701</v>
      </c>
      <c r="F17" s="5" t="n">
        <f aca="false">'Votos por partido'!Z17</f>
        <v>1824</v>
      </c>
      <c r="G17" s="5" t="n">
        <f aca="false">'Votos por partido'!AA17</f>
        <v>123165</v>
      </c>
      <c r="H17" s="5" t="n">
        <f aca="false">'Votos por partido'!AB17</f>
        <v>3481420</v>
      </c>
      <c r="I17" s="5" t="n">
        <f aca="false">'Votos por partido'!AC17</f>
        <v>5896959</v>
      </c>
      <c r="J17" s="11" t="n">
        <f aca="false">H17/I17</f>
        <v>0.590375479971965</v>
      </c>
      <c r="K17" s="11" t="n">
        <f aca="false">B17/H17</f>
        <v>0.290621642892843</v>
      </c>
      <c r="L17" s="11" t="n">
        <f aca="false">C17/H17</f>
        <v>0.412342090296488</v>
      </c>
      <c r="M17" s="11" t="n">
        <f aca="false">D17/H17</f>
        <v>0.218996271636286</v>
      </c>
      <c r="N17" s="11" t="n">
        <f aca="false">E17/H17</f>
        <v>0.0421382654204319</v>
      </c>
      <c r="O17" s="11" t="n">
        <f aca="false">F17/H17</f>
        <v>0.000523924145894491</v>
      </c>
      <c r="P17" s="11" t="n">
        <f aca="false">G17/H17</f>
        <v>0.0353778056080565</v>
      </c>
      <c r="Q17" s="4" t="str">
        <f aca="false">INDEX($B$3:$D$3,MATCH(MAX(B17:D17),B17:D17,0))</f>
        <v>PAN-PRD-MC</v>
      </c>
      <c r="R17" s="12" t="n">
        <f aca="false">(MAX(L17:N17)-LARGE(L17:N17,2))*100</f>
        <v>19.3345818660202</v>
      </c>
    </row>
    <row r="18" customFormat="false" ht="15" hidden="false" customHeight="false" outlineLevel="0" collapsed="false">
      <c r="A18" s="4" t="str">
        <f aca="false">'Votos por partido'!A18</f>
        <v>México</v>
      </c>
      <c r="B18" s="5" t="n">
        <f aca="false">'Votos por partido'!G18+'Votos por partido'!J18+'Votos por partido'!K18+'Votos por partido'!T18+'Votos por partido'!U18+'Votos por partido'!V18+'Votos por partido'!W18</f>
        <v>3849712</v>
      </c>
      <c r="C18" s="5" t="n">
        <f aca="false">'Votos por partido'!C18+'Votos por partido'!E18+'Votos por partido'!H18+'Votos por partido'!L18+'Votos por partido'!M18+'Votos por partido'!N18+'Votos por partido'!O18</f>
        <v>1805004</v>
      </c>
      <c r="D18" s="5" t="n">
        <f aca="false">'Votos por partido'!D18+'Votos por partido'!F18+'Votos por partido'!I18+'Votos por partido'!P18+'Votos por partido'!Q18+'Votos por partido'!R18+'Votos por partido'!S18</f>
        <v>2112244</v>
      </c>
      <c r="E18" s="5" t="n">
        <f aca="false">'Votos por partido'!X18+'Votos por partido'!Y18</f>
        <v>0</v>
      </c>
      <c r="F18" s="5" t="n">
        <f aca="false">'Votos por partido'!Z18</f>
        <v>4392</v>
      </c>
      <c r="G18" s="5" t="n">
        <f aca="false">'Votos por partido'!AA18</f>
        <v>234254</v>
      </c>
      <c r="H18" s="5" t="n">
        <f aca="false">'Votos por partido'!AB18</f>
        <v>8005606</v>
      </c>
      <c r="I18" s="5" t="n">
        <f aca="false">'Votos por partido'!AC18</f>
        <v>11832184</v>
      </c>
      <c r="J18" s="11" t="n">
        <f aca="false">H18/I18</f>
        <v>0.676595800065313</v>
      </c>
      <c r="K18" s="11" t="n">
        <f aca="false">B18/H18</f>
        <v>0.480877025424434</v>
      </c>
      <c r="L18" s="11" t="n">
        <f aca="false">C18/H18</f>
        <v>0.22546750364682</v>
      </c>
      <c r="M18" s="11" t="n">
        <f aca="false">D18/H18</f>
        <v>0.26384561018866</v>
      </c>
      <c r="N18" s="11" t="n">
        <f aca="false">E18/H18</f>
        <v>0</v>
      </c>
      <c r="O18" s="11" t="n">
        <f aca="false">F18/H18</f>
        <v>0.000548615557647978</v>
      </c>
      <c r="P18" s="11" t="n">
        <f aca="false">G18/H18</f>
        <v>0.0292612451824384</v>
      </c>
      <c r="Q18" s="4" t="str">
        <f aca="false">INDEX($B$3:$D$3,MATCH(MAX(B18:D18),B18:D18,0))</f>
        <v>PT-Morena-PES</v>
      </c>
      <c r="R18" s="12" t="n">
        <f aca="false">(MAX(L18:N18)-LARGE(L18:N18,2))*100</f>
        <v>3.83781065418408</v>
      </c>
    </row>
    <row r="19" customFormat="false" ht="15" hidden="false" customHeight="false" outlineLevel="0" collapsed="false">
      <c r="A19" s="4" t="str">
        <f aca="false">'Votos por partido'!A19</f>
        <v>Michoacán</v>
      </c>
      <c r="B19" s="5" t="n">
        <f aca="false">'Votos por partido'!G19+'Votos por partido'!J19+'Votos por partido'!K19+'Votos por partido'!T19+'Votos por partido'!U19+'Votos por partido'!V19+'Votos por partido'!W19</f>
        <v>737490</v>
      </c>
      <c r="C19" s="5" t="n">
        <f aca="false">'Votos por partido'!C19+'Votos por partido'!E19+'Votos por partido'!H19+'Votos por partido'!L19+'Votos por partido'!M19+'Votos por partido'!N19+'Votos por partido'!O19</f>
        <v>570642</v>
      </c>
      <c r="D19" s="5" t="n">
        <f aca="false">'Votos por partido'!D19+'Votos por partido'!F19+'Votos por partido'!I19+'Votos por partido'!P19+'Votos por partido'!Q19+'Votos por partido'!R19+'Votos por partido'!S19</f>
        <v>501224</v>
      </c>
      <c r="E19" s="5" t="n">
        <f aca="false">'Votos por partido'!X19+'Votos por partido'!Y19</f>
        <v>44208</v>
      </c>
      <c r="F19" s="5" t="n">
        <f aca="false">'Votos por partido'!Z19</f>
        <v>1182</v>
      </c>
      <c r="G19" s="5" t="n">
        <f aca="false">'Votos por partido'!AA19</f>
        <v>118227</v>
      </c>
      <c r="H19" s="5" t="n">
        <f aca="false">'Votos por partido'!AB19</f>
        <v>1972973</v>
      </c>
      <c r="I19" s="5" t="n">
        <f aca="false">'Votos por partido'!AC19</f>
        <v>3368021</v>
      </c>
      <c r="J19" s="11" t="n">
        <f aca="false">H19/I19</f>
        <v>0.585795931794962</v>
      </c>
      <c r="K19" s="11" t="n">
        <f aca="false">B19/H19</f>
        <v>0.373796296249366</v>
      </c>
      <c r="L19" s="11" t="n">
        <f aca="false">C19/H19</f>
        <v>0.289229502887267</v>
      </c>
      <c r="M19" s="11" t="n">
        <f aca="false">D19/H19</f>
        <v>0.254045037615821</v>
      </c>
      <c r="N19" s="11" t="n">
        <f aca="false">E19/H19</f>
        <v>0.0224067942136056</v>
      </c>
      <c r="O19" s="11" t="n">
        <f aca="false">F19/H19</f>
        <v>0.000599095882204166</v>
      </c>
      <c r="P19" s="11" t="n">
        <f aca="false">G19/H19</f>
        <v>0.059923273151736</v>
      </c>
      <c r="Q19" s="4" t="str">
        <f aca="false">INDEX($B$3:$D$3,MATCH(MAX(B19:D19),B19:D19,0))</f>
        <v>PT-Morena-PES</v>
      </c>
      <c r="R19" s="12" t="n">
        <f aca="false">(MAX(L19:N19)-LARGE(L19:N19,2))*100</f>
        <v>3.51844652714456</v>
      </c>
    </row>
    <row r="20" customFormat="false" ht="15" hidden="false" customHeight="false" outlineLevel="0" collapsed="false">
      <c r="A20" s="4" t="str">
        <f aca="false">'Votos por partido'!A20</f>
        <v>Morelos</v>
      </c>
      <c r="B20" s="5" t="n">
        <f aca="false">'Votos por partido'!G20+'Votos por partido'!J20+'Votos por partido'!K20+'Votos por partido'!T20+'Votos por partido'!U20+'Votos por partido'!V20+'Votos por partido'!W20</f>
        <v>446887</v>
      </c>
      <c r="C20" s="5" t="n">
        <f aca="false">'Votos por partido'!C20+'Votos por partido'!E20+'Votos por partido'!H20+'Votos por partido'!L20+'Votos por partido'!M20+'Votos por partido'!N20+'Votos por partido'!O20</f>
        <v>235106</v>
      </c>
      <c r="D20" s="5" t="n">
        <f aca="false">'Votos por partido'!D20+'Votos por partido'!F20+'Votos por partido'!I20+'Votos por partido'!P20+'Votos por partido'!Q20+'Votos por partido'!R20+'Votos por partido'!S20</f>
        <v>177254</v>
      </c>
      <c r="E20" s="5" t="n">
        <f aca="false">'Votos por partido'!X20+'Votos por partido'!Y20</f>
        <v>51603</v>
      </c>
      <c r="F20" s="5" t="n">
        <f aca="false">'Votos por partido'!Z20</f>
        <v>732</v>
      </c>
      <c r="G20" s="5" t="n">
        <f aca="false">'Votos por partido'!AA20</f>
        <v>50427</v>
      </c>
      <c r="H20" s="5" t="n">
        <f aca="false">'Votos por partido'!AB20</f>
        <v>962009</v>
      </c>
      <c r="I20" s="5" t="n">
        <f aca="false">'Votos por partido'!AC20</f>
        <v>1439365</v>
      </c>
      <c r="J20" s="11" t="n">
        <f aca="false">H20/I20</f>
        <v>0.668356532220806</v>
      </c>
      <c r="K20" s="11" t="n">
        <f aca="false">B20/H20</f>
        <v>0.464535155076512</v>
      </c>
      <c r="L20" s="11" t="n">
        <f aca="false">C20/H20</f>
        <v>0.244390644993966</v>
      </c>
      <c r="M20" s="11" t="n">
        <f aca="false">D20/H20</f>
        <v>0.184253993465758</v>
      </c>
      <c r="N20" s="11" t="n">
        <f aca="false">E20/H20</f>
        <v>0.0536408703037082</v>
      </c>
      <c r="O20" s="11" t="n">
        <f aca="false">F20/H20</f>
        <v>0.000760907642236195</v>
      </c>
      <c r="P20" s="11" t="n">
        <f aca="false">G20/H20</f>
        <v>0.0524184285178205</v>
      </c>
      <c r="Q20" s="4" t="str">
        <f aca="false">INDEX($B$3:$D$3,MATCH(MAX(B20:D20),B20:D20,0))</f>
        <v>PT-Morena-PES</v>
      </c>
      <c r="R20" s="12" t="n">
        <f aca="false">(MAX(L20:N20)-LARGE(L20:N20,2))*100</f>
        <v>6.01366515282082</v>
      </c>
    </row>
    <row r="21" customFormat="false" ht="15" hidden="false" customHeight="false" outlineLevel="0" collapsed="false">
      <c r="A21" s="4" t="str">
        <f aca="false">'Votos por partido'!A21</f>
        <v>Nayarit</v>
      </c>
      <c r="B21" s="5" t="n">
        <f aca="false">'Votos por partido'!G21+'Votos por partido'!J21+'Votos por partido'!K21+'Votos por partido'!T21+'Votos por partido'!U21+'Votos por partido'!V21+'Votos por partido'!W21</f>
        <v>254808</v>
      </c>
      <c r="C21" s="5" t="n">
        <f aca="false">'Votos por partido'!C21+'Votos por partido'!E21+'Votos por partido'!H21+'Votos por partido'!L21+'Votos por partido'!M21+'Votos por partido'!N21+'Votos por partido'!O21</f>
        <v>124296</v>
      </c>
      <c r="D21" s="5" t="n">
        <f aca="false">'Votos por partido'!D21+'Votos por partido'!F21+'Votos por partido'!I21+'Votos por partido'!P21+'Votos por partido'!Q21+'Votos por partido'!R21+'Votos por partido'!S21</f>
        <v>84189</v>
      </c>
      <c r="E21" s="5" t="n">
        <f aca="false">'Votos por partido'!X21+'Votos por partido'!Y21</f>
        <v>0</v>
      </c>
      <c r="F21" s="5" t="n">
        <f aca="false">'Votos por partido'!Z21</f>
        <v>172</v>
      </c>
      <c r="G21" s="5" t="n">
        <f aca="false">'Votos por partido'!AA21</f>
        <v>18847</v>
      </c>
      <c r="H21" s="5" t="n">
        <f aca="false">'Votos por partido'!AB21</f>
        <v>482312</v>
      </c>
      <c r="I21" s="5" t="n">
        <f aca="false">'Votos por partido'!AC21</f>
        <v>846811</v>
      </c>
      <c r="J21" s="11" t="n">
        <f aca="false">H21/I21</f>
        <v>0.569562747767802</v>
      </c>
      <c r="K21" s="11" t="n">
        <f aca="false">B21/H21</f>
        <v>0.528305329330392</v>
      </c>
      <c r="L21" s="11" t="n">
        <f aca="false">C21/H21</f>
        <v>0.257708703080164</v>
      </c>
      <c r="M21" s="11" t="n">
        <f aca="false">D21/H21</f>
        <v>0.174552986448606</v>
      </c>
      <c r="N21" s="11" t="n">
        <f aca="false">E21/H21</f>
        <v>0</v>
      </c>
      <c r="O21" s="11" t="n">
        <f aca="false">F21/H21</f>
        <v>0.000356615634692896</v>
      </c>
      <c r="P21" s="11" t="n">
        <f aca="false">G21/H21</f>
        <v>0.0390763655061454</v>
      </c>
      <c r="Q21" s="4" t="str">
        <f aca="false">INDEX($B$3:$D$3,MATCH(MAX(B21:D21),B21:D21,0))</f>
        <v>PT-Morena-PES</v>
      </c>
      <c r="R21" s="12" t="n">
        <f aca="false">(MAX(L21:N21)-LARGE(L21:N21,2))*100</f>
        <v>8.3155716631558</v>
      </c>
    </row>
    <row r="22" customFormat="false" ht="15" hidden="false" customHeight="false" outlineLevel="0" collapsed="false">
      <c r="A22" s="4" t="str">
        <f aca="false">'Votos por partido'!A22</f>
        <v>Nuevo León</v>
      </c>
      <c r="B22" s="5" t="n">
        <f aca="false">'Votos por partido'!G22+'Votos por partido'!J22+'Votos por partido'!K22+'Votos por partido'!T22+'Votos por partido'!U22+'Votos por partido'!V22+'Votos por partido'!W22</f>
        <v>537496</v>
      </c>
      <c r="C22" s="5" t="n">
        <f aca="false">'Votos por partido'!C22+'Votos por partido'!E22+'Votos por partido'!H22+'Votos por partido'!L22+'Votos por partido'!M22+'Votos por partido'!N22+'Votos por partido'!O22</f>
        <v>862123</v>
      </c>
      <c r="D22" s="5" t="n">
        <f aca="false">'Votos por partido'!D22+'Votos por partido'!F22+'Votos por partido'!I22+'Votos por partido'!P22+'Votos por partido'!Q22+'Votos por partido'!R22+'Votos por partido'!S22</f>
        <v>567103</v>
      </c>
      <c r="E22" s="5" t="n">
        <f aca="false">'Votos por partido'!X22+'Votos por partido'!Y22</f>
        <v>131476</v>
      </c>
      <c r="F22" s="5" t="n">
        <f aca="false">'Votos por partido'!Z22</f>
        <v>1829</v>
      </c>
      <c r="G22" s="5" t="n">
        <f aca="false">'Votos por partido'!AA22</f>
        <v>69216</v>
      </c>
      <c r="H22" s="5" t="n">
        <f aca="false">'Votos por partido'!AB22</f>
        <v>2169243</v>
      </c>
      <c r="I22" s="5" t="n">
        <f aca="false">'Votos por partido'!AC22</f>
        <v>3899320</v>
      </c>
      <c r="J22" s="11" t="n">
        <f aca="false">H22/I22</f>
        <v>0.556313152036765</v>
      </c>
      <c r="K22" s="11" t="n">
        <f aca="false">B22/H22</f>
        <v>0.247780446911665</v>
      </c>
      <c r="L22" s="11" t="n">
        <f aca="false">C22/H22</f>
        <v>0.397430347821798</v>
      </c>
      <c r="M22" s="11" t="n">
        <f aca="false">D22/H22</f>
        <v>0.261428986978407</v>
      </c>
      <c r="N22" s="11" t="n">
        <f aca="false">E22/H22</f>
        <v>0.0606091618135912</v>
      </c>
      <c r="O22" s="11" t="n">
        <f aca="false">F22/H22</f>
        <v>0.000843151274430758</v>
      </c>
      <c r="P22" s="11" t="n">
        <f aca="false">G22/H22</f>
        <v>0.031907905200109</v>
      </c>
      <c r="Q22" s="4" t="str">
        <f aca="false">INDEX($B$3:$D$3,MATCH(MAX(B22:D22),B22:D22,0))</f>
        <v>PAN-PRD-MC</v>
      </c>
      <c r="R22" s="12" t="n">
        <f aca="false">(MAX(L22:N22)-LARGE(L22:N22,2))*100</f>
        <v>13.6001360843391</v>
      </c>
    </row>
    <row r="23" customFormat="false" ht="15" hidden="false" customHeight="false" outlineLevel="0" collapsed="false">
      <c r="A23" s="4" t="str">
        <f aca="false">'Votos por partido'!A23</f>
        <v>Oaxaca</v>
      </c>
      <c r="B23" s="5" t="n">
        <f aca="false">'Votos por partido'!G23+'Votos por partido'!J23+'Votos por partido'!K23+'Votos por partido'!T23+'Votos por partido'!U23+'Votos por partido'!V23+'Votos por partido'!W23</f>
        <v>1062882</v>
      </c>
      <c r="C23" s="5" t="n">
        <f aca="false">'Votos por partido'!C23+'Votos por partido'!E23+'Votos por partido'!H23+'Votos por partido'!L23+'Votos por partido'!M23+'Votos por partido'!N23+'Votos por partido'!O23</f>
        <v>303650</v>
      </c>
      <c r="D23" s="5" t="n">
        <f aca="false">'Votos por partido'!D23+'Votos por partido'!F23+'Votos por partido'!I23+'Votos por partido'!P23+'Votos por partido'!Q23+'Votos por partido'!R23+'Votos por partido'!S23</f>
        <v>463409</v>
      </c>
      <c r="E23" s="5" t="n">
        <f aca="false">'Votos por partido'!X23+'Votos por partido'!Y23</f>
        <v>5218</v>
      </c>
      <c r="F23" s="5" t="n">
        <f aca="false">'Votos por partido'!Z23</f>
        <v>629</v>
      </c>
      <c r="G23" s="5" t="n">
        <f aca="false">'Votos por partido'!AA23</f>
        <v>85821</v>
      </c>
      <c r="H23" s="5" t="n">
        <f aca="false">'Votos por partido'!AB23</f>
        <v>1921609</v>
      </c>
      <c r="I23" s="5" t="n">
        <f aca="false">'Votos por partido'!AC23</f>
        <v>2859593</v>
      </c>
      <c r="J23" s="11" t="n">
        <f aca="false">H23/I23</f>
        <v>0.6719868876445</v>
      </c>
      <c r="K23" s="11" t="n">
        <f aca="false">B23/H23</f>
        <v>0.553120848205853</v>
      </c>
      <c r="L23" s="11" t="n">
        <f aca="false">C23/H23</f>
        <v>0.158018618772081</v>
      </c>
      <c r="M23" s="11" t="n">
        <f aca="false">D23/H23</f>
        <v>0.241156759777874</v>
      </c>
      <c r="N23" s="11" t="n">
        <f aca="false">E23/H23</f>
        <v>0.00271543274412224</v>
      </c>
      <c r="O23" s="11" t="n">
        <f aca="false">F23/H23</f>
        <v>0.000327329857426771</v>
      </c>
      <c r="P23" s="11" t="n">
        <f aca="false">G23/H23</f>
        <v>0.0446610106426437</v>
      </c>
      <c r="Q23" s="4" t="str">
        <f aca="false">INDEX($B$3:$D$3,MATCH(MAX(B23:D23),B23:D23,0))</f>
        <v>PT-Morena-PES</v>
      </c>
      <c r="R23" s="12" t="n">
        <f aca="false">(MAX(L23:N23)-LARGE(L23:N23,2))*100</f>
        <v>8.31381410057926</v>
      </c>
    </row>
    <row r="24" customFormat="false" ht="15" hidden="false" customHeight="false" outlineLevel="0" collapsed="false">
      <c r="A24" s="4" t="str">
        <f aca="false">'Votos por partido'!A24</f>
        <v>Puebla</v>
      </c>
      <c r="B24" s="5" t="n">
        <f aca="false">'Votos por partido'!G24+'Votos por partido'!J24+'Votos por partido'!K24+'Votos por partido'!T24+'Votos por partido'!U24+'Votos por partido'!V24+'Votos por partido'!W24</f>
        <v>1388519</v>
      </c>
      <c r="C24" s="5" t="n">
        <f aca="false">'Votos por partido'!C24+'Votos por partido'!E24+'Votos por partido'!H24+'Votos por partido'!L24+'Votos por partido'!M24+'Votos por partido'!N24+'Votos por partido'!O24</f>
        <v>814070</v>
      </c>
      <c r="D24" s="5" t="n">
        <f aca="false">'Votos por partido'!D24+'Votos por partido'!F24+'Votos por partido'!I24+'Votos por partido'!P24+'Votos por partido'!Q24+'Votos por partido'!R24+'Votos por partido'!S24</f>
        <v>711848</v>
      </c>
      <c r="E24" s="5" t="n">
        <f aca="false">'Votos por partido'!X24+'Votos por partido'!Y24</f>
        <v>0</v>
      </c>
      <c r="F24" s="5" t="n">
        <f aca="false">'Votos por partido'!Z24</f>
        <v>1262</v>
      </c>
      <c r="G24" s="5" t="n">
        <f aca="false">'Votos por partido'!AA24</f>
        <v>147783</v>
      </c>
      <c r="H24" s="5" t="n">
        <f aca="false">'Votos por partido'!AB24</f>
        <v>3063482</v>
      </c>
      <c r="I24" s="5" t="n">
        <f aca="false">'Votos por partido'!AC24</f>
        <v>4456816</v>
      </c>
      <c r="J24" s="11" t="n">
        <f aca="false">H24/I24</f>
        <v>0.687370086626866</v>
      </c>
      <c r="K24" s="11" t="n">
        <f aca="false">B24/H24</f>
        <v>0.453248623625012</v>
      </c>
      <c r="L24" s="11" t="n">
        <f aca="false">C24/H24</f>
        <v>0.265733567228402</v>
      </c>
      <c r="M24" s="11" t="n">
        <f aca="false">D24/H24</f>
        <v>0.232365654506865</v>
      </c>
      <c r="N24" s="11" t="n">
        <f aca="false">E24/H24</f>
        <v>0</v>
      </c>
      <c r="O24" s="11" t="n">
        <f aca="false">F24/H24</f>
        <v>0.000411949539772063</v>
      </c>
      <c r="P24" s="11" t="n">
        <f aca="false">G24/H24</f>
        <v>0.0482402050999484</v>
      </c>
      <c r="Q24" s="4" t="str">
        <f aca="false">INDEX($B$3:$D$3,MATCH(MAX(B24:D24),B24:D24,0))</f>
        <v>PT-Morena-PES</v>
      </c>
      <c r="R24" s="12" t="n">
        <f aca="false">(MAX(L24:N24)-LARGE(L24:N24,2))*100</f>
        <v>3.33679127215371</v>
      </c>
    </row>
    <row r="25" customFormat="false" ht="15" hidden="false" customHeight="false" outlineLevel="0" collapsed="false">
      <c r="A25" s="4" t="str">
        <f aca="false">'Votos por partido'!A25</f>
        <v>Querétaro</v>
      </c>
      <c r="B25" s="5" t="n">
        <f aca="false">'Votos por partido'!G25+'Votos por partido'!J25+'Votos por partido'!K25+'Votos por partido'!T25+'Votos por partido'!U25+'Votos por partido'!V25+'Votos por partido'!W25</f>
        <v>336894</v>
      </c>
      <c r="C25" s="5" t="n">
        <f aca="false">'Votos por partido'!C25+'Votos por partido'!E25+'Votos por partido'!H25+'Votos por partido'!L25+'Votos por partido'!M25+'Votos por partido'!N25+'Votos por partido'!O25</f>
        <v>365062</v>
      </c>
      <c r="D25" s="5" t="n">
        <f aca="false">'Votos por partido'!D25+'Votos por partido'!F25+'Votos por partido'!I25+'Votos por partido'!P25+'Votos por partido'!Q25+'Votos por partido'!R25+'Votos por partido'!S25</f>
        <v>254350</v>
      </c>
      <c r="E25" s="5" t="n">
        <f aca="false">'Votos por partido'!X25+'Votos por partido'!Y25</f>
        <v>0</v>
      </c>
      <c r="F25" s="5" t="n">
        <f aca="false">'Votos por partido'!Z25</f>
        <v>901</v>
      </c>
      <c r="G25" s="5" t="n">
        <f aca="false">'Votos por partido'!AA25</f>
        <v>47691</v>
      </c>
      <c r="H25" s="5" t="n">
        <f aca="false">'Votos por partido'!AB25</f>
        <v>1004898</v>
      </c>
      <c r="I25" s="5" t="n">
        <f aca="false">'Votos por partido'!AC25</f>
        <v>1582953</v>
      </c>
      <c r="J25" s="11" t="n">
        <f aca="false">H25/I25</f>
        <v>0.634824912679025</v>
      </c>
      <c r="K25" s="11" t="n">
        <f aca="false">B25/H25</f>
        <v>0.335251936017387</v>
      </c>
      <c r="L25" s="11" t="n">
        <f aca="false">C25/H25</f>
        <v>0.363282641621339</v>
      </c>
      <c r="M25" s="11" t="n">
        <f aca="false">D25/H25</f>
        <v>0.253110265917536</v>
      </c>
      <c r="N25" s="11" t="n">
        <f aca="false">E25/H25</f>
        <v>0</v>
      </c>
      <c r="O25" s="11" t="n">
        <f aca="false">F25/H25</f>
        <v>0.000896608411998034</v>
      </c>
      <c r="P25" s="11" t="n">
        <f aca="false">G25/H25</f>
        <v>0.0474585480317405</v>
      </c>
      <c r="Q25" s="4" t="str">
        <f aca="false">INDEX($B$3:$D$3,MATCH(MAX(B25:D25),B25:D25,0))</f>
        <v>PAN-PRD-MC</v>
      </c>
      <c r="R25" s="12" t="n">
        <f aca="false">(MAX(L25:N25)-LARGE(L25:N25,2))*100</f>
        <v>11.0172375703803</v>
      </c>
    </row>
    <row r="26" customFormat="false" ht="15" hidden="false" customHeight="false" outlineLevel="0" collapsed="false">
      <c r="A26" s="4" t="str">
        <f aca="false">'Votos por partido'!A26</f>
        <v>Quintana Roo</v>
      </c>
      <c r="B26" s="5" t="n">
        <f aca="false">'Votos por partido'!G26+'Votos por partido'!J26+'Votos por partido'!K26+'Votos por partido'!T26+'Votos por partido'!U26+'Votos por partido'!V26+'Votos por partido'!W26</f>
        <v>425550</v>
      </c>
      <c r="C26" s="5" t="n">
        <f aca="false">'Votos por partido'!C26+'Votos por partido'!E26+'Votos por partido'!H26+'Votos por partido'!L26+'Votos por partido'!M26+'Votos por partido'!N26+'Votos por partido'!O26</f>
        <v>153995</v>
      </c>
      <c r="D26" s="5" t="n">
        <f aca="false">'Votos por partido'!D26+'Votos por partido'!F26+'Votos por partido'!I26+'Votos por partido'!P26+'Votos por partido'!Q26+'Votos por partido'!R26+'Votos por partido'!S26</f>
        <v>115381</v>
      </c>
      <c r="E26" s="5" t="n">
        <f aca="false">'Votos por partido'!X26+'Votos por partido'!Y26</f>
        <v>0</v>
      </c>
      <c r="F26" s="5" t="n">
        <f aca="false">'Votos por partido'!Z26</f>
        <v>624</v>
      </c>
      <c r="G26" s="5" t="n">
        <f aca="false">'Votos por partido'!AA26</f>
        <v>25655</v>
      </c>
      <c r="H26" s="5" t="n">
        <f aca="false">'Votos por partido'!AB26</f>
        <v>721205</v>
      </c>
      <c r="I26" s="5" t="n">
        <f aca="false">'Votos por partido'!AC26</f>
        <v>1208666</v>
      </c>
      <c r="J26" s="11" t="n">
        <f aca="false">H26/I26</f>
        <v>0.596695034029252</v>
      </c>
      <c r="K26" s="11" t="n">
        <f aca="false">B26/H26</f>
        <v>0.590054145492613</v>
      </c>
      <c r="L26" s="11" t="n">
        <f aca="false">C26/H26</f>
        <v>0.213524587322606</v>
      </c>
      <c r="M26" s="11" t="n">
        <f aca="false">D26/H26</f>
        <v>0.15998363849391</v>
      </c>
      <c r="N26" s="11" t="n">
        <f aca="false">E26/H26</f>
        <v>0</v>
      </c>
      <c r="O26" s="11" t="n">
        <f aca="false">F26/H26</f>
        <v>0.000865218627158714</v>
      </c>
      <c r="P26" s="11" t="n">
        <f aca="false">G26/H26</f>
        <v>0.0355724100637128</v>
      </c>
      <c r="Q26" s="4" t="str">
        <f aca="false">INDEX($B$3:$D$3,MATCH(MAX(B26:D26),B26:D26,0))</f>
        <v>PT-Morena-PES</v>
      </c>
      <c r="R26" s="12" t="n">
        <f aca="false">(MAX(L26:N26)-LARGE(L26:N26,2))*100</f>
        <v>5.35409488286964</v>
      </c>
    </row>
    <row r="27" customFormat="false" ht="15" hidden="false" customHeight="false" outlineLevel="0" collapsed="false">
      <c r="A27" s="4" t="str">
        <f aca="false">'Votos por partido'!A27</f>
        <v>San Luis Potosí</v>
      </c>
      <c r="B27" s="5" t="n">
        <f aca="false">'Votos por partido'!G27+'Votos por partido'!J27+'Votos por partido'!K27+'Votos por partido'!T27+'Votos por partido'!U27+'Votos por partido'!V27+'Votos por partido'!W27</f>
        <v>363291</v>
      </c>
      <c r="C27" s="5" t="n">
        <f aca="false">'Votos por partido'!C27+'Votos por partido'!E27+'Votos por partido'!H27+'Votos por partido'!L27+'Votos por partido'!M27+'Votos por partido'!N27+'Votos por partido'!O27</f>
        <v>456489</v>
      </c>
      <c r="D27" s="5" t="n">
        <f aca="false">'Votos por partido'!D27+'Votos por partido'!F27+'Votos por partido'!I27+'Votos por partido'!P27+'Votos por partido'!Q27+'Votos por partido'!R27+'Votos por partido'!S27</f>
        <v>355417</v>
      </c>
      <c r="E27" s="5" t="n">
        <f aca="false">'Votos por partido'!X27+'Votos por partido'!Y27</f>
        <v>0</v>
      </c>
      <c r="F27" s="5" t="n">
        <f aca="false">'Votos por partido'!Z27</f>
        <v>964</v>
      </c>
      <c r="G27" s="5" t="n">
        <f aca="false">'Votos por partido'!AA27</f>
        <v>77478</v>
      </c>
      <c r="H27" s="5" t="n">
        <f aca="false">'Votos por partido'!AB27</f>
        <v>1253639</v>
      </c>
      <c r="I27" s="5" t="n">
        <f aca="false">'Votos por partido'!AC27</f>
        <v>1974326</v>
      </c>
      <c r="J27" s="11" t="n">
        <f aca="false">H27/I27</f>
        <v>0.634970617820968</v>
      </c>
      <c r="K27" s="11" t="n">
        <f aca="false">B27/H27</f>
        <v>0.28978916578058</v>
      </c>
      <c r="L27" s="11" t="n">
        <f aca="false">C27/H27</f>
        <v>0.364131141421095</v>
      </c>
      <c r="M27" s="11" t="n">
        <f aca="false">D27/H27</f>
        <v>0.283508250780328</v>
      </c>
      <c r="N27" s="11" t="n">
        <f aca="false">E27/H27</f>
        <v>0</v>
      </c>
      <c r="O27" s="11" t="n">
        <f aca="false">F27/H27</f>
        <v>0.000768961399573562</v>
      </c>
      <c r="P27" s="11" t="n">
        <f aca="false">G27/H27</f>
        <v>0.0618024806184236</v>
      </c>
      <c r="Q27" s="4" t="str">
        <f aca="false">INDEX($B$3:$D$3,MATCH(MAX(B27:D27),B27:D27,0))</f>
        <v>PAN-PRD-MC</v>
      </c>
      <c r="R27" s="12" t="n">
        <f aca="false">(MAX(L27:N27)-LARGE(L27:N27,2))*100</f>
        <v>8.06228906407666</v>
      </c>
    </row>
    <row r="28" customFormat="false" ht="15" hidden="false" customHeight="false" outlineLevel="0" collapsed="false">
      <c r="A28" s="4" t="str">
        <f aca="false">'Votos por partido'!A28</f>
        <v>Sinaloa</v>
      </c>
      <c r="B28" s="5" t="n">
        <f aca="false">'Votos por partido'!G28+'Votos por partido'!J28+'Votos por partido'!K28+'Votos por partido'!T28+'Votos por partido'!U28+'Votos por partido'!V28+'Votos por partido'!W28</f>
        <v>648858</v>
      </c>
      <c r="C28" s="5" t="n">
        <f aca="false">'Votos por partido'!C28+'Votos por partido'!E28+'Votos por partido'!H28+'Votos por partido'!L28+'Votos por partido'!M28+'Votos por partido'!N28+'Votos por partido'!O28</f>
        <v>227249</v>
      </c>
      <c r="D28" s="5" t="n">
        <f aca="false">'Votos por partido'!D28+'Votos por partido'!F28+'Votos por partido'!I28+'Votos por partido'!P28+'Votos por partido'!Q28+'Votos por partido'!R28+'Votos por partido'!S28</f>
        <v>359239</v>
      </c>
      <c r="E28" s="5" t="n">
        <f aca="false">'Votos por partido'!X28+'Votos por partido'!Y28</f>
        <v>18049</v>
      </c>
      <c r="F28" s="5" t="n">
        <f aca="false">'Votos por partido'!Z28</f>
        <v>419</v>
      </c>
      <c r="G28" s="5" t="n">
        <f aca="false">'Votos por partido'!AA28</f>
        <v>38978</v>
      </c>
      <c r="H28" s="5" t="n">
        <f aca="false">'Votos por partido'!AB28</f>
        <v>1292792</v>
      </c>
      <c r="I28" s="5" t="n">
        <f aca="false">'Votos por partido'!AC28</f>
        <v>2135258</v>
      </c>
      <c r="J28" s="11" t="n">
        <f aca="false">H28/I28</f>
        <v>0.605450020559576</v>
      </c>
      <c r="K28" s="11" t="n">
        <f aca="false">B28/H28</f>
        <v>0.501904405349043</v>
      </c>
      <c r="L28" s="11" t="n">
        <f aca="false">C28/H28</f>
        <v>0.175781564242353</v>
      </c>
      <c r="M28" s="11" t="n">
        <f aca="false">D28/H28</f>
        <v>0.277878421277359</v>
      </c>
      <c r="N28" s="11" t="n">
        <f aca="false">E28/H28</f>
        <v>0.013961255948366</v>
      </c>
      <c r="O28" s="11" t="n">
        <f aca="false">F28/H28</f>
        <v>0.000324104728370844</v>
      </c>
      <c r="P28" s="11" t="n">
        <f aca="false">G28/H28</f>
        <v>0.0301502484545078</v>
      </c>
      <c r="Q28" s="4" t="str">
        <f aca="false">INDEX($B$3:$D$3,MATCH(MAX(B28:D28),B28:D28,0))</f>
        <v>PT-Morena-PES</v>
      </c>
      <c r="R28" s="12" t="n">
        <f aca="false">(MAX(L28:N28)-LARGE(L28:N28,2))*100</f>
        <v>10.2096857035006</v>
      </c>
    </row>
    <row r="29" customFormat="false" ht="15" hidden="false" customHeight="false" outlineLevel="0" collapsed="false">
      <c r="A29" s="4" t="str">
        <f aca="false">'Votos por partido'!A29</f>
        <v>Sonora</v>
      </c>
      <c r="B29" s="5" t="n">
        <f aca="false">'Votos por partido'!G29+'Votos por partido'!J29+'Votos por partido'!K29+'Votos por partido'!T29+'Votos por partido'!U29+'Votos por partido'!V29+'Votos por partido'!W29</f>
        <v>509641</v>
      </c>
      <c r="C29" s="5" t="n">
        <f aca="false">'Votos por partido'!C29+'Votos por partido'!E29+'Votos por partido'!H29+'Votos por partido'!L29+'Votos por partido'!M29+'Votos por partido'!N29+'Votos por partido'!O29</f>
        <v>219546</v>
      </c>
      <c r="D29" s="5" t="n">
        <f aca="false">'Votos por partido'!D29+'Votos por partido'!F29+'Votos por partido'!I29+'Votos por partido'!P29+'Votos por partido'!Q29+'Votos por partido'!R29+'Votos por partido'!S29</f>
        <v>303581</v>
      </c>
      <c r="E29" s="5" t="n">
        <f aca="false">'Votos por partido'!X29+'Votos por partido'!Y29</f>
        <v>18256</v>
      </c>
      <c r="F29" s="5" t="n">
        <f aca="false">'Votos por partido'!Z29</f>
        <v>444</v>
      </c>
      <c r="G29" s="5" t="n">
        <f aca="false">'Votos por partido'!AA29</f>
        <v>36637</v>
      </c>
      <c r="H29" s="5" t="n">
        <f aca="false">'Votos por partido'!AB29</f>
        <v>1088105</v>
      </c>
      <c r="I29" s="5" t="n">
        <f aca="false">'Votos por partido'!AC29</f>
        <v>2093132</v>
      </c>
      <c r="J29" s="11" t="n">
        <f aca="false">H29/I29</f>
        <v>0.519845380033366</v>
      </c>
      <c r="K29" s="11" t="n">
        <f aca="false">B29/H29</f>
        <v>0.468374835149181</v>
      </c>
      <c r="L29" s="11" t="n">
        <f aca="false">C29/H29</f>
        <v>0.201769130736464</v>
      </c>
      <c r="M29" s="11" t="n">
        <f aca="false">D29/H29</f>
        <v>0.278999728886459</v>
      </c>
      <c r="N29" s="11" t="n">
        <f aca="false">E29/H29</f>
        <v>0.0167777925843554</v>
      </c>
      <c r="O29" s="11" t="n">
        <f aca="false">F29/H29</f>
        <v>0.000408048855579195</v>
      </c>
      <c r="P29" s="11" t="n">
        <f aca="false">G29/H29</f>
        <v>0.0336704637879616</v>
      </c>
      <c r="Q29" s="4" t="str">
        <f aca="false">INDEX($B$3:$D$3,MATCH(MAX(B29:D29),B29:D29,0))</f>
        <v>PT-Morena-PES</v>
      </c>
      <c r="R29" s="12" t="n">
        <f aca="false">(MAX(L29:N29)-LARGE(L29:N29,2))*100</f>
        <v>7.72305981499947</v>
      </c>
    </row>
    <row r="30" customFormat="false" ht="15" hidden="false" customHeight="false" outlineLevel="0" collapsed="false">
      <c r="A30" s="4" t="str">
        <f aca="false">'Votos por partido'!A30</f>
        <v>Tabasco</v>
      </c>
      <c r="B30" s="5" t="n">
        <f aca="false">'Votos por partido'!G30+'Votos por partido'!J30+'Votos por partido'!K30+'Votos por partido'!T30+'Votos por partido'!U30+'Votos por partido'!V30+'Votos por partido'!W30</f>
        <v>818124</v>
      </c>
      <c r="C30" s="5" t="n">
        <f aca="false">'Votos por partido'!C30+'Votos por partido'!E30+'Votos por partido'!H30+'Votos por partido'!L30+'Votos por partido'!M30+'Votos por partido'!N30+'Votos por partido'!O30</f>
        <v>156127</v>
      </c>
      <c r="D30" s="5" t="n">
        <f aca="false">'Votos por partido'!D30+'Votos por partido'!F30+'Votos por partido'!I30+'Votos por partido'!P30+'Votos por partido'!Q30+'Votos por partido'!R30+'Votos por partido'!S30</f>
        <v>178449</v>
      </c>
      <c r="E30" s="5" t="n">
        <f aca="false">'Votos por partido'!X30+'Votos por partido'!Y30</f>
        <v>6482</v>
      </c>
      <c r="F30" s="5" t="n">
        <f aca="false">'Votos por partido'!Z30</f>
        <v>476</v>
      </c>
      <c r="G30" s="5" t="n">
        <f aca="false">'Votos por partido'!AA30</f>
        <v>41100</v>
      </c>
      <c r="H30" s="5" t="n">
        <f aca="false">'Votos por partido'!AB30</f>
        <v>1200758</v>
      </c>
      <c r="I30" s="5" t="n">
        <f aca="false">'Votos por partido'!AC30</f>
        <v>1687618</v>
      </c>
      <c r="J30" s="11" t="n">
        <f aca="false">H30/I30</f>
        <v>0.711510543262753</v>
      </c>
      <c r="K30" s="11" t="n">
        <f aca="false">B30/H30</f>
        <v>0.681339620473068</v>
      </c>
      <c r="L30" s="11" t="n">
        <f aca="false">C30/H30</f>
        <v>0.130023701695096</v>
      </c>
      <c r="M30" s="11" t="n">
        <f aca="false">D30/H30</f>
        <v>0.148613625726416</v>
      </c>
      <c r="N30" s="11" t="n">
        <f aca="false">E30/H30</f>
        <v>0.00539825676780833</v>
      </c>
      <c r="O30" s="11" t="n">
        <f aca="false">F30/H30</f>
        <v>0.000396416263726746</v>
      </c>
      <c r="P30" s="11" t="n">
        <f aca="false">G30/H30</f>
        <v>0.034228379073885</v>
      </c>
      <c r="Q30" s="4" t="str">
        <f aca="false">INDEX($B$3:$D$3,MATCH(MAX(B30:D30),B30:D30,0))</f>
        <v>PT-Morena-PES</v>
      </c>
      <c r="R30" s="12" t="n">
        <f aca="false">(MAX(L30:N30)-LARGE(L30:N30,2))*100</f>
        <v>1.85899240313202</v>
      </c>
    </row>
    <row r="31" customFormat="false" ht="15" hidden="false" customHeight="false" outlineLevel="0" collapsed="false">
      <c r="A31" s="4" t="str">
        <f aca="false">'Votos por partido'!A31</f>
        <v>Tamaulipas</v>
      </c>
      <c r="B31" s="5" t="n">
        <f aca="false">'Votos por partido'!G31+'Votos por partido'!J31+'Votos por partido'!K31+'Votos por partido'!T31+'Votos por partido'!U31+'Votos por partido'!V31+'Votos por partido'!W31</f>
        <v>604243</v>
      </c>
      <c r="C31" s="5" t="n">
        <f aca="false">'Votos por partido'!C31+'Votos por partido'!E31+'Votos por partido'!H31+'Votos por partido'!L31+'Votos por partido'!M31+'Votos por partido'!N31+'Votos por partido'!O31</f>
        <v>602848</v>
      </c>
      <c r="D31" s="5" t="n">
        <f aca="false">'Votos por partido'!D31+'Votos por partido'!F31+'Votos por partido'!I31+'Votos por partido'!P31+'Votos por partido'!Q31+'Votos por partido'!R31+'Votos por partido'!S31</f>
        <v>365340</v>
      </c>
      <c r="E31" s="5" t="n">
        <f aca="false">'Votos por partido'!X31+'Votos por partido'!Y31</f>
        <v>7887</v>
      </c>
      <c r="F31" s="5" t="n">
        <f aca="false">'Votos por partido'!Z31</f>
        <v>1310</v>
      </c>
      <c r="G31" s="5" t="n">
        <f aca="false">'Votos por partido'!AA31</f>
        <v>47200</v>
      </c>
      <c r="H31" s="5" t="n">
        <f aca="false">'Votos por partido'!AB31</f>
        <v>1628828</v>
      </c>
      <c r="I31" s="5" t="n">
        <f aca="false">'Votos por partido'!AC31</f>
        <v>2628745</v>
      </c>
      <c r="J31" s="11" t="n">
        <f aca="false">H31/I31</f>
        <v>0.619621910835779</v>
      </c>
      <c r="K31" s="11" t="n">
        <f aca="false">B31/H31</f>
        <v>0.370967959784581</v>
      </c>
      <c r="L31" s="11" t="n">
        <f aca="false">C31/H31</f>
        <v>0.370111515764709</v>
      </c>
      <c r="M31" s="11" t="n">
        <f aca="false">D31/H31</f>
        <v>0.224296242451628</v>
      </c>
      <c r="N31" s="11" t="n">
        <f aca="false">E31/H31</f>
        <v>0.00484213188869543</v>
      </c>
      <c r="O31" s="11" t="n">
        <f aca="false">F31/H31</f>
        <v>0.00080425925880449</v>
      </c>
      <c r="P31" s="11" t="n">
        <f aca="false">G31/H31</f>
        <v>0.0289778908515816</v>
      </c>
      <c r="Q31" s="4" t="str">
        <f aca="false">INDEX($B$3:$D$3,MATCH(MAX(B31:D31),B31:D31,0))</f>
        <v>PT-Morena-PES</v>
      </c>
      <c r="R31" s="12" t="n">
        <f aca="false">(MAX(L31:N31)-LARGE(L31:N31,2))*100</f>
        <v>14.5815273313082</v>
      </c>
    </row>
    <row r="32" customFormat="false" ht="15" hidden="false" customHeight="false" outlineLevel="0" collapsed="false">
      <c r="A32" s="4" t="str">
        <f aca="false">'Votos por partido'!A32</f>
        <v>Tlaxcala</v>
      </c>
      <c r="B32" s="5" t="n">
        <f aca="false">'Votos por partido'!G32+'Votos por partido'!J32+'Votos por partido'!K32+'Votos por partido'!T32+'Votos por partido'!U32+'Votos por partido'!V32+'Votos por partido'!W32</f>
        <v>352643</v>
      </c>
      <c r="C32" s="5" t="n">
        <f aca="false">'Votos por partido'!C32+'Votos por partido'!E32+'Votos por partido'!H32+'Votos por partido'!L32+'Votos por partido'!M32+'Votos por partido'!N32+'Votos por partido'!O32</f>
        <v>113130</v>
      </c>
      <c r="D32" s="5" t="n">
        <f aca="false">'Votos por partido'!D32+'Votos por partido'!F32+'Votos por partido'!I32+'Votos por partido'!P32+'Votos por partido'!Q32+'Votos por partido'!R32+'Votos por partido'!S32</f>
        <v>119647</v>
      </c>
      <c r="E32" s="5" t="n">
        <f aca="false">'Votos por partido'!X32+'Votos por partido'!Y32</f>
        <v>0</v>
      </c>
      <c r="F32" s="5" t="n">
        <f aca="false">'Votos por partido'!Z32</f>
        <v>1179</v>
      </c>
      <c r="G32" s="5" t="n">
        <f aca="false">'Votos por partido'!AA32</f>
        <v>23824</v>
      </c>
      <c r="H32" s="5" t="n">
        <f aca="false">'Votos por partido'!AB32</f>
        <v>610423</v>
      </c>
      <c r="I32" s="5" t="n">
        <f aca="false">'Votos por partido'!AC32</f>
        <v>922016</v>
      </c>
      <c r="J32" s="11" t="n">
        <f aca="false">H32/I32</f>
        <v>0.662052502342693</v>
      </c>
      <c r="K32" s="11" t="n">
        <f aca="false">B32/H32</f>
        <v>0.577702675030266</v>
      </c>
      <c r="L32" s="11" t="n">
        <f aca="false">C32/H32</f>
        <v>0.185330500325184</v>
      </c>
      <c r="M32" s="11" t="n">
        <f aca="false">D32/H32</f>
        <v>0.196006703548195</v>
      </c>
      <c r="N32" s="11" t="n">
        <f aca="false">E32/H32</f>
        <v>0</v>
      </c>
      <c r="O32" s="11" t="n">
        <f aca="false">F32/H32</f>
        <v>0.00193144753719961</v>
      </c>
      <c r="P32" s="11" t="n">
        <f aca="false">G32/H32</f>
        <v>0.0390286735591549</v>
      </c>
      <c r="Q32" s="4" t="str">
        <f aca="false">INDEX($B$3:$D$3,MATCH(MAX(B32:D32),B32:D32,0))</f>
        <v>PT-Morena-PES</v>
      </c>
      <c r="R32" s="12" t="n">
        <f aca="false">(MAX(L32:N32)-LARGE(L32:N32,2))*100</f>
        <v>1.06762032230109</v>
      </c>
    </row>
    <row r="33" customFormat="false" ht="15" hidden="false" customHeight="false" outlineLevel="0" collapsed="false">
      <c r="A33" s="4" t="str">
        <f aca="false">'Votos por partido'!A33</f>
        <v>Veracruz</v>
      </c>
      <c r="B33" s="5" t="n">
        <f aca="false">'Votos por partido'!G33+'Votos por partido'!J33+'Votos por partido'!K33+'Votos por partido'!T33+'Votos por partido'!U33+'Votos por partido'!V33+'Votos por partido'!W33</f>
        <v>1724295</v>
      </c>
      <c r="C33" s="5" t="n">
        <f aca="false">'Votos por partido'!C33+'Votos por partido'!E33+'Votos por partido'!H33+'Votos por partido'!L33+'Votos por partido'!M33+'Votos por partido'!N33+'Votos por partido'!O33</f>
        <v>1275229</v>
      </c>
      <c r="D33" s="5" t="n">
        <f aca="false">'Votos por partido'!D33+'Votos por partido'!F33+'Votos por partido'!I33+'Votos por partido'!P33+'Votos por partido'!Q33+'Votos por partido'!R33+'Votos por partido'!S33</f>
        <v>659409</v>
      </c>
      <c r="E33" s="5" t="n">
        <f aca="false">'Votos por partido'!X33+'Votos por partido'!Y33</f>
        <v>0</v>
      </c>
      <c r="F33" s="5" t="n">
        <f aca="false">'Votos por partido'!Z33</f>
        <v>1090</v>
      </c>
      <c r="G33" s="5" t="n">
        <f aca="false">'Votos por partido'!AA33</f>
        <v>132932</v>
      </c>
      <c r="H33" s="5" t="n">
        <f aca="false">'Votos por partido'!AB33</f>
        <v>3792955</v>
      </c>
      <c r="I33" s="5" t="n">
        <f aca="false">'Votos por partido'!AC33</f>
        <v>5773780</v>
      </c>
      <c r="J33" s="11" t="n">
        <f aca="false">H33/I33</f>
        <v>0.65692752408301</v>
      </c>
      <c r="K33" s="11" t="n">
        <f aca="false">B33/H33</f>
        <v>0.454604655209461</v>
      </c>
      <c r="L33" s="11" t="n">
        <f aca="false">C33/H33</f>
        <v>0.336209894396322</v>
      </c>
      <c r="M33" s="11" t="n">
        <f aca="false">D33/H33</f>
        <v>0.173850994804842</v>
      </c>
      <c r="N33" s="11" t="n">
        <f aca="false">E33/H33</f>
        <v>0</v>
      </c>
      <c r="O33" s="11" t="n">
        <f aca="false">F33/H33</f>
        <v>0.000287374883171564</v>
      </c>
      <c r="P33" s="11" t="n">
        <f aca="false">G33/H33</f>
        <v>0.035047080706204</v>
      </c>
      <c r="Q33" s="4" t="str">
        <f aca="false">INDEX($B$3:$D$3,MATCH(MAX(B33:D33),B33:D33,0))</f>
        <v>PT-Morena-PES</v>
      </c>
      <c r="R33" s="12" t="n">
        <f aca="false">(MAX(L33:N33)-LARGE(L33:N33,2))*100</f>
        <v>16.2358899591479</v>
      </c>
    </row>
    <row r="34" customFormat="false" ht="15" hidden="false" customHeight="false" outlineLevel="0" collapsed="false">
      <c r="A34" s="4" t="str">
        <f aca="false">'Votos por partido'!A34</f>
        <v>Yucatán</v>
      </c>
      <c r="B34" s="5" t="n">
        <f aca="false">'Votos por partido'!G34+'Votos por partido'!J34+'Votos por partido'!K34+'Votos por partido'!T34+'Votos por partido'!U34+'Votos por partido'!V34+'Votos por partido'!W34</f>
        <v>313984</v>
      </c>
      <c r="C34" s="5" t="n">
        <f aca="false">'Votos por partido'!C34+'Votos por partido'!E34+'Votos por partido'!H34+'Votos por partido'!L34+'Votos por partido'!M34+'Votos por partido'!N34+'Votos por partido'!O34</f>
        <v>402521</v>
      </c>
      <c r="D34" s="5" t="n">
        <f aca="false">'Votos por partido'!D34+'Votos por partido'!F34+'Votos por partido'!I34+'Votos por partido'!P34+'Votos por partido'!Q34+'Votos por partido'!R34+'Votos por partido'!S34</f>
        <v>407303</v>
      </c>
      <c r="E34" s="5" t="n">
        <f aca="false">'Votos por partido'!X34+'Votos por partido'!Y34</f>
        <v>0</v>
      </c>
      <c r="F34" s="5" t="n">
        <f aca="false">'Votos por partido'!Z34</f>
        <v>298</v>
      </c>
      <c r="G34" s="5" t="n">
        <f aca="false">'Votos por partido'!AA34</f>
        <v>31966</v>
      </c>
      <c r="H34" s="5" t="n">
        <f aca="false">'Votos por partido'!AB34</f>
        <v>1156072</v>
      </c>
      <c r="I34" s="5" t="n">
        <f aca="false">'Votos por partido'!AC34</f>
        <v>1540088</v>
      </c>
      <c r="J34" s="11" t="n">
        <f aca="false">H34/I34</f>
        <v>0.750653209426994</v>
      </c>
      <c r="K34" s="11" t="n">
        <f aca="false">B34/H34</f>
        <v>0.271595540762167</v>
      </c>
      <c r="L34" s="11" t="n">
        <f aca="false">C34/H34</f>
        <v>0.348179871149894</v>
      </c>
      <c r="M34" s="11" t="n">
        <f aca="false">D34/H34</f>
        <v>0.352316291718855</v>
      </c>
      <c r="N34" s="11" t="n">
        <f aca="false">E34/H34</f>
        <v>0</v>
      </c>
      <c r="O34" s="11" t="n">
        <f aca="false">F34/H34</f>
        <v>0.00025776941228574</v>
      </c>
      <c r="P34" s="11" t="n">
        <f aca="false">G34/H34</f>
        <v>0.0276505269567985</v>
      </c>
      <c r="Q34" s="4" t="str">
        <f aca="false">INDEX($B$3:$D$3,MATCH(MAX(B34:D34),B34:D34,0))</f>
        <v>PRI-PVEM-NA</v>
      </c>
      <c r="R34" s="12" t="n">
        <f aca="false">(MAX(L34:N34)-LARGE(L34:N34,2))*100</f>
        <v>0.413642056896107</v>
      </c>
    </row>
    <row r="35" customFormat="false" ht="15" hidden="false" customHeight="false" outlineLevel="0" collapsed="false">
      <c r="A35" s="4" t="str">
        <f aca="false">'Votos por partido'!A35</f>
        <v>Zacatecas</v>
      </c>
      <c r="B35" s="5" t="n">
        <f aca="false">'Votos por partido'!G35+'Votos por partido'!J35+'Votos por partido'!K35+'Votos por partido'!T35+'Votos por partido'!U35+'Votos por partido'!V35+'Votos por partido'!W35</f>
        <v>307371</v>
      </c>
      <c r="C35" s="5" t="n">
        <f aca="false">'Votos por partido'!C35+'Votos por partido'!E35+'Votos por partido'!H35+'Votos por partido'!L35+'Votos por partido'!M35+'Votos por partido'!N35+'Votos por partido'!O35</f>
        <v>155303</v>
      </c>
      <c r="D35" s="5" t="n">
        <f aca="false">'Votos por partido'!D35+'Votos por partido'!F35+'Votos por partido'!I35+'Votos por partido'!P35+'Votos por partido'!Q35+'Votos por partido'!R35+'Votos por partido'!S35</f>
        <v>265011</v>
      </c>
      <c r="E35" s="5" t="n">
        <f aca="false">'Votos por partido'!X35+'Votos por partido'!Y35</f>
        <v>0</v>
      </c>
      <c r="F35" s="5" t="n">
        <f aca="false">'Votos por partido'!Z35</f>
        <v>305</v>
      </c>
      <c r="G35" s="5" t="n">
        <f aca="false">'Votos por partido'!AA35</f>
        <v>30384</v>
      </c>
      <c r="H35" s="5" t="n">
        <f aca="false">'Votos por partido'!AB35</f>
        <v>758374</v>
      </c>
      <c r="I35" s="5" t="n">
        <f aca="false">'Votos por partido'!AC35</f>
        <v>1162459</v>
      </c>
      <c r="J35" s="11" t="n">
        <f aca="false">H35/I35</f>
        <v>0.652387740126749</v>
      </c>
      <c r="K35" s="11" t="n">
        <f aca="false">B35/H35</f>
        <v>0.405302660692482</v>
      </c>
      <c r="L35" s="11" t="n">
        <f aca="false">C35/H35</f>
        <v>0.204784183002054</v>
      </c>
      <c r="M35" s="11" t="n">
        <f aca="false">D35/H35</f>
        <v>0.349446315406383</v>
      </c>
      <c r="N35" s="11" t="n">
        <f aca="false">E35/H35</f>
        <v>0</v>
      </c>
      <c r="O35" s="11" t="n">
        <f aca="false">F35/H35</f>
        <v>0.000402176234944763</v>
      </c>
      <c r="P35" s="11" t="n">
        <f aca="false">G35/H35</f>
        <v>0.0400646646641367</v>
      </c>
      <c r="Q35" s="4" t="str">
        <f aca="false">INDEX($B$3:$D$3,MATCH(MAX(B35:D35),B35:D35,0))</f>
        <v>PT-Morena-PES</v>
      </c>
      <c r="R35" s="12" t="n">
        <f aca="false">(MAX(L35:N35)-LARGE(L35:N35,2))*100</f>
        <v>14.4662132404328</v>
      </c>
    </row>
    <row r="36" customFormat="false" ht="15" hidden="false" customHeight="false" outlineLevel="0" collapsed="false">
      <c r="A36" s="13" t="s">
        <v>35</v>
      </c>
      <c r="B36" s="14" t="n">
        <f aca="false">'Votos por partido'!G36+'Votos por partido'!J36+'Votos por partido'!K36+'Votos por partido'!T36+'Votos por partido'!U36+'Votos por partido'!V36+'Votos por partido'!W36</f>
        <v>24538267</v>
      </c>
      <c r="C36" s="14" t="n">
        <f aca="false">'Votos por partido'!C36+'Votos por partido'!E36+'Votos por partido'!H36+'Votos por partido'!L36+'Votos por partido'!M36+'Votos por partido'!N36+'Votos por partido'!O36</f>
        <v>15549755</v>
      </c>
      <c r="D36" s="14" t="n">
        <f aca="false">'Votos por partido'!D36+'Votos por partido'!F36+'Votos por partido'!I36+'Votos por partido'!P36+'Votos por partido'!Q36+'Votos por partido'!R36+'Votos por partido'!S36</f>
        <v>13397304</v>
      </c>
      <c r="E36" s="14" t="n">
        <f aca="false">'Votos por partido'!X36+'Votos por partido'!Y36</f>
        <v>539347</v>
      </c>
      <c r="F36" s="14" t="n">
        <f aca="false">'Votos por partido'!Z36</f>
        <v>32959</v>
      </c>
      <c r="G36" s="14" t="n">
        <f aca="false">'Votos por partido'!AA36</f>
        <v>2242615</v>
      </c>
      <c r="H36" s="14" t="n">
        <f aca="false">'Votos por partido'!AB36</f>
        <v>56300247</v>
      </c>
      <c r="I36" s="14" t="n">
        <f aca="false">'Votos por partido'!AC36</f>
        <v>88948697</v>
      </c>
      <c r="J36" s="15" t="n">
        <f aca="false">H36/I36</f>
        <v>0.632951902600664</v>
      </c>
      <c r="K36" s="15" t="n">
        <f aca="false">B36/H36</f>
        <v>0.43584652479411</v>
      </c>
      <c r="L36" s="15" t="n">
        <f aca="false">C36/H36</f>
        <v>0.276193370874554</v>
      </c>
      <c r="M36" s="15" t="n">
        <f aca="false">D36/H36</f>
        <v>0.237961726881944</v>
      </c>
      <c r="N36" s="15" t="n">
        <f aca="false">E36/H36</f>
        <v>0.00957983363731957</v>
      </c>
      <c r="O36" s="15" t="n">
        <f aca="false">F36/H36</f>
        <v>0.000585414838410922</v>
      </c>
      <c r="P36" s="15" t="n">
        <f aca="false">G36/H36</f>
        <v>0.0398331289736615</v>
      </c>
      <c r="Q36" s="13" t="str">
        <f aca="false">INDEX($B$3:$D$3,MATCH(MAX(B36:D36),B36:D36,0))</f>
        <v>PT-Morena-PES</v>
      </c>
      <c r="R36" s="16" t="n">
        <f aca="false">(MAX(L36:N36)-LARGE(L36:N36,2))*100</f>
        <v>3.82316439926099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4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0" t="s">
        <v>36</v>
      </c>
    </row>
    <row r="2" customFormat="false" ht="15" hidden="false" customHeight="false" outlineLevel="0" collapsed="false">
      <c r="A2" s="2" t="s">
        <v>37</v>
      </c>
    </row>
    <row r="3" customFormat="false" ht="33.75" hidden="false" customHeight="true" outlineLevel="0" collapsed="false">
      <c r="A3" s="3" t="s">
        <v>24</v>
      </c>
      <c r="B3" s="3" t="s">
        <v>38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25</v>
      </c>
      <c r="J3" s="3" t="s">
        <v>27</v>
      </c>
      <c r="K3" s="3" t="s">
        <v>28</v>
      </c>
      <c r="L3" s="3" t="s">
        <v>29</v>
      </c>
      <c r="M3" s="3" t="s">
        <v>32</v>
      </c>
      <c r="N3" s="3" t="s">
        <v>33</v>
      </c>
      <c r="O3" s="3" t="s">
        <v>34</v>
      </c>
    </row>
    <row r="4" customFormat="false" ht="15" hidden="false" customHeight="false" outlineLevel="0" collapsed="false">
      <c r="A4" s="4" t="s">
        <v>39</v>
      </c>
      <c r="B4" s="4" t="n">
        <v>1</v>
      </c>
      <c r="C4" s="5" t="n">
        <v>55521</v>
      </c>
      <c r="D4" s="5" t="n">
        <v>63806</v>
      </c>
      <c r="E4" s="5" t="n">
        <v>51170</v>
      </c>
      <c r="F4" s="5" t="n">
        <v>0</v>
      </c>
      <c r="G4" s="5" t="n">
        <v>148</v>
      </c>
      <c r="H4" s="5" t="n">
        <v>7600</v>
      </c>
      <c r="I4" s="5" t="n">
        <v>178245</v>
      </c>
      <c r="J4" s="11" t="n">
        <f aca="false">IF(I4=0,0,C4/I4)</f>
        <v>0.31148699823277</v>
      </c>
      <c r="K4" s="11" t="n">
        <f aca="false">IF(I4=0,0,D4/I4)</f>
        <v>0.357967965440826</v>
      </c>
      <c r="L4" s="11" t="n">
        <f aca="false">IF(I4=0,0,E4/I4)</f>
        <v>0.287076776347163</v>
      </c>
      <c r="M4" s="11" t="n">
        <f aca="false">IF(I4=0,0,H4/I4)</f>
        <v>0.0426379421582653</v>
      </c>
      <c r="N4" s="4" t="str">
        <f aca="false">INDEX($C$3:$E$3,MATCH(MAX(C4:E4),C4:E4,0))</f>
        <v>PAN-PRD-MC</v>
      </c>
      <c r="O4" s="17" t="n">
        <f aca="false">(MAX(J4:L4)-LARGE(J4:L4,2))*100</f>
        <v>4.64809672080563</v>
      </c>
    </row>
    <row r="5" customFormat="false" ht="15" hidden="false" customHeight="false" outlineLevel="0" collapsed="false">
      <c r="A5" s="4" t="s">
        <v>39</v>
      </c>
      <c r="B5" s="4" t="n">
        <v>2</v>
      </c>
      <c r="C5" s="5" t="n">
        <v>62842</v>
      </c>
      <c r="D5" s="5" t="n">
        <v>57797</v>
      </c>
      <c r="E5" s="5" t="n">
        <v>44236</v>
      </c>
      <c r="F5" s="5" t="n">
        <v>0</v>
      </c>
      <c r="G5" s="5" t="n">
        <v>149</v>
      </c>
      <c r="H5" s="5" t="n">
        <v>6284</v>
      </c>
      <c r="I5" s="5" t="n">
        <v>171308</v>
      </c>
      <c r="J5" s="11" t="n">
        <f aca="false">IF(I5=0,0,C5/I5)</f>
        <v>0.366836341560231</v>
      </c>
      <c r="K5" s="11" t="n">
        <f aca="false">IF(I5=0,0,D5/I5)</f>
        <v>0.337386461811474</v>
      </c>
      <c r="L5" s="11" t="n">
        <f aca="false">IF(I5=0,0,E5/I5)</f>
        <v>0.258224951549256</v>
      </c>
      <c r="M5" s="11" t="n">
        <f aca="false">IF(I5=0,0,H5/I5)</f>
        <v>0.0366824666682233</v>
      </c>
      <c r="N5" s="4" t="str">
        <f aca="false">INDEX($C$3:$E$3,MATCH(MAX(C5:E5),C5:E5,0))</f>
        <v>PT-Morena-PES</v>
      </c>
      <c r="O5" s="17" t="n">
        <f aca="false">(MAX(J5:L5)-LARGE(J5:L5,2))*100</f>
        <v>2.94498797487566</v>
      </c>
    </row>
    <row r="6" customFormat="false" ht="15" hidden="false" customHeight="false" outlineLevel="0" collapsed="false">
      <c r="A6" s="4" t="s">
        <v>39</v>
      </c>
      <c r="B6" s="4" t="n">
        <v>3</v>
      </c>
      <c r="C6" s="5" t="n">
        <v>60184</v>
      </c>
      <c r="D6" s="5" t="n">
        <v>86450</v>
      </c>
      <c r="E6" s="5" t="n">
        <v>52109</v>
      </c>
      <c r="F6" s="5" t="n">
        <v>0</v>
      </c>
      <c r="G6" s="5" t="n">
        <v>247</v>
      </c>
      <c r="H6" s="5" t="n">
        <v>7958</v>
      </c>
      <c r="I6" s="5" t="n">
        <v>206948</v>
      </c>
      <c r="J6" s="11" t="n">
        <f aca="false">IF(I6=0,0,C6/I6)</f>
        <v>0.290817016835147</v>
      </c>
      <c r="K6" s="11" t="n">
        <f aca="false">IF(I6=0,0,D6/I6)</f>
        <v>0.417737789203085</v>
      </c>
      <c r="L6" s="11" t="n">
        <f aca="false">IF(I6=0,0,E6/I6)</f>
        <v>0.251797553008485</v>
      </c>
      <c r="M6" s="11" t="n">
        <f aca="false">IF(I6=0,0,H6/I6)</f>
        <v>0.0384541044127027</v>
      </c>
      <c r="N6" s="4" t="str">
        <f aca="false">INDEX($C$3:$E$3,MATCH(MAX(C6:E6),C6:E6,0))</f>
        <v>PAN-PRD-MC</v>
      </c>
      <c r="O6" s="17" t="n">
        <f aca="false">(MAX(J6:L6)-LARGE(J6:L6,2))*100</f>
        <v>12.6920772367938</v>
      </c>
    </row>
    <row r="7" customFormat="false" ht="15" hidden="false" customHeight="false" outlineLevel="0" collapsed="false">
      <c r="A7" s="4" t="s">
        <v>40</v>
      </c>
      <c r="B7" s="4" t="n">
        <v>1</v>
      </c>
      <c r="C7" s="5" t="n">
        <v>100310</v>
      </c>
      <c r="D7" s="5" t="n">
        <v>46770</v>
      </c>
      <c r="E7" s="5" t="n">
        <v>23998</v>
      </c>
      <c r="F7" s="5" t="n">
        <v>0</v>
      </c>
      <c r="G7" s="5" t="n">
        <v>137</v>
      </c>
      <c r="H7" s="5" t="n">
        <v>5417</v>
      </c>
      <c r="I7" s="5" t="n">
        <v>176632</v>
      </c>
      <c r="J7" s="11" t="n">
        <f aca="false">IF(I7=0,0,C7/I7)</f>
        <v>0.567903890574754</v>
      </c>
      <c r="K7" s="11" t="n">
        <f aca="false">IF(I7=0,0,D7/I7)</f>
        <v>0.264787807418814</v>
      </c>
      <c r="L7" s="11" t="n">
        <f aca="false">IF(I7=0,0,E7/I7)</f>
        <v>0.135864396032429</v>
      </c>
      <c r="M7" s="11" t="n">
        <f aca="false">IF(I7=0,0,H7/I7)</f>
        <v>0.0306682820779927</v>
      </c>
      <c r="N7" s="4" t="str">
        <f aca="false">INDEX($C$3:$E$3,MATCH(MAX(C7:E7),C7:E7,0))</f>
        <v>PT-Morena-PES</v>
      </c>
      <c r="O7" s="17" t="n">
        <f aca="false">(MAX(J7:L7)-LARGE(J7:L7,2))*100</f>
        <v>30.311608315594</v>
      </c>
    </row>
    <row r="8" customFormat="false" ht="15" hidden="false" customHeight="false" outlineLevel="0" collapsed="false">
      <c r="A8" s="4" t="s">
        <v>40</v>
      </c>
      <c r="B8" s="4" t="n">
        <v>2</v>
      </c>
      <c r="C8" s="5" t="n">
        <v>95100</v>
      </c>
      <c r="D8" s="5" t="n">
        <v>52513</v>
      </c>
      <c r="E8" s="5" t="n">
        <v>29143</v>
      </c>
      <c r="F8" s="5" t="n">
        <v>0</v>
      </c>
      <c r="G8" s="5" t="n">
        <v>188</v>
      </c>
      <c r="H8" s="5" t="n">
        <v>5308</v>
      </c>
      <c r="I8" s="5" t="n">
        <v>182252</v>
      </c>
      <c r="J8" s="11" t="n">
        <f aca="false">IF(I8=0,0,C8/I8)</f>
        <v>0.521804973333626</v>
      </c>
      <c r="K8" s="11" t="n">
        <f aca="false">IF(I8=0,0,D8/I8)</f>
        <v>0.288134012246779</v>
      </c>
      <c r="L8" s="11" t="n">
        <f aca="false">IF(I8=0,0,E8/I8)</f>
        <v>0.159904966749336</v>
      </c>
      <c r="M8" s="11" t="n">
        <f aca="false">IF(I8=0,0,H8/I8)</f>
        <v>0.0291245089217128</v>
      </c>
      <c r="N8" s="4" t="str">
        <f aca="false">INDEX($C$3:$E$3,MATCH(MAX(C8:E8),C8:E8,0))</f>
        <v>PT-Morena-PES</v>
      </c>
      <c r="O8" s="17" t="n">
        <f aca="false">(MAX(J8:L8)-LARGE(J8:L8,2))*100</f>
        <v>23.3670961086847</v>
      </c>
    </row>
    <row r="9" customFormat="false" ht="15" hidden="false" customHeight="false" outlineLevel="0" collapsed="false">
      <c r="A9" s="4" t="s">
        <v>40</v>
      </c>
      <c r="B9" s="4" t="n">
        <v>3</v>
      </c>
      <c r="C9" s="5" t="n">
        <v>93815</v>
      </c>
      <c r="D9" s="5" t="n">
        <v>43375</v>
      </c>
      <c r="E9" s="5" t="n">
        <v>38992</v>
      </c>
      <c r="F9" s="5" t="n">
        <v>0</v>
      </c>
      <c r="G9" s="5" t="n">
        <v>277</v>
      </c>
      <c r="H9" s="5" t="n">
        <v>6435</v>
      </c>
      <c r="I9" s="5" t="n">
        <v>182894</v>
      </c>
      <c r="J9" s="11" t="n">
        <f aca="false">IF(I9=0,0,C9/I9)</f>
        <v>0.512947390291644</v>
      </c>
      <c r="K9" s="11" t="n">
        <f aca="false">IF(I9=0,0,D9/I9)</f>
        <v>0.237159228842936</v>
      </c>
      <c r="L9" s="11" t="n">
        <f aca="false">IF(I9=0,0,E9/I9)</f>
        <v>0.213194527977954</v>
      </c>
      <c r="M9" s="11" t="n">
        <f aca="false">IF(I9=0,0,H9/I9)</f>
        <v>0.0351843144116264</v>
      </c>
      <c r="N9" s="4" t="str">
        <f aca="false">INDEX($C$3:$E$3,MATCH(MAX(C9:E9),C9:E9,0))</f>
        <v>PT-Morena-PES</v>
      </c>
      <c r="O9" s="17" t="n">
        <f aca="false">(MAX(J9:L9)-LARGE(J9:L9,2))*100</f>
        <v>27.5788161448708</v>
      </c>
    </row>
    <row r="10" customFormat="false" ht="15" hidden="false" customHeight="false" outlineLevel="0" collapsed="false">
      <c r="A10" s="4" t="s">
        <v>40</v>
      </c>
      <c r="B10" s="4" t="n">
        <v>4</v>
      </c>
      <c r="C10" s="5" t="n">
        <v>126101</v>
      </c>
      <c r="D10" s="5" t="n">
        <v>29854</v>
      </c>
      <c r="E10" s="5" t="n">
        <v>17908</v>
      </c>
      <c r="F10" s="5" t="n">
        <v>0</v>
      </c>
      <c r="G10" s="5" t="n">
        <v>104</v>
      </c>
      <c r="H10" s="5" t="n">
        <v>4206</v>
      </c>
      <c r="I10" s="5" t="n">
        <v>178173</v>
      </c>
      <c r="J10" s="11" t="n">
        <f aca="false">IF(I10=0,0,C10/I10)</f>
        <v>0.707744720019307</v>
      </c>
      <c r="K10" s="11" t="n">
        <f aca="false">IF(I10=0,0,D10/I10)</f>
        <v>0.167556251508365</v>
      </c>
      <c r="L10" s="11" t="n">
        <f aca="false">IF(I10=0,0,E10/I10)</f>
        <v>0.100509055805313</v>
      </c>
      <c r="M10" s="11" t="n">
        <f aca="false">IF(I10=0,0,H10/I10)</f>
        <v>0.0236062703103164</v>
      </c>
      <c r="N10" s="4" t="str">
        <f aca="false">INDEX($C$3:$E$3,MATCH(MAX(C10:E10),C10:E10,0))</f>
        <v>PT-Morena-PES</v>
      </c>
      <c r="O10" s="17" t="n">
        <f aca="false">(MAX(J10:L10)-LARGE(J10:L10,2))*100</f>
        <v>54.0188468510942</v>
      </c>
    </row>
    <row r="11" customFormat="false" ht="15" hidden="false" customHeight="false" outlineLevel="0" collapsed="false">
      <c r="A11" s="4" t="s">
        <v>40</v>
      </c>
      <c r="B11" s="4" t="n">
        <v>5</v>
      </c>
      <c r="C11" s="5" t="n">
        <v>107314</v>
      </c>
      <c r="D11" s="5" t="n">
        <v>51210</v>
      </c>
      <c r="E11" s="5" t="n">
        <v>26504</v>
      </c>
      <c r="F11" s="5" t="n">
        <v>0</v>
      </c>
      <c r="G11" s="5" t="n">
        <v>193</v>
      </c>
      <c r="H11" s="5" t="n">
        <v>5238</v>
      </c>
      <c r="I11" s="5" t="n">
        <v>190459</v>
      </c>
      <c r="J11" s="11" t="n">
        <f aca="false">IF(I11=0,0,C11/I11)</f>
        <v>0.563449351303955</v>
      </c>
      <c r="K11" s="11" t="n">
        <f aca="false">IF(I11=0,0,D11/I11)</f>
        <v>0.268876766128143</v>
      </c>
      <c r="L11" s="11" t="n">
        <f aca="false">IF(I11=0,0,E11/I11)</f>
        <v>0.139158559059955</v>
      </c>
      <c r="M11" s="11" t="n">
        <f aca="false">IF(I11=0,0,H11/I11)</f>
        <v>0.0275019820538804</v>
      </c>
      <c r="N11" s="4" t="str">
        <f aca="false">INDEX($C$3:$E$3,MATCH(MAX(C11:E11),C11:E11,0))</f>
        <v>PT-Morena-PES</v>
      </c>
      <c r="O11" s="17" t="n">
        <f aca="false">(MAX(J11:L11)-LARGE(J11:L11,2))*100</f>
        <v>29.4572585175812</v>
      </c>
    </row>
    <row r="12" customFormat="false" ht="15" hidden="false" customHeight="false" outlineLevel="0" collapsed="false">
      <c r="A12" s="4" t="s">
        <v>40</v>
      </c>
      <c r="B12" s="4" t="n">
        <v>6</v>
      </c>
      <c r="C12" s="5" t="n">
        <v>103373</v>
      </c>
      <c r="D12" s="5" t="n">
        <v>41404</v>
      </c>
      <c r="E12" s="5" t="n">
        <v>26400</v>
      </c>
      <c r="F12" s="5" t="n">
        <v>0</v>
      </c>
      <c r="G12" s="5" t="n">
        <v>148</v>
      </c>
      <c r="H12" s="5" t="n">
        <v>5751</v>
      </c>
      <c r="I12" s="5" t="n">
        <v>177076</v>
      </c>
      <c r="J12" s="11" t="n">
        <f aca="false">IF(I12=0,0,C12/I12)</f>
        <v>0.58377758702478</v>
      </c>
      <c r="K12" s="11" t="n">
        <f aca="false">IF(I12=0,0,D12/I12)</f>
        <v>0.233820506449208</v>
      </c>
      <c r="L12" s="11" t="n">
        <f aca="false">IF(I12=0,0,E12/I12)</f>
        <v>0.149088526960175</v>
      </c>
      <c r="M12" s="11" t="n">
        <f aca="false">IF(I12=0,0,H12/I12)</f>
        <v>0.0324775802480291</v>
      </c>
      <c r="N12" s="4" t="str">
        <f aca="false">INDEX($C$3:$E$3,MATCH(MAX(C12:E12),C12:E12,0))</f>
        <v>PT-Morena-PES</v>
      </c>
      <c r="O12" s="17" t="n">
        <f aca="false">(MAX(J12:L12)-LARGE(J12:L12,2))*100</f>
        <v>34.9957080575572</v>
      </c>
    </row>
    <row r="13" customFormat="false" ht="15" hidden="false" customHeight="false" outlineLevel="0" collapsed="false">
      <c r="A13" s="4" t="s">
        <v>40</v>
      </c>
      <c r="B13" s="4" t="n">
        <v>7</v>
      </c>
      <c r="C13" s="5" t="n">
        <v>98505</v>
      </c>
      <c r="D13" s="5" t="n">
        <v>38099</v>
      </c>
      <c r="E13" s="5" t="n">
        <v>26724</v>
      </c>
      <c r="F13" s="5" t="n">
        <v>0</v>
      </c>
      <c r="G13" s="5" t="n">
        <v>137</v>
      </c>
      <c r="H13" s="5" t="n">
        <v>5104</v>
      </c>
      <c r="I13" s="5" t="n">
        <v>168569</v>
      </c>
      <c r="J13" s="11" t="n">
        <f aca="false">IF(I13=0,0,C13/I13)</f>
        <v>0.584360113662655</v>
      </c>
      <c r="K13" s="11" t="n">
        <f aca="false">IF(I13=0,0,D13/I13)</f>
        <v>0.226014273086985</v>
      </c>
      <c r="L13" s="11" t="n">
        <f aca="false">IF(I13=0,0,E13/I13)</f>
        <v>0.158534487361259</v>
      </c>
      <c r="M13" s="11" t="n">
        <f aca="false">IF(I13=0,0,H13/I13)</f>
        <v>0.0302784023159656</v>
      </c>
      <c r="N13" s="4" t="str">
        <f aca="false">INDEX($C$3:$E$3,MATCH(MAX(C13:E13),C13:E13,0))</f>
        <v>PT-Morena-PES</v>
      </c>
      <c r="O13" s="17" t="n">
        <f aca="false">(MAX(J13:L13)-LARGE(J13:L13,2))*100</f>
        <v>35.8345840575669</v>
      </c>
    </row>
    <row r="14" customFormat="false" ht="15" hidden="false" customHeight="false" outlineLevel="0" collapsed="false">
      <c r="A14" s="4" t="s">
        <v>40</v>
      </c>
      <c r="B14" s="4" t="n">
        <v>8</v>
      </c>
      <c r="C14" s="5" t="n">
        <v>120070</v>
      </c>
      <c r="D14" s="5" t="n">
        <v>31708</v>
      </c>
      <c r="E14" s="5" t="n">
        <v>21803</v>
      </c>
      <c r="F14" s="5" t="n">
        <v>0</v>
      </c>
      <c r="G14" s="5" t="n">
        <v>127</v>
      </c>
      <c r="H14" s="5" t="n">
        <v>4461</v>
      </c>
      <c r="I14" s="5" t="n">
        <v>178169</v>
      </c>
      <c r="J14" s="11" t="n">
        <f aca="false">IF(I14=0,0,C14/I14)</f>
        <v>0.673910725210334</v>
      </c>
      <c r="K14" s="11" t="n">
        <f aca="false">IF(I14=0,0,D14/I14)</f>
        <v>0.177965863870819</v>
      </c>
      <c r="L14" s="11" t="n">
        <f aca="false">IF(I14=0,0,E14/I14)</f>
        <v>0.122372578843682</v>
      </c>
      <c r="M14" s="11" t="n">
        <f aca="false">IF(I14=0,0,H14/I14)</f>
        <v>0.0250380256947056</v>
      </c>
      <c r="N14" s="4" t="str">
        <f aca="false">INDEX($C$3:$E$3,MATCH(MAX(C14:E14),C14:E14,0))</f>
        <v>PT-Morena-PES</v>
      </c>
      <c r="O14" s="17" t="n">
        <f aca="false">(MAX(J14:L14)-LARGE(J14:L14,2))*100</f>
        <v>49.5944861339515</v>
      </c>
    </row>
    <row r="15" customFormat="false" ht="15" hidden="false" customHeight="false" outlineLevel="0" collapsed="false">
      <c r="A15" s="4" t="s">
        <v>41</v>
      </c>
      <c r="B15" s="4" t="n">
        <v>1</v>
      </c>
      <c r="C15" s="5" t="n">
        <v>81734</v>
      </c>
      <c r="D15" s="5" t="n">
        <v>51967</v>
      </c>
      <c r="E15" s="5" t="n">
        <v>32786</v>
      </c>
      <c r="F15" s="5" t="n">
        <v>0</v>
      </c>
      <c r="G15" s="5" t="n">
        <v>127</v>
      </c>
      <c r="H15" s="5" t="n">
        <v>6640</v>
      </c>
      <c r="I15" s="5" t="n">
        <v>173254</v>
      </c>
      <c r="J15" s="11" t="n">
        <f aca="false">IF(I15=0,0,C15/I15)</f>
        <v>0.471758227804264</v>
      </c>
      <c r="K15" s="11" t="n">
        <f aca="false">IF(I15=0,0,D15/I15)</f>
        <v>0.2999468987729</v>
      </c>
      <c r="L15" s="11" t="n">
        <f aca="false">IF(I15=0,0,E15/I15)</f>
        <v>0.189236612141711</v>
      </c>
      <c r="M15" s="11" t="n">
        <f aca="false">IF(I15=0,0,H15/I15)</f>
        <v>0.0383252334722431</v>
      </c>
      <c r="N15" s="4" t="str">
        <f aca="false">INDEX($C$3:$E$3,MATCH(MAX(C15:E15),C15:E15,0))</f>
        <v>PT-Morena-PES</v>
      </c>
      <c r="O15" s="17" t="n">
        <f aca="false">(MAX(J15:L15)-LARGE(J15:L15,2))*100</f>
        <v>17.1811329031364</v>
      </c>
    </row>
    <row r="16" customFormat="false" ht="15" hidden="false" customHeight="false" outlineLevel="0" collapsed="false">
      <c r="A16" s="4" t="s">
        <v>41</v>
      </c>
      <c r="B16" s="4" t="n">
        <v>2</v>
      </c>
      <c r="C16" s="5" t="n">
        <v>71591</v>
      </c>
      <c r="D16" s="5" t="n">
        <v>33832</v>
      </c>
      <c r="E16" s="5" t="n">
        <v>16742</v>
      </c>
      <c r="F16" s="5" t="n">
        <v>0</v>
      </c>
      <c r="G16" s="5" t="n">
        <v>94</v>
      </c>
      <c r="H16" s="5" t="n">
        <v>4454</v>
      </c>
      <c r="I16" s="5" t="n">
        <v>126713</v>
      </c>
      <c r="J16" s="11" t="n">
        <f aca="false">IF(I16=0,0,C16/I16)</f>
        <v>0.564985439536591</v>
      </c>
      <c r="K16" s="11" t="n">
        <f aca="false">IF(I16=0,0,D16/I16)</f>
        <v>0.266997072123618</v>
      </c>
      <c r="L16" s="11" t="n">
        <f aca="false">IF(I16=0,0,E16/I16)</f>
        <v>0.132125354146773</v>
      </c>
      <c r="M16" s="11" t="n">
        <f aca="false">IF(I16=0,0,H16/I16)</f>
        <v>0.0351503002848958</v>
      </c>
      <c r="N16" s="4" t="str">
        <f aca="false">INDEX($C$3:$E$3,MATCH(MAX(C16:E16),C16:E16,0))</f>
        <v>PT-Morena-PES</v>
      </c>
      <c r="O16" s="17" t="n">
        <f aca="false">(MAX(J16:L16)-LARGE(J16:L16,2))*100</f>
        <v>29.7988367412973</v>
      </c>
    </row>
    <row r="17" customFormat="false" ht="15" hidden="false" customHeight="false" outlineLevel="0" collapsed="false">
      <c r="A17" s="4" t="s">
        <v>42</v>
      </c>
      <c r="B17" s="4" t="n">
        <v>1</v>
      </c>
      <c r="C17" s="5" t="n">
        <v>97594</v>
      </c>
      <c r="D17" s="5" t="n">
        <v>47943</v>
      </c>
      <c r="E17" s="5" t="n">
        <v>84634</v>
      </c>
      <c r="F17" s="5" t="n">
        <v>0</v>
      </c>
      <c r="G17" s="5" t="n">
        <v>64</v>
      </c>
      <c r="H17" s="5" t="n">
        <v>7532</v>
      </c>
      <c r="I17" s="5" t="n">
        <v>237767</v>
      </c>
      <c r="J17" s="11" t="n">
        <f aca="false">IF(I17=0,0,C17/I17)</f>
        <v>0.410460661067347</v>
      </c>
      <c r="K17" s="11" t="n">
        <f aca="false">IF(I17=0,0,D17/I17)</f>
        <v>0.201638578944933</v>
      </c>
      <c r="L17" s="11" t="n">
        <f aca="false">IF(I17=0,0,E17/I17)</f>
        <v>0.355953517519252</v>
      </c>
      <c r="M17" s="11" t="n">
        <f aca="false">IF(I17=0,0,H17/I17)</f>
        <v>0.0316780713892172</v>
      </c>
      <c r="N17" s="4" t="str">
        <f aca="false">INDEX($C$3:$E$3,MATCH(MAX(C17:E17),C17:E17,0))</f>
        <v>PT-Morena-PES</v>
      </c>
      <c r="O17" s="17" t="n">
        <f aca="false">(MAX(J17:L17)-LARGE(J17:L17,2))*100</f>
        <v>5.45071435480954</v>
      </c>
    </row>
    <row r="18" customFormat="false" ht="15" hidden="false" customHeight="false" outlineLevel="0" collapsed="false">
      <c r="A18" s="4" t="s">
        <v>42</v>
      </c>
      <c r="B18" s="4" t="n">
        <v>2</v>
      </c>
      <c r="C18" s="5" t="n">
        <v>107969</v>
      </c>
      <c r="D18" s="5" t="n">
        <v>37682</v>
      </c>
      <c r="E18" s="5" t="n">
        <v>58035</v>
      </c>
      <c r="F18" s="5" t="n">
        <v>0</v>
      </c>
      <c r="G18" s="5" t="n">
        <v>66</v>
      </c>
      <c r="H18" s="5" t="n">
        <v>7781</v>
      </c>
      <c r="I18" s="5" t="n">
        <v>211533</v>
      </c>
      <c r="J18" s="11" t="n">
        <f aca="false">IF(I18=0,0,C18/I18)</f>
        <v>0.510412087002974</v>
      </c>
      <c r="K18" s="11" t="n">
        <f aca="false">IF(I18=0,0,D18/I18)</f>
        <v>0.178137690100363</v>
      </c>
      <c r="L18" s="11" t="n">
        <f aca="false">IF(I18=0,0,E18/I18)</f>
        <v>0.27435435605792</v>
      </c>
      <c r="M18" s="11" t="n">
        <f aca="false">IF(I18=0,0,H18/I18)</f>
        <v>0.0367838587832631</v>
      </c>
      <c r="N18" s="4" t="str">
        <f aca="false">INDEX($C$3:$E$3,MATCH(MAX(C18:E18),C18:E18,0))</f>
        <v>PT-Morena-PES</v>
      </c>
      <c r="O18" s="17" t="n">
        <f aca="false">(MAX(J18:L18)-LARGE(J18:L18,2))*100</f>
        <v>23.6057730945054</v>
      </c>
    </row>
    <row r="19" customFormat="false" ht="15" hidden="false" customHeight="false" outlineLevel="0" collapsed="false">
      <c r="A19" s="4" t="s">
        <v>43</v>
      </c>
      <c r="B19" s="4" t="n">
        <v>1</v>
      </c>
      <c r="C19" s="5" t="n">
        <v>46726</v>
      </c>
      <c r="D19" s="5" t="n">
        <v>74533</v>
      </c>
      <c r="E19" s="5" t="n">
        <v>59042</v>
      </c>
      <c r="F19" s="5" t="n">
        <v>0</v>
      </c>
      <c r="G19" s="5" t="n">
        <v>44</v>
      </c>
      <c r="H19" s="5" t="n">
        <v>4287</v>
      </c>
      <c r="I19" s="5" t="n">
        <v>184632</v>
      </c>
      <c r="J19" s="11" t="n">
        <f aca="false">IF(I19=0,0,C19/I19)</f>
        <v>0.253076389791585</v>
      </c>
      <c r="K19" s="11" t="n">
        <f aca="false">IF(I19=0,0,D19/I19)</f>
        <v>0.403684085099008</v>
      </c>
      <c r="L19" s="11" t="n">
        <f aca="false">IF(I19=0,0,E19/I19)</f>
        <v>0.319782052948568</v>
      </c>
      <c r="M19" s="11" t="n">
        <f aca="false">IF(I19=0,0,H19/I19)</f>
        <v>0.0232191602755752</v>
      </c>
      <c r="N19" s="4" t="str">
        <f aca="false">INDEX($C$3:$E$3,MATCH(MAX(C19:E19),C19:E19,0))</f>
        <v>PAN-PRD-MC</v>
      </c>
      <c r="O19" s="17" t="n">
        <f aca="false">(MAX(J19:L19)-LARGE(J19:L19,2))*100</f>
        <v>8.39020321504398</v>
      </c>
    </row>
    <row r="20" customFormat="false" ht="15" hidden="false" customHeight="false" outlineLevel="0" collapsed="false">
      <c r="A20" s="4" t="s">
        <v>43</v>
      </c>
      <c r="B20" s="4" t="n">
        <v>2</v>
      </c>
      <c r="C20" s="5" t="n">
        <v>72368</v>
      </c>
      <c r="D20" s="5" t="n">
        <v>47721</v>
      </c>
      <c r="E20" s="5" t="n">
        <v>67446</v>
      </c>
      <c r="F20" s="5" t="n">
        <v>0</v>
      </c>
      <c r="G20" s="5" t="n">
        <v>32</v>
      </c>
      <c r="H20" s="5" t="n">
        <v>5245</v>
      </c>
      <c r="I20" s="5" t="n">
        <v>192812</v>
      </c>
      <c r="J20" s="11" t="n">
        <f aca="false">IF(I20=0,0,C20/I20)</f>
        <v>0.37532933634836</v>
      </c>
      <c r="K20" s="11" t="n">
        <f aca="false">IF(I20=0,0,D20/I20)</f>
        <v>0.247500155591976</v>
      </c>
      <c r="L20" s="11" t="n">
        <f aca="false">IF(I20=0,0,E20/I20)</f>
        <v>0.349801879551065</v>
      </c>
      <c r="M20" s="11" t="n">
        <f aca="false">IF(I20=0,0,H20/I20)</f>
        <v>0.0272026637346223</v>
      </c>
      <c r="N20" s="4" t="str">
        <f aca="false">INDEX($C$3:$E$3,MATCH(MAX(C20:E20),C20:E20,0))</f>
        <v>PT-Morena-PES</v>
      </c>
      <c r="O20" s="17" t="n">
        <f aca="false">(MAX(J20:L20)-LARGE(J20:L20,2))*100</f>
        <v>2.55274567972948</v>
      </c>
    </row>
    <row r="21" customFormat="false" ht="15" hidden="false" customHeight="false" outlineLevel="0" collapsed="false">
      <c r="A21" s="4" t="s">
        <v>43</v>
      </c>
      <c r="B21" s="4" t="n">
        <v>3</v>
      </c>
      <c r="C21" s="5" t="n">
        <v>72399</v>
      </c>
      <c r="D21" s="5" t="n">
        <v>61061</v>
      </c>
      <c r="E21" s="5" t="n">
        <v>60286</v>
      </c>
      <c r="F21" s="5" t="n">
        <v>0</v>
      </c>
      <c r="G21" s="5" t="n">
        <v>69</v>
      </c>
      <c r="H21" s="5" t="n">
        <v>5653</v>
      </c>
      <c r="I21" s="5" t="n">
        <v>199468</v>
      </c>
      <c r="J21" s="11" t="n">
        <f aca="false">IF(I21=0,0,C21/I21)</f>
        <v>0.362960474863136</v>
      </c>
      <c r="K21" s="11" t="n">
        <f aca="false">IF(I21=0,0,D21/I21)</f>
        <v>0.306119277277558</v>
      </c>
      <c r="L21" s="11" t="n">
        <f aca="false">IF(I21=0,0,E21/I21)</f>
        <v>0.302233942286482</v>
      </c>
      <c r="M21" s="11" t="n">
        <f aca="false">IF(I21=0,0,H21/I21)</f>
        <v>0.0283403854252311</v>
      </c>
      <c r="N21" s="4" t="str">
        <f aca="false">INDEX($C$3:$E$3,MATCH(MAX(C21:E21),C21:E21,0))</f>
        <v>PT-Morena-PES</v>
      </c>
      <c r="O21" s="17" t="n">
        <f aca="false">(MAX(J21:L21)-LARGE(J21:L21,2))*100</f>
        <v>5.68411975855776</v>
      </c>
    </row>
    <row r="22" customFormat="false" ht="15" hidden="false" customHeight="false" outlineLevel="0" collapsed="false">
      <c r="A22" s="4" t="s">
        <v>43</v>
      </c>
      <c r="B22" s="4" t="n">
        <v>4</v>
      </c>
      <c r="C22" s="5" t="n">
        <v>61758</v>
      </c>
      <c r="D22" s="5" t="n">
        <v>60753</v>
      </c>
      <c r="E22" s="5" t="n">
        <v>71576</v>
      </c>
      <c r="F22" s="5" t="n">
        <v>0</v>
      </c>
      <c r="G22" s="5" t="n">
        <v>109</v>
      </c>
      <c r="H22" s="5" t="n">
        <v>5183</v>
      </c>
      <c r="I22" s="5" t="n">
        <v>199379</v>
      </c>
      <c r="J22" s="11" t="n">
        <f aca="false">IF(I22=0,0,C22/I22)</f>
        <v>0.309751779274648</v>
      </c>
      <c r="K22" s="11" t="n">
        <f aca="false">IF(I22=0,0,D22/I22)</f>
        <v>0.304711128052603</v>
      </c>
      <c r="L22" s="11" t="n">
        <f aca="false">IF(I22=0,0,E22/I22)</f>
        <v>0.35899467847667</v>
      </c>
      <c r="M22" s="11" t="n">
        <f aca="false">IF(I22=0,0,H22/I22)</f>
        <v>0.0259957167003546</v>
      </c>
      <c r="N22" s="4" t="str">
        <f aca="false">INDEX($C$3:$E$3,MATCH(MAX(C22:E22),C22:E22,0))</f>
        <v>PRI-PVEM-NA</v>
      </c>
      <c r="O22" s="17" t="n">
        <f aca="false">(MAX(J22:L22)-LARGE(J22:L22,2))*100</f>
        <v>4.92428992020223</v>
      </c>
    </row>
    <row r="23" customFormat="false" ht="15" hidden="false" customHeight="false" outlineLevel="0" collapsed="false">
      <c r="A23" s="4" t="s">
        <v>43</v>
      </c>
      <c r="B23" s="4" t="n">
        <v>5</v>
      </c>
      <c r="C23" s="5" t="n">
        <v>67691</v>
      </c>
      <c r="D23" s="5" t="n">
        <v>76697</v>
      </c>
      <c r="E23" s="5" t="n">
        <v>60505</v>
      </c>
      <c r="F23" s="5" t="n">
        <v>0</v>
      </c>
      <c r="G23" s="5" t="n">
        <v>68</v>
      </c>
      <c r="H23" s="5" t="n">
        <v>3551</v>
      </c>
      <c r="I23" s="5" t="n">
        <v>208512</v>
      </c>
      <c r="J23" s="11" t="n">
        <f aca="false">IF(I23=0,0,C23/I23)</f>
        <v>0.324638390116636</v>
      </c>
      <c r="K23" s="11" t="n">
        <f aca="false">IF(I23=0,0,D23/I23)</f>
        <v>0.367830148864334</v>
      </c>
      <c r="L23" s="11" t="n">
        <f aca="false">IF(I23=0,0,E23/I23)</f>
        <v>0.290175145794966</v>
      </c>
      <c r="M23" s="11" t="n">
        <f aca="false">IF(I23=0,0,H23/I23)</f>
        <v>0.0170301949048496</v>
      </c>
      <c r="N23" s="4" t="str">
        <f aca="false">INDEX($C$3:$E$3,MATCH(MAX(C23:E23),C23:E23,0))</f>
        <v>PAN-PRD-MC</v>
      </c>
      <c r="O23" s="17" t="n">
        <f aca="false">(MAX(J23:L23)-LARGE(J23:L23,2))*100</f>
        <v>4.3191758747698</v>
      </c>
    </row>
    <row r="24" customFormat="false" ht="15" hidden="false" customHeight="false" outlineLevel="0" collapsed="false">
      <c r="A24" s="4" t="s">
        <v>43</v>
      </c>
      <c r="B24" s="4" t="n">
        <v>6</v>
      </c>
      <c r="C24" s="5" t="n">
        <v>79693</v>
      </c>
      <c r="D24" s="5" t="n">
        <v>40235</v>
      </c>
      <c r="E24" s="5" t="n">
        <v>64441</v>
      </c>
      <c r="F24" s="5" t="n">
        <v>0</v>
      </c>
      <c r="G24" s="5" t="n">
        <v>30</v>
      </c>
      <c r="H24" s="5" t="n">
        <v>3072</v>
      </c>
      <c r="I24" s="5" t="n">
        <v>187471</v>
      </c>
      <c r="J24" s="11" t="n">
        <f aca="false">IF(I24=0,0,C24/I24)</f>
        <v>0.425095081372586</v>
      </c>
      <c r="K24" s="11" t="n">
        <f aca="false">IF(I24=0,0,D24/I24)</f>
        <v>0.2146198612052</v>
      </c>
      <c r="L24" s="11" t="n">
        <f aca="false">IF(I24=0,0,E24/I24)</f>
        <v>0.343738498221058</v>
      </c>
      <c r="M24" s="11" t="n">
        <f aca="false">IF(I24=0,0,H24/I24)</f>
        <v>0.0163865344506617</v>
      </c>
      <c r="N24" s="4" t="str">
        <f aca="false">INDEX($C$3:$E$3,MATCH(MAX(C24:E24),C24:E24,0))</f>
        <v>PT-Morena-PES</v>
      </c>
      <c r="O24" s="17" t="n">
        <f aca="false">(MAX(J24:L24)-LARGE(J24:L24,2))*100</f>
        <v>8.13565831515274</v>
      </c>
    </row>
    <row r="25" customFormat="false" ht="15" hidden="false" customHeight="false" outlineLevel="0" collapsed="false">
      <c r="A25" s="4" t="s">
        <v>43</v>
      </c>
      <c r="B25" s="4" t="n">
        <v>7</v>
      </c>
      <c r="C25" s="5" t="n">
        <v>69543</v>
      </c>
      <c r="D25" s="5" t="n">
        <v>42533</v>
      </c>
      <c r="E25" s="5" t="n">
        <v>74777</v>
      </c>
      <c r="F25" s="5" t="n">
        <v>0</v>
      </c>
      <c r="G25" s="5" t="n">
        <v>79</v>
      </c>
      <c r="H25" s="5" t="n">
        <v>5772</v>
      </c>
      <c r="I25" s="5" t="n">
        <v>192704</v>
      </c>
      <c r="J25" s="11" t="n">
        <f aca="false">IF(I25=0,0,C25/I25)</f>
        <v>0.360879898704749</v>
      </c>
      <c r="K25" s="11" t="n">
        <f aca="false">IF(I25=0,0,D25/I25)</f>
        <v>0.220716746927931</v>
      </c>
      <c r="L25" s="11" t="n">
        <f aca="false">IF(I25=0,0,E25/I25)</f>
        <v>0.388040725672534</v>
      </c>
      <c r="M25" s="11" t="n">
        <f aca="false">IF(I25=0,0,H25/I25)</f>
        <v>0.0299526735303886</v>
      </c>
      <c r="N25" s="4" t="str">
        <f aca="false">INDEX($C$3:$E$3,MATCH(MAX(C25:E25),C25:E25,0))</f>
        <v>PRI-PVEM-NA</v>
      </c>
      <c r="O25" s="17" t="n">
        <f aca="false">(MAX(J25:L25)-LARGE(J25:L25,2))*100</f>
        <v>2.71608269677848</v>
      </c>
    </row>
    <row r="26" customFormat="false" ht="15" hidden="false" customHeight="false" outlineLevel="0" collapsed="false">
      <c r="A26" s="4" t="s">
        <v>44</v>
      </c>
      <c r="B26" s="4" t="n">
        <v>1</v>
      </c>
      <c r="C26" s="5" t="n">
        <v>67207</v>
      </c>
      <c r="D26" s="5" t="n">
        <v>52500</v>
      </c>
      <c r="E26" s="5" t="n">
        <v>55826</v>
      </c>
      <c r="F26" s="5" t="n">
        <v>0</v>
      </c>
      <c r="G26" s="5" t="n">
        <v>122</v>
      </c>
      <c r="H26" s="5" t="n">
        <v>6065</v>
      </c>
      <c r="I26" s="5" t="n">
        <v>181720</v>
      </c>
      <c r="J26" s="11" t="n">
        <f aca="false">IF(I26=0,0,C26/I26)</f>
        <v>0.369838212634823</v>
      </c>
      <c r="K26" s="11" t="n">
        <f aca="false">IF(I26=0,0,D26/I26)</f>
        <v>0.288906009244992</v>
      </c>
      <c r="L26" s="11" t="n">
        <f aca="false">IF(I26=0,0,E26/I26)</f>
        <v>0.307208892802113</v>
      </c>
      <c r="M26" s="11" t="n">
        <f aca="false">IF(I26=0,0,H26/I26)</f>
        <v>0.0333755227823024</v>
      </c>
      <c r="N26" s="4" t="str">
        <f aca="false">INDEX($C$3:$E$3,MATCH(MAX(C26:E26),C26:E26,0))</f>
        <v>PT-Morena-PES</v>
      </c>
      <c r="O26" s="17" t="n">
        <f aca="false">(MAX(J26:L26)-LARGE(J26:L26,2))*100</f>
        <v>6.26293198327096</v>
      </c>
    </row>
    <row r="27" customFormat="false" ht="15" hidden="false" customHeight="false" outlineLevel="0" collapsed="false">
      <c r="A27" s="4" t="s">
        <v>44</v>
      </c>
      <c r="B27" s="4" t="n">
        <v>2</v>
      </c>
      <c r="C27" s="5" t="n">
        <v>81716</v>
      </c>
      <c r="D27" s="5" t="n">
        <v>25740</v>
      </c>
      <c r="E27" s="5" t="n">
        <v>40104</v>
      </c>
      <c r="F27" s="5" t="n">
        <v>0</v>
      </c>
      <c r="G27" s="5" t="n">
        <v>86</v>
      </c>
      <c r="H27" s="5" t="n">
        <v>5565</v>
      </c>
      <c r="I27" s="5" t="n">
        <v>153211</v>
      </c>
      <c r="J27" s="11" t="n">
        <f aca="false">IF(I27=0,0,C27/I27)</f>
        <v>0.533355960081195</v>
      </c>
      <c r="K27" s="11" t="n">
        <f aca="false">IF(I27=0,0,D27/I27)</f>
        <v>0.168003602874467</v>
      </c>
      <c r="L27" s="11" t="n">
        <f aca="false">IF(I27=0,0,E27/I27)</f>
        <v>0.261756662380638</v>
      </c>
      <c r="M27" s="11" t="n">
        <f aca="false">IF(I27=0,0,H27/I27)</f>
        <v>0.0363224572648178</v>
      </c>
      <c r="N27" s="4" t="str">
        <f aca="false">INDEX($C$3:$E$3,MATCH(MAX(C27:E27),C27:E27,0))</f>
        <v>PT-Morena-PES</v>
      </c>
      <c r="O27" s="17" t="n">
        <f aca="false">(MAX(J27:L27)-LARGE(J27:L27,2))*100</f>
        <v>27.1599297700557</v>
      </c>
    </row>
    <row r="28" customFormat="false" ht="15" hidden="false" customHeight="false" outlineLevel="0" collapsed="false">
      <c r="A28" s="4" t="s">
        <v>45</v>
      </c>
      <c r="B28" s="4" t="n">
        <v>1</v>
      </c>
      <c r="C28" s="5" t="n">
        <v>92712</v>
      </c>
      <c r="D28" s="5" t="n">
        <v>13313</v>
      </c>
      <c r="E28" s="5" t="n">
        <v>54860</v>
      </c>
      <c r="F28" s="5" t="n">
        <v>0</v>
      </c>
      <c r="G28" s="5" t="n">
        <v>44</v>
      </c>
      <c r="H28" s="5" t="n">
        <v>18573</v>
      </c>
      <c r="I28" s="5" t="n">
        <v>179502</v>
      </c>
      <c r="J28" s="11" t="n">
        <f aca="false">IF(I28=0,0,C28/I28)</f>
        <v>0.516495637931611</v>
      </c>
      <c r="K28" s="11" t="n">
        <f aca="false">IF(I28=0,0,D28/I28)</f>
        <v>0.0741663045537097</v>
      </c>
      <c r="L28" s="11" t="n">
        <f aca="false">IF(I28=0,0,E28/I28)</f>
        <v>0.30562333567314</v>
      </c>
      <c r="M28" s="11" t="n">
        <f aca="false">IF(I28=0,0,H28/I28)</f>
        <v>0.103469599224521</v>
      </c>
      <c r="N28" s="4" t="str">
        <f aca="false">INDEX($C$3:$E$3,MATCH(MAX(C28:E28),C28:E28,0))</f>
        <v>PT-Morena-PES</v>
      </c>
      <c r="O28" s="17" t="n">
        <f aca="false">(MAX(J28:L28)-LARGE(J28:L28,2))*100</f>
        <v>21.0872302258471</v>
      </c>
    </row>
    <row r="29" customFormat="false" ht="15" hidden="false" customHeight="false" outlineLevel="0" collapsed="false">
      <c r="A29" s="4" t="s">
        <v>45</v>
      </c>
      <c r="B29" s="4" t="n">
        <v>2</v>
      </c>
      <c r="C29" s="5" t="n">
        <v>60679</v>
      </c>
      <c r="D29" s="5" t="n">
        <v>20332</v>
      </c>
      <c r="E29" s="5" t="n">
        <v>78884</v>
      </c>
      <c r="F29" s="5" t="n">
        <v>0</v>
      </c>
      <c r="G29" s="5" t="n">
        <v>38</v>
      </c>
      <c r="H29" s="5" t="n">
        <v>16849</v>
      </c>
      <c r="I29" s="5" t="n">
        <v>176782</v>
      </c>
      <c r="J29" s="11" t="n">
        <f aca="false">IF(I29=0,0,C29/I29)</f>
        <v>0.343241959022977</v>
      </c>
      <c r="K29" s="11" t="n">
        <f aca="false">IF(I29=0,0,D29/I29)</f>
        <v>0.115011709336923</v>
      </c>
      <c r="L29" s="11" t="n">
        <f aca="false">IF(I29=0,0,E29/I29)</f>
        <v>0.446221900419726</v>
      </c>
      <c r="M29" s="11" t="n">
        <f aca="false">IF(I29=0,0,H29/I29)</f>
        <v>0.0953094772092181</v>
      </c>
      <c r="N29" s="4" t="str">
        <f aca="false">INDEX($C$3:$E$3,MATCH(MAX(C29:E29),C29:E29,0))</f>
        <v>PRI-PVEM-NA</v>
      </c>
      <c r="O29" s="17" t="n">
        <f aca="false">(MAX(J29:L29)-LARGE(J29:L29,2))*100</f>
        <v>10.2979941396749</v>
      </c>
    </row>
    <row r="30" customFormat="false" ht="15" hidden="false" customHeight="false" outlineLevel="0" collapsed="false">
      <c r="A30" s="4" t="s">
        <v>45</v>
      </c>
      <c r="B30" s="4" t="n">
        <v>3</v>
      </c>
      <c r="C30" s="5" t="n">
        <v>70356</v>
      </c>
      <c r="D30" s="5" t="n">
        <v>10517</v>
      </c>
      <c r="E30" s="5" t="n">
        <v>63422</v>
      </c>
      <c r="F30" s="5" t="n">
        <v>0</v>
      </c>
      <c r="G30" s="5" t="n">
        <v>69</v>
      </c>
      <c r="H30" s="5" t="n">
        <v>12309</v>
      </c>
      <c r="I30" s="5" t="n">
        <v>156673</v>
      </c>
      <c r="J30" s="11" t="n">
        <f aca="false">IF(I30=0,0,C30/I30)</f>
        <v>0.449062697465422</v>
      </c>
      <c r="K30" s="11" t="n">
        <f aca="false">IF(I30=0,0,D30/I30)</f>
        <v>0.0671270735863869</v>
      </c>
      <c r="L30" s="11" t="n">
        <f aca="false">IF(I30=0,0,E30/I30)</f>
        <v>0.40480491214185</v>
      </c>
      <c r="M30" s="11" t="n">
        <f aca="false">IF(I30=0,0,H30/I30)</f>
        <v>0.0785649090781437</v>
      </c>
      <c r="N30" s="4" t="str">
        <f aca="false">INDEX($C$3:$E$3,MATCH(MAX(C30:E30),C30:E30,0))</f>
        <v>PT-Morena-PES</v>
      </c>
      <c r="O30" s="17" t="n">
        <f aca="false">(MAX(J30:L30)-LARGE(J30:L30,2))*100</f>
        <v>4.4257785323572</v>
      </c>
    </row>
    <row r="31" customFormat="false" ht="15" hidden="false" customHeight="false" outlineLevel="0" collapsed="false">
      <c r="A31" s="4" t="s">
        <v>45</v>
      </c>
      <c r="B31" s="4" t="n">
        <v>4</v>
      </c>
      <c r="C31" s="5" t="n">
        <v>96155</v>
      </c>
      <c r="D31" s="5" t="n">
        <v>20223</v>
      </c>
      <c r="E31" s="5" t="n">
        <v>57296</v>
      </c>
      <c r="F31" s="5" t="n">
        <v>0</v>
      </c>
      <c r="G31" s="5" t="n">
        <v>71</v>
      </c>
      <c r="H31" s="5" t="n">
        <v>16175</v>
      </c>
      <c r="I31" s="5" t="n">
        <v>189920</v>
      </c>
      <c r="J31" s="11" t="n">
        <f aca="false">IF(I31=0,0,C31/I31)</f>
        <v>0.506292122999158</v>
      </c>
      <c r="K31" s="11" t="n">
        <f aca="false">IF(I31=0,0,D31/I31)</f>
        <v>0.106481676495366</v>
      </c>
      <c r="L31" s="11" t="n">
        <f aca="false">IF(I31=0,0,E31/I31)</f>
        <v>0.301684919966302</v>
      </c>
      <c r="M31" s="11" t="n">
        <f aca="false">IF(I31=0,0,H31/I31)</f>
        <v>0.0851674389216512</v>
      </c>
      <c r="N31" s="4" t="str">
        <f aca="false">INDEX($C$3:$E$3,MATCH(MAX(C31:E31),C31:E31,0))</f>
        <v>PT-Morena-PES</v>
      </c>
      <c r="O31" s="17" t="n">
        <f aca="false">(MAX(J31:L31)-LARGE(J31:L31,2))*100</f>
        <v>20.4607203032856</v>
      </c>
    </row>
    <row r="32" customFormat="false" ht="15" hidden="false" customHeight="false" outlineLevel="0" collapsed="false">
      <c r="A32" s="4" t="s">
        <v>45</v>
      </c>
      <c r="B32" s="4" t="n">
        <v>5</v>
      </c>
      <c r="C32" s="5" t="n">
        <v>103223</v>
      </c>
      <c r="D32" s="5" t="n">
        <v>17082</v>
      </c>
      <c r="E32" s="5" t="n">
        <v>64433</v>
      </c>
      <c r="F32" s="5" t="n">
        <v>0</v>
      </c>
      <c r="G32" s="5" t="n">
        <v>117</v>
      </c>
      <c r="H32" s="5" t="n">
        <v>13983</v>
      </c>
      <c r="I32" s="5" t="n">
        <v>198838</v>
      </c>
      <c r="J32" s="11" t="n">
        <f aca="false">IF(I32=0,0,C32/I32)</f>
        <v>0.51913115199308</v>
      </c>
      <c r="K32" s="11" t="n">
        <f aca="false">IF(I32=0,0,D32/I32)</f>
        <v>0.0859091320572526</v>
      </c>
      <c r="L32" s="11" t="n">
        <f aca="false">IF(I32=0,0,E32/I32)</f>
        <v>0.324047717237148</v>
      </c>
      <c r="M32" s="11" t="n">
        <f aca="false">IF(I32=0,0,H32/I32)</f>
        <v>0.0703235799997988</v>
      </c>
      <c r="N32" s="4" t="str">
        <f aca="false">INDEX($C$3:$E$3,MATCH(MAX(C32:E32),C32:E32,0))</f>
        <v>PT-Morena-PES</v>
      </c>
      <c r="O32" s="17" t="n">
        <f aca="false">(MAX(J32:L32)-LARGE(J32:L32,2))*100</f>
        <v>19.5083434755932</v>
      </c>
    </row>
    <row r="33" customFormat="false" ht="15" hidden="false" customHeight="false" outlineLevel="0" collapsed="false">
      <c r="A33" s="4" t="s">
        <v>45</v>
      </c>
      <c r="B33" s="4" t="n">
        <v>6</v>
      </c>
      <c r="C33" s="5" t="n">
        <v>123183</v>
      </c>
      <c r="D33" s="5" t="n">
        <v>28028</v>
      </c>
      <c r="E33" s="5" t="n">
        <v>37482</v>
      </c>
      <c r="F33" s="5" t="n">
        <v>0</v>
      </c>
      <c r="G33" s="5" t="n">
        <v>194</v>
      </c>
      <c r="H33" s="5" t="n">
        <v>14272</v>
      </c>
      <c r="I33" s="5" t="n">
        <v>203159</v>
      </c>
      <c r="J33" s="11" t="n">
        <f aca="false">IF(I33=0,0,C33/I33)</f>
        <v>0.606337892980375</v>
      </c>
      <c r="K33" s="11" t="n">
        <f aca="false">IF(I33=0,0,D33/I33)</f>
        <v>0.137960907466566</v>
      </c>
      <c r="L33" s="11" t="n">
        <f aca="false">IF(I33=0,0,E33/I33)</f>
        <v>0.184495887457607</v>
      </c>
      <c r="M33" s="11" t="n">
        <f aca="false">IF(I33=0,0,H33/I33)</f>
        <v>0.0702503950108044</v>
      </c>
      <c r="N33" s="4" t="str">
        <f aca="false">INDEX($C$3:$E$3,MATCH(MAX(C33:E33),C33:E33,0))</f>
        <v>PT-Morena-PES</v>
      </c>
      <c r="O33" s="17" t="n">
        <f aca="false">(MAX(J33:L33)-LARGE(J33:L33,2))*100</f>
        <v>42.1842005522768</v>
      </c>
    </row>
    <row r="34" customFormat="false" ht="15" hidden="false" customHeight="false" outlineLevel="0" collapsed="false">
      <c r="A34" s="4" t="s">
        <v>45</v>
      </c>
      <c r="B34" s="4" t="n">
        <v>7</v>
      </c>
      <c r="C34" s="5" t="n">
        <v>95287</v>
      </c>
      <c r="D34" s="5" t="n">
        <v>15037</v>
      </c>
      <c r="E34" s="5" t="n">
        <v>59076</v>
      </c>
      <c r="F34" s="5" t="n">
        <v>0</v>
      </c>
      <c r="G34" s="5" t="n">
        <v>29</v>
      </c>
      <c r="H34" s="5" t="n">
        <v>11988</v>
      </c>
      <c r="I34" s="5" t="n">
        <v>181417</v>
      </c>
      <c r="J34" s="11" t="n">
        <f aca="false">IF(I34=0,0,C34/I34)</f>
        <v>0.525237436403424</v>
      </c>
      <c r="K34" s="11" t="n">
        <f aca="false">IF(I34=0,0,D34/I34)</f>
        <v>0.0828863888169246</v>
      </c>
      <c r="L34" s="11" t="n">
        <f aca="false">IF(I34=0,0,E34/I34)</f>
        <v>0.325636516974705</v>
      </c>
      <c r="M34" s="11" t="n">
        <f aca="false">IF(I34=0,0,H34/I34)</f>
        <v>0.0660798050899309</v>
      </c>
      <c r="N34" s="4" t="str">
        <f aca="false">INDEX($C$3:$E$3,MATCH(MAX(C34:E34),C34:E34,0))</f>
        <v>PT-Morena-PES</v>
      </c>
      <c r="O34" s="17" t="n">
        <f aca="false">(MAX(J34:L34)-LARGE(J34:L34,2))*100</f>
        <v>19.9600919428719</v>
      </c>
    </row>
    <row r="35" customFormat="false" ht="15" hidden="false" customHeight="false" outlineLevel="0" collapsed="false">
      <c r="A35" s="4" t="s">
        <v>45</v>
      </c>
      <c r="B35" s="4" t="n">
        <v>8</v>
      </c>
      <c r="C35" s="5" t="n">
        <v>94677</v>
      </c>
      <c r="D35" s="5" t="n">
        <v>15432</v>
      </c>
      <c r="E35" s="5" t="n">
        <v>74527</v>
      </c>
      <c r="F35" s="5" t="n">
        <v>0</v>
      </c>
      <c r="G35" s="5" t="n">
        <v>116</v>
      </c>
      <c r="H35" s="5" t="n">
        <v>20015</v>
      </c>
      <c r="I35" s="5" t="n">
        <v>204767</v>
      </c>
      <c r="J35" s="11" t="n">
        <f aca="false">IF(I35=0,0,C35/I35)</f>
        <v>0.462364541161418</v>
      </c>
      <c r="K35" s="11" t="n">
        <f aca="false">IF(I35=0,0,D35/I35)</f>
        <v>0.0753637060659188</v>
      </c>
      <c r="L35" s="11" t="n">
        <f aca="false">IF(I35=0,0,E35/I35)</f>
        <v>0.363960013088046</v>
      </c>
      <c r="M35" s="11" t="n">
        <f aca="false">IF(I35=0,0,H35/I35)</f>
        <v>0.0977452421532767</v>
      </c>
      <c r="N35" s="4" t="str">
        <f aca="false">INDEX($C$3:$E$3,MATCH(MAX(C35:E35),C35:E35,0))</f>
        <v>PT-Morena-PES</v>
      </c>
      <c r="O35" s="17" t="n">
        <f aca="false">(MAX(J35:L35)-LARGE(J35:L35,2))*100</f>
        <v>9.84045280733712</v>
      </c>
    </row>
    <row r="36" customFormat="false" ht="15" hidden="false" customHeight="false" outlineLevel="0" collapsed="false">
      <c r="A36" s="4" t="s">
        <v>45</v>
      </c>
      <c r="B36" s="4" t="n">
        <v>9</v>
      </c>
      <c r="C36" s="5" t="n">
        <v>140689</v>
      </c>
      <c r="D36" s="5" t="n">
        <v>23042</v>
      </c>
      <c r="E36" s="5" t="n">
        <v>20852</v>
      </c>
      <c r="F36" s="5" t="n">
        <v>0</v>
      </c>
      <c r="G36" s="5" t="n">
        <v>392</v>
      </c>
      <c r="H36" s="5" t="n">
        <v>10283</v>
      </c>
      <c r="I36" s="5" t="n">
        <v>195258</v>
      </c>
      <c r="J36" s="11" t="n">
        <f aca="false">IF(I36=0,0,C36/I36)</f>
        <v>0.720528736338588</v>
      </c>
      <c r="K36" s="11" t="n">
        <f aca="false">IF(I36=0,0,D36/I36)</f>
        <v>0.118007968943654</v>
      </c>
      <c r="L36" s="11" t="n">
        <f aca="false">IF(I36=0,0,E36/I36)</f>
        <v>0.106792039250632</v>
      </c>
      <c r="M36" s="11" t="n">
        <f aca="false">IF(I36=0,0,H36/I36)</f>
        <v>0.0526636552663655</v>
      </c>
      <c r="N36" s="4" t="str">
        <f aca="false">INDEX($C$3:$E$3,MATCH(MAX(C36:E36),C36:E36,0))</f>
        <v>PT-Morena-PES</v>
      </c>
      <c r="O36" s="17" t="n">
        <f aca="false">(MAX(J36:L36)-LARGE(J36:L36,2))*100</f>
        <v>60.2520767394934</v>
      </c>
    </row>
    <row r="37" customFormat="false" ht="15" hidden="false" customHeight="false" outlineLevel="0" collapsed="false">
      <c r="A37" s="4" t="s">
        <v>45</v>
      </c>
      <c r="B37" s="4" t="n">
        <v>10</v>
      </c>
      <c r="C37" s="5" t="n">
        <v>81994</v>
      </c>
      <c r="D37" s="5" t="n">
        <v>9853</v>
      </c>
      <c r="E37" s="5" t="n">
        <v>80154</v>
      </c>
      <c r="F37" s="5" t="n">
        <v>3452</v>
      </c>
      <c r="G37" s="5" t="n">
        <v>68</v>
      </c>
      <c r="H37" s="5" t="n">
        <v>15633</v>
      </c>
      <c r="I37" s="5" t="n">
        <v>191154</v>
      </c>
      <c r="J37" s="11" t="n">
        <f aca="false">IF(I37=0,0,C37/I37)</f>
        <v>0.428942109503332</v>
      </c>
      <c r="K37" s="11" t="n">
        <f aca="false">IF(I37=0,0,D37/I37)</f>
        <v>0.0515448277305209</v>
      </c>
      <c r="L37" s="11" t="n">
        <f aca="false">IF(I37=0,0,E37/I37)</f>
        <v>0.419316362723249</v>
      </c>
      <c r="M37" s="11" t="n">
        <f aca="false">IF(I37=0,0,H37/I37)</f>
        <v>0.0817822279418689</v>
      </c>
      <c r="N37" s="4" t="str">
        <f aca="false">INDEX($C$3:$E$3,MATCH(MAX(C37:E37),C37:E37,0))</f>
        <v>PT-Morena-PES</v>
      </c>
      <c r="O37" s="17" t="n">
        <f aca="false">(MAX(J37:L37)-LARGE(J37:L37,2))*100</f>
        <v>0.96257467800831</v>
      </c>
    </row>
    <row r="38" customFormat="false" ht="15" hidden="false" customHeight="false" outlineLevel="0" collapsed="false">
      <c r="A38" s="4" t="s">
        <v>45</v>
      </c>
      <c r="B38" s="4" t="n">
        <v>11</v>
      </c>
      <c r="C38" s="5" t="n">
        <v>46853</v>
      </c>
      <c r="D38" s="5" t="n">
        <v>28635</v>
      </c>
      <c r="E38" s="5" t="n">
        <v>69172</v>
      </c>
      <c r="F38" s="5" t="n">
        <v>0</v>
      </c>
      <c r="G38" s="5" t="n">
        <v>25</v>
      </c>
      <c r="H38" s="5" t="n">
        <v>17514</v>
      </c>
      <c r="I38" s="5" t="n">
        <v>162199</v>
      </c>
      <c r="J38" s="11" t="n">
        <f aca="false">IF(I38=0,0,C38/I38)</f>
        <v>0.288861213694289</v>
      </c>
      <c r="K38" s="11" t="n">
        <f aca="false">IF(I38=0,0,D38/I38)</f>
        <v>0.1765423954525</v>
      </c>
      <c r="L38" s="11" t="n">
        <f aca="false">IF(I38=0,0,E38/I38)</f>
        <v>0.426463788309422</v>
      </c>
      <c r="M38" s="11" t="n">
        <f aca="false">IF(I38=0,0,H38/I38)</f>
        <v>0.107978470890696</v>
      </c>
      <c r="N38" s="4" t="str">
        <f aca="false">INDEX($C$3:$E$3,MATCH(MAX(C38:E38),C38:E38,0))</f>
        <v>PRI-PVEM-NA</v>
      </c>
      <c r="O38" s="17" t="n">
        <f aca="false">(MAX(J38:L38)-LARGE(J38:L38,2))*100</f>
        <v>13.7602574615133</v>
      </c>
    </row>
    <row r="39" customFormat="false" ht="15" hidden="false" customHeight="false" outlineLevel="0" collapsed="false">
      <c r="A39" s="4" t="s">
        <v>45</v>
      </c>
      <c r="B39" s="4" t="n">
        <v>12</v>
      </c>
      <c r="C39" s="5" t="n">
        <v>122521</v>
      </c>
      <c r="D39" s="5" t="n">
        <v>19763</v>
      </c>
      <c r="E39" s="5" t="n">
        <v>36994</v>
      </c>
      <c r="F39" s="5" t="n">
        <v>0</v>
      </c>
      <c r="G39" s="5" t="n">
        <v>145</v>
      </c>
      <c r="H39" s="5" t="n">
        <v>10473</v>
      </c>
      <c r="I39" s="5" t="n">
        <v>189896</v>
      </c>
      <c r="J39" s="11" t="n">
        <f aca="false">IF(I39=0,0,C39/I39)</f>
        <v>0.645200530816868</v>
      </c>
      <c r="K39" s="11" t="n">
        <f aca="false">IF(I39=0,0,D39/I39)</f>
        <v>0.104072755613599</v>
      </c>
      <c r="L39" s="11" t="n">
        <f aca="false">IF(I39=0,0,E39/I39)</f>
        <v>0.194811897038379</v>
      </c>
      <c r="M39" s="11" t="n">
        <f aca="false">IF(I39=0,0,H39/I39)</f>
        <v>0.0551512406791086</v>
      </c>
      <c r="N39" s="4" t="str">
        <f aca="false">INDEX($C$3:$E$3,MATCH(MAX(C39:E39),C39:E39,0))</f>
        <v>PT-Morena-PES</v>
      </c>
      <c r="O39" s="17" t="n">
        <f aca="false">(MAX(J39:L39)-LARGE(J39:L39,2))*100</f>
        <v>45.0388633778489</v>
      </c>
    </row>
    <row r="40" customFormat="false" ht="15" hidden="false" customHeight="false" outlineLevel="0" collapsed="false">
      <c r="A40" s="4" t="s">
        <v>45</v>
      </c>
      <c r="B40" s="4" t="n">
        <v>13</v>
      </c>
      <c r="C40" s="5" t="n">
        <v>81522</v>
      </c>
      <c r="D40" s="5" t="n">
        <v>19760</v>
      </c>
      <c r="E40" s="5" t="n">
        <v>58883</v>
      </c>
      <c r="F40" s="5" t="n">
        <v>0</v>
      </c>
      <c r="G40" s="5" t="n">
        <v>42</v>
      </c>
      <c r="H40" s="5" t="n">
        <v>17191</v>
      </c>
      <c r="I40" s="5" t="n">
        <v>177398</v>
      </c>
      <c r="J40" s="11" t="n">
        <f aca="false">IF(I40=0,0,C40/I40)</f>
        <v>0.459542948623998</v>
      </c>
      <c r="K40" s="11" t="n">
        <f aca="false">IF(I40=0,0,D40/I40)</f>
        <v>0.111387952513557</v>
      </c>
      <c r="L40" s="11" t="n">
        <f aca="false">IF(I40=0,0,E40/I40)</f>
        <v>0.331925951814564</v>
      </c>
      <c r="M40" s="11" t="n">
        <f aca="false">IF(I40=0,0,H40/I40)</f>
        <v>0.0969063912783684</v>
      </c>
      <c r="N40" s="4" t="str">
        <f aca="false">INDEX($C$3:$E$3,MATCH(MAX(C40:E40),C40:E40,0))</f>
        <v>PT-Morena-PES</v>
      </c>
      <c r="O40" s="17" t="n">
        <f aca="false">(MAX(J40:L40)-LARGE(J40:L40,2))*100</f>
        <v>12.7616996809434</v>
      </c>
    </row>
    <row r="41" customFormat="false" ht="15" hidden="false" customHeight="false" outlineLevel="0" collapsed="false">
      <c r="A41" s="4" t="s">
        <v>46</v>
      </c>
      <c r="B41" s="4" t="n">
        <v>1</v>
      </c>
      <c r="C41" s="5" t="n">
        <v>75178</v>
      </c>
      <c r="D41" s="5" t="n">
        <v>22112</v>
      </c>
      <c r="E41" s="5" t="n">
        <v>25489</v>
      </c>
      <c r="F41" s="5" t="n">
        <v>16867</v>
      </c>
      <c r="G41" s="5" t="n">
        <v>102</v>
      </c>
      <c r="H41" s="5" t="n">
        <v>4983</v>
      </c>
      <c r="I41" s="5" t="n">
        <v>144731</v>
      </c>
      <c r="J41" s="11" t="n">
        <f aca="false">IF(I41=0,0,C41/I41)</f>
        <v>0.519432602552321</v>
      </c>
      <c r="K41" s="11" t="n">
        <f aca="false">IF(I41=0,0,D41/I41)</f>
        <v>0.152779984937574</v>
      </c>
      <c r="L41" s="11" t="n">
        <f aca="false">IF(I41=0,0,E41/I41)</f>
        <v>0.176112926739952</v>
      </c>
      <c r="M41" s="11" t="n">
        <f aca="false">IF(I41=0,0,H41/I41)</f>
        <v>0.0344293896953659</v>
      </c>
      <c r="N41" s="4" t="str">
        <f aca="false">INDEX($C$3:$E$3,MATCH(MAX(C41:E41),C41:E41,0))</f>
        <v>PT-Morena-PES</v>
      </c>
      <c r="O41" s="17" t="n">
        <f aca="false">(MAX(J41:L41)-LARGE(J41:L41,2))*100</f>
        <v>34.3319675812369</v>
      </c>
    </row>
    <row r="42" customFormat="false" ht="15" hidden="false" customHeight="false" outlineLevel="0" collapsed="false">
      <c r="A42" s="4" t="s">
        <v>46</v>
      </c>
      <c r="B42" s="4" t="n">
        <v>2</v>
      </c>
      <c r="C42" s="5" t="n">
        <v>54026</v>
      </c>
      <c r="D42" s="5" t="n">
        <v>38077</v>
      </c>
      <c r="E42" s="5" t="n">
        <v>30883</v>
      </c>
      <c r="F42" s="5" t="n">
        <v>12568</v>
      </c>
      <c r="G42" s="5" t="n">
        <v>174</v>
      </c>
      <c r="H42" s="5" t="n">
        <v>6786</v>
      </c>
      <c r="I42" s="5" t="n">
        <v>142514</v>
      </c>
      <c r="J42" s="11" t="n">
        <f aca="false">IF(I42=0,0,C42/I42)</f>
        <v>0.379092580378068</v>
      </c>
      <c r="K42" s="11" t="n">
        <f aca="false">IF(I42=0,0,D42/I42)</f>
        <v>0.267180768205229</v>
      </c>
      <c r="L42" s="11" t="n">
        <f aca="false">IF(I42=0,0,E42/I42)</f>
        <v>0.21670151704394</v>
      </c>
      <c r="M42" s="11" t="n">
        <f aca="false">IF(I42=0,0,H42/I42)</f>
        <v>0.047616374531625</v>
      </c>
      <c r="N42" s="4" t="str">
        <f aca="false">INDEX($C$3:$E$3,MATCH(MAX(C42:E42),C42:E42,0))</f>
        <v>PT-Morena-PES</v>
      </c>
      <c r="O42" s="17" t="n">
        <f aca="false">(MAX(J42:L42)-LARGE(J42:L42,2))*100</f>
        <v>11.1911812172839</v>
      </c>
    </row>
    <row r="43" customFormat="false" ht="15" hidden="false" customHeight="false" outlineLevel="0" collapsed="false">
      <c r="A43" s="4" t="s">
        <v>46</v>
      </c>
      <c r="B43" s="4" t="n">
        <v>3</v>
      </c>
      <c r="C43" s="5" t="n">
        <v>51024</v>
      </c>
      <c r="D43" s="5" t="n">
        <v>18822</v>
      </c>
      <c r="E43" s="5" t="n">
        <v>28872</v>
      </c>
      <c r="F43" s="5" t="n">
        <v>21764</v>
      </c>
      <c r="G43" s="5" t="n">
        <v>190</v>
      </c>
      <c r="H43" s="5" t="n">
        <v>6311</v>
      </c>
      <c r="I43" s="5" t="n">
        <v>126983</v>
      </c>
      <c r="J43" s="11" t="n">
        <f aca="false">IF(I43=0,0,C43/I43)</f>
        <v>0.401817566130899</v>
      </c>
      <c r="K43" s="11" t="n">
        <f aca="false">IF(I43=0,0,D43/I43)</f>
        <v>0.148224565493019</v>
      </c>
      <c r="L43" s="11" t="n">
        <f aca="false">IF(I43=0,0,E43/I43)</f>
        <v>0.227369017900034</v>
      </c>
      <c r="M43" s="11" t="n">
        <f aca="false">IF(I43=0,0,H43/I43)</f>
        <v>0.049699566083649</v>
      </c>
      <c r="N43" s="4" t="str">
        <f aca="false">INDEX($C$3:$E$3,MATCH(MAX(C43:E43),C43:E43,0))</f>
        <v>PT-Morena-PES</v>
      </c>
      <c r="O43" s="17" t="n">
        <f aca="false">(MAX(J43:L43)-LARGE(J43:L43,2))*100</f>
        <v>17.4448548230866</v>
      </c>
    </row>
    <row r="44" customFormat="false" ht="15" hidden="false" customHeight="false" outlineLevel="0" collapsed="false">
      <c r="A44" s="4" t="s">
        <v>46</v>
      </c>
      <c r="B44" s="4" t="n">
        <v>4</v>
      </c>
      <c r="C44" s="5" t="n">
        <v>66453</v>
      </c>
      <c r="D44" s="5" t="n">
        <v>46884</v>
      </c>
      <c r="E44" s="5" t="n">
        <v>39036</v>
      </c>
      <c r="F44" s="5" t="n">
        <v>21867</v>
      </c>
      <c r="G44" s="5" t="n">
        <v>154</v>
      </c>
      <c r="H44" s="5" t="n">
        <v>6431</v>
      </c>
      <c r="I44" s="5" t="n">
        <v>180825</v>
      </c>
      <c r="J44" s="11" t="n">
        <f aca="false">IF(I44=0,0,C44/I44)</f>
        <v>0.367498963085857</v>
      </c>
      <c r="K44" s="11" t="n">
        <f aca="false">IF(I44=0,0,D44/I44)</f>
        <v>0.259278307756118</v>
      </c>
      <c r="L44" s="11" t="n">
        <f aca="false">IF(I44=0,0,E44/I44)</f>
        <v>0.215877229365409</v>
      </c>
      <c r="M44" s="11" t="n">
        <f aca="false">IF(I44=0,0,H44/I44)</f>
        <v>0.0355647725701645</v>
      </c>
      <c r="N44" s="4" t="str">
        <f aca="false">INDEX($C$3:$E$3,MATCH(MAX(C44:E44),C44:E44,0))</f>
        <v>PT-Morena-PES</v>
      </c>
      <c r="O44" s="17" t="n">
        <f aca="false">(MAX(J44:L44)-LARGE(J44:L44,2))*100</f>
        <v>10.8220655329739</v>
      </c>
    </row>
    <row r="45" customFormat="false" ht="15" hidden="false" customHeight="false" outlineLevel="0" collapsed="false">
      <c r="A45" s="4" t="s">
        <v>46</v>
      </c>
      <c r="B45" s="4" t="n">
        <v>5</v>
      </c>
      <c r="C45" s="5" t="n">
        <v>58544</v>
      </c>
      <c r="D45" s="5" t="n">
        <v>66792</v>
      </c>
      <c r="E45" s="5" t="n">
        <v>51590</v>
      </c>
      <c r="F45" s="5" t="n">
        <v>0</v>
      </c>
      <c r="G45" s="5" t="n">
        <v>64</v>
      </c>
      <c r="H45" s="5" t="n">
        <v>8009</v>
      </c>
      <c r="I45" s="5" t="n">
        <v>184999</v>
      </c>
      <c r="J45" s="11" t="n">
        <f aca="false">IF(I45=0,0,C45/I45)</f>
        <v>0.316455764625755</v>
      </c>
      <c r="K45" s="11" t="n">
        <f aca="false">IF(I45=0,0,D45/I45)</f>
        <v>0.361039789404267</v>
      </c>
      <c r="L45" s="11" t="n">
        <f aca="false">IF(I45=0,0,E45/I45)</f>
        <v>0.278866372250661</v>
      </c>
      <c r="M45" s="11" t="n">
        <f aca="false">IF(I45=0,0,H45/I45)</f>
        <v>0.0432921259033833</v>
      </c>
      <c r="N45" s="4" t="str">
        <f aca="false">INDEX($C$3:$E$3,MATCH(MAX(C45:E45),C45:E45,0))</f>
        <v>PAN-PRD-MC</v>
      </c>
      <c r="O45" s="17" t="n">
        <f aca="false">(MAX(J45:L45)-LARGE(J45:L45,2))*100</f>
        <v>4.45840247785123</v>
      </c>
    </row>
    <row r="46" customFormat="false" ht="15" hidden="false" customHeight="false" outlineLevel="0" collapsed="false">
      <c r="A46" s="4" t="s">
        <v>46</v>
      </c>
      <c r="B46" s="4" t="n">
        <v>6</v>
      </c>
      <c r="C46" s="5" t="n">
        <v>59800</v>
      </c>
      <c r="D46" s="5" t="n">
        <v>103469</v>
      </c>
      <c r="E46" s="5" t="n">
        <v>46021</v>
      </c>
      <c r="F46" s="5" t="n">
        <v>0</v>
      </c>
      <c r="G46" s="5" t="n">
        <v>122</v>
      </c>
      <c r="H46" s="5" t="n">
        <v>6998</v>
      </c>
      <c r="I46" s="5" t="n">
        <v>216410</v>
      </c>
      <c r="J46" s="11" t="n">
        <f aca="false">IF(I46=0,0,C46/I46)</f>
        <v>0.276327341620073</v>
      </c>
      <c r="K46" s="11" t="n">
        <f aca="false">IF(I46=0,0,D46/I46)</f>
        <v>0.478115613881059</v>
      </c>
      <c r="L46" s="11" t="n">
        <f aca="false">IF(I46=0,0,E46/I46)</f>
        <v>0.212656531583568</v>
      </c>
      <c r="M46" s="11" t="n">
        <f aca="false">IF(I46=0,0,H46/I46)</f>
        <v>0.0323367681715263</v>
      </c>
      <c r="N46" s="4" t="str">
        <f aca="false">INDEX($C$3:$E$3,MATCH(MAX(C46:E46),C46:E46,0))</f>
        <v>PAN-PRD-MC</v>
      </c>
      <c r="O46" s="17" t="n">
        <f aca="false">(MAX(J46:L46)-LARGE(J46:L46,2))*100</f>
        <v>20.1788272260986</v>
      </c>
    </row>
    <row r="47" customFormat="false" ht="15" hidden="false" customHeight="false" outlineLevel="0" collapsed="false">
      <c r="A47" s="4" t="s">
        <v>46</v>
      </c>
      <c r="B47" s="4" t="n">
        <v>7</v>
      </c>
      <c r="C47" s="5" t="n">
        <v>58134</v>
      </c>
      <c r="D47" s="5" t="n">
        <v>47443</v>
      </c>
      <c r="E47" s="5" t="n">
        <v>40361</v>
      </c>
      <c r="F47" s="5" t="n">
        <v>0</v>
      </c>
      <c r="G47" s="5" t="n">
        <v>51</v>
      </c>
      <c r="H47" s="5" t="n">
        <v>9514</v>
      </c>
      <c r="I47" s="5" t="n">
        <v>155503</v>
      </c>
      <c r="J47" s="11" t="n">
        <f aca="false">IF(I47=0,0,C47/I47)</f>
        <v>0.373844877590786</v>
      </c>
      <c r="K47" s="11" t="n">
        <f aca="false">IF(I47=0,0,D47/I47)</f>
        <v>0.305093792402719</v>
      </c>
      <c r="L47" s="11" t="n">
        <f aca="false">IF(I47=0,0,E47/I47)</f>
        <v>0.259551262676604</v>
      </c>
      <c r="M47" s="11" t="n">
        <f aca="false">IF(I47=0,0,H47/I47)</f>
        <v>0.0611820993807193</v>
      </c>
      <c r="N47" s="4" t="str">
        <f aca="false">INDEX($C$3:$E$3,MATCH(MAX(C47:E47),C47:E47,0))</f>
        <v>PT-Morena-PES</v>
      </c>
      <c r="O47" s="17" t="n">
        <f aca="false">(MAX(J47:L47)-LARGE(J47:L47,2))*100</f>
        <v>6.87510851880671</v>
      </c>
    </row>
    <row r="48" customFormat="false" ht="15" hidden="false" customHeight="false" outlineLevel="0" collapsed="false">
      <c r="A48" s="4" t="s">
        <v>46</v>
      </c>
      <c r="B48" s="4" t="n">
        <v>8</v>
      </c>
      <c r="C48" s="5" t="n">
        <v>60989</v>
      </c>
      <c r="D48" s="5" t="n">
        <v>72378</v>
      </c>
      <c r="E48" s="5" t="n">
        <v>41854</v>
      </c>
      <c r="F48" s="5" t="n">
        <v>0</v>
      </c>
      <c r="G48" s="5" t="n">
        <v>130</v>
      </c>
      <c r="H48" s="5" t="n">
        <v>7217</v>
      </c>
      <c r="I48" s="5" t="n">
        <v>182568</v>
      </c>
      <c r="J48" s="11" t="n">
        <f aca="false">IF(I48=0,0,C48/I48)</f>
        <v>0.334061829017133</v>
      </c>
      <c r="K48" s="11" t="n">
        <f aca="false">IF(I48=0,0,D48/I48)</f>
        <v>0.396444064677271</v>
      </c>
      <c r="L48" s="11" t="n">
        <f aca="false">IF(I48=0,0,E48/I48)</f>
        <v>0.229251566539591</v>
      </c>
      <c r="M48" s="11" t="n">
        <f aca="false">IF(I48=0,0,H48/I48)</f>
        <v>0.0395304763156742</v>
      </c>
      <c r="N48" s="4" t="str">
        <f aca="false">INDEX($C$3:$E$3,MATCH(MAX(C48:E48),C48:E48,0))</f>
        <v>PAN-PRD-MC</v>
      </c>
      <c r="O48" s="17" t="n">
        <f aca="false">(MAX(J48:L48)-LARGE(J48:L48,2))*100</f>
        <v>6.23822356601376</v>
      </c>
    </row>
    <row r="49" customFormat="false" ht="15" hidden="false" customHeight="false" outlineLevel="0" collapsed="false">
      <c r="A49" s="4" t="s">
        <v>46</v>
      </c>
      <c r="B49" s="4" t="n">
        <v>9</v>
      </c>
      <c r="C49" s="5" t="n">
        <v>31405</v>
      </c>
      <c r="D49" s="5" t="n">
        <v>53647</v>
      </c>
      <c r="E49" s="5" t="n">
        <v>58890</v>
      </c>
      <c r="F49" s="5" t="n">
        <v>0</v>
      </c>
      <c r="G49" s="5" t="n">
        <v>55</v>
      </c>
      <c r="H49" s="5" t="n">
        <v>11446</v>
      </c>
      <c r="I49" s="5" t="n">
        <v>155443</v>
      </c>
      <c r="J49" s="11" t="n">
        <f aca="false">IF(I49=0,0,C49/I49)</f>
        <v>0.202035472809969</v>
      </c>
      <c r="K49" s="11" t="n">
        <f aca="false">IF(I49=0,0,D49/I49)</f>
        <v>0.345123292782563</v>
      </c>
      <c r="L49" s="11" t="n">
        <f aca="false">IF(I49=0,0,E49/I49)</f>
        <v>0.378852698416783</v>
      </c>
      <c r="M49" s="11" t="n">
        <f aca="false">IF(I49=0,0,H49/I49)</f>
        <v>0.0736347085426812</v>
      </c>
      <c r="N49" s="4" t="str">
        <f aca="false">INDEX($C$3:$E$3,MATCH(MAX(C49:E49),C49:E49,0))</f>
        <v>PRI-PVEM-NA</v>
      </c>
      <c r="O49" s="17" t="n">
        <f aca="false">(MAX(J49:L49)-LARGE(J49:L49,2))*100</f>
        <v>3.37294056342196</v>
      </c>
    </row>
    <row r="50" customFormat="false" ht="15" hidden="false" customHeight="false" outlineLevel="0" collapsed="false">
      <c r="A50" s="4" t="s">
        <v>47</v>
      </c>
      <c r="B50" s="4" t="n">
        <v>1</v>
      </c>
      <c r="C50" s="5" t="n">
        <v>125878</v>
      </c>
      <c r="D50" s="5" t="n">
        <v>50624</v>
      </c>
      <c r="E50" s="5" t="n">
        <v>26596</v>
      </c>
      <c r="F50" s="5" t="n">
        <v>0</v>
      </c>
      <c r="G50" s="5" t="n">
        <v>124</v>
      </c>
      <c r="H50" s="5" t="n">
        <v>7602</v>
      </c>
      <c r="I50" s="5" t="n">
        <v>210824</v>
      </c>
      <c r="J50" s="11" t="n">
        <f aca="false">IF(I50=0,0,C50/I50)</f>
        <v>0.597076234204834</v>
      </c>
      <c r="K50" s="11" t="n">
        <f aca="false">IF(I50=0,0,D50/I50)</f>
        <v>0.240124464007893</v>
      </c>
      <c r="L50" s="11" t="n">
        <f aca="false">IF(I50=0,0,E50/I50)</f>
        <v>0.126152620195044</v>
      </c>
      <c r="M50" s="11" t="n">
        <f aca="false">IF(I50=0,0,H50/I50)</f>
        <v>0.0360585132622472</v>
      </c>
      <c r="N50" s="4" t="str">
        <f aca="false">INDEX($C$3:$E$3,MATCH(MAX(C50:E50),C50:E50,0))</f>
        <v>PT-Morena-PES</v>
      </c>
      <c r="O50" s="17" t="n">
        <f aca="false">(MAX(J50:L50)-LARGE(J50:L50,2))*100</f>
        <v>35.6951770196942</v>
      </c>
    </row>
    <row r="51" customFormat="false" ht="15" hidden="false" customHeight="false" outlineLevel="0" collapsed="false">
      <c r="A51" s="4" t="s">
        <v>47</v>
      </c>
      <c r="B51" s="4" t="n">
        <v>2</v>
      </c>
      <c r="C51" s="5" t="n">
        <v>128376</v>
      </c>
      <c r="D51" s="5" t="n">
        <v>74266</v>
      </c>
      <c r="E51" s="5" t="n">
        <v>46155</v>
      </c>
      <c r="F51" s="5" t="n">
        <v>0</v>
      </c>
      <c r="G51" s="5" t="n">
        <v>231</v>
      </c>
      <c r="H51" s="5" t="n">
        <v>8694</v>
      </c>
      <c r="I51" s="5" t="n">
        <v>257722</v>
      </c>
      <c r="J51" s="11" t="n">
        <f aca="false">IF(I51=0,0,C51/I51)</f>
        <v>0.498118127284438</v>
      </c>
      <c r="K51" s="11" t="n">
        <f aca="false">IF(I51=0,0,D51/I51)</f>
        <v>0.288163214626613</v>
      </c>
      <c r="L51" s="11" t="n">
        <f aca="false">IF(I51=0,0,E51/I51)</f>
        <v>0.179088319972684</v>
      </c>
      <c r="M51" s="11" t="n">
        <f aca="false">IF(I51=0,0,H51/I51)</f>
        <v>0.0337340234826674</v>
      </c>
      <c r="N51" s="4" t="str">
        <f aca="false">INDEX($C$3:$E$3,MATCH(MAX(C51:E51),C51:E51,0))</f>
        <v>PT-Morena-PES</v>
      </c>
      <c r="O51" s="17" t="n">
        <f aca="false">(MAX(J51:L51)-LARGE(J51:L51,2))*100</f>
        <v>20.9954912657825</v>
      </c>
    </row>
    <row r="52" customFormat="false" ht="15" hidden="false" customHeight="false" outlineLevel="0" collapsed="false">
      <c r="A52" s="4" t="s">
        <v>47</v>
      </c>
      <c r="B52" s="4" t="n">
        <v>3</v>
      </c>
      <c r="C52" s="5" t="n">
        <v>142060</v>
      </c>
      <c r="D52" s="5" t="n">
        <v>80643</v>
      </c>
      <c r="E52" s="5" t="n">
        <v>40871</v>
      </c>
      <c r="F52" s="5" t="n">
        <v>0</v>
      </c>
      <c r="G52" s="5" t="n">
        <v>263</v>
      </c>
      <c r="H52" s="5" t="n">
        <v>9397</v>
      </c>
      <c r="I52" s="5" t="n">
        <v>273234</v>
      </c>
      <c r="J52" s="11" t="n">
        <f aca="false">IF(I52=0,0,C52/I52)</f>
        <v>0.519920654091365</v>
      </c>
      <c r="K52" s="11" t="n">
        <f aca="false">IF(I52=0,0,D52/I52)</f>
        <v>0.295142625002745</v>
      </c>
      <c r="L52" s="11" t="n">
        <f aca="false">IF(I52=0,0,E52/I52)</f>
        <v>0.149582409217008</v>
      </c>
      <c r="M52" s="11" t="n">
        <f aca="false">IF(I52=0,0,H52/I52)</f>
        <v>0.0343917667640191</v>
      </c>
      <c r="N52" s="4" t="str">
        <f aca="false">INDEX($C$3:$E$3,MATCH(MAX(C52:E52),C52:E52,0))</f>
        <v>PT-Morena-PES</v>
      </c>
      <c r="O52" s="17" t="n">
        <f aca="false">(MAX(J52:L52)-LARGE(J52:L52,2))*100</f>
        <v>22.477802908862</v>
      </c>
    </row>
    <row r="53" customFormat="false" ht="15" hidden="false" customHeight="false" outlineLevel="0" collapsed="false">
      <c r="A53" s="4" t="s">
        <v>47</v>
      </c>
      <c r="B53" s="4" t="n">
        <v>4</v>
      </c>
      <c r="C53" s="5" t="n">
        <v>113378</v>
      </c>
      <c r="D53" s="5" t="n">
        <v>49625</v>
      </c>
      <c r="E53" s="5" t="n">
        <v>23749</v>
      </c>
      <c r="F53" s="5" t="n">
        <v>0</v>
      </c>
      <c r="G53" s="5" t="n">
        <v>160</v>
      </c>
      <c r="H53" s="5" t="n">
        <v>7392</v>
      </c>
      <c r="I53" s="5" t="n">
        <v>194304</v>
      </c>
      <c r="J53" s="11" t="n">
        <f aca="false">IF(I53=0,0,C53/I53)</f>
        <v>0.583508316864295</v>
      </c>
      <c r="K53" s="11" t="n">
        <f aca="false">IF(I53=0,0,D53/I53)</f>
        <v>0.255398756587615</v>
      </c>
      <c r="L53" s="11" t="n">
        <f aca="false">IF(I53=0,0,E53/I53)</f>
        <v>0.122225996376812</v>
      </c>
      <c r="M53" s="11" t="n">
        <f aca="false">IF(I53=0,0,H53/I53)</f>
        <v>0.0380434782608696</v>
      </c>
      <c r="N53" s="4" t="str">
        <f aca="false">INDEX($C$3:$E$3,MATCH(MAX(C53:E53),C53:E53,0))</f>
        <v>PT-Morena-PES</v>
      </c>
      <c r="O53" s="17" t="n">
        <f aca="false">(MAX(J53:L53)-LARGE(J53:L53,2))*100</f>
        <v>32.810956027668</v>
      </c>
    </row>
    <row r="54" customFormat="false" ht="15" hidden="false" customHeight="false" outlineLevel="0" collapsed="false">
      <c r="A54" s="4" t="s">
        <v>47</v>
      </c>
      <c r="B54" s="4" t="n">
        <v>5</v>
      </c>
      <c r="C54" s="5" t="n">
        <v>96243</v>
      </c>
      <c r="D54" s="5" t="n">
        <v>54999</v>
      </c>
      <c r="E54" s="5" t="n">
        <v>31271</v>
      </c>
      <c r="F54" s="5" t="n">
        <v>0</v>
      </c>
      <c r="G54" s="5" t="n">
        <v>159</v>
      </c>
      <c r="H54" s="5" t="n">
        <v>7179</v>
      </c>
      <c r="I54" s="5" t="n">
        <v>189851</v>
      </c>
      <c r="J54" s="11" t="n">
        <f aca="false">IF(I54=0,0,C54/I54)</f>
        <v>0.506939652674993</v>
      </c>
      <c r="K54" s="11" t="n">
        <f aca="false">IF(I54=0,0,D54/I54)</f>
        <v>0.289695603394241</v>
      </c>
      <c r="L54" s="11" t="n">
        <f aca="false">IF(I54=0,0,E54/I54)</f>
        <v>0.164713380493124</v>
      </c>
      <c r="M54" s="11" t="n">
        <f aca="false">IF(I54=0,0,H54/I54)</f>
        <v>0.037813864556942</v>
      </c>
      <c r="N54" s="4" t="str">
        <f aca="false">INDEX($C$3:$E$3,MATCH(MAX(C54:E54),C54:E54,0))</f>
        <v>PT-Morena-PES</v>
      </c>
      <c r="O54" s="17" t="n">
        <f aca="false">(MAX(J54:L54)-LARGE(J54:L54,2))*100</f>
        <v>21.7244049280752</v>
      </c>
    </row>
    <row r="55" customFormat="false" ht="15" hidden="false" customHeight="false" outlineLevel="0" collapsed="false">
      <c r="A55" s="4" t="s">
        <v>47</v>
      </c>
      <c r="B55" s="4" t="n">
        <v>6</v>
      </c>
      <c r="C55" s="5" t="n">
        <v>101571</v>
      </c>
      <c r="D55" s="5" t="n">
        <v>69329</v>
      </c>
      <c r="E55" s="5" t="n">
        <v>46687</v>
      </c>
      <c r="F55" s="5" t="n">
        <v>0</v>
      </c>
      <c r="G55" s="5" t="n">
        <v>165</v>
      </c>
      <c r="H55" s="5" t="n">
        <v>8149</v>
      </c>
      <c r="I55" s="5" t="n">
        <v>225901</v>
      </c>
      <c r="J55" s="11" t="n">
        <f aca="false">IF(I55=0,0,C55/I55)</f>
        <v>0.449626163673468</v>
      </c>
      <c r="K55" s="11" t="n">
        <f aca="false">IF(I55=0,0,D55/I55)</f>
        <v>0.306899925188468</v>
      </c>
      <c r="L55" s="11" t="n">
        <f aca="false">IF(I55=0,0,E55/I55)</f>
        <v>0.206670178529533</v>
      </c>
      <c r="M55" s="11" t="n">
        <f aca="false">IF(I55=0,0,H55/I55)</f>
        <v>0.0360733241552716</v>
      </c>
      <c r="N55" s="4" t="str">
        <f aca="false">INDEX($C$3:$E$3,MATCH(MAX(C55:E55),C55:E55,0))</f>
        <v>PT-Morena-PES</v>
      </c>
      <c r="O55" s="17" t="n">
        <f aca="false">(MAX(J55:L55)-LARGE(J55:L55,2))*100</f>
        <v>14.2726238485</v>
      </c>
    </row>
    <row r="56" customFormat="false" ht="15" hidden="false" customHeight="false" outlineLevel="0" collapsed="false">
      <c r="A56" s="4" t="s">
        <v>47</v>
      </c>
      <c r="B56" s="4" t="n">
        <v>7</v>
      </c>
      <c r="C56" s="5" t="n">
        <v>134693</v>
      </c>
      <c r="D56" s="5" t="n">
        <v>80129</v>
      </c>
      <c r="E56" s="5" t="n">
        <v>36936</v>
      </c>
      <c r="F56" s="5" t="n">
        <v>0</v>
      </c>
      <c r="G56" s="5" t="n">
        <v>189</v>
      </c>
      <c r="H56" s="5" t="n">
        <v>8563</v>
      </c>
      <c r="I56" s="5" t="n">
        <v>260510</v>
      </c>
      <c r="J56" s="11" t="n">
        <f aca="false">IF(I56=0,0,C56/I56)</f>
        <v>0.517035814364132</v>
      </c>
      <c r="K56" s="11" t="n">
        <f aca="false">IF(I56=0,0,D56/I56)</f>
        <v>0.307585121492457</v>
      </c>
      <c r="L56" s="11" t="n">
        <f aca="false">IF(I56=0,0,E56/I56)</f>
        <v>0.141783424820544</v>
      </c>
      <c r="M56" s="11" t="n">
        <f aca="false">IF(I56=0,0,H56/I56)</f>
        <v>0.0328701393420598</v>
      </c>
      <c r="N56" s="4" t="str">
        <f aca="false">INDEX($C$3:$E$3,MATCH(MAX(C56:E56),C56:E56,0))</f>
        <v>PT-Morena-PES</v>
      </c>
      <c r="O56" s="17" t="n">
        <f aca="false">(MAX(J56:L56)-LARGE(J56:L56,2))*100</f>
        <v>20.9450692871675</v>
      </c>
    </row>
    <row r="57" customFormat="false" ht="15" hidden="false" customHeight="false" outlineLevel="0" collapsed="false">
      <c r="A57" s="4" t="s">
        <v>47</v>
      </c>
      <c r="B57" s="4" t="n">
        <v>8</v>
      </c>
      <c r="C57" s="5" t="n">
        <v>96726</v>
      </c>
      <c r="D57" s="5" t="n">
        <v>47175</v>
      </c>
      <c r="E57" s="5" t="n">
        <v>34997</v>
      </c>
      <c r="F57" s="5" t="n">
        <v>0</v>
      </c>
      <c r="G57" s="5" t="n">
        <v>186</v>
      </c>
      <c r="H57" s="5" t="n">
        <v>7319</v>
      </c>
      <c r="I57" s="5" t="n">
        <v>186403</v>
      </c>
      <c r="J57" s="11" t="n">
        <f aca="false">IF(I57=0,0,C57/I57)</f>
        <v>0.518907957489955</v>
      </c>
      <c r="K57" s="11" t="n">
        <f aca="false">IF(I57=0,0,D57/I57)</f>
        <v>0.253080690761415</v>
      </c>
      <c r="L57" s="11" t="n">
        <f aca="false">IF(I57=0,0,E57/I57)</f>
        <v>0.187749124209374</v>
      </c>
      <c r="M57" s="11" t="n">
        <f aca="false">IF(I57=0,0,H57/I57)</f>
        <v>0.0392643895216279</v>
      </c>
      <c r="N57" s="4" t="str">
        <f aca="false">INDEX($C$3:$E$3,MATCH(MAX(C57:E57),C57:E57,0))</f>
        <v>PT-Morena-PES</v>
      </c>
      <c r="O57" s="17" t="n">
        <f aca="false">(MAX(J57:L57)-LARGE(J57:L57,2))*100</f>
        <v>26.582726672854</v>
      </c>
    </row>
    <row r="58" customFormat="false" ht="15" hidden="false" customHeight="false" outlineLevel="0" collapsed="false">
      <c r="A58" s="4" t="s">
        <v>47</v>
      </c>
      <c r="B58" s="4" t="n">
        <v>9</v>
      </c>
      <c r="C58" s="5" t="n">
        <v>113547</v>
      </c>
      <c r="D58" s="5" t="n">
        <v>37611</v>
      </c>
      <c r="E58" s="5" t="n">
        <v>37109</v>
      </c>
      <c r="F58" s="5" t="n">
        <v>0</v>
      </c>
      <c r="G58" s="5" t="n">
        <v>133</v>
      </c>
      <c r="H58" s="5" t="n">
        <v>7727</v>
      </c>
      <c r="I58" s="5" t="n">
        <v>196127</v>
      </c>
      <c r="J58" s="11" t="n">
        <f aca="false">IF(I58=0,0,C58/I58)</f>
        <v>0.578946295002728</v>
      </c>
      <c r="K58" s="11" t="n">
        <f aca="false">IF(I58=0,0,D58/I58)</f>
        <v>0.191768598918048</v>
      </c>
      <c r="L58" s="11" t="n">
        <f aca="false">IF(I58=0,0,E58/I58)</f>
        <v>0.189209032922545</v>
      </c>
      <c r="M58" s="11" t="n">
        <f aca="false">IF(I58=0,0,H58/I58)</f>
        <v>0.0393979411299821</v>
      </c>
      <c r="N58" s="4" t="str">
        <f aca="false">INDEX($C$3:$E$3,MATCH(MAX(C58:E58),C58:E58,0))</f>
        <v>PT-Morena-PES</v>
      </c>
      <c r="O58" s="17" t="n">
        <f aca="false">(MAX(J58:L58)-LARGE(J58:L58,2))*100</f>
        <v>38.717769608468</v>
      </c>
    </row>
    <row r="59" customFormat="false" ht="15" hidden="false" customHeight="false" outlineLevel="0" collapsed="false">
      <c r="A59" s="4" t="s">
        <v>47</v>
      </c>
      <c r="B59" s="4" t="n">
        <v>10</v>
      </c>
      <c r="C59" s="5" t="n">
        <v>97212</v>
      </c>
      <c r="D59" s="5" t="n">
        <v>84747</v>
      </c>
      <c r="E59" s="5" t="n">
        <v>37234</v>
      </c>
      <c r="F59" s="5" t="n">
        <v>0</v>
      </c>
      <c r="G59" s="5" t="n">
        <v>209</v>
      </c>
      <c r="H59" s="5" t="n">
        <v>7017</v>
      </c>
      <c r="I59" s="5" t="n">
        <v>226419</v>
      </c>
      <c r="J59" s="11" t="n">
        <f aca="false">IF(I59=0,0,C59/I59)</f>
        <v>0.429345593788507</v>
      </c>
      <c r="K59" s="11" t="n">
        <f aca="false">IF(I59=0,0,D59/I59)</f>
        <v>0.374292793449313</v>
      </c>
      <c r="L59" s="11" t="n">
        <f aca="false">IF(I59=0,0,E59/I59)</f>
        <v>0.164447329950225</v>
      </c>
      <c r="M59" s="11" t="n">
        <f aca="false">IF(I59=0,0,H59/I59)</f>
        <v>0.0309912154015343</v>
      </c>
      <c r="N59" s="4" t="str">
        <f aca="false">INDEX($C$3:$E$3,MATCH(MAX(C59:E59),C59:E59,0))</f>
        <v>PT-Morena-PES</v>
      </c>
      <c r="O59" s="17" t="n">
        <f aca="false">(MAX(J59:L59)-LARGE(J59:L59,2))*100</f>
        <v>5.50528003391942</v>
      </c>
    </row>
    <row r="60" customFormat="false" ht="15" hidden="false" customHeight="false" outlineLevel="0" collapsed="false">
      <c r="A60" s="4" t="s">
        <v>47</v>
      </c>
      <c r="B60" s="4" t="n">
        <v>11</v>
      </c>
      <c r="C60" s="5" t="n">
        <v>105059</v>
      </c>
      <c r="D60" s="5" t="n">
        <v>73570</v>
      </c>
      <c r="E60" s="5" t="n">
        <v>31282</v>
      </c>
      <c r="F60" s="5" t="n">
        <v>0</v>
      </c>
      <c r="G60" s="5" t="n">
        <v>182</v>
      </c>
      <c r="H60" s="5" t="n">
        <v>7066</v>
      </c>
      <c r="I60" s="5" t="n">
        <v>217159</v>
      </c>
      <c r="J60" s="11" t="n">
        <f aca="false">IF(I60=0,0,C60/I60)</f>
        <v>0.48378837625887</v>
      </c>
      <c r="K60" s="11" t="n">
        <f aca="false">IF(I60=0,0,D60/I60)</f>
        <v>0.338784024608697</v>
      </c>
      <c r="L60" s="11" t="n">
        <f aca="false">IF(I60=0,0,E60/I60)</f>
        <v>0.144051133040767</v>
      </c>
      <c r="M60" s="11" t="n">
        <f aca="false">IF(I60=0,0,H60/I60)</f>
        <v>0.0325383705027192</v>
      </c>
      <c r="N60" s="4" t="str">
        <f aca="false">INDEX($C$3:$E$3,MATCH(MAX(C60:E60),C60:E60,0))</f>
        <v>PT-Morena-PES</v>
      </c>
      <c r="O60" s="17" t="n">
        <f aca="false">(MAX(J60:L60)-LARGE(J60:L60,2))*100</f>
        <v>14.5004351650173</v>
      </c>
    </row>
    <row r="61" customFormat="false" ht="15" hidden="false" customHeight="false" outlineLevel="0" collapsed="false">
      <c r="A61" s="4" t="s">
        <v>47</v>
      </c>
      <c r="B61" s="4" t="n">
        <v>12</v>
      </c>
      <c r="C61" s="5" t="n">
        <v>100687</v>
      </c>
      <c r="D61" s="5" t="n">
        <v>53457</v>
      </c>
      <c r="E61" s="5" t="n">
        <v>38805</v>
      </c>
      <c r="F61" s="5" t="n">
        <v>0</v>
      </c>
      <c r="G61" s="5" t="n">
        <v>284</v>
      </c>
      <c r="H61" s="5" t="n">
        <v>7357</v>
      </c>
      <c r="I61" s="5" t="n">
        <v>200590</v>
      </c>
      <c r="J61" s="11" t="n">
        <f aca="false">IF(I61=0,0,C61/I61)</f>
        <v>0.50195423500673</v>
      </c>
      <c r="K61" s="11" t="n">
        <f aca="false">IF(I61=0,0,D61/I61)</f>
        <v>0.266498828456055</v>
      </c>
      <c r="L61" s="11" t="n">
        <f aca="false">IF(I61=0,0,E61/I61)</f>
        <v>0.193454309786131</v>
      </c>
      <c r="M61" s="11" t="n">
        <f aca="false">IF(I61=0,0,H61/I61)</f>
        <v>0.0366768034298818</v>
      </c>
      <c r="N61" s="4" t="str">
        <f aca="false">INDEX($C$3:$E$3,MATCH(MAX(C61:E61),C61:E61,0))</f>
        <v>PT-Morena-PES</v>
      </c>
      <c r="O61" s="17" t="n">
        <f aca="false">(MAX(J61:L61)-LARGE(J61:L61,2))*100</f>
        <v>23.5455406550676</v>
      </c>
    </row>
    <row r="62" customFormat="false" ht="15" hidden="false" customHeight="false" outlineLevel="0" collapsed="false">
      <c r="A62" s="4" t="s">
        <v>47</v>
      </c>
      <c r="B62" s="4" t="n">
        <v>13</v>
      </c>
      <c r="C62" s="5" t="n">
        <v>135765</v>
      </c>
      <c r="D62" s="5" t="n">
        <v>74275</v>
      </c>
      <c r="E62" s="5" t="n">
        <v>37062</v>
      </c>
      <c r="F62" s="5" t="n">
        <v>0</v>
      </c>
      <c r="G62" s="5" t="n">
        <v>211</v>
      </c>
      <c r="H62" s="5" t="n">
        <v>8560</v>
      </c>
      <c r="I62" s="5" t="n">
        <v>255873</v>
      </c>
      <c r="J62" s="11" t="n">
        <f aca="false">IF(I62=0,0,C62/I62)</f>
        <v>0.530595256240401</v>
      </c>
      <c r="K62" s="11" t="n">
        <f aca="false">IF(I62=0,0,D62/I62)</f>
        <v>0.290280725203519</v>
      </c>
      <c r="L62" s="11" t="n">
        <f aca="false">IF(I62=0,0,E62/I62)</f>
        <v>0.144845294345242</v>
      </c>
      <c r="M62" s="11" t="n">
        <f aca="false">IF(I62=0,0,H62/I62)</f>
        <v>0.0334540963681201</v>
      </c>
      <c r="N62" s="4" t="str">
        <f aca="false">INDEX($C$3:$E$3,MATCH(MAX(C62:E62),C62:E62,0))</f>
        <v>PT-Morena-PES</v>
      </c>
      <c r="O62" s="17" t="n">
        <f aca="false">(MAX(J62:L62)-LARGE(J62:L62,2))*100</f>
        <v>24.0314531036882</v>
      </c>
    </row>
    <row r="63" customFormat="false" ht="15" hidden="false" customHeight="false" outlineLevel="0" collapsed="false">
      <c r="A63" s="4" t="s">
        <v>47</v>
      </c>
      <c r="B63" s="4" t="n">
        <v>14</v>
      </c>
      <c r="C63" s="5" t="n">
        <v>101941</v>
      </c>
      <c r="D63" s="5" t="n">
        <v>54394</v>
      </c>
      <c r="E63" s="5" t="n">
        <v>27126</v>
      </c>
      <c r="F63" s="5" t="n">
        <v>0</v>
      </c>
      <c r="G63" s="5" t="n">
        <v>174</v>
      </c>
      <c r="H63" s="5" t="n">
        <v>6582</v>
      </c>
      <c r="I63" s="5" t="n">
        <v>190217</v>
      </c>
      <c r="J63" s="11" t="n">
        <f aca="false">IF(I63=0,0,C63/I63)</f>
        <v>0.535919502462977</v>
      </c>
      <c r="K63" s="11" t="n">
        <f aca="false">IF(I63=0,0,D63/I63)</f>
        <v>0.285957616827097</v>
      </c>
      <c r="L63" s="11" t="n">
        <f aca="false">IF(I63=0,0,E63/I63)</f>
        <v>0.142605550502847</v>
      </c>
      <c r="M63" s="11" t="n">
        <f aca="false">IF(I63=0,0,H63/I63)</f>
        <v>0.0346025854681758</v>
      </c>
      <c r="N63" s="4" t="str">
        <f aca="false">INDEX($C$3:$E$3,MATCH(MAX(C63:E63),C63:E63,0))</f>
        <v>PT-Morena-PES</v>
      </c>
      <c r="O63" s="17" t="n">
        <f aca="false">(MAX(J63:L63)-LARGE(J63:L63,2))*100</f>
        <v>24.9961885635879</v>
      </c>
    </row>
    <row r="64" customFormat="false" ht="15" hidden="false" customHeight="false" outlineLevel="0" collapsed="false">
      <c r="A64" s="4" t="s">
        <v>47</v>
      </c>
      <c r="B64" s="4" t="n">
        <v>15</v>
      </c>
      <c r="C64" s="5" t="n">
        <v>99717</v>
      </c>
      <c r="D64" s="5" t="n">
        <v>113885</v>
      </c>
      <c r="E64" s="5" t="n">
        <v>50463</v>
      </c>
      <c r="F64" s="5" t="n">
        <v>0</v>
      </c>
      <c r="G64" s="5" t="n">
        <v>323</v>
      </c>
      <c r="H64" s="5" t="n">
        <v>8061</v>
      </c>
      <c r="I64" s="5" t="n">
        <v>272449</v>
      </c>
      <c r="J64" s="11" t="n">
        <f aca="false">IF(I64=0,0,C64/I64)</f>
        <v>0.366002444494199</v>
      </c>
      <c r="K64" s="11" t="n">
        <f aca="false">IF(I64=0,0,D64/I64)</f>
        <v>0.418004837602634</v>
      </c>
      <c r="L64" s="11" t="n">
        <f aca="false">IF(I64=0,0,E64/I64)</f>
        <v>0.185219986125844</v>
      </c>
      <c r="M64" s="11" t="n">
        <f aca="false">IF(I64=0,0,H64/I64)</f>
        <v>0.0295871887949671</v>
      </c>
      <c r="N64" s="4" t="str">
        <f aca="false">INDEX($C$3:$E$3,MATCH(MAX(C64:E64),C64:E64,0))</f>
        <v>PAN-PRD-MC</v>
      </c>
      <c r="O64" s="17" t="n">
        <f aca="false">(MAX(J64:L64)-LARGE(J64:L64,2))*100</f>
        <v>5.2002393108435</v>
      </c>
    </row>
    <row r="65" customFormat="false" ht="15" hidden="false" customHeight="false" outlineLevel="0" collapsed="false">
      <c r="A65" s="4" t="s">
        <v>47</v>
      </c>
      <c r="B65" s="4" t="n">
        <v>16</v>
      </c>
      <c r="C65" s="5" t="n">
        <v>114119</v>
      </c>
      <c r="D65" s="5" t="n">
        <v>75062</v>
      </c>
      <c r="E65" s="5" t="n">
        <v>34121</v>
      </c>
      <c r="F65" s="5" t="n">
        <v>0</v>
      </c>
      <c r="G65" s="5" t="n">
        <v>222</v>
      </c>
      <c r="H65" s="5" t="n">
        <v>8370</v>
      </c>
      <c r="I65" s="5" t="n">
        <v>231894</v>
      </c>
      <c r="J65" s="11" t="n">
        <f aca="false">IF(I65=0,0,C65/I65)</f>
        <v>0.492117087979853</v>
      </c>
      <c r="K65" s="11" t="n">
        <f aca="false">IF(I65=0,0,D65/I65)</f>
        <v>0.323690996748514</v>
      </c>
      <c r="L65" s="11" t="n">
        <f aca="false">IF(I65=0,0,E65/I65)</f>
        <v>0.147140503850897</v>
      </c>
      <c r="M65" s="11" t="n">
        <f aca="false">IF(I65=0,0,H65/I65)</f>
        <v>0.0360940774664286</v>
      </c>
      <c r="N65" s="4" t="str">
        <f aca="false">INDEX($C$3:$E$3,MATCH(MAX(C65:E65),C65:E65,0))</f>
        <v>PT-Morena-PES</v>
      </c>
      <c r="O65" s="17" t="n">
        <f aca="false">(MAX(J65:L65)-LARGE(J65:L65,2))*100</f>
        <v>16.8426091231338</v>
      </c>
    </row>
    <row r="66" customFormat="false" ht="15" hidden="false" customHeight="false" outlineLevel="0" collapsed="false">
      <c r="A66" s="4" t="s">
        <v>47</v>
      </c>
      <c r="B66" s="4" t="n">
        <v>17</v>
      </c>
      <c r="C66" s="5" t="n">
        <v>96100</v>
      </c>
      <c r="D66" s="5" t="n">
        <v>72592</v>
      </c>
      <c r="E66" s="5" t="n">
        <v>50251</v>
      </c>
      <c r="F66" s="5" t="n">
        <v>0</v>
      </c>
      <c r="G66" s="5" t="n">
        <v>112</v>
      </c>
      <c r="H66" s="5" t="n">
        <v>7667</v>
      </c>
      <c r="I66" s="5" t="n">
        <v>226722</v>
      </c>
      <c r="J66" s="11" t="n">
        <f aca="false">IF(I66=0,0,C66/I66)</f>
        <v>0.423867114792565</v>
      </c>
      <c r="K66" s="11" t="n">
        <f aca="false">IF(I66=0,0,D66/I66)</f>
        <v>0.320180661779624</v>
      </c>
      <c r="L66" s="11" t="n">
        <f aca="false">IF(I66=0,0,E66/I66)</f>
        <v>0.221641481638306</v>
      </c>
      <c r="M66" s="11" t="n">
        <f aca="false">IF(I66=0,0,H66/I66)</f>
        <v>0.0338167447358439</v>
      </c>
      <c r="N66" s="4" t="str">
        <f aca="false">INDEX($C$3:$E$3,MATCH(MAX(C66:E66),C66:E66,0))</f>
        <v>PT-Morena-PES</v>
      </c>
      <c r="O66" s="17" t="n">
        <f aca="false">(MAX(J66:L66)-LARGE(J66:L66,2))*100</f>
        <v>10.3686453012941</v>
      </c>
    </row>
    <row r="67" customFormat="false" ht="15" hidden="false" customHeight="false" outlineLevel="0" collapsed="false">
      <c r="A67" s="4" t="s">
        <v>47</v>
      </c>
      <c r="B67" s="4" t="n">
        <v>18</v>
      </c>
      <c r="C67" s="5" t="n">
        <v>119001</v>
      </c>
      <c r="D67" s="5" t="n">
        <v>71777</v>
      </c>
      <c r="E67" s="5" t="n">
        <v>33391</v>
      </c>
      <c r="F67" s="5" t="n">
        <v>0</v>
      </c>
      <c r="G67" s="5" t="n">
        <v>185</v>
      </c>
      <c r="H67" s="5" t="n">
        <v>8615</v>
      </c>
      <c r="I67" s="5" t="n">
        <v>232969</v>
      </c>
      <c r="J67" s="11" t="n">
        <f aca="false">IF(I67=0,0,C67/I67)</f>
        <v>0.510801866342732</v>
      </c>
      <c r="K67" s="11" t="n">
        <f aca="false">IF(I67=0,0,D67/I67)</f>
        <v>0.308096785409218</v>
      </c>
      <c r="L67" s="11" t="n">
        <f aca="false">IF(I67=0,0,E67/I67)</f>
        <v>0.143328082277041</v>
      </c>
      <c r="M67" s="11" t="n">
        <f aca="false">IF(I67=0,0,H67/I67)</f>
        <v>0.0369791689023003</v>
      </c>
      <c r="N67" s="4" t="str">
        <f aca="false">INDEX($C$3:$E$3,MATCH(MAX(C67:E67),C67:E67,0))</f>
        <v>PT-Morena-PES</v>
      </c>
      <c r="O67" s="17" t="n">
        <f aca="false">(MAX(J67:L67)-LARGE(J67:L67,2))*100</f>
        <v>20.2705080933515</v>
      </c>
    </row>
    <row r="68" customFormat="false" ht="15" hidden="false" customHeight="false" outlineLevel="0" collapsed="false">
      <c r="A68" s="4" t="s">
        <v>47</v>
      </c>
      <c r="B68" s="4" t="n">
        <v>19</v>
      </c>
      <c r="C68" s="5" t="n">
        <v>122168</v>
      </c>
      <c r="D68" s="5" t="n">
        <v>57196</v>
      </c>
      <c r="E68" s="5" t="n">
        <v>27185</v>
      </c>
      <c r="F68" s="5" t="n">
        <v>0</v>
      </c>
      <c r="G68" s="5" t="n">
        <v>157</v>
      </c>
      <c r="H68" s="5" t="n">
        <v>7556</v>
      </c>
      <c r="I68" s="5" t="n">
        <v>214262</v>
      </c>
      <c r="J68" s="11" t="n">
        <f aca="false">IF(I68=0,0,C68/I68)</f>
        <v>0.570180433301285</v>
      </c>
      <c r="K68" s="11" t="n">
        <f aca="false">IF(I68=0,0,D68/I68)</f>
        <v>0.266944208492407</v>
      </c>
      <c r="L68" s="11" t="n">
        <f aca="false">IF(I68=0,0,E68/I68)</f>
        <v>0.126877374429437</v>
      </c>
      <c r="M68" s="11" t="n">
        <f aca="false">IF(I68=0,0,H68/I68)</f>
        <v>0.0352652360194528</v>
      </c>
      <c r="N68" s="4" t="str">
        <f aca="false">INDEX($C$3:$E$3,MATCH(MAX(C68:E68),C68:E68,0))</f>
        <v>PT-Morena-PES</v>
      </c>
      <c r="O68" s="17" t="n">
        <f aca="false">(MAX(J68:L68)-LARGE(J68:L68,2))*100</f>
        <v>30.3236224808879</v>
      </c>
    </row>
    <row r="69" customFormat="false" ht="15" hidden="false" customHeight="false" outlineLevel="0" collapsed="false">
      <c r="A69" s="4" t="s">
        <v>47</v>
      </c>
      <c r="B69" s="4" t="n">
        <v>20</v>
      </c>
      <c r="C69" s="5" t="n">
        <v>112562</v>
      </c>
      <c r="D69" s="5" t="n">
        <v>53697</v>
      </c>
      <c r="E69" s="5" t="n">
        <v>25013</v>
      </c>
      <c r="F69" s="5" t="n">
        <v>0</v>
      </c>
      <c r="G69" s="5" t="n">
        <v>118</v>
      </c>
      <c r="H69" s="5" t="n">
        <v>7485</v>
      </c>
      <c r="I69" s="5" t="n">
        <v>198875</v>
      </c>
      <c r="J69" s="11" t="n">
        <f aca="false">IF(I69=0,0,C69/I69)</f>
        <v>0.565993714644878</v>
      </c>
      <c r="K69" s="11" t="n">
        <f aca="false">IF(I69=0,0,D69/I69)</f>
        <v>0.270003771213074</v>
      </c>
      <c r="L69" s="11" t="n">
        <f aca="false">IF(I69=0,0,E69/I69)</f>
        <v>0.125772470144563</v>
      </c>
      <c r="M69" s="11" t="n">
        <f aca="false">IF(I69=0,0,H69/I69)</f>
        <v>0.0376367064739158</v>
      </c>
      <c r="N69" s="4" t="str">
        <f aca="false">INDEX($C$3:$E$3,MATCH(MAX(C69:E69),C69:E69,0))</f>
        <v>PT-Morena-PES</v>
      </c>
      <c r="O69" s="17" t="n">
        <f aca="false">(MAX(J69:L69)-LARGE(J69:L69,2))*100</f>
        <v>29.5989943431804</v>
      </c>
    </row>
    <row r="70" customFormat="false" ht="15" hidden="false" customHeight="false" outlineLevel="0" collapsed="false">
      <c r="A70" s="4" t="s">
        <v>47</v>
      </c>
      <c r="B70" s="4" t="n">
        <v>21</v>
      </c>
      <c r="C70" s="5" t="n">
        <v>123098</v>
      </c>
      <c r="D70" s="5" t="n">
        <v>37790</v>
      </c>
      <c r="E70" s="5" t="n">
        <v>36241</v>
      </c>
      <c r="F70" s="5" t="n">
        <v>0</v>
      </c>
      <c r="G70" s="5" t="n">
        <v>217</v>
      </c>
      <c r="H70" s="5" t="n">
        <v>9651</v>
      </c>
      <c r="I70" s="5" t="n">
        <v>206997</v>
      </c>
      <c r="J70" s="11" t="n">
        <f aca="false">IF(I70=0,0,C70/I70)</f>
        <v>0.594684947124838</v>
      </c>
      <c r="K70" s="11" t="n">
        <f aca="false">IF(I70=0,0,D70/I70)</f>
        <v>0.182563032314478</v>
      </c>
      <c r="L70" s="11" t="n">
        <f aca="false">IF(I70=0,0,E70/I70)</f>
        <v>0.175079832074861</v>
      </c>
      <c r="M70" s="11" t="n">
        <f aca="false">IF(I70=0,0,H70/I70)</f>
        <v>0.0466238641139727</v>
      </c>
      <c r="N70" s="4" t="str">
        <f aca="false">INDEX($C$3:$E$3,MATCH(MAX(C70:E70),C70:E70,0))</f>
        <v>PT-Morena-PES</v>
      </c>
      <c r="O70" s="17" t="n">
        <f aca="false">(MAX(J70:L70)-LARGE(J70:L70,2))*100</f>
        <v>41.212191481036</v>
      </c>
    </row>
    <row r="71" customFormat="false" ht="15" hidden="false" customHeight="false" outlineLevel="0" collapsed="false">
      <c r="A71" s="4" t="s">
        <v>47</v>
      </c>
      <c r="B71" s="4" t="n">
        <v>22</v>
      </c>
      <c r="C71" s="5" t="n">
        <v>108814</v>
      </c>
      <c r="D71" s="5" t="n">
        <v>54497</v>
      </c>
      <c r="E71" s="5" t="n">
        <v>18011</v>
      </c>
      <c r="F71" s="5" t="n">
        <v>0</v>
      </c>
      <c r="G71" s="5" t="n">
        <v>100</v>
      </c>
      <c r="H71" s="5" t="n">
        <v>7137</v>
      </c>
      <c r="I71" s="5" t="n">
        <v>188559</v>
      </c>
      <c r="J71" s="11" t="n">
        <f aca="false">IF(I71=0,0,C71/I71)</f>
        <v>0.577081974342248</v>
      </c>
      <c r="K71" s="11" t="n">
        <f aca="false">IF(I71=0,0,D71/I71)</f>
        <v>0.289018291357082</v>
      </c>
      <c r="L71" s="11" t="n">
        <f aca="false">IF(I71=0,0,E71/I71)</f>
        <v>0.0955191743698259</v>
      </c>
      <c r="M71" s="11" t="n">
        <f aca="false">IF(I71=0,0,H71/I71)</f>
        <v>0.0378502219464465</v>
      </c>
      <c r="N71" s="4" t="str">
        <f aca="false">INDEX($C$3:$E$3,MATCH(MAX(C71:E71),C71:E71,0))</f>
        <v>PT-Morena-PES</v>
      </c>
      <c r="O71" s="17" t="n">
        <f aca="false">(MAX(J71:L71)-LARGE(J71:L71,2))*100</f>
        <v>28.8063682985166</v>
      </c>
    </row>
    <row r="72" customFormat="false" ht="15" hidden="false" customHeight="false" outlineLevel="0" collapsed="false">
      <c r="A72" s="4" t="s">
        <v>47</v>
      </c>
      <c r="B72" s="4" t="n">
        <v>23</v>
      </c>
      <c r="C72" s="5" t="n">
        <v>128747</v>
      </c>
      <c r="D72" s="5" t="n">
        <v>88704</v>
      </c>
      <c r="E72" s="5" t="n">
        <v>36380</v>
      </c>
      <c r="F72" s="5" t="n">
        <v>0</v>
      </c>
      <c r="G72" s="5" t="n">
        <v>260</v>
      </c>
      <c r="H72" s="5" t="n">
        <v>8967</v>
      </c>
      <c r="I72" s="5" t="n">
        <v>263058</v>
      </c>
      <c r="J72" s="11" t="n">
        <f aca="false">IF(I72=0,0,C72/I72)</f>
        <v>0.489424385496735</v>
      </c>
      <c r="K72" s="11" t="n">
        <f aca="false">IF(I72=0,0,D72/I72)</f>
        <v>0.337203202335607</v>
      </c>
      <c r="L72" s="11" t="n">
        <f aca="false">IF(I72=0,0,E72/I72)</f>
        <v>0.138296497350394</v>
      </c>
      <c r="M72" s="11" t="n">
        <f aca="false">IF(I72=0,0,H72/I72)</f>
        <v>0.0340875396300436</v>
      </c>
      <c r="N72" s="4" t="str">
        <f aca="false">INDEX($C$3:$E$3,MATCH(MAX(C72:E72),C72:E72,0))</f>
        <v>PT-Morena-PES</v>
      </c>
      <c r="O72" s="17" t="n">
        <f aca="false">(MAX(J72:L72)-LARGE(J72:L72,2))*100</f>
        <v>15.2221183161128</v>
      </c>
    </row>
    <row r="73" customFormat="false" ht="15" hidden="false" customHeight="false" outlineLevel="0" collapsed="false">
      <c r="A73" s="4" t="s">
        <v>47</v>
      </c>
      <c r="B73" s="4" t="n">
        <v>24</v>
      </c>
      <c r="C73" s="5" t="n">
        <v>111723</v>
      </c>
      <c r="D73" s="5" t="n">
        <v>80605</v>
      </c>
      <c r="E73" s="5" t="n">
        <v>42971</v>
      </c>
      <c r="F73" s="5" t="n">
        <v>0</v>
      </c>
      <c r="G73" s="5" t="n">
        <v>360</v>
      </c>
      <c r="H73" s="5" t="n">
        <v>8703</v>
      </c>
      <c r="I73" s="5" t="n">
        <v>244362</v>
      </c>
      <c r="J73" s="11" t="n">
        <f aca="false">IF(I73=0,0,C73/I73)</f>
        <v>0.457202838411864</v>
      </c>
      <c r="K73" s="11" t="n">
        <f aca="false">IF(I73=0,0,D73/I73)</f>
        <v>0.32985897971043</v>
      </c>
      <c r="L73" s="11" t="n">
        <f aca="false">IF(I73=0,0,E73/I73)</f>
        <v>0.175849763874907</v>
      </c>
      <c r="M73" s="11" t="n">
        <f aca="false">IF(I73=0,0,H73/I73)</f>
        <v>0.0356151938517445</v>
      </c>
      <c r="N73" s="4" t="str">
        <f aca="false">INDEX($C$3:$E$3,MATCH(MAX(C73:E73),C73:E73,0))</f>
        <v>PT-Morena-PES</v>
      </c>
      <c r="O73" s="17" t="n">
        <f aca="false">(MAX(J73:L73)-LARGE(J73:L73,2))*100</f>
        <v>12.7343858701435</v>
      </c>
    </row>
    <row r="74" customFormat="false" ht="15" hidden="false" customHeight="false" outlineLevel="0" collapsed="false">
      <c r="A74" s="4" t="s">
        <v>48</v>
      </c>
      <c r="B74" s="4" t="n">
        <v>1</v>
      </c>
      <c r="C74" s="5" t="n">
        <v>59343</v>
      </c>
      <c r="D74" s="5" t="n">
        <v>50476</v>
      </c>
      <c r="E74" s="5" t="n">
        <v>58997</v>
      </c>
      <c r="F74" s="5" t="n">
        <v>0</v>
      </c>
      <c r="G74" s="5" t="n">
        <v>93</v>
      </c>
      <c r="H74" s="5" t="n">
        <v>6963</v>
      </c>
      <c r="I74" s="5" t="n">
        <v>175872</v>
      </c>
      <c r="J74" s="11" t="n">
        <f aca="false">IF(I74=0,0,C74/I74)</f>
        <v>0.337421533842795</v>
      </c>
      <c r="K74" s="11" t="n">
        <f aca="false">IF(I74=0,0,D74/I74)</f>
        <v>0.287004184861718</v>
      </c>
      <c r="L74" s="11" t="n">
        <f aca="false">IF(I74=0,0,E74/I74)</f>
        <v>0.335454193959243</v>
      </c>
      <c r="M74" s="11" t="n">
        <f aca="false">IF(I74=0,0,H74/I74)</f>
        <v>0.0395912936681223</v>
      </c>
      <c r="N74" s="4" t="str">
        <f aca="false">INDEX($C$3:$E$3,MATCH(MAX(C74:E74),C74:E74,0))</f>
        <v>PT-Morena-PES</v>
      </c>
      <c r="O74" s="17" t="n">
        <f aca="false">(MAX(J74:L74)-LARGE(J74:L74,2))*100</f>
        <v>0.196733988355169</v>
      </c>
    </row>
    <row r="75" customFormat="false" ht="15" hidden="false" customHeight="false" outlineLevel="0" collapsed="false">
      <c r="A75" s="4" t="s">
        <v>48</v>
      </c>
      <c r="B75" s="4" t="n">
        <v>2</v>
      </c>
      <c r="C75" s="5" t="n">
        <v>84268</v>
      </c>
      <c r="D75" s="5" t="n">
        <v>52102</v>
      </c>
      <c r="E75" s="5" t="n">
        <v>44459</v>
      </c>
      <c r="F75" s="5" t="n">
        <v>0</v>
      </c>
      <c r="G75" s="5" t="n">
        <v>62</v>
      </c>
      <c r="H75" s="5" t="n">
        <v>5585</v>
      </c>
      <c r="I75" s="5" t="n">
        <v>186476</v>
      </c>
      <c r="J75" s="11" t="n">
        <f aca="false">IF(I75=0,0,C75/I75)</f>
        <v>0.451897295094275</v>
      </c>
      <c r="K75" s="11" t="n">
        <f aca="false">IF(I75=0,0,D75/I75)</f>
        <v>0.279403247602909</v>
      </c>
      <c r="L75" s="11" t="n">
        <f aca="false">IF(I75=0,0,E75/I75)</f>
        <v>0.238416739955812</v>
      </c>
      <c r="M75" s="11" t="n">
        <f aca="false">IF(I75=0,0,H75/I75)</f>
        <v>0.0299502348827731</v>
      </c>
      <c r="N75" s="4" t="str">
        <f aca="false">INDEX($C$3:$E$3,MATCH(MAX(C75:E75),C75:E75,0))</f>
        <v>PT-Morena-PES</v>
      </c>
      <c r="O75" s="17" t="n">
        <f aca="false">(MAX(J75:L75)-LARGE(J75:L75,2))*100</f>
        <v>17.2494047491366</v>
      </c>
    </row>
    <row r="76" customFormat="false" ht="15" hidden="false" customHeight="false" outlineLevel="0" collapsed="false">
      <c r="A76" s="4" t="s">
        <v>48</v>
      </c>
      <c r="B76" s="4" t="n">
        <v>3</v>
      </c>
      <c r="C76" s="5" t="n">
        <v>70436</v>
      </c>
      <c r="D76" s="5" t="n">
        <v>49186</v>
      </c>
      <c r="E76" s="5" t="n">
        <v>52804</v>
      </c>
      <c r="F76" s="5" t="n">
        <v>0</v>
      </c>
      <c r="G76" s="5" t="n">
        <v>51</v>
      </c>
      <c r="H76" s="5" t="n">
        <v>6960</v>
      </c>
      <c r="I76" s="5" t="n">
        <v>179437</v>
      </c>
      <c r="J76" s="11" t="n">
        <f aca="false">IF(I76=0,0,C76/I76)</f>
        <v>0.392538885514136</v>
      </c>
      <c r="K76" s="11" t="n">
        <f aca="false">IF(I76=0,0,D76/I76)</f>
        <v>0.274112919854879</v>
      </c>
      <c r="L76" s="11" t="n">
        <f aca="false">IF(I76=0,0,E76/I76)</f>
        <v>0.294275985443359</v>
      </c>
      <c r="M76" s="11" t="n">
        <f aca="false">IF(I76=0,0,H76/I76)</f>
        <v>0.0387879868700435</v>
      </c>
      <c r="N76" s="4" t="str">
        <f aca="false">INDEX($C$3:$E$3,MATCH(MAX(C76:E76),C76:E76,0))</f>
        <v>PT-Morena-PES</v>
      </c>
      <c r="O76" s="17" t="n">
        <f aca="false">(MAX(J76:L76)-LARGE(J76:L76,2))*100</f>
        <v>9.8262900070777</v>
      </c>
    </row>
    <row r="77" customFormat="false" ht="15" hidden="false" customHeight="false" outlineLevel="0" collapsed="false">
      <c r="A77" s="4" t="s">
        <v>48</v>
      </c>
      <c r="B77" s="4" t="n">
        <v>4</v>
      </c>
      <c r="C77" s="5" t="n">
        <v>64473</v>
      </c>
      <c r="D77" s="5" t="n">
        <v>64237</v>
      </c>
      <c r="E77" s="5" t="n">
        <v>55868</v>
      </c>
      <c r="F77" s="5" t="n">
        <v>0</v>
      </c>
      <c r="G77" s="5" t="n">
        <v>110</v>
      </c>
      <c r="H77" s="5" t="n">
        <v>5688</v>
      </c>
      <c r="I77" s="5" t="n">
        <v>190376</v>
      </c>
      <c r="J77" s="11" t="n">
        <f aca="false">IF(I77=0,0,C77/I77)</f>
        <v>0.338661385888978</v>
      </c>
      <c r="K77" s="11" t="n">
        <f aca="false">IF(I77=0,0,D77/I77)</f>
        <v>0.337421733831996</v>
      </c>
      <c r="L77" s="11" t="n">
        <f aca="false">IF(I77=0,0,E77/I77)</f>
        <v>0.293461360675715</v>
      </c>
      <c r="M77" s="11" t="n">
        <f aca="false">IF(I77=0,0,H77/I77)</f>
        <v>0.0298777156784469</v>
      </c>
      <c r="N77" s="4" t="str">
        <f aca="false">INDEX($C$3:$E$3,MATCH(MAX(C77:E77),C77:E77,0))</f>
        <v>PT-Morena-PES</v>
      </c>
      <c r="O77" s="17" t="n">
        <f aca="false">(MAX(J77:L77)-LARGE(J77:L77,2))*100</f>
        <v>0.123965205698195</v>
      </c>
    </row>
    <row r="78" customFormat="false" ht="15" hidden="false" customHeight="false" outlineLevel="0" collapsed="false">
      <c r="A78" s="4" t="s">
        <v>49</v>
      </c>
      <c r="B78" s="4" t="n">
        <v>1</v>
      </c>
      <c r="C78" s="5" t="n">
        <v>33160</v>
      </c>
      <c r="D78" s="5" t="n">
        <v>56278</v>
      </c>
      <c r="E78" s="5" t="n">
        <v>47018</v>
      </c>
      <c r="F78" s="5" t="n">
        <v>0</v>
      </c>
      <c r="G78" s="5" t="n">
        <v>94</v>
      </c>
      <c r="H78" s="5" t="n">
        <v>9170</v>
      </c>
      <c r="I78" s="5" t="n">
        <v>145720</v>
      </c>
      <c r="J78" s="11" t="n">
        <f aca="false">IF(I78=0,0,C78/I78)</f>
        <v>0.227559703541038</v>
      </c>
      <c r="K78" s="11" t="n">
        <f aca="false">IF(I78=0,0,D78/I78)</f>
        <v>0.386206423277519</v>
      </c>
      <c r="L78" s="11" t="n">
        <f aca="false">IF(I78=0,0,E78/I78)</f>
        <v>0.322659895690365</v>
      </c>
      <c r="M78" s="11" t="n">
        <f aca="false">IF(I78=0,0,H78/I78)</f>
        <v>0.0629289047488334</v>
      </c>
      <c r="N78" s="4" t="str">
        <f aca="false">INDEX($C$3:$E$3,MATCH(MAX(C78:E78),C78:E78,0))</f>
        <v>PAN-PRD-MC</v>
      </c>
      <c r="O78" s="17" t="n">
        <f aca="false">(MAX(J78:L78)-LARGE(J78:L78,2))*100</f>
        <v>6.35465275871535</v>
      </c>
    </row>
    <row r="79" customFormat="false" ht="15" hidden="false" customHeight="false" outlineLevel="0" collapsed="false">
      <c r="A79" s="4" t="s">
        <v>49</v>
      </c>
      <c r="B79" s="4" t="n">
        <v>2</v>
      </c>
      <c r="C79" s="5" t="n">
        <v>47555</v>
      </c>
      <c r="D79" s="5" t="n">
        <v>60816</v>
      </c>
      <c r="E79" s="5" t="n">
        <v>33400</v>
      </c>
      <c r="F79" s="5" t="n">
        <v>0</v>
      </c>
      <c r="G79" s="5" t="n">
        <v>143</v>
      </c>
      <c r="H79" s="5" t="n">
        <v>8220</v>
      </c>
      <c r="I79" s="5" t="n">
        <v>150134</v>
      </c>
      <c r="J79" s="11" t="n">
        <f aca="false">IF(I79=0,0,C79/I79)</f>
        <v>0.316750369669762</v>
      </c>
      <c r="K79" s="11" t="n">
        <f aca="false">IF(I79=0,0,D79/I79)</f>
        <v>0.405078130203685</v>
      </c>
      <c r="L79" s="11" t="n">
        <f aca="false">IF(I79=0,0,E79/I79)</f>
        <v>0.222467928650406</v>
      </c>
      <c r="M79" s="11" t="n">
        <f aca="false">IF(I79=0,0,H79/I79)</f>
        <v>0.0547510890271358</v>
      </c>
      <c r="N79" s="4" t="str">
        <f aca="false">INDEX($C$3:$E$3,MATCH(MAX(C79:E79),C79:E79,0))</f>
        <v>PAN-PRD-MC</v>
      </c>
      <c r="O79" s="17" t="n">
        <f aca="false">(MAX(J79:L79)-LARGE(J79:L79,2))*100</f>
        <v>8.83277605339231</v>
      </c>
    </row>
    <row r="80" customFormat="false" ht="15" hidden="false" customHeight="false" outlineLevel="0" collapsed="false">
      <c r="A80" s="4" t="s">
        <v>49</v>
      </c>
      <c r="B80" s="4" t="n">
        <v>3</v>
      </c>
      <c r="C80" s="5" t="n">
        <v>29530</v>
      </c>
      <c r="D80" s="5" t="n">
        <v>97574</v>
      </c>
      <c r="E80" s="5" t="n">
        <v>32403</v>
      </c>
      <c r="F80" s="5" t="n">
        <v>0</v>
      </c>
      <c r="G80" s="5" t="n">
        <v>111</v>
      </c>
      <c r="H80" s="5" t="n">
        <v>5796</v>
      </c>
      <c r="I80" s="5" t="n">
        <v>165414</v>
      </c>
      <c r="J80" s="11" t="n">
        <f aca="false">IF(I80=0,0,C80/I80)</f>
        <v>0.178521769620467</v>
      </c>
      <c r="K80" s="11" t="n">
        <f aca="false">IF(I80=0,0,D80/I80)</f>
        <v>0.589877519436082</v>
      </c>
      <c r="L80" s="11" t="n">
        <f aca="false">IF(I80=0,0,E80/I80)</f>
        <v>0.195890311581849</v>
      </c>
      <c r="M80" s="11" t="n">
        <f aca="false">IF(I80=0,0,H80/I80)</f>
        <v>0.0350393557981791</v>
      </c>
      <c r="N80" s="4" t="str">
        <f aca="false">INDEX($C$3:$E$3,MATCH(MAX(C80:E80),C80:E80,0))</f>
        <v>PAN-PRD-MC</v>
      </c>
      <c r="O80" s="17" t="n">
        <f aca="false">(MAX(J80:L80)-LARGE(J80:L80,2))*100</f>
        <v>39.3987207854232</v>
      </c>
    </row>
    <row r="81" customFormat="false" ht="15" hidden="false" customHeight="false" outlineLevel="0" collapsed="false">
      <c r="A81" s="4" t="s">
        <v>49</v>
      </c>
      <c r="B81" s="4" t="n">
        <v>4</v>
      </c>
      <c r="C81" s="5" t="n">
        <v>23680</v>
      </c>
      <c r="D81" s="5" t="n">
        <v>64883</v>
      </c>
      <c r="E81" s="5" t="n">
        <v>40887</v>
      </c>
      <c r="F81" s="5" t="n">
        <v>0</v>
      </c>
      <c r="G81" s="5" t="n">
        <v>68</v>
      </c>
      <c r="H81" s="5" t="n">
        <v>6260</v>
      </c>
      <c r="I81" s="5" t="n">
        <v>135778</v>
      </c>
      <c r="J81" s="11" t="n">
        <f aca="false">IF(I81=0,0,C81/I81)</f>
        <v>0.174402333220404</v>
      </c>
      <c r="K81" s="11" t="n">
        <f aca="false">IF(I81=0,0,D81/I81)</f>
        <v>0.477860920031227</v>
      </c>
      <c r="L81" s="11" t="n">
        <f aca="false">IF(I81=0,0,E81/I81)</f>
        <v>0.301131258377646</v>
      </c>
      <c r="M81" s="11" t="n">
        <f aca="false">IF(I81=0,0,H81/I81)</f>
        <v>0.0461046708597858</v>
      </c>
      <c r="N81" s="4" t="str">
        <f aca="false">INDEX($C$3:$E$3,MATCH(MAX(C81:E81),C81:E81,0))</f>
        <v>PAN-PRD-MC</v>
      </c>
      <c r="O81" s="17" t="n">
        <f aca="false">(MAX(J81:L81)-LARGE(J81:L81,2))*100</f>
        <v>17.6729661653582</v>
      </c>
    </row>
    <row r="82" customFormat="false" ht="15" hidden="false" customHeight="false" outlineLevel="0" collapsed="false">
      <c r="A82" s="4" t="s">
        <v>49</v>
      </c>
      <c r="B82" s="4" t="n">
        <v>5</v>
      </c>
      <c r="C82" s="5" t="n">
        <v>29058</v>
      </c>
      <c r="D82" s="5" t="n">
        <v>85313</v>
      </c>
      <c r="E82" s="5" t="n">
        <v>32988</v>
      </c>
      <c r="F82" s="5" t="n">
        <v>0</v>
      </c>
      <c r="G82" s="5" t="n">
        <v>111</v>
      </c>
      <c r="H82" s="5" t="n">
        <v>5446</v>
      </c>
      <c r="I82" s="5" t="n">
        <v>152916</v>
      </c>
      <c r="J82" s="11" t="n">
        <f aca="false">IF(I82=0,0,C82/I82)</f>
        <v>0.190025896570666</v>
      </c>
      <c r="K82" s="11" t="n">
        <f aca="false">IF(I82=0,0,D82/I82)</f>
        <v>0.557907609406472</v>
      </c>
      <c r="L82" s="11" t="n">
        <f aca="false">IF(I82=0,0,E82/I82)</f>
        <v>0.215726281095503</v>
      </c>
      <c r="M82" s="11" t="n">
        <f aca="false">IF(I82=0,0,H82/I82)</f>
        <v>0.0356143242041382</v>
      </c>
      <c r="N82" s="4" t="str">
        <f aca="false">INDEX($C$3:$E$3,MATCH(MAX(C82:E82),C82:E82,0))</f>
        <v>PAN-PRD-MC</v>
      </c>
      <c r="O82" s="17" t="n">
        <f aca="false">(MAX(J82:L82)-LARGE(J82:L82,2))*100</f>
        <v>34.2181328310968</v>
      </c>
    </row>
    <row r="83" customFormat="false" ht="15" hidden="false" customHeight="false" outlineLevel="0" collapsed="false">
      <c r="A83" s="4" t="s">
        <v>49</v>
      </c>
      <c r="B83" s="4" t="n">
        <v>6</v>
      </c>
      <c r="C83" s="5" t="n">
        <v>30215</v>
      </c>
      <c r="D83" s="5" t="n">
        <v>81326</v>
      </c>
      <c r="E83" s="5" t="n">
        <v>32766</v>
      </c>
      <c r="F83" s="5" t="n">
        <v>0</v>
      </c>
      <c r="G83" s="5" t="n">
        <v>104</v>
      </c>
      <c r="H83" s="5" t="n">
        <v>5492</v>
      </c>
      <c r="I83" s="5" t="n">
        <v>149903</v>
      </c>
      <c r="J83" s="11" t="n">
        <f aca="false">IF(I83=0,0,C83/I83)</f>
        <v>0.201563677845006</v>
      </c>
      <c r="K83" s="11" t="n">
        <f aca="false">IF(I83=0,0,D83/I83)</f>
        <v>0.542524165627106</v>
      </c>
      <c r="L83" s="11" t="n">
        <f aca="false">IF(I83=0,0,E83/I83)</f>
        <v>0.21858134927253</v>
      </c>
      <c r="M83" s="11" t="n">
        <f aca="false">IF(I83=0,0,H83/I83)</f>
        <v>0.0366370252763454</v>
      </c>
      <c r="N83" s="4" t="str">
        <f aca="false">INDEX($C$3:$E$3,MATCH(MAX(C83:E83),C83:E83,0))</f>
        <v>PAN-PRD-MC</v>
      </c>
      <c r="O83" s="17" t="n">
        <f aca="false">(MAX(J83:L83)-LARGE(J83:L83,2))*100</f>
        <v>32.3942816354576</v>
      </c>
    </row>
    <row r="84" customFormat="false" ht="15" hidden="false" customHeight="false" outlineLevel="0" collapsed="false">
      <c r="A84" s="4" t="s">
        <v>49</v>
      </c>
      <c r="B84" s="4" t="n">
        <v>7</v>
      </c>
      <c r="C84" s="5" t="n">
        <v>27712</v>
      </c>
      <c r="D84" s="5" t="n">
        <v>68313</v>
      </c>
      <c r="E84" s="5" t="n">
        <v>50231</v>
      </c>
      <c r="F84" s="5" t="n">
        <v>0</v>
      </c>
      <c r="G84" s="5" t="n">
        <v>39</v>
      </c>
      <c r="H84" s="5" t="n">
        <v>6045</v>
      </c>
      <c r="I84" s="5" t="n">
        <v>152340</v>
      </c>
      <c r="J84" s="11" t="n">
        <f aca="false">IF(I84=0,0,C84/I84)</f>
        <v>0.181908888013654</v>
      </c>
      <c r="K84" s="11" t="n">
        <f aca="false">IF(I84=0,0,D84/I84)</f>
        <v>0.448424576604963</v>
      </c>
      <c r="L84" s="11" t="n">
        <f aca="false">IF(I84=0,0,E84/I84)</f>
        <v>0.329729552317185</v>
      </c>
      <c r="M84" s="11" t="n">
        <f aca="false">IF(I84=0,0,H84/I84)</f>
        <v>0.0396809767625049</v>
      </c>
      <c r="N84" s="4" t="str">
        <f aca="false">INDEX($C$3:$E$3,MATCH(MAX(C84:E84),C84:E84,0))</f>
        <v>PAN-PRD-MC</v>
      </c>
      <c r="O84" s="17" t="n">
        <f aca="false">(MAX(J84:L84)-LARGE(J84:L84,2))*100</f>
        <v>11.8695024287777</v>
      </c>
    </row>
    <row r="85" customFormat="false" ht="15" hidden="false" customHeight="false" outlineLevel="0" collapsed="false">
      <c r="A85" s="4" t="s">
        <v>49</v>
      </c>
      <c r="B85" s="4" t="n">
        <v>8</v>
      </c>
      <c r="C85" s="5" t="n">
        <v>63749</v>
      </c>
      <c r="D85" s="5" t="n">
        <v>65983</v>
      </c>
      <c r="E85" s="5" t="n">
        <v>41981</v>
      </c>
      <c r="F85" s="5" t="n">
        <v>0</v>
      </c>
      <c r="G85" s="5" t="n">
        <v>188</v>
      </c>
      <c r="H85" s="5" t="n">
        <v>7168</v>
      </c>
      <c r="I85" s="5" t="n">
        <v>179069</v>
      </c>
      <c r="J85" s="11" t="n">
        <f aca="false">IF(I85=0,0,C85/I85)</f>
        <v>0.35600243481563</v>
      </c>
      <c r="K85" s="11" t="n">
        <f aca="false">IF(I85=0,0,D85/I85)</f>
        <v>0.368478072698234</v>
      </c>
      <c r="L85" s="11" t="n">
        <f aca="false">IF(I85=0,0,E85/I85)</f>
        <v>0.234440355393731</v>
      </c>
      <c r="M85" s="11" t="n">
        <f aca="false">IF(I85=0,0,H85/I85)</f>
        <v>0.0400292624630729</v>
      </c>
      <c r="N85" s="4" t="str">
        <f aca="false">INDEX($C$3:$E$3,MATCH(MAX(C85:E85),C85:E85,0))</f>
        <v>PAN-PRD-MC</v>
      </c>
      <c r="O85" s="17" t="n">
        <f aca="false">(MAX(J85:L85)-LARGE(J85:L85,2))*100</f>
        <v>1.24756378826039</v>
      </c>
    </row>
    <row r="86" customFormat="false" ht="15" hidden="false" customHeight="false" outlineLevel="0" collapsed="false">
      <c r="A86" s="4" t="s">
        <v>49</v>
      </c>
      <c r="B86" s="4" t="n">
        <v>9</v>
      </c>
      <c r="C86" s="5" t="n">
        <v>37647</v>
      </c>
      <c r="D86" s="5" t="n">
        <v>57914</v>
      </c>
      <c r="E86" s="5" t="n">
        <v>34556</v>
      </c>
      <c r="F86" s="5" t="n">
        <v>0</v>
      </c>
      <c r="G86" s="5" t="n">
        <v>87</v>
      </c>
      <c r="H86" s="5" t="n">
        <v>5150</v>
      </c>
      <c r="I86" s="5" t="n">
        <v>135354</v>
      </c>
      <c r="J86" s="11" t="n">
        <f aca="false">IF(I86=0,0,C86/I86)</f>
        <v>0.278137328782304</v>
      </c>
      <c r="K86" s="11" t="n">
        <f aca="false">IF(I86=0,0,D86/I86)</f>
        <v>0.427870620742645</v>
      </c>
      <c r="L86" s="11" t="n">
        <f aca="false">IF(I86=0,0,E86/I86)</f>
        <v>0.255300914638651</v>
      </c>
      <c r="M86" s="11" t="n">
        <f aca="false">IF(I86=0,0,H86/I86)</f>
        <v>0.0380483768488556</v>
      </c>
      <c r="N86" s="4" t="str">
        <f aca="false">INDEX($C$3:$E$3,MATCH(MAX(C86:E86),C86:E86,0))</f>
        <v>PAN-PRD-MC</v>
      </c>
      <c r="O86" s="17" t="n">
        <f aca="false">(MAX(J86:L86)-LARGE(J86:L86,2))*100</f>
        <v>14.9733291960341</v>
      </c>
    </row>
    <row r="87" customFormat="false" ht="15" hidden="false" customHeight="false" outlineLevel="0" collapsed="false">
      <c r="A87" s="4" t="s">
        <v>49</v>
      </c>
      <c r="B87" s="4" t="n">
        <v>10</v>
      </c>
      <c r="C87" s="5" t="n">
        <v>41300</v>
      </c>
      <c r="D87" s="5" t="n">
        <v>75652</v>
      </c>
      <c r="E87" s="5" t="n">
        <v>51218</v>
      </c>
      <c r="F87" s="5" t="n">
        <v>0</v>
      </c>
      <c r="G87" s="5" t="n">
        <v>82</v>
      </c>
      <c r="H87" s="5" t="n">
        <v>7707</v>
      </c>
      <c r="I87" s="5" t="n">
        <v>175959</v>
      </c>
      <c r="J87" s="11" t="n">
        <f aca="false">IF(I87=0,0,C87/I87)</f>
        <v>0.234713768548355</v>
      </c>
      <c r="K87" s="11" t="n">
        <f aca="false">IF(I87=0,0,D87/I87)</f>
        <v>0.429941065816469</v>
      </c>
      <c r="L87" s="11" t="n">
        <f aca="false">IF(I87=0,0,E87/I87)</f>
        <v>0.291079171852534</v>
      </c>
      <c r="M87" s="11" t="n">
        <f aca="false">IF(I87=0,0,H87/I87)</f>
        <v>0.0437999761308032</v>
      </c>
      <c r="N87" s="4" t="str">
        <f aca="false">INDEX($C$3:$E$3,MATCH(MAX(C87:E87),C87:E87,0))</f>
        <v>PAN-PRD-MC</v>
      </c>
      <c r="O87" s="17" t="n">
        <f aca="false">(MAX(J87:L87)-LARGE(J87:L87,2))*100</f>
        <v>13.8861893963935</v>
      </c>
    </row>
    <row r="88" customFormat="false" ht="15" hidden="false" customHeight="false" outlineLevel="0" collapsed="false">
      <c r="A88" s="4" t="s">
        <v>49</v>
      </c>
      <c r="B88" s="4" t="n">
        <v>11</v>
      </c>
      <c r="C88" s="5" t="n">
        <v>29448</v>
      </c>
      <c r="D88" s="5" t="n">
        <v>74922</v>
      </c>
      <c r="E88" s="5" t="n">
        <v>32059</v>
      </c>
      <c r="F88" s="5" t="n">
        <v>0</v>
      </c>
      <c r="G88" s="5" t="n">
        <v>117</v>
      </c>
      <c r="H88" s="5" t="n">
        <v>4976</v>
      </c>
      <c r="I88" s="5" t="n">
        <v>141522</v>
      </c>
      <c r="J88" s="11" t="n">
        <f aca="false">IF(I88=0,0,C88/I88)</f>
        <v>0.208080722431848</v>
      </c>
      <c r="K88" s="11" t="n">
        <f aca="false">IF(I88=0,0,D88/I88)</f>
        <v>0.529401789121126</v>
      </c>
      <c r="L88" s="11" t="n">
        <f aca="false">IF(I88=0,0,E88/I88)</f>
        <v>0.226530150789277</v>
      </c>
      <c r="M88" s="11" t="n">
        <f aca="false">IF(I88=0,0,H88/I88)</f>
        <v>0.0351606110710702</v>
      </c>
      <c r="N88" s="4" t="str">
        <f aca="false">INDEX($C$3:$E$3,MATCH(MAX(C88:E88),C88:E88,0))</f>
        <v>PAN-PRD-MC</v>
      </c>
      <c r="O88" s="17" t="n">
        <f aca="false">(MAX(J88:L88)-LARGE(J88:L88,2))*100</f>
        <v>30.2871638331849</v>
      </c>
    </row>
    <row r="89" customFormat="false" ht="15" hidden="false" customHeight="false" outlineLevel="0" collapsed="false">
      <c r="A89" s="4" t="s">
        <v>49</v>
      </c>
      <c r="B89" s="4" t="n">
        <v>12</v>
      </c>
      <c r="C89" s="5" t="n">
        <v>50069</v>
      </c>
      <c r="D89" s="5" t="n">
        <v>61888</v>
      </c>
      <c r="E89" s="5" t="n">
        <v>32473</v>
      </c>
      <c r="F89" s="5" t="n">
        <v>18442</v>
      </c>
      <c r="G89" s="5" t="n">
        <v>175</v>
      </c>
      <c r="H89" s="5" t="n">
        <v>6622</v>
      </c>
      <c r="I89" s="5" t="n">
        <v>169669</v>
      </c>
      <c r="J89" s="11" t="n">
        <f aca="false">IF(I89=0,0,C89/I89)</f>
        <v>0.295098102776583</v>
      </c>
      <c r="K89" s="11" t="n">
        <f aca="false">IF(I89=0,0,D89/I89)</f>
        <v>0.364757262670258</v>
      </c>
      <c r="L89" s="11" t="n">
        <f aca="false">IF(I89=0,0,E89/I89)</f>
        <v>0.191390295221873</v>
      </c>
      <c r="M89" s="11" t="n">
        <f aca="false">IF(I89=0,0,H89/I89)</f>
        <v>0.0390289328044605</v>
      </c>
      <c r="N89" s="4" t="str">
        <f aca="false">INDEX($C$3:$E$3,MATCH(MAX(C89:E89),C89:E89,0))</f>
        <v>PAN-PRD-MC</v>
      </c>
      <c r="O89" s="17" t="n">
        <f aca="false">(MAX(J89:L89)-LARGE(J89:L89,2))*100</f>
        <v>6.96591598936753</v>
      </c>
    </row>
    <row r="90" customFormat="false" ht="15" hidden="false" customHeight="false" outlineLevel="0" collapsed="false">
      <c r="A90" s="4" t="s">
        <v>49</v>
      </c>
      <c r="B90" s="4" t="n">
        <v>13</v>
      </c>
      <c r="C90" s="5" t="n">
        <v>42137</v>
      </c>
      <c r="D90" s="5" t="n">
        <v>61980</v>
      </c>
      <c r="E90" s="5" t="n">
        <v>51430</v>
      </c>
      <c r="F90" s="5" t="n">
        <v>0</v>
      </c>
      <c r="G90" s="5" t="n">
        <v>38</v>
      </c>
      <c r="H90" s="5" t="n">
        <v>7984</v>
      </c>
      <c r="I90" s="5" t="n">
        <v>163569</v>
      </c>
      <c r="J90" s="11" t="n">
        <f aca="false">IF(I90=0,0,C90/I90)</f>
        <v>0.257609938313495</v>
      </c>
      <c r="K90" s="11" t="n">
        <f aca="false">IF(I90=0,0,D90/I90)</f>
        <v>0.37892265649359</v>
      </c>
      <c r="L90" s="11" t="n">
        <f aca="false">IF(I90=0,0,E90/I90)</f>
        <v>0.314423882275981</v>
      </c>
      <c r="M90" s="11" t="n">
        <f aca="false">IF(I90=0,0,H90/I90)</f>
        <v>0.048811205057193</v>
      </c>
      <c r="N90" s="4" t="str">
        <f aca="false">INDEX($C$3:$E$3,MATCH(MAX(C90:E90),C90:E90,0))</f>
        <v>PAN-PRD-MC</v>
      </c>
      <c r="O90" s="17" t="n">
        <f aca="false">(MAX(J90:L90)-LARGE(J90:L90,2))*100</f>
        <v>6.44987742176085</v>
      </c>
    </row>
    <row r="91" customFormat="false" ht="15" hidden="false" customHeight="false" outlineLevel="0" collapsed="false">
      <c r="A91" s="4" t="s">
        <v>49</v>
      </c>
      <c r="B91" s="4" t="n">
        <v>14</v>
      </c>
      <c r="C91" s="5" t="n">
        <v>43337</v>
      </c>
      <c r="D91" s="5" t="n">
        <v>56524</v>
      </c>
      <c r="E91" s="5" t="n">
        <v>45152</v>
      </c>
      <c r="F91" s="5" t="n">
        <v>0</v>
      </c>
      <c r="G91" s="5" t="n">
        <v>104</v>
      </c>
      <c r="H91" s="5" t="n">
        <v>8401</v>
      </c>
      <c r="I91" s="5" t="n">
        <v>153518</v>
      </c>
      <c r="J91" s="11" t="n">
        <f aca="false">IF(I91=0,0,C91/I91)</f>
        <v>0.282292630180174</v>
      </c>
      <c r="K91" s="11" t="n">
        <f aca="false">IF(I91=0,0,D91/I91)</f>
        <v>0.368191352154145</v>
      </c>
      <c r="L91" s="11" t="n">
        <f aca="false">IF(I91=0,0,E91/I91)</f>
        <v>0.294115348037364</v>
      </c>
      <c r="M91" s="11" t="n">
        <f aca="false">IF(I91=0,0,H91/I91)</f>
        <v>0.0547232246381532</v>
      </c>
      <c r="N91" s="4" t="str">
        <f aca="false">INDEX($C$3:$E$3,MATCH(MAX(C91:E91),C91:E91,0))</f>
        <v>PAN-PRD-MC</v>
      </c>
      <c r="O91" s="17" t="n">
        <f aca="false">(MAX(J91:L91)-LARGE(J91:L91,2))*100</f>
        <v>7.40760041167811</v>
      </c>
    </row>
    <row r="92" customFormat="false" ht="15" hidden="false" customHeight="false" outlineLevel="0" collapsed="false">
      <c r="A92" s="4" t="s">
        <v>49</v>
      </c>
      <c r="B92" s="4" t="n">
        <v>15</v>
      </c>
      <c r="C92" s="5" t="n">
        <v>45120</v>
      </c>
      <c r="D92" s="5" t="n">
        <v>50982</v>
      </c>
      <c r="E92" s="5" t="n">
        <v>34074</v>
      </c>
      <c r="F92" s="5" t="n">
        <v>0</v>
      </c>
      <c r="G92" s="5" t="n">
        <v>132</v>
      </c>
      <c r="H92" s="5" t="n">
        <v>5662</v>
      </c>
      <c r="I92" s="5" t="n">
        <v>135970</v>
      </c>
      <c r="J92" s="11" t="n">
        <f aca="false">IF(I92=0,0,C92/I92)</f>
        <v>0.331837905420313</v>
      </c>
      <c r="K92" s="11" t="n">
        <f aca="false">IF(I92=0,0,D92/I92)</f>
        <v>0.37495035669633</v>
      </c>
      <c r="L92" s="11" t="n">
        <f aca="false">IF(I92=0,0,E92/I92)</f>
        <v>0.250599396925793</v>
      </c>
      <c r="M92" s="11" t="n">
        <f aca="false">IF(I92=0,0,H92/I92)</f>
        <v>0.0416415385746856</v>
      </c>
      <c r="N92" s="4" t="str">
        <f aca="false">INDEX($C$3:$E$3,MATCH(MAX(C92:E92),C92:E92,0))</f>
        <v>PAN-PRD-MC</v>
      </c>
      <c r="O92" s="17" t="n">
        <f aca="false">(MAX(J92:L92)-LARGE(J92:L92,2))*100</f>
        <v>4.31124512760168</v>
      </c>
    </row>
    <row r="93" customFormat="false" ht="15" hidden="false" customHeight="false" outlineLevel="0" collapsed="false">
      <c r="A93" s="4" t="s">
        <v>50</v>
      </c>
      <c r="B93" s="4" t="n">
        <v>1</v>
      </c>
      <c r="C93" s="5" t="n">
        <v>64691</v>
      </c>
      <c r="D93" s="5" t="n">
        <v>50513</v>
      </c>
      <c r="E93" s="5" t="n">
        <v>44408</v>
      </c>
      <c r="F93" s="5" t="n">
        <v>0</v>
      </c>
      <c r="G93" s="5" t="n">
        <v>25</v>
      </c>
      <c r="H93" s="5" t="n">
        <v>8534</v>
      </c>
      <c r="I93" s="5" t="n">
        <v>168171</v>
      </c>
      <c r="J93" s="11" t="n">
        <f aca="false">IF(I93=0,0,C93/I93)</f>
        <v>0.38467393308002</v>
      </c>
      <c r="K93" s="11" t="n">
        <f aca="false">IF(I93=0,0,D93/I93)</f>
        <v>0.300366888464718</v>
      </c>
      <c r="L93" s="11" t="n">
        <f aca="false">IF(I93=0,0,E93/I93)</f>
        <v>0.264064553341539</v>
      </c>
      <c r="M93" s="11" t="n">
        <f aca="false">IF(I93=0,0,H93/I93)</f>
        <v>0.0507459669027359</v>
      </c>
      <c r="N93" s="4" t="str">
        <f aca="false">INDEX($C$3:$E$3,MATCH(MAX(C93:E93),C93:E93,0))</f>
        <v>PT-Morena-PES</v>
      </c>
      <c r="O93" s="17" t="n">
        <f aca="false">(MAX(J93:L93)-LARGE(J93:L93,2))*100</f>
        <v>8.43070446153023</v>
      </c>
    </row>
    <row r="94" customFormat="false" ht="15" hidden="false" customHeight="false" outlineLevel="0" collapsed="false">
      <c r="A94" s="4" t="s">
        <v>50</v>
      </c>
      <c r="B94" s="4" t="n">
        <v>2</v>
      </c>
      <c r="C94" s="5" t="n">
        <v>81572</v>
      </c>
      <c r="D94" s="5" t="n">
        <v>43203</v>
      </c>
      <c r="E94" s="5" t="n">
        <v>51223</v>
      </c>
      <c r="F94" s="5" t="n">
        <v>0</v>
      </c>
      <c r="G94" s="5" t="n">
        <v>121</v>
      </c>
      <c r="H94" s="5" t="n">
        <v>9547</v>
      </c>
      <c r="I94" s="5" t="n">
        <v>185666</v>
      </c>
      <c r="J94" s="11" t="n">
        <f aca="false">IF(I94=0,0,C94/I94)</f>
        <v>0.439348076653776</v>
      </c>
      <c r="K94" s="11" t="n">
        <f aca="false">IF(I94=0,0,D94/I94)</f>
        <v>0.23269203839152</v>
      </c>
      <c r="L94" s="11" t="n">
        <f aca="false">IF(I94=0,0,E94/I94)</f>
        <v>0.275887884696175</v>
      </c>
      <c r="M94" s="11" t="n">
        <f aca="false">IF(I94=0,0,H94/I94)</f>
        <v>0.0514202923529348</v>
      </c>
      <c r="N94" s="4" t="str">
        <f aca="false">INDEX($C$3:$E$3,MATCH(MAX(C94:E94),C94:E94,0))</f>
        <v>PT-Morena-PES</v>
      </c>
      <c r="O94" s="17" t="n">
        <f aca="false">(MAX(J94:L94)-LARGE(J94:L94,2))*100</f>
        <v>16.3460191957601</v>
      </c>
    </row>
    <row r="95" customFormat="false" ht="15" hidden="false" customHeight="false" outlineLevel="0" collapsed="false">
      <c r="A95" s="4" t="s">
        <v>50</v>
      </c>
      <c r="B95" s="4" t="n">
        <v>3</v>
      </c>
      <c r="C95" s="5" t="n">
        <v>98401</v>
      </c>
      <c r="D95" s="5" t="n">
        <v>38033</v>
      </c>
      <c r="E95" s="5" t="n">
        <v>49506</v>
      </c>
      <c r="F95" s="5" t="n">
        <v>2778</v>
      </c>
      <c r="G95" s="5" t="n">
        <v>73</v>
      </c>
      <c r="H95" s="5" t="n">
        <v>9794</v>
      </c>
      <c r="I95" s="5" t="n">
        <v>198585</v>
      </c>
      <c r="J95" s="11" t="n">
        <f aca="false">IF(I95=0,0,C95/I95)</f>
        <v>0.495510738474709</v>
      </c>
      <c r="K95" s="11" t="n">
        <f aca="false">IF(I95=0,0,D95/I95)</f>
        <v>0.191520004028502</v>
      </c>
      <c r="L95" s="11" t="n">
        <f aca="false">IF(I95=0,0,E95/I95)</f>
        <v>0.24929375330463</v>
      </c>
      <c r="M95" s="11" t="n">
        <f aca="false">IF(I95=0,0,H95/I95)</f>
        <v>0.0493189314399376</v>
      </c>
      <c r="N95" s="4" t="str">
        <f aca="false">INDEX($C$3:$E$3,MATCH(MAX(C95:E95),C95:E95,0))</f>
        <v>PT-Morena-PES</v>
      </c>
      <c r="O95" s="17" t="n">
        <f aca="false">(MAX(J95:L95)-LARGE(J95:L95,2))*100</f>
        <v>24.6216985170078</v>
      </c>
    </row>
    <row r="96" customFormat="false" ht="15" hidden="false" customHeight="false" outlineLevel="0" collapsed="false">
      <c r="A96" s="4" t="s">
        <v>50</v>
      </c>
      <c r="B96" s="4" t="n">
        <v>4</v>
      </c>
      <c r="C96" s="5" t="n">
        <v>115710</v>
      </c>
      <c r="D96" s="5" t="n">
        <v>25431</v>
      </c>
      <c r="E96" s="5" t="n">
        <v>29893</v>
      </c>
      <c r="F96" s="5" t="n">
        <v>4181</v>
      </c>
      <c r="G96" s="5" t="n">
        <v>77</v>
      </c>
      <c r="H96" s="5" t="n">
        <v>5872</v>
      </c>
      <c r="I96" s="5" t="n">
        <v>181164</v>
      </c>
      <c r="J96" s="11" t="n">
        <f aca="false">IF(I96=0,0,C96/I96)</f>
        <v>0.638703053586805</v>
      </c>
      <c r="K96" s="11" t="n">
        <f aca="false">IF(I96=0,0,D96/I96)</f>
        <v>0.140375571305557</v>
      </c>
      <c r="L96" s="11" t="n">
        <f aca="false">IF(I96=0,0,E96/I96)</f>
        <v>0.16500518866883</v>
      </c>
      <c r="M96" s="11" t="n">
        <f aca="false">IF(I96=0,0,H96/I96)</f>
        <v>0.032412620608951</v>
      </c>
      <c r="N96" s="4" t="str">
        <f aca="false">INDEX($C$3:$E$3,MATCH(MAX(C96:E96),C96:E96,0))</f>
        <v>PT-Morena-PES</v>
      </c>
      <c r="O96" s="17" t="n">
        <f aca="false">(MAX(J96:L96)-LARGE(J96:L96,2))*100</f>
        <v>47.3697864917975</v>
      </c>
    </row>
    <row r="97" customFormat="false" ht="15" hidden="false" customHeight="false" outlineLevel="0" collapsed="false">
      <c r="A97" s="4" t="s">
        <v>50</v>
      </c>
      <c r="B97" s="4" t="n">
        <v>5</v>
      </c>
      <c r="C97" s="5" t="n">
        <v>99109</v>
      </c>
      <c r="D97" s="5" t="n">
        <v>24371</v>
      </c>
      <c r="E97" s="5" t="n">
        <v>40889</v>
      </c>
      <c r="F97" s="5" t="n">
        <v>2875</v>
      </c>
      <c r="G97" s="5" t="n">
        <v>75</v>
      </c>
      <c r="H97" s="5" t="n">
        <v>12172</v>
      </c>
      <c r="I97" s="5" t="n">
        <v>179491</v>
      </c>
      <c r="J97" s="11" t="n">
        <f aca="false">IF(I97=0,0,C97/I97)</f>
        <v>0.552166961017544</v>
      </c>
      <c r="K97" s="11" t="n">
        <f aca="false">IF(I97=0,0,D97/I97)</f>
        <v>0.135778395574151</v>
      </c>
      <c r="L97" s="11" t="n">
        <f aca="false">IF(I97=0,0,E97/I97)</f>
        <v>0.227805293858745</v>
      </c>
      <c r="M97" s="11" t="n">
        <f aca="false">IF(I97=0,0,H97/I97)</f>
        <v>0.0678139851023171</v>
      </c>
      <c r="N97" s="4" t="str">
        <f aca="false">INDEX($C$3:$E$3,MATCH(MAX(C97:E97),C97:E97,0))</f>
        <v>PT-Morena-PES</v>
      </c>
      <c r="O97" s="17" t="n">
        <f aca="false">(MAX(J97:L97)-LARGE(J97:L97,2))*100</f>
        <v>32.4361667158799</v>
      </c>
    </row>
    <row r="98" customFormat="false" ht="15" hidden="false" customHeight="false" outlineLevel="0" collapsed="false">
      <c r="A98" s="4" t="s">
        <v>50</v>
      </c>
      <c r="B98" s="4" t="n">
        <v>6</v>
      </c>
      <c r="C98" s="5" t="n">
        <v>57022</v>
      </c>
      <c r="D98" s="5" t="n">
        <v>67784</v>
      </c>
      <c r="E98" s="5" t="n">
        <v>43271</v>
      </c>
      <c r="F98" s="5" t="n">
        <v>0</v>
      </c>
      <c r="G98" s="5" t="n">
        <v>34</v>
      </c>
      <c r="H98" s="5" t="n">
        <v>13221</v>
      </c>
      <c r="I98" s="5" t="n">
        <v>181332</v>
      </c>
      <c r="J98" s="11" t="n">
        <f aca="false">IF(I98=0,0,C98/I98)</f>
        <v>0.314461871043169</v>
      </c>
      <c r="K98" s="11" t="n">
        <f aca="false">IF(I98=0,0,D98/I98)</f>
        <v>0.373811572143913</v>
      </c>
      <c r="L98" s="11" t="n">
        <f aca="false">IF(I98=0,0,E98/I98)</f>
        <v>0.2386285928573</v>
      </c>
      <c r="M98" s="11" t="n">
        <f aca="false">IF(I98=0,0,H98/I98)</f>
        <v>0.0729104625769307</v>
      </c>
      <c r="N98" s="4" t="str">
        <f aca="false">INDEX($C$3:$E$3,MATCH(MAX(C98:E98),C98:E98,0))</f>
        <v>PAN-PRD-MC</v>
      </c>
      <c r="O98" s="17" t="n">
        <f aca="false">(MAX(J98:L98)-LARGE(J98:L98,2))*100</f>
        <v>5.93497011007434</v>
      </c>
    </row>
    <row r="99" customFormat="false" ht="15" hidden="false" customHeight="false" outlineLevel="0" collapsed="false">
      <c r="A99" s="4" t="s">
        <v>50</v>
      </c>
      <c r="B99" s="4" t="n">
        <v>7</v>
      </c>
      <c r="C99" s="5" t="n">
        <v>93714</v>
      </c>
      <c r="D99" s="5" t="n">
        <v>22774</v>
      </c>
      <c r="E99" s="5" t="n">
        <v>47800</v>
      </c>
      <c r="F99" s="5" t="n">
        <v>0</v>
      </c>
      <c r="G99" s="5" t="n">
        <v>73</v>
      </c>
      <c r="H99" s="5" t="n">
        <v>6670</v>
      </c>
      <c r="I99" s="5" t="n">
        <v>171031</v>
      </c>
      <c r="J99" s="11" t="n">
        <f aca="false">IF(I99=0,0,C99/I99)</f>
        <v>0.547935754336933</v>
      </c>
      <c r="K99" s="11" t="n">
        <f aca="false">IF(I99=0,0,D99/I99)</f>
        <v>0.133157146949968</v>
      </c>
      <c r="L99" s="11" t="n">
        <f aca="false">IF(I99=0,0,E99/I99)</f>
        <v>0.2794814975063</v>
      </c>
      <c r="M99" s="11" t="n">
        <f aca="false">IF(I99=0,0,H99/I99)</f>
        <v>0.0389987779993101</v>
      </c>
      <c r="N99" s="4" t="str">
        <f aca="false">INDEX($C$3:$E$3,MATCH(MAX(C99:E99),C99:E99,0))</f>
        <v>PT-Morena-PES</v>
      </c>
      <c r="O99" s="17" t="n">
        <f aca="false">(MAX(J99:L99)-LARGE(J99:L99,2))*100</f>
        <v>26.8454256830633</v>
      </c>
    </row>
    <row r="100" customFormat="false" ht="15" hidden="false" customHeight="false" outlineLevel="0" collapsed="false">
      <c r="A100" s="4" t="s">
        <v>50</v>
      </c>
      <c r="B100" s="4" t="n">
        <v>8</v>
      </c>
      <c r="C100" s="5" t="n">
        <v>73219</v>
      </c>
      <c r="D100" s="5" t="n">
        <v>45062</v>
      </c>
      <c r="E100" s="5" t="n">
        <v>48514</v>
      </c>
      <c r="F100" s="5" t="n">
        <v>0</v>
      </c>
      <c r="G100" s="5" t="n">
        <v>25</v>
      </c>
      <c r="H100" s="5" t="n">
        <v>10713</v>
      </c>
      <c r="I100" s="5" t="n">
        <v>177533</v>
      </c>
      <c r="J100" s="11" t="n">
        <f aca="false">IF(I100=0,0,C100/I100)</f>
        <v>0.41242473230329</v>
      </c>
      <c r="K100" s="11" t="n">
        <f aca="false">IF(I100=0,0,D100/I100)</f>
        <v>0.253823232863749</v>
      </c>
      <c r="L100" s="11" t="n">
        <f aca="false">IF(I100=0,0,E100/I100)</f>
        <v>0.273267505196217</v>
      </c>
      <c r="M100" s="11" t="n">
        <f aca="false">IF(I100=0,0,H100/I100)</f>
        <v>0.0603437107467344</v>
      </c>
      <c r="N100" s="4" t="str">
        <f aca="false">INDEX($C$3:$E$3,MATCH(MAX(C100:E100),C100:E100,0))</f>
        <v>PT-Morena-PES</v>
      </c>
      <c r="O100" s="17" t="n">
        <f aca="false">(MAX(J100:L100)-LARGE(J100:L100,2))*100</f>
        <v>13.9157227107073</v>
      </c>
    </row>
    <row r="101" customFormat="false" ht="15" hidden="false" customHeight="false" outlineLevel="0" collapsed="false">
      <c r="A101" s="4" t="s">
        <v>50</v>
      </c>
      <c r="B101" s="4" t="n">
        <v>9</v>
      </c>
      <c r="C101" s="5" t="n">
        <v>94798</v>
      </c>
      <c r="D101" s="5" t="n">
        <v>23616</v>
      </c>
      <c r="E101" s="5" t="n">
        <v>37115</v>
      </c>
      <c r="F101" s="5" t="n">
        <v>0</v>
      </c>
      <c r="G101" s="5" t="n">
        <v>89</v>
      </c>
      <c r="H101" s="5" t="n">
        <v>6619</v>
      </c>
      <c r="I101" s="5" t="n">
        <v>162237</v>
      </c>
      <c r="J101" s="11" t="n">
        <f aca="false">IF(I101=0,0,C101/I101)</f>
        <v>0.584318003907863</v>
      </c>
      <c r="K101" s="11" t="n">
        <f aca="false">IF(I101=0,0,D101/I101)</f>
        <v>0.145564821834723</v>
      </c>
      <c r="L101" s="11" t="n">
        <f aca="false">IF(I101=0,0,E101/I101)</f>
        <v>0.228770255860254</v>
      </c>
      <c r="M101" s="11" t="n">
        <f aca="false">IF(I101=0,0,H101/I101)</f>
        <v>0.0407983382335719</v>
      </c>
      <c r="N101" s="4" t="str">
        <f aca="false">INDEX($C$3:$E$3,MATCH(MAX(C101:E101),C101:E101,0))</f>
        <v>PT-Morena-PES</v>
      </c>
      <c r="O101" s="17" t="n">
        <f aca="false">(MAX(J101:L101)-LARGE(J101:L101,2))*100</f>
        <v>35.5547748047609</v>
      </c>
    </row>
    <row r="102" customFormat="false" ht="15" hidden="false" customHeight="false" outlineLevel="0" collapsed="false">
      <c r="A102" s="4" t="s">
        <v>51</v>
      </c>
      <c r="B102" s="4" t="n">
        <v>1</v>
      </c>
      <c r="C102" s="5" t="n">
        <v>99022</v>
      </c>
      <c r="D102" s="5" t="n">
        <v>24212</v>
      </c>
      <c r="E102" s="5" t="n">
        <v>58680</v>
      </c>
      <c r="F102" s="5" t="n">
        <v>0</v>
      </c>
      <c r="G102" s="5" t="n">
        <v>18</v>
      </c>
      <c r="H102" s="5" t="n">
        <v>13986</v>
      </c>
      <c r="I102" s="5" t="n">
        <v>195918</v>
      </c>
      <c r="J102" s="11" t="n">
        <f aca="false">IF(I102=0,0,C102/I102)</f>
        <v>0.505425739339928</v>
      </c>
      <c r="K102" s="11" t="n">
        <f aca="false">IF(I102=0,0,D102/I102)</f>
        <v>0.123582315050174</v>
      </c>
      <c r="L102" s="11" t="n">
        <f aca="false">IF(I102=0,0,E102/I102)</f>
        <v>0.299513061586991</v>
      </c>
      <c r="M102" s="11" t="n">
        <f aca="false">IF(I102=0,0,H102/I102)</f>
        <v>0.0713870088506416</v>
      </c>
      <c r="N102" s="4" t="str">
        <f aca="false">INDEX($C$3:$E$3,MATCH(MAX(C102:E102),C102:E102,0))</f>
        <v>PT-Morena-PES</v>
      </c>
      <c r="O102" s="17" t="n">
        <f aca="false">(MAX(J102:L102)-LARGE(J102:L102,2))*100</f>
        <v>20.5912677752937</v>
      </c>
    </row>
    <row r="103" customFormat="false" ht="15" hidden="false" customHeight="false" outlineLevel="0" collapsed="false">
      <c r="A103" s="4" t="s">
        <v>51</v>
      </c>
      <c r="B103" s="4" t="n">
        <v>2</v>
      </c>
      <c r="C103" s="5" t="n">
        <v>107167</v>
      </c>
      <c r="D103" s="5" t="n">
        <v>32018</v>
      </c>
      <c r="E103" s="5" t="n">
        <v>40833</v>
      </c>
      <c r="F103" s="5" t="n">
        <v>4673</v>
      </c>
      <c r="G103" s="5" t="n">
        <v>63</v>
      </c>
      <c r="H103" s="5" t="n">
        <v>8657</v>
      </c>
      <c r="I103" s="5" t="n">
        <v>193411</v>
      </c>
      <c r="J103" s="11" t="n">
        <f aca="false">IF(I103=0,0,C103/I103)</f>
        <v>0.554089477847692</v>
      </c>
      <c r="K103" s="11" t="n">
        <f aca="false">IF(I103=0,0,D103/I103)</f>
        <v>0.165543841870421</v>
      </c>
      <c r="L103" s="11" t="n">
        <f aca="false">IF(I103=0,0,E103/I103)</f>
        <v>0.211120360269064</v>
      </c>
      <c r="M103" s="11" t="n">
        <f aca="false">IF(I103=0,0,H103/I103)</f>
        <v>0.0447596051930862</v>
      </c>
      <c r="N103" s="4" t="str">
        <f aca="false">INDEX($C$3:$E$3,MATCH(MAX(C103:E103),C103:E103,0))</f>
        <v>PT-Morena-PES</v>
      </c>
      <c r="O103" s="17" t="n">
        <f aca="false">(MAX(J103:L103)-LARGE(J103:L103,2))*100</f>
        <v>34.2969117578628</v>
      </c>
    </row>
    <row r="104" customFormat="false" ht="15" hidden="false" customHeight="false" outlineLevel="0" collapsed="false">
      <c r="A104" s="4" t="s">
        <v>51</v>
      </c>
      <c r="B104" s="4" t="n">
        <v>3</v>
      </c>
      <c r="C104" s="5" t="n">
        <v>111788</v>
      </c>
      <c r="D104" s="5" t="n">
        <v>21854</v>
      </c>
      <c r="E104" s="5" t="n">
        <v>54560</v>
      </c>
      <c r="F104" s="5" t="n">
        <v>0</v>
      </c>
      <c r="G104" s="5" t="n">
        <v>55</v>
      </c>
      <c r="H104" s="5" t="n">
        <v>8663</v>
      </c>
      <c r="I104" s="5" t="n">
        <v>196920</v>
      </c>
      <c r="J104" s="11" t="n">
        <f aca="false">IF(I104=0,0,C104/I104)</f>
        <v>0.567682307536055</v>
      </c>
      <c r="K104" s="11" t="n">
        <f aca="false">IF(I104=0,0,D104/I104)</f>
        <v>0.110979077798091</v>
      </c>
      <c r="L104" s="11" t="n">
        <f aca="false">IF(I104=0,0,E104/I104)</f>
        <v>0.277066829169206</v>
      </c>
      <c r="M104" s="11" t="n">
        <f aca="false">IF(I104=0,0,H104/I104)</f>
        <v>0.0439924842575665</v>
      </c>
      <c r="N104" s="4" t="str">
        <f aca="false">INDEX($C$3:$E$3,MATCH(MAX(C104:E104),C104:E104,0))</f>
        <v>PT-Morena-PES</v>
      </c>
      <c r="O104" s="17" t="n">
        <f aca="false">(MAX(J104:L104)-LARGE(J104:L104,2))*100</f>
        <v>29.0615478366849</v>
      </c>
    </row>
    <row r="105" customFormat="false" ht="15" hidden="false" customHeight="false" outlineLevel="0" collapsed="false">
      <c r="A105" s="4" t="s">
        <v>51</v>
      </c>
      <c r="B105" s="4" t="n">
        <v>4</v>
      </c>
      <c r="C105" s="5" t="n">
        <v>95603</v>
      </c>
      <c r="D105" s="5" t="n">
        <v>23711</v>
      </c>
      <c r="E105" s="5" t="n">
        <v>48034</v>
      </c>
      <c r="F105" s="5" t="n">
        <v>0</v>
      </c>
      <c r="G105" s="5" t="n">
        <v>90</v>
      </c>
      <c r="H105" s="5" t="n">
        <v>8558</v>
      </c>
      <c r="I105" s="5" t="n">
        <v>175996</v>
      </c>
      <c r="J105" s="11" t="n">
        <f aca="false">IF(I105=0,0,C105/I105)</f>
        <v>0.543211209345667</v>
      </c>
      <c r="K105" s="11" t="n">
        <f aca="false">IF(I105=0,0,D105/I105)</f>
        <v>0.134724652833019</v>
      </c>
      <c r="L105" s="11" t="n">
        <f aca="false">IF(I105=0,0,E105/I105)</f>
        <v>0.272926657424032</v>
      </c>
      <c r="M105" s="11" t="n">
        <f aca="false">IF(I105=0,0,H105/I105)</f>
        <v>0.0486261051387532</v>
      </c>
      <c r="N105" s="4" t="str">
        <f aca="false">INDEX($C$3:$E$3,MATCH(MAX(C105:E105),C105:E105,0))</f>
        <v>PT-Morena-PES</v>
      </c>
      <c r="O105" s="17" t="n">
        <f aca="false">(MAX(J105:L105)-LARGE(J105:L105,2))*100</f>
        <v>27.0284551921635</v>
      </c>
    </row>
    <row r="106" customFormat="false" ht="15" hidden="false" customHeight="false" outlineLevel="0" collapsed="false">
      <c r="A106" s="4" t="s">
        <v>51</v>
      </c>
      <c r="B106" s="4" t="n">
        <v>5</v>
      </c>
      <c r="C106" s="5" t="n">
        <v>114449</v>
      </c>
      <c r="D106" s="5" t="n">
        <v>31656</v>
      </c>
      <c r="E106" s="5" t="n">
        <v>53921</v>
      </c>
      <c r="F106" s="5" t="n">
        <v>0</v>
      </c>
      <c r="G106" s="5" t="n">
        <v>60</v>
      </c>
      <c r="H106" s="5" t="n">
        <v>8349</v>
      </c>
      <c r="I106" s="5" t="n">
        <v>208435</v>
      </c>
      <c r="J106" s="11" t="n">
        <f aca="false">IF(I106=0,0,C106/I106)</f>
        <v>0.549087245424233</v>
      </c>
      <c r="K106" s="11" t="n">
        <f aca="false">IF(I106=0,0,D106/I106)</f>
        <v>0.151874685153645</v>
      </c>
      <c r="L106" s="11" t="n">
        <f aca="false">IF(I106=0,0,E106/I106)</f>
        <v>0.258694557056157</v>
      </c>
      <c r="M106" s="11" t="n">
        <f aca="false">IF(I106=0,0,H106/I106)</f>
        <v>0.0400556528414134</v>
      </c>
      <c r="N106" s="4" t="str">
        <f aca="false">INDEX($C$3:$E$3,MATCH(MAX(C106:E106),C106:E106,0))</f>
        <v>PT-Morena-PES</v>
      </c>
      <c r="O106" s="17" t="n">
        <f aca="false">(MAX(J106:L106)-LARGE(J106:L106,2))*100</f>
        <v>29.0392688368076</v>
      </c>
    </row>
    <row r="107" customFormat="false" ht="15" hidden="false" customHeight="false" outlineLevel="0" collapsed="false">
      <c r="A107" s="4" t="s">
        <v>51</v>
      </c>
      <c r="B107" s="4" t="n">
        <v>6</v>
      </c>
      <c r="C107" s="5" t="n">
        <v>125373</v>
      </c>
      <c r="D107" s="5" t="n">
        <v>36810</v>
      </c>
      <c r="E107" s="5" t="n">
        <v>54944</v>
      </c>
      <c r="F107" s="5" t="n">
        <v>0</v>
      </c>
      <c r="G107" s="5" t="n">
        <v>119</v>
      </c>
      <c r="H107" s="5" t="n">
        <v>8509</v>
      </c>
      <c r="I107" s="5" t="n">
        <v>225755</v>
      </c>
      <c r="J107" s="11" t="n">
        <f aca="false">IF(I107=0,0,C107/I107)</f>
        <v>0.555349826138956</v>
      </c>
      <c r="K107" s="11" t="n">
        <f aca="false">IF(I107=0,0,D107/I107)</f>
        <v>0.163052867046134</v>
      </c>
      <c r="L107" s="11" t="n">
        <f aca="false">IF(I107=0,0,E107/I107)</f>
        <v>0.243378884188612</v>
      </c>
      <c r="M107" s="11" t="n">
        <f aca="false">IF(I107=0,0,H107/I107)</f>
        <v>0.0376913025182167</v>
      </c>
      <c r="N107" s="4" t="str">
        <f aca="false">INDEX($C$3:$E$3,MATCH(MAX(C107:E107),C107:E107,0))</f>
        <v>PT-Morena-PES</v>
      </c>
      <c r="O107" s="17" t="n">
        <f aca="false">(MAX(J107:L107)-LARGE(J107:L107,2))*100</f>
        <v>31.1970941950344</v>
      </c>
    </row>
    <row r="108" customFormat="false" ht="15" hidden="false" customHeight="false" outlineLevel="0" collapsed="false">
      <c r="A108" s="4" t="s">
        <v>51</v>
      </c>
      <c r="B108" s="4" t="n">
        <v>7</v>
      </c>
      <c r="C108" s="5" t="n">
        <v>104215</v>
      </c>
      <c r="D108" s="5" t="n">
        <v>26959</v>
      </c>
      <c r="E108" s="5" t="n">
        <v>52008</v>
      </c>
      <c r="F108" s="5" t="n">
        <v>0</v>
      </c>
      <c r="G108" s="5" t="n">
        <v>60</v>
      </c>
      <c r="H108" s="5" t="n">
        <v>7540</v>
      </c>
      <c r="I108" s="5" t="n">
        <v>190782</v>
      </c>
      <c r="J108" s="11" t="n">
        <f aca="false">IF(I108=0,0,C108/I108)</f>
        <v>0.546251742826891</v>
      </c>
      <c r="K108" s="11" t="n">
        <f aca="false">IF(I108=0,0,D108/I108)</f>
        <v>0.141307880198342</v>
      </c>
      <c r="L108" s="11" t="n">
        <f aca="false">IF(I108=0,0,E108/I108)</f>
        <v>0.272604333742177</v>
      </c>
      <c r="M108" s="11" t="n">
        <f aca="false">IF(I108=0,0,H108/I108)</f>
        <v>0.0395215481544381</v>
      </c>
      <c r="N108" s="4" t="str">
        <f aca="false">INDEX($C$3:$E$3,MATCH(MAX(C108:E108),C108:E108,0))</f>
        <v>PT-Morena-PES</v>
      </c>
      <c r="O108" s="17" t="n">
        <f aca="false">(MAX(J108:L108)-LARGE(J108:L108,2))*100</f>
        <v>27.3647409084714</v>
      </c>
    </row>
    <row r="109" customFormat="false" ht="15" hidden="false" customHeight="false" outlineLevel="0" collapsed="false">
      <c r="A109" s="4" t="s">
        <v>52</v>
      </c>
      <c r="B109" s="4" t="n">
        <v>1</v>
      </c>
      <c r="C109" s="5" t="n">
        <v>46974</v>
      </c>
      <c r="D109" s="5" t="n">
        <v>72721</v>
      </c>
      <c r="E109" s="5" t="n">
        <v>46170</v>
      </c>
      <c r="F109" s="5" t="n">
        <v>0</v>
      </c>
      <c r="G109" s="5" t="n">
        <v>53</v>
      </c>
      <c r="H109" s="5" t="n">
        <v>7059</v>
      </c>
      <c r="I109" s="5" t="n">
        <v>172977</v>
      </c>
      <c r="J109" s="11" t="n">
        <f aca="false">IF(I109=0,0,C109/I109)</f>
        <v>0.271562115194506</v>
      </c>
      <c r="K109" s="11" t="n">
        <f aca="false">IF(I109=0,0,D109/I109)</f>
        <v>0.420408493614758</v>
      </c>
      <c r="L109" s="11" t="n">
        <f aca="false">IF(I109=0,0,E109/I109)</f>
        <v>0.266914098406147</v>
      </c>
      <c r="M109" s="11" t="n">
        <f aca="false">IF(I109=0,0,H109/I109)</f>
        <v>0.0408088936679443</v>
      </c>
      <c r="N109" s="4" t="str">
        <f aca="false">INDEX($C$3:$E$3,MATCH(MAX(C109:E109),C109:E109,0))</f>
        <v>PAN-PRD-MC</v>
      </c>
      <c r="O109" s="17" t="n">
        <f aca="false">(MAX(J109:L109)-LARGE(J109:L109,2))*100</f>
        <v>14.8846378420252</v>
      </c>
    </row>
    <row r="110" customFormat="false" ht="15" hidden="false" customHeight="false" outlineLevel="0" collapsed="false">
      <c r="A110" s="4" t="s">
        <v>52</v>
      </c>
      <c r="B110" s="4" t="n">
        <v>2</v>
      </c>
      <c r="C110" s="5" t="n">
        <v>25445</v>
      </c>
      <c r="D110" s="5" t="n">
        <v>84943</v>
      </c>
      <c r="E110" s="5" t="n">
        <v>37828</v>
      </c>
      <c r="F110" s="5" t="n">
        <v>0</v>
      </c>
      <c r="G110" s="5" t="n">
        <v>67</v>
      </c>
      <c r="H110" s="5" t="n">
        <v>6206</v>
      </c>
      <c r="I110" s="5" t="n">
        <v>154489</v>
      </c>
      <c r="J110" s="11" t="n">
        <f aca="false">IF(I110=0,0,C110/I110)</f>
        <v>0.164704283152846</v>
      </c>
      <c r="K110" s="11" t="n">
        <f aca="false">IF(I110=0,0,D110/I110)</f>
        <v>0.5498320268757</v>
      </c>
      <c r="L110" s="11" t="n">
        <f aca="false">IF(I110=0,0,E110/I110)</f>
        <v>0.244858857264919</v>
      </c>
      <c r="M110" s="11" t="n">
        <f aca="false">IF(I110=0,0,H110/I110)</f>
        <v>0.0401711448711559</v>
      </c>
      <c r="N110" s="4" t="str">
        <f aca="false">INDEX($C$3:$E$3,MATCH(MAX(C110:E110),C110:E110,0))</f>
        <v>PAN-PRD-MC</v>
      </c>
      <c r="O110" s="17" t="n">
        <f aca="false">(MAX(J110:L110)-LARGE(J110:L110,2))*100</f>
        <v>30.4973169610781</v>
      </c>
    </row>
    <row r="111" customFormat="false" ht="15" hidden="false" customHeight="false" outlineLevel="0" collapsed="false">
      <c r="A111" s="4" t="s">
        <v>52</v>
      </c>
      <c r="B111" s="4" t="n">
        <v>3</v>
      </c>
      <c r="C111" s="5" t="n">
        <v>28360</v>
      </c>
      <c r="D111" s="5" t="n">
        <v>100170</v>
      </c>
      <c r="E111" s="5" t="n">
        <v>48740</v>
      </c>
      <c r="F111" s="5" t="n">
        <v>0</v>
      </c>
      <c r="G111" s="5" t="n">
        <v>90</v>
      </c>
      <c r="H111" s="5" t="n">
        <v>9170</v>
      </c>
      <c r="I111" s="5" t="n">
        <v>186530</v>
      </c>
      <c r="J111" s="11" t="n">
        <f aca="false">IF(I111=0,0,C111/I111)</f>
        <v>0.15203988634536</v>
      </c>
      <c r="K111" s="11" t="n">
        <f aca="false">IF(I111=0,0,D111/I111)</f>
        <v>0.537018174020265</v>
      </c>
      <c r="L111" s="11" t="n">
        <f aca="false">IF(I111=0,0,E111/I111)</f>
        <v>0.26129845065137</v>
      </c>
      <c r="M111" s="11" t="n">
        <f aca="false">IF(I111=0,0,H111/I111)</f>
        <v>0.0491609928697797</v>
      </c>
      <c r="N111" s="4" t="str">
        <f aca="false">INDEX($C$3:$E$3,MATCH(MAX(C111:E111),C111:E111,0))</f>
        <v>PAN-PRD-MC</v>
      </c>
      <c r="O111" s="17" t="n">
        <f aca="false">(MAX(J111:L111)-LARGE(J111:L111,2))*100</f>
        <v>27.5719723368895</v>
      </c>
    </row>
    <row r="112" customFormat="false" ht="15" hidden="false" customHeight="false" outlineLevel="0" collapsed="false">
      <c r="A112" s="4" t="s">
        <v>52</v>
      </c>
      <c r="B112" s="4" t="n">
        <v>4</v>
      </c>
      <c r="C112" s="5" t="n">
        <v>54902</v>
      </c>
      <c r="D112" s="5" t="n">
        <v>65852</v>
      </c>
      <c r="E112" s="5" t="n">
        <v>37067</v>
      </c>
      <c r="F112" s="5" t="n">
        <v>0</v>
      </c>
      <c r="G112" s="5" t="n">
        <v>166</v>
      </c>
      <c r="H112" s="5" t="n">
        <v>5404</v>
      </c>
      <c r="I112" s="5" t="n">
        <v>163391</v>
      </c>
      <c r="J112" s="11" t="n">
        <f aca="false">IF(I112=0,0,C112/I112)</f>
        <v>0.336016059636088</v>
      </c>
      <c r="K112" s="11" t="n">
        <f aca="false">IF(I112=0,0,D112/I112)</f>
        <v>0.403033214803753</v>
      </c>
      <c r="L112" s="11" t="n">
        <f aca="false">IF(I112=0,0,E112/I112)</f>
        <v>0.226860720602726</v>
      </c>
      <c r="M112" s="11" t="n">
        <f aca="false">IF(I112=0,0,H112/I112)</f>
        <v>0.0330740371256679</v>
      </c>
      <c r="N112" s="4" t="str">
        <f aca="false">INDEX($C$3:$E$3,MATCH(MAX(C112:E112),C112:E112,0))</f>
        <v>PAN-PRD-MC</v>
      </c>
      <c r="O112" s="17" t="n">
        <f aca="false">(MAX(J112:L112)-LARGE(J112:L112,2))*100</f>
        <v>6.70171551676653</v>
      </c>
    </row>
    <row r="113" customFormat="false" ht="15" hidden="false" customHeight="false" outlineLevel="0" collapsed="false">
      <c r="A113" s="4" t="s">
        <v>52</v>
      </c>
      <c r="B113" s="4" t="n">
        <v>5</v>
      </c>
      <c r="C113" s="5" t="n">
        <v>57630</v>
      </c>
      <c r="D113" s="5" t="n">
        <v>47979</v>
      </c>
      <c r="E113" s="5" t="n">
        <v>45104</v>
      </c>
      <c r="F113" s="5" t="n">
        <v>0</v>
      </c>
      <c r="G113" s="5" t="n">
        <v>72</v>
      </c>
      <c r="H113" s="5" t="n">
        <v>6115</v>
      </c>
      <c r="I113" s="5" t="n">
        <v>156900</v>
      </c>
      <c r="J113" s="11" t="n">
        <f aca="false">IF(I113=0,0,C113/I113)</f>
        <v>0.367304015296367</v>
      </c>
      <c r="K113" s="11" t="n">
        <f aca="false">IF(I113=0,0,D113/I113)</f>
        <v>0.305793499043977</v>
      </c>
      <c r="L113" s="11" t="n">
        <f aca="false">IF(I113=0,0,E113/I113)</f>
        <v>0.287469725940089</v>
      </c>
      <c r="M113" s="11" t="n">
        <f aca="false">IF(I113=0,0,H113/I113)</f>
        <v>0.0389738687061823</v>
      </c>
      <c r="N113" s="4" t="str">
        <f aca="false">INDEX($C$3:$E$3,MATCH(MAX(C113:E113),C113:E113,0))</f>
        <v>PT-Morena-PES</v>
      </c>
      <c r="O113" s="17" t="n">
        <f aca="false">(MAX(J113:L113)-LARGE(J113:L113,2))*100</f>
        <v>6.15105162523901</v>
      </c>
    </row>
    <row r="114" customFormat="false" ht="15" hidden="false" customHeight="false" outlineLevel="0" collapsed="false">
      <c r="A114" s="4" t="s">
        <v>52</v>
      </c>
      <c r="B114" s="4" t="n">
        <v>6</v>
      </c>
      <c r="C114" s="5" t="n">
        <v>55886</v>
      </c>
      <c r="D114" s="5" t="n">
        <v>84688</v>
      </c>
      <c r="E114" s="5" t="n">
        <v>33205</v>
      </c>
      <c r="F114" s="5" t="n">
        <v>0</v>
      </c>
      <c r="G114" s="5" t="n">
        <v>185</v>
      </c>
      <c r="H114" s="5" t="n">
        <v>5638</v>
      </c>
      <c r="I114" s="5" t="n">
        <v>179602</v>
      </c>
      <c r="J114" s="11" t="n">
        <f aca="false">IF(I114=0,0,C114/I114)</f>
        <v>0.311165799935413</v>
      </c>
      <c r="K114" s="11" t="n">
        <f aca="false">IF(I114=0,0,D114/I114)</f>
        <v>0.471531497422078</v>
      </c>
      <c r="L114" s="11" t="n">
        <f aca="false">IF(I114=0,0,E114/I114)</f>
        <v>0.184881014688032</v>
      </c>
      <c r="M114" s="11" t="n">
        <f aca="false">IF(I114=0,0,H114/I114)</f>
        <v>0.0313916326098819</v>
      </c>
      <c r="N114" s="4" t="str">
        <f aca="false">INDEX($C$3:$E$3,MATCH(MAX(C114:E114),C114:E114,0))</f>
        <v>PAN-PRD-MC</v>
      </c>
      <c r="O114" s="17" t="n">
        <f aca="false">(MAX(J114:L114)-LARGE(J114:L114,2))*100</f>
        <v>16.0365697486665</v>
      </c>
    </row>
    <row r="115" customFormat="false" ht="15" hidden="false" customHeight="false" outlineLevel="0" collapsed="false">
      <c r="A115" s="4" t="s">
        <v>52</v>
      </c>
      <c r="B115" s="4" t="n">
        <v>7</v>
      </c>
      <c r="C115" s="5" t="n">
        <v>49739</v>
      </c>
      <c r="D115" s="5" t="n">
        <v>50931</v>
      </c>
      <c r="E115" s="5" t="n">
        <v>31229</v>
      </c>
      <c r="F115" s="5" t="n">
        <v>0</v>
      </c>
      <c r="G115" s="5" t="n">
        <v>82</v>
      </c>
      <c r="H115" s="5" t="n">
        <v>4131</v>
      </c>
      <c r="I115" s="5" t="n">
        <v>136112</v>
      </c>
      <c r="J115" s="11" t="n">
        <f aca="false">IF(I115=0,0,C115/I115)</f>
        <v>0.365427001293053</v>
      </c>
      <c r="K115" s="11" t="n">
        <f aca="false">IF(I115=0,0,D115/I115)</f>
        <v>0.374184495121665</v>
      </c>
      <c r="L115" s="11" t="n">
        <f aca="false">IF(I115=0,0,E115/I115)</f>
        <v>0.229436052662513</v>
      </c>
      <c r="M115" s="11" t="n">
        <f aca="false">IF(I115=0,0,H115/I115)</f>
        <v>0.0303500058775126</v>
      </c>
      <c r="N115" s="4" t="str">
        <f aca="false">INDEX($C$3:$E$3,MATCH(MAX(C115:E115),C115:E115,0))</f>
        <v>PAN-PRD-MC</v>
      </c>
      <c r="O115" s="17" t="n">
        <f aca="false">(MAX(J115:L115)-LARGE(J115:L115,2))*100</f>
        <v>0.875749382861174</v>
      </c>
    </row>
    <row r="116" customFormat="false" ht="15" hidden="false" customHeight="false" outlineLevel="0" collapsed="false">
      <c r="A116" s="4" t="s">
        <v>52</v>
      </c>
      <c r="B116" s="4" t="n">
        <v>8</v>
      </c>
      <c r="C116" s="5" t="n">
        <v>49598</v>
      </c>
      <c r="D116" s="5" t="n">
        <v>78213</v>
      </c>
      <c r="E116" s="5" t="n">
        <v>32279</v>
      </c>
      <c r="F116" s="5" t="n">
        <v>52995</v>
      </c>
      <c r="G116" s="5" t="n">
        <v>94</v>
      </c>
      <c r="H116" s="5" t="n">
        <v>5595</v>
      </c>
      <c r="I116" s="5" t="n">
        <v>218774</v>
      </c>
      <c r="J116" s="11" t="n">
        <f aca="false">IF(I116=0,0,C116/I116)</f>
        <v>0.226708841087149</v>
      </c>
      <c r="K116" s="11" t="n">
        <f aca="false">IF(I116=0,0,D116/I116)</f>
        <v>0.357505919350563</v>
      </c>
      <c r="L116" s="11" t="n">
        <f aca="false">IF(I116=0,0,E116/I116)</f>
        <v>0.147544955067787</v>
      </c>
      <c r="M116" s="11" t="n">
        <f aca="false">IF(I116=0,0,H116/I116)</f>
        <v>0.0255743369870277</v>
      </c>
      <c r="N116" s="4" t="str">
        <f aca="false">INDEX($C$3:$E$3,MATCH(MAX(C116:E116),C116:E116,0))</f>
        <v>PAN-PRD-MC</v>
      </c>
      <c r="O116" s="17" t="n">
        <f aca="false">(MAX(J116:L116)-LARGE(J116:L116,2))*100</f>
        <v>13.0797078263413</v>
      </c>
    </row>
    <row r="117" customFormat="false" ht="15" hidden="false" customHeight="false" outlineLevel="0" collapsed="false">
      <c r="A117" s="4" t="s">
        <v>52</v>
      </c>
      <c r="B117" s="4" t="n">
        <v>9</v>
      </c>
      <c r="C117" s="5" t="n">
        <v>64501</v>
      </c>
      <c r="D117" s="5" t="n">
        <v>68475</v>
      </c>
      <c r="E117" s="5" t="n">
        <v>36659</v>
      </c>
      <c r="F117" s="5" t="n">
        <v>0</v>
      </c>
      <c r="G117" s="5" t="n">
        <v>120</v>
      </c>
      <c r="H117" s="5" t="n">
        <v>6508</v>
      </c>
      <c r="I117" s="5" t="n">
        <v>176263</v>
      </c>
      <c r="J117" s="11" t="n">
        <f aca="false">IF(I117=0,0,C117/I117)</f>
        <v>0.365936129533708</v>
      </c>
      <c r="K117" s="11" t="n">
        <f aca="false">IF(I117=0,0,D117/I117)</f>
        <v>0.38848198430754</v>
      </c>
      <c r="L117" s="11" t="n">
        <f aca="false">IF(I117=0,0,E117/I117)</f>
        <v>0.207978985947136</v>
      </c>
      <c r="M117" s="11" t="n">
        <f aca="false">IF(I117=0,0,H117/I117)</f>
        <v>0.0369220993628839</v>
      </c>
      <c r="N117" s="4" t="str">
        <f aca="false">INDEX($C$3:$E$3,MATCH(MAX(C117:E117),C117:E117,0))</f>
        <v>PAN-PRD-MC</v>
      </c>
      <c r="O117" s="17" t="n">
        <f aca="false">(MAX(J117:L117)-LARGE(J117:L117,2))*100</f>
        <v>2.25458547738323</v>
      </c>
    </row>
    <row r="118" customFormat="false" ht="15" hidden="false" customHeight="false" outlineLevel="0" collapsed="false">
      <c r="A118" s="4" t="s">
        <v>52</v>
      </c>
      <c r="B118" s="4" t="n">
        <v>10</v>
      </c>
      <c r="C118" s="5" t="n">
        <v>36806</v>
      </c>
      <c r="D118" s="5" t="n">
        <v>70592</v>
      </c>
      <c r="E118" s="5" t="n">
        <v>22438</v>
      </c>
      <c r="F118" s="5" t="n">
        <v>48613</v>
      </c>
      <c r="G118" s="5" t="n">
        <v>78</v>
      </c>
      <c r="H118" s="5" t="n">
        <v>4232</v>
      </c>
      <c r="I118" s="5" t="n">
        <v>182759</v>
      </c>
      <c r="J118" s="11" t="n">
        <f aca="false">IF(I118=0,0,C118/I118)</f>
        <v>0.201390902773598</v>
      </c>
      <c r="K118" s="11" t="n">
        <f aca="false">IF(I118=0,0,D118/I118)</f>
        <v>0.386257311541429</v>
      </c>
      <c r="L118" s="11" t="n">
        <f aca="false">IF(I118=0,0,E118/I118)</f>
        <v>0.122773707450796</v>
      </c>
      <c r="M118" s="11" t="n">
        <f aca="false">IF(I118=0,0,H118/I118)</f>
        <v>0.0231561783551015</v>
      </c>
      <c r="N118" s="4" t="str">
        <f aca="false">INDEX($C$3:$E$3,MATCH(MAX(C118:E118),C118:E118,0))</f>
        <v>PAN-PRD-MC</v>
      </c>
      <c r="O118" s="17" t="n">
        <f aca="false">(MAX(J118:L118)-LARGE(J118:L118,2))*100</f>
        <v>18.4866408767831</v>
      </c>
    </row>
    <row r="119" customFormat="false" ht="15" hidden="false" customHeight="false" outlineLevel="0" collapsed="false">
      <c r="A119" s="4" t="s">
        <v>52</v>
      </c>
      <c r="B119" s="4" t="n">
        <v>11</v>
      </c>
      <c r="C119" s="5" t="n">
        <v>65271</v>
      </c>
      <c r="D119" s="5" t="n">
        <v>81651</v>
      </c>
      <c r="E119" s="5" t="n">
        <v>37482</v>
      </c>
      <c r="F119" s="5" t="n">
        <v>0</v>
      </c>
      <c r="G119" s="5" t="n">
        <v>132</v>
      </c>
      <c r="H119" s="5" t="n">
        <v>6509</v>
      </c>
      <c r="I119" s="5" t="n">
        <v>191045</v>
      </c>
      <c r="J119" s="11" t="n">
        <f aca="false">IF(I119=0,0,C119/I119)</f>
        <v>0.341652490250988</v>
      </c>
      <c r="K119" s="11" t="n">
        <f aca="false">IF(I119=0,0,D119/I119)</f>
        <v>0.427391452275642</v>
      </c>
      <c r="L119" s="11" t="n">
        <f aca="false">IF(I119=0,0,E119/I119)</f>
        <v>0.196194613834437</v>
      </c>
      <c r="M119" s="11" t="n">
        <f aca="false">IF(I119=0,0,H119/I119)</f>
        <v>0.0340705069486247</v>
      </c>
      <c r="N119" s="4" t="str">
        <f aca="false">INDEX($C$3:$E$3,MATCH(MAX(C119:E119),C119:E119,0))</f>
        <v>PAN-PRD-MC</v>
      </c>
      <c r="O119" s="17" t="n">
        <f aca="false">(MAX(J119:L119)-LARGE(J119:L119,2))*100</f>
        <v>8.57389620246539</v>
      </c>
    </row>
    <row r="120" customFormat="false" ht="15" hidden="false" customHeight="false" outlineLevel="0" collapsed="false">
      <c r="A120" s="4" t="s">
        <v>52</v>
      </c>
      <c r="B120" s="4" t="n">
        <v>12</v>
      </c>
      <c r="C120" s="5" t="n">
        <v>60621</v>
      </c>
      <c r="D120" s="5" t="n">
        <v>88092</v>
      </c>
      <c r="E120" s="5" t="n">
        <v>21747</v>
      </c>
      <c r="F120" s="5" t="n">
        <v>0</v>
      </c>
      <c r="G120" s="5" t="n">
        <v>118</v>
      </c>
      <c r="H120" s="5" t="n">
        <v>4894</v>
      </c>
      <c r="I120" s="5" t="n">
        <v>175472</v>
      </c>
      <c r="J120" s="11" t="n">
        <f aca="false">IF(I120=0,0,C120/I120)</f>
        <v>0.345473921765296</v>
      </c>
      <c r="K120" s="11" t="n">
        <f aca="false">IF(I120=0,0,D120/I120)</f>
        <v>0.502028813713869</v>
      </c>
      <c r="L120" s="11" t="n">
        <f aca="false">IF(I120=0,0,E120/I120)</f>
        <v>0.123934302908726</v>
      </c>
      <c r="M120" s="11" t="n">
        <f aca="false">IF(I120=0,0,H120/I120)</f>
        <v>0.0278904896507705</v>
      </c>
      <c r="N120" s="4" t="str">
        <f aca="false">INDEX($C$3:$E$3,MATCH(MAX(C120:E120),C120:E120,0))</f>
        <v>PAN-PRD-MC</v>
      </c>
      <c r="O120" s="17" t="n">
        <f aca="false">(MAX(J120:L120)-LARGE(J120:L120,2))*100</f>
        <v>15.6554891948573</v>
      </c>
    </row>
    <row r="121" customFormat="false" ht="15" hidden="false" customHeight="false" outlineLevel="0" collapsed="false">
      <c r="A121" s="4" t="s">
        <v>52</v>
      </c>
      <c r="B121" s="4" t="n">
        <v>13</v>
      </c>
      <c r="C121" s="5" t="n">
        <v>43715</v>
      </c>
      <c r="D121" s="5" t="n">
        <v>59192</v>
      </c>
      <c r="E121" s="5" t="n">
        <v>24896</v>
      </c>
      <c r="F121" s="5" t="n">
        <v>37326</v>
      </c>
      <c r="G121" s="5" t="n">
        <v>58</v>
      </c>
      <c r="H121" s="5" t="n">
        <v>4871</v>
      </c>
      <c r="I121" s="5" t="n">
        <v>170058</v>
      </c>
      <c r="J121" s="11" t="n">
        <f aca="false">IF(I121=0,0,C121/I121)</f>
        <v>0.257059356219643</v>
      </c>
      <c r="K121" s="11" t="n">
        <f aca="false">IF(I121=0,0,D121/I121)</f>
        <v>0.348069482176669</v>
      </c>
      <c r="L121" s="11" t="n">
        <f aca="false">IF(I121=0,0,E121/I121)</f>
        <v>0.146397111573698</v>
      </c>
      <c r="M121" s="11" t="n">
        <f aca="false">IF(I121=0,0,H121/I121)</f>
        <v>0.0286431688012325</v>
      </c>
      <c r="N121" s="4" t="str">
        <f aca="false">INDEX($C$3:$E$3,MATCH(MAX(C121:E121),C121:E121,0))</f>
        <v>PAN-PRD-MC</v>
      </c>
      <c r="O121" s="17" t="n">
        <f aca="false">(MAX(J121:L121)-LARGE(J121:L121,2))*100</f>
        <v>9.10101259570264</v>
      </c>
    </row>
    <row r="122" customFormat="false" ht="15" hidden="false" customHeight="false" outlineLevel="0" collapsed="false">
      <c r="A122" s="4" t="s">
        <v>52</v>
      </c>
      <c r="B122" s="4" t="n">
        <v>14</v>
      </c>
      <c r="C122" s="5" t="n">
        <v>65779</v>
      </c>
      <c r="D122" s="5" t="n">
        <v>90344</v>
      </c>
      <c r="E122" s="5" t="n">
        <v>35106</v>
      </c>
      <c r="F122" s="5" t="n">
        <v>0</v>
      </c>
      <c r="G122" s="5" t="n">
        <v>111</v>
      </c>
      <c r="H122" s="5" t="n">
        <v>6897</v>
      </c>
      <c r="I122" s="5" t="n">
        <v>198237</v>
      </c>
      <c r="J122" s="11" t="n">
        <f aca="false">IF(I122=0,0,C122/I122)</f>
        <v>0.331819993240414</v>
      </c>
      <c r="K122" s="11" t="n">
        <f aca="false">IF(I122=0,0,D122/I122)</f>
        <v>0.455737324515605</v>
      </c>
      <c r="L122" s="11" t="n">
        <f aca="false">IF(I122=0,0,E122/I122)</f>
        <v>0.177091057673391</v>
      </c>
      <c r="M122" s="11" t="n">
        <f aca="false">IF(I122=0,0,H122/I122)</f>
        <v>0.0347916887362097</v>
      </c>
      <c r="N122" s="4" t="str">
        <f aca="false">INDEX($C$3:$E$3,MATCH(MAX(C122:E122),C122:E122,0))</f>
        <v>PAN-PRD-MC</v>
      </c>
      <c r="O122" s="17" t="n">
        <f aca="false">(MAX(J122:L122)-LARGE(J122:L122,2))*100</f>
        <v>12.3917331275191</v>
      </c>
    </row>
    <row r="123" customFormat="false" ht="15" hidden="false" customHeight="false" outlineLevel="0" collapsed="false">
      <c r="A123" s="4" t="s">
        <v>52</v>
      </c>
      <c r="B123" s="4" t="n">
        <v>15</v>
      </c>
      <c r="C123" s="5" t="n">
        <v>56846</v>
      </c>
      <c r="D123" s="5" t="n">
        <v>59774</v>
      </c>
      <c r="E123" s="5" t="n">
        <v>54959</v>
      </c>
      <c r="F123" s="5" t="n">
        <v>0</v>
      </c>
      <c r="G123" s="5" t="n">
        <v>53</v>
      </c>
      <c r="H123" s="5" t="n">
        <v>7597</v>
      </c>
      <c r="I123" s="5" t="n">
        <v>179229</v>
      </c>
      <c r="J123" s="11" t="n">
        <f aca="false">IF(I123=0,0,C123/I123)</f>
        <v>0.3171696544644</v>
      </c>
      <c r="K123" s="11" t="n">
        <f aca="false">IF(I123=0,0,D123/I123)</f>
        <v>0.333506296414085</v>
      </c>
      <c r="L123" s="11" t="n">
        <f aca="false">IF(I123=0,0,E123/I123)</f>
        <v>0.306641224355434</v>
      </c>
      <c r="M123" s="11" t="n">
        <f aca="false">IF(I123=0,0,H123/I123)</f>
        <v>0.0423871136925386</v>
      </c>
      <c r="N123" s="4" t="str">
        <f aca="false">INDEX($C$3:$E$3,MATCH(MAX(C123:E123),C123:E123,0))</f>
        <v>PAN-PRD-MC</v>
      </c>
      <c r="O123" s="17" t="n">
        <f aca="false">(MAX(J123:L123)-LARGE(J123:L123,2))*100</f>
        <v>1.63366419496845</v>
      </c>
    </row>
    <row r="124" customFormat="false" ht="15" hidden="false" customHeight="false" outlineLevel="0" collapsed="false">
      <c r="A124" s="4" t="s">
        <v>52</v>
      </c>
      <c r="B124" s="4" t="n">
        <v>16</v>
      </c>
      <c r="C124" s="5" t="n">
        <v>58828</v>
      </c>
      <c r="D124" s="5" t="n">
        <v>55359</v>
      </c>
      <c r="E124" s="5" t="n">
        <v>35722</v>
      </c>
      <c r="F124" s="5" t="n">
        <v>7767</v>
      </c>
      <c r="G124" s="5" t="n">
        <v>87</v>
      </c>
      <c r="H124" s="5" t="n">
        <v>5507</v>
      </c>
      <c r="I124" s="5" t="n">
        <v>163270</v>
      </c>
      <c r="J124" s="11" t="n">
        <f aca="false">IF(I124=0,0,C124/I124)</f>
        <v>0.360311141054695</v>
      </c>
      <c r="K124" s="11" t="n">
        <f aca="false">IF(I124=0,0,D124/I124)</f>
        <v>0.339064126906351</v>
      </c>
      <c r="L124" s="11" t="n">
        <f aca="false">IF(I124=0,0,E124/I124)</f>
        <v>0.218790959759907</v>
      </c>
      <c r="M124" s="11" t="n">
        <f aca="false">IF(I124=0,0,H124/I124)</f>
        <v>0.0337294052795982</v>
      </c>
      <c r="N124" s="4" t="str">
        <f aca="false">INDEX($C$3:$E$3,MATCH(MAX(C124:E124),C124:E124,0))</f>
        <v>PT-Morena-PES</v>
      </c>
      <c r="O124" s="17" t="n">
        <f aca="false">(MAX(J124:L124)-LARGE(J124:L124,2))*100</f>
        <v>2.12470141483432</v>
      </c>
    </row>
    <row r="125" customFormat="false" ht="15" hidden="false" customHeight="false" outlineLevel="0" collapsed="false">
      <c r="A125" s="4" t="s">
        <v>52</v>
      </c>
      <c r="B125" s="4" t="n">
        <v>17</v>
      </c>
      <c r="C125" s="5" t="n">
        <v>43932</v>
      </c>
      <c r="D125" s="5" t="n">
        <v>61035</v>
      </c>
      <c r="E125" s="5" t="n">
        <v>49729</v>
      </c>
      <c r="F125" s="5" t="n">
        <v>0</v>
      </c>
      <c r="G125" s="5" t="n">
        <v>74</v>
      </c>
      <c r="H125" s="5" t="n">
        <v>6395</v>
      </c>
      <c r="I125" s="5" t="n">
        <v>161165</v>
      </c>
      <c r="J125" s="11" t="n">
        <f aca="false">IF(I125=0,0,C125/I125)</f>
        <v>0.27259020258741</v>
      </c>
      <c r="K125" s="11" t="n">
        <f aca="false">IF(I125=0,0,D125/I125)</f>
        <v>0.378711258647969</v>
      </c>
      <c r="L125" s="11" t="n">
        <f aca="false">IF(I125=0,0,E125/I125)</f>
        <v>0.308559550770949</v>
      </c>
      <c r="M125" s="11" t="n">
        <f aca="false">IF(I125=0,0,H125/I125)</f>
        <v>0.0396798312288648</v>
      </c>
      <c r="N125" s="4" t="str">
        <f aca="false">INDEX($C$3:$E$3,MATCH(MAX(C125:E125),C125:E125,0))</f>
        <v>PAN-PRD-MC</v>
      </c>
      <c r="O125" s="17" t="n">
        <f aca="false">(MAX(J125:L125)-LARGE(J125:L125,2))*100</f>
        <v>7.01517078770204</v>
      </c>
    </row>
    <row r="126" customFormat="false" ht="15" hidden="false" customHeight="false" outlineLevel="0" collapsed="false">
      <c r="A126" s="4" t="s">
        <v>52</v>
      </c>
      <c r="B126" s="4" t="n">
        <v>18</v>
      </c>
      <c r="C126" s="5" t="n">
        <v>47312</v>
      </c>
      <c r="D126" s="5" t="n">
        <v>74644</v>
      </c>
      <c r="E126" s="5" t="n">
        <v>50268</v>
      </c>
      <c r="F126" s="5" t="n">
        <v>0</v>
      </c>
      <c r="G126" s="5" t="n">
        <v>57</v>
      </c>
      <c r="H126" s="5" t="n">
        <v>7701</v>
      </c>
      <c r="I126" s="5" t="n">
        <v>179982</v>
      </c>
      <c r="J126" s="11" t="n">
        <f aca="false">IF(I126=0,0,C126/I126)</f>
        <v>0.262870731517596</v>
      </c>
      <c r="K126" s="11" t="n">
        <f aca="false">IF(I126=0,0,D126/I126)</f>
        <v>0.414730361925081</v>
      </c>
      <c r="L126" s="11" t="n">
        <f aca="false">IF(I126=0,0,E126/I126)</f>
        <v>0.279294596126279</v>
      </c>
      <c r="M126" s="11" t="n">
        <f aca="false">IF(I126=0,0,H126/I126)</f>
        <v>0.0427876120945428</v>
      </c>
      <c r="N126" s="4" t="str">
        <f aca="false">INDEX($C$3:$E$3,MATCH(MAX(C126:E126),C126:E126,0))</f>
        <v>PAN-PRD-MC</v>
      </c>
      <c r="O126" s="17" t="n">
        <f aca="false">(MAX(J126:L126)-LARGE(J126:L126,2))*100</f>
        <v>13.5435765798802</v>
      </c>
    </row>
    <row r="127" customFormat="false" ht="15" hidden="false" customHeight="false" outlineLevel="0" collapsed="false">
      <c r="A127" s="4" t="s">
        <v>52</v>
      </c>
      <c r="B127" s="4" t="n">
        <v>19</v>
      </c>
      <c r="C127" s="5" t="n">
        <v>55519</v>
      </c>
      <c r="D127" s="5" t="n">
        <v>77148</v>
      </c>
      <c r="E127" s="5" t="n">
        <v>48506</v>
      </c>
      <c r="F127" s="5" t="n">
        <v>0</v>
      </c>
      <c r="G127" s="5" t="n">
        <v>72</v>
      </c>
      <c r="H127" s="5" t="n">
        <v>7412</v>
      </c>
      <c r="I127" s="5" t="n">
        <v>188657</v>
      </c>
      <c r="J127" s="11" t="n">
        <f aca="false">IF(I127=0,0,C127/I127)</f>
        <v>0.294285396248218</v>
      </c>
      <c r="K127" s="11" t="n">
        <f aca="false">IF(I127=0,0,D127/I127)</f>
        <v>0.408932613155091</v>
      </c>
      <c r="L127" s="11" t="n">
        <f aca="false">IF(I127=0,0,E127/I127)</f>
        <v>0.257112113518184</v>
      </c>
      <c r="M127" s="11" t="n">
        <f aca="false">IF(I127=0,0,H127/I127)</f>
        <v>0.0392882320825625</v>
      </c>
      <c r="N127" s="4" t="str">
        <f aca="false">INDEX($C$3:$E$3,MATCH(MAX(C127:E127),C127:E127,0))</f>
        <v>PAN-PRD-MC</v>
      </c>
      <c r="O127" s="17" t="n">
        <f aca="false">(MAX(J127:L127)-LARGE(J127:L127,2))*100</f>
        <v>11.4647216906873</v>
      </c>
    </row>
    <row r="128" customFormat="false" ht="15" hidden="false" customHeight="false" outlineLevel="0" collapsed="false">
      <c r="A128" s="4" t="s">
        <v>52</v>
      </c>
      <c r="B128" s="4" t="n">
        <v>20</v>
      </c>
      <c r="C128" s="5" t="n">
        <v>44112</v>
      </c>
      <c r="D128" s="5" t="n">
        <v>63733</v>
      </c>
      <c r="E128" s="5" t="n">
        <v>33284</v>
      </c>
      <c r="F128" s="5" t="n">
        <v>0</v>
      </c>
      <c r="G128" s="5" t="n">
        <v>55</v>
      </c>
      <c r="H128" s="5" t="n">
        <v>5324</v>
      </c>
      <c r="I128" s="5" t="n">
        <v>146508</v>
      </c>
      <c r="J128" s="11" t="n">
        <f aca="false">IF(I128=0,0,C128/I128)</f>
        <v>0.30108936030797</v>
      </c>
      <c r="K128" s="11" t="n">
        <f aca="false">IF(I128=0,0,D128/I128)</f>
        <v>0.435013787642996</v>
      </c>
      <c r="L128" s="11" t="n">
        <f aca="false">IF(I128=0,0,E128/I128)</f>
        <v>0.227182133398859</v>
      </c>
      <c r="M128" s="11" t="n">
        <f aca="false">IF(I128=0,0,H128/I128)</f>
        <v>0.0363393125290087</v>
      </c>
      <c r="N128" s="4" t="str">
        <f aca="false">INDEX($C$3:$E$3,MATCH(MAX(C128:E128),C128:E128,0))</f>
        <v>PAN-PRD-MC</v>
      </c>
      <c r="O128" s="17" t="n">
        <f aca="false">(MAX(J128:L128)-LARGE(J128:L128,2))*100</f>
        <v>13.3924427335026</v>
      </c>
    </row>
    <row r="129" customFormat="false" ht="15" hidden="false" customHeight="false" outlineLevel="0" collapsed="false">
      <c r="A129" s="4" t="s">
        <v>53</v>
      </c>
      <c r="B129" s="4" t="n">
        <v>1</v>
      </c>
      <c r="C129" s="5" t="n">
        <v>79306</v>
      </c>
      <c r="D129" s="5" t="n">
        <v>49522</v>
      </c>
      <c r="E129" s="5" t="n">
        <v>87316</v>
      </c>
      <c r="F129" s="5" t="n">
        <v>0</v>
      </c>
      <c r="G129" s="5" t="n">
        <v>89</v>
      </c>
      <c r="H129" s="5" t="n">
        <v>8427</v>
      </c>
      <c r="I129" s="5" t="n">
        <v>224660</v>
      </c>
      <c r="J129" s="11" t="n">
        <f aca="false">IF(I129=0,0,C129/I129)</f>
        <v>0.353004540194071</v>
      </c>
      <c r="K129" s="11" t="n">
        <f aca="false">IF(I129=0,0,D129/I129)</f>
        <v>0.220430873319683</v>
      </c>
      <c r="L129" s="11" t="n">
        <f aca="false">IF(I129=0,0,E129/I129)</f>
        <v>0.388658417163714</v>
      </c>
      <c r="M129" s="11" t="n">
        <f aca="false">IF(I129=0,0,H129/I129)</f>
        <v>0.0375100151339802</v>
      </c>
      <c r="N129" s="4" t="str">
        <f aca="false">INDEX($C$3:$E$3,MATCH(MAX(C129:E129),C129:E129,0))</f>
        <v>PRI-PVEM-NA</v>
      </c>
      <c r="O129" s="17" t="n">
        <f aca="false">(MAX(J129:L129)-LARGE(J129:L129,2))*100</f>
        <v>3.56538769696431</v>
      </c>
    </row>
    <row r="130" customFormat="false" ht="15" hidden="false" customHeight="false" outlineLevel="0" collapsed="false">
      <c r="A130" s="4" t="s">
        <v>53</v>
      </c>
      <c r="B130" s="4" t="n">
        <v>2</v>
      </c>
      <c r="C130" s="5" t="n">
        <v>98358</v>
      </c>
      <c r="D130" s="5" t="n">
        <v>42972</v>
      </c>
      <c r="E130" s="5" t="n">
        <v>37864</v>
      </c>
      <c r="F130" s="5" t="n">
        <v>0</v>
      </c>
      <c r="G130" s="5" t="n">
        <v>121</v>
      </c>
      <c r="H130" s="5" t="n">
        <v>4829</v>
      </c>
      <c r="I130" s="5" t="n">
        <v>184144</v>
      </c>
      <c r="J130" s="11" t="n">
        <f aca="false">IF(I130=0,0,C130/I130)</f>
        <v>0.534136328091059</v>
      </c>
      <c r="K130" s="11" t="n">
        <f aca="false">IF(I130=0,0,D130/I130)</f>
        <v>0.233360848031975</v>
      </c>
      <c r="L130" s="11" t="n">
        <f aca="false">IF(I130=0,0,E130/I130)</f>
        <v>0.205621687375098</v>
      </c>
      <c r="M130" s="11" t="n">
        <f aca="false">IF(I130=0,0,H130/I130)</f>
        <v>0.0262240420540447</v>
      </c>
      <c r="N130" s="4" t="str">
        <f aca="false">INDEX($C$3:$E$3,MATCH(MAX(C130:E130),C130:E130,0))</f>
        <v>PT-Morena-PES</v>
      </c>
      <c r="O130" s="17" t="n">
        <f aca="false">(MAX(J130:L130)-LARGE(J130:L130,2))*100</f>
        <v>30.0775480059084</v>
      </c>
    </row>
    <row r="131" customFormat="false" ht="15" hidden="false" customHeight="false" outlineLevel="0" collapsed="false">
      <c r="A131" s="4" t="s">
        <v>53</v>
      </c>
      <c r="B131" s="4" t="n">
        <v>3</v>
      </c>
      <c r="C131" s="5" t="n">
        <v>98791</v>
      </c>
      <c r="D131" s="5" t="n">
        <v>43434</v>
      </c>
      <c r="E131" s="5" t="n">
        <v>68655</v>
      </c>
      <c r="F131" s="5" t="n">
        <v>0</v>
      </c>
      <c r="G131" s="5" t="n">
        <v>56</v>
      </c>
      <c r="H131" s="5" t="n">
        <v>7518</v>
      </c>
      <c r="I131" s="5" t="n">
        <v>218454</v>
      </c>
      <c r="J131" s="11" t="n">
        <f aca="false">IF(I131=0,0,C131/I131)</f>
        <v>0.452227928991916</v>
      </c>
      <c r="K131" s="11" t="n">
        <f aca="false">IF(I131=0,0,D131/I131)</f>
        <v>0.198824466478069</v>
      </c>
      <c r="L131" s="11" t="n">
        <f aca="false">IF(I131=0,0,E131/I131)</f>
        <v>0.314276689829438</v>
      </c>
      <c r="M131" s="11" t="n">
        <f aca="false">IF(I131=0,0,H131/I131)</f>
        <v>0.0344145678266363</v>
      </c>
      <c r="N131" s="4" t="str">
        <f aca="false">INDEX($C$3:$E$3,MATCH(MAX(C131:E131),C131:E131,0))</f>
        <v>PT-Morena-PES</v>
      </c>
      <c r="O131" s="17" t="n">
        <f aca="false">(MAX(J131:L131)-LARGE(J131:L131,2))*100</f>
        <v>13.7951239162478</v>
      </c>
    </row>
    <row r="132" customFormat="false" ht="15" hidden="false" customHeight="false" outlineLevel="0" collapsed="false">
      <c r="A132" s="4" t="s">
        <v>53</v>
      </c>
      <c r="B132" s="4" t="n">
        <v>4</v>
      </c>
      <c r="C132" s="5" t="n">
        <v>99195</v>
      </c>
      <c r="D132" s="5" t="n">
        <v>41717</v>
      </c>
      <c r="E132" s="5" t="n">
        <v>46579</v>
      </c>
      <c r="F132" s="5" t="n">
        <v>0</v>
      </c>
      <c r="G132" s="5" t="n">
        <v>114</v>
      </c>
      <c r="H132" s="5" t="n">
        <v>5222</v>
      </c>
      <c r="I132" s="5" t="n">
        <v>192827</v>
      </c>
      <c r="J132" s="11" t="n">
        <f aca="false">IF(I132=0,0,C132/I132)</f>
        <v>0.514424847142776</v>
      </c>
      <c r="K132" s="11" t="n">
        <f aca="false">IF(I132=0,0,D132/I132)</f>
        <v>0.216344184165081</v>
      </c>
      <c r="L132" s="11" t="n">
        <f aca="false">IF(I132=0,0,E132/I132)</f>
        <v>0.241558495438917</v>
      </c>
      <c r="M132" s="11" t="n">
        <f aca="false">IF(I132=0,0,H132/I132)</f>
        <v>0.0270812697391963</v>
      </c>
      <c r="N132" s="4" t="str">
        <f aca="false">INDEX($C$3:$E$3,MATCH(MAX(C132:E132),C132:E132,0))</f>
        <v>PT-Morena-PES</v>
      </c>
      <c r="O132" s="17" t="n">
        <f aca="false">(MAX(J132:L132)-LARGE(J132:L132,2))*100</f>
        <v>27.2866351703859</v>
      </c>
    </row>
    <row r="133" customFormat="false" ht="15" hidden="false" customHeight="false" outlineLevel="0" collapsed="false">
      <c r="A133" s="4" t="s">
        <v>53</v>
      </c>
      <c r="B133" s="4" t="n">
        <v>5</v>
      </c>
      <c r="C133" s="5" t="n">
        <v>98086</v>
      </c>
      <c r="D133" s="5" t="n">
        <v>35114</v>
      </c>
      <c r="E133" s="5" t="n">
        <v>56580</v>
      </c>
      <c r="F133" s="5" t="n">
        <v>0</v>
      </c>
      <c r="G133" s="5" t="n">
        <v>125</v>
      </c>
      <c r="H133" s="5" t="n">
        <v>5402</v>
      </c>
      <c r="I133" s="5" t="n">
        <v>195307</v>
      </c>
      <c r="J133" s="11" t="n">
        <f aca="false">IF(I133=0,0,C133/I133)</f>
        <v>0.50221446235926</v>
      </c>
      <c r="K133" s="11" t="n">
        <f aca="false">IF(I133=0,0,D133/I133)</f>
        <v>0.179788742850999</v>
      </c>
      <c r="L133" s="11" t="n">
        <f aca="false">IF(I133=0,0,E133/I133)</f>
        <v>0.289697757888862</v>
      </c>
      <c r="M133" s="11" t="n">
        <f aca="false">IF(I133=0,0,H133/I133)</f>
        <v>0.0276590188779716</v>
      </c>
      <c r="N133" s="4" t="str">
        <f aca="false">INDEX($C$3:$E$3,MATCH(MAX(C133:E133),C133:E133,0))</f>
        <v>PT-Morena-PES</v>
      </c>
      <c r="O133" s="17" t="n">
        <f aca="false">(MAX(J133:L133)-LARGE(J133:L133,2))*100</f>
        <v>21.2516704470398</v>
      </c>
    </row>
    <row r="134" customFormat="false" ht="15" hidden="false" customHeight="false" outlineLevel="0" collapsed="false">
      <c r="A134" s="4" t="s">
        <v>53</v>
      </c>
      <c r="B134" s="4" t="n">
        <v>6</v>
      </c>
      <c r="C134" s="5" t="n">
        <v>105497</v>
      </c>
      <c r="D134" s="5" t="n">
        <v>42610</v>
      </c>
      <c r="E134" s="5" t="n">
        <v>39343</v>
      </c>
      <c r="F134" s="5" t="n">
        <v>0</v>
      </c>
      <c r="G134" s="5" t="n">
        <v>145</v>
      </c>
      <c r="H134" s="5" t="n">
        <v>5321</v>
      </c>
      <c r="I134" s="5" t="n">
        <v>192916</v>
      </c>
      <c r="J134" s="11" t="n">
        <f aca="false">IF(I134=0,0,C134/I134)</f>
        <v>0.546854589562297</v>
      </c>
      <c r="K134" s="11" t="n">
        <f aca="false">IF(I134=0,0,D134/I134)</f>
        <v>0.220873333471563</v>
      </c>
      <c r="L134" s="11" t="n">
        <f aca="false">IF(I134=0,0,E134/I134)</f>
        <v>0.203938501731323</v>
      </c>
      <c r="M134" s="11" t="n">
        <f aca="false">IF(I134=0,0,H134/I134)</f>
        <v>0.0275819527670074</v>
      </c>
      <c r="N134" s="4" t="str">
        <f aca="false">INDEX($C$3:$E$3,MATCH(MAX(C134:E134),C134:E134,0))</f>
        <v>PT-Morena-PES</v>
      </c>
      <c r="O134" s="17" t="n">
        <f aca="false">(MAX(J134:L134)-LARGE(J134:L134,2))*100</f>
        <v>32.5981256090734</v>
      </c>
    </row>
    <row r="135" customFormat="false" ht="15" hidden="false" customHeight="false" outlineLevel="0" collapsed="false">
      <c r="A135" s="4" t="s">
        <v>53</v>
      </c>
      <c r="B135" s="4" t="n">
        <v>7</v>
      </c>
      <c r="C135" s="5" t="n">
        <v>108436</v>
      </c>
      <c r="D135" s="5" t="n">
        <v>55504</v>
      </c>
      <c r="E135" s="5" t="n">
        <v>42492</v>
      </c>
      <c r="F135" s="5" t="n">
        <v>0</v>
      </c>
      <c r="G135" s="5" t="n">
        <v>137</v>
      </c>
      <c r="H135" s="5" t="n">
        <v>5318</v>
      </c>
      <c r="I135" s="5" t="n">
        <v>211887</v>
      </c>
      <c r="J135" s="11" t="n">
        <f aca="false">IF(I135=0,0,C135/I135)</f>
        <v>0.51176334555683</v>
      </c>
      <c r="K135" s="11" t="n">
        <f aca="false">IF(I135=0,0,D135/I135)</f>
        <v>0.261950945551166</v>
      </c>
      <c r="L135" s="11" t="n">
        <f aca="false">IF(I135=0,0,E135/I135)</f>
        <v>0.200540854323295</v>
      </c>
      <c r="M135" s="11" t="n">
        <f aca="false">IF(I135=0,0,H135/I135)</f>
        <v>0.0250982835190455</v>
      </c>
      <c r="N135" s="4" t="str">
        <f aca="false">INDEX($C$3:$E$3,MATCH(MAX(C135:E135),C135:E135,0))</f>
        <v>PT-Morena-PES</v>
      </c>
      <c r="O135" s="17" t="n">
        <f aca="false">(MAX(J135:L135)-LARGE(J135:L135,2))*100</f>
        <v>24.9812400005663</v>
      </c>
    </row>
    <row r="136" customFormat="false" ht="15" hidden="false" customHeight="false" outlineLevel="0" collapsed="false">
      <c r="A136" s="4" t="s">
        <v>53</v>
      </c>
      <c r="B136" s="4" t="n">
        <v>8</v>
      </c>
      <c r="C136" s="5" t="n">
        <v>86453</v>
      </c>
      <c r="D136" s="5" t="n">
        <v>34439</v>
      </c>
      <c r="E136" s="5" t="n">
        <v>36580</v>
      </c>
      <c r="F136" s="5" t="n">
        <v>0</v>
      </c>
      <c r="G136" s="5" t="n">
        <v>100</v>
      </c>
      <c r="H136" s="5" t="n">
        <v>4363</v>
      </c>
      <c r="I136" s="5" t="n">
        <v>161935</v>
      </c>
      <c r="J136" s="11" t="n">
        <f aca="false">IF(I136=0,0,C136/I136)</f>
        <v>0.533874702812857</v>
      </c>
      <c r="K136" s="11" t="n">
        <f aca="false">IF(I136=0,0,D136/I136)</f>
        <v>0.212671751011208</v>
      </c>
      <c r="L136" s="11" t="n">
        <f aca="false">IF(I136=0,0,E136/I136)</f>
        <v>0.225893105258283</v>
      </c>
      <c r="M136" s="11" t="n">
        <f aca="false">IF(I136=0,0,H136/I136)</f>
        <v>0.0269429091919597</v>
      </c>
      <c r="N136" s="4" t="str">
        <f aca="false">INDEX($C$3:$E$3,MATCH(MAX(C136:E136),C136:E136,0))</f>
        <v>PT-Morena-PES</v>
      </c>
      <c r="O136" s="17" t="n">
        <f aca="false">(MAX(J136:L136)-LARGE(J136:L136,2))*100</f>
        <v>30.7981597554574</v>
      </c>
    </row>
    <row r="137" customFormat="false" ht="15" hidden="false" customHeight="false" outlineLevel="0" collapsed="false">
      <c r="A137" s="4" t="s">
        <v>53</v>
      </c>
      <c r="B137" s="4" t="n">
        <v>9</v>
      </c>
      <c r="C137" s="5" t="n">
        <v>58972</v>
      </c>
      <c r="D137" s="5" t="n">
        <v>41773</v>
      </c>
      <c r="E137" s="5" t="n">
        <v>82843</v>
      </c>
      <c r="F137" s="5" t="n">
        <v>0</v>
      </c>
      <c r="G137" s="5" t="n">
        <v>64</v>
      </c>
      <c r="H137" s="5" t="n">
        <v>8415</v>
      </c>
      <c r="I137" s="5" t="n">
        <v>192067</v>
      </c>
      <c r="J137" s="11" t="n">
        <f aca="false">IF(I137=0,0,C137/I137)</f>
        <v>0.307038689623933</v>
      </c>
      <c r="K137" s="11" t="n">
        <f aca="false">IF(I137=0,0,D137/I137)</f>
        <v>0.217491812752841</v>
      </c>
      <c r="L137" s="11" t="n">
        <f aca="false">IF(I137=0,0,E137/I137)</f>
        <v>0.43132344442304</v>
      </c>
      <c r="M137" s="11" t="n">
        <f aca="false">IF(I137=0,0,H137/I137)</f>
        <v>0.04381283614572</v>
      </c>
      <c r="N137" s="4" t="str">
        <f aca="false">INDEX($C$3:$E$3,MATCH(MAX(C137:E137),C137:E137,0))</f>
        <v>PRI-PVEM-NA</v>
      </c>
      <c r="O137" s="17" t="n">
        <f aca="false">(MAX(J137:L137)-LARGE(J137:L137,2))*100</f>
        <v>12.4284754799107</v>
      </c>
    </row>
    <row r="138" customFormat="false" ht="15" hidden="false" customHeight="false" outlineLevel="0" collapsed="false">
      <c r="A138" s="4" t="s">
        <v>53</v>
      </c>
      <c r="B138" s="4" t="n">
        <v>10</v>
      </c>
      <c r="C138" s="5" t="n">
        <v>94201</v>
      </c>
      <c r="D138" s="5" t="n">
        <v>31224</v>
      </c>
      <c r="E138" s="5" t="n">
        <v>37962</v>
      </c>
      <c r="F138" s="5" t="n">
        <v>0</v>
      </c>
      <c r="G138" s="5" t="n">
        <v>147</v>
      </c>
      <c r="H138" s="5" t="n">
        <v>4054</v>
      </c>
      <c r="I138" s="5" t="n">
        <v>167588</v>
      </c>
      <c r="J138" s="11" t="n">
        <f aca="false">IF(I138=0,0,C138/I138)</f>
        <v>0.562098718285319</v>
      </c>
      <c r="K138" s="11" t="n">
        <f aca="false">IF(I138=0,0,D138/I138)</f>
        <v>0.18631405589899</v>
      </c>
      <c r="L138" s="11" t="n">
        <f aca="false">IF(I138=0,0,E138/I138)</f>
        <v>0.226519798553596</v>
      </c>
      <c r="M138" s="11" t="n">
        <f aca="false">IF(I138=0,0,H138/I138)</f>
        <v>0.0241902761534239</v>
      </c>
      <c r="N138" s="4" t="str">
        <f aca="false">INDEX($C$3:$E$3,MATCH(MAX(C138:E138),C138:E138,0))</f>
        <v>PT-Morena-PES</v>
      </c>
      <c r="O138" s="17" t="n">
        <f aca="false">(MAX(J138:L138)-LARGE(J138:L138,2))*100</f>
        <v>33.5578919731723</v>
      </c>
    </row>
    <row r="139" customFormat="false" ht="15" hidden="false" customHeight="false" outlineLevel="0" collapsed="false">
      <c r="A139" s="4" t="s">
        <v>53</v>
      </c>
      <c r="B139" s="4" t="n">
        <v>11</v>
      </c>
      <c r="C139" s="5" t="n">
        <v>99320</v>
      </c>
      <c r="D139" s="5" t="n">
        <v>34175</v>
      </c>
      <c r="E139" s="5" t="n">
        <v>43675</v>
      </c>
      <c r="F139" s="5" t="n">
        <v>0</v>
      </c>
      <c r="G139" s="5" t="n">
        <v>122</v>
      </c>
      <c r="H139" s="5" t="n">
        <v>5169</v>
      </c>
      <c r="I139" s="5" t="n">
        <v>182461</v>
      </c>
      <c r="J139" s="11" t="n">
        <f aca="false">IF(I139=0,0,C139/I139)</f>
        <v>0.544335501833269</v>
      </c>
      <c r="K139" s="11" t="n">
        <f aca="false">IF(I139=0,0,D139/I139)</f>
        <v>0.187300299790092</v>
      </c>
      <c r="L139" s="11" t="n">
        <f aca="false">IF(I139=0,0,E139/I139)</f>
        <v>0.239366220726621</v>
      </c>
      <c r="M139" s="11" t="n">
        <f aca="false">IF(I139=0,0,H139/I139)</f>
        <v>0.0283293416127282</v>
      </c>
      <c r="N139" s="4" t="str">
        <f aca="false">INDEX($C$3:$E$3,MATCH(MAX(C139:E139),C139:E139,0))</f>
        <v>PT-Morena-PES</v>
      </c>
      <c r="O139" s="17" t="n">
        <f aca="false">(MAX(J139:L139)-LARGE(J139:L139,2))*100</f>
        <v>30.4969281106647</v>
      </c>
    </row>
    <row r="140" customFormat="false" ht="15" hidden="false" customHeight="false" outlineLevel="0" collapsed="false">
      <c r="A140" s="4" t="s">
        <v>53</v>
      </c>
      <c r="B140" s="4" t="n">
        <v>12</v>
      </c>
      <c r="C140" s="5" t="n">
        <v>83060</v>
      </c>
      <c r="D140" s="5" t="n">
        <v>22776</v>
      </c>
      <c r="E140" s="5" t="n">
        <v>58519</v>
      </c>
      <c r="F140" s="5" t="n">
        <v>0</v>
      </c>
      <c r="G140" s="5" t="n">
        <v>95</v>
      </c>
      <c r="H140" s="5" t="n">
        <v>4640</v>
      </c>
      <c r="I140" s="5" t="n">
        <v>169090</v>
      </c>
      <c r="J140" s="11" t="n">
        <f aca="false">IF(I140=0,0,C140/I140)</f>
        <v>0.491217694718789</v>
      </c>
      <c r="K140" s="11" t="n">
        <f aca="false">IF(I140=0,0,D140/I140)</f>
        <v>0.134697498373647</v>
      </c>
      <c r="L140" s="11" t="n">
        <f aca="false">IF(I140=0,0,E140/I140)</f>
        <v>0.346081968182625</v>
      </c>
      <c r="M140" s="11" t="n">
        <f aca="false">IF(I140=0,0,H140/I140)</f>
        <v>0.0274410077473535</v>
      </c>
      <c r="N140" s="4" t="str">
        <f aca="false">INDEX($C$3:$E$3,MATCH(MAX(C140:E140),C140:E140,0))</f>
        <v>PT-Morena-PES</v>
      </c>
      <c r="O140" s="17" t="n">
        <f aca="false">(MAX(J140:L140)-LARGE(J140:L140,2))*100</f>
        <v>14.5135726536164</v>
      </c>
    </row>
    <row r="141" customFormat="false" ht="15" hidden="false" customHeight="false" outlineLevel="0" collapsed="false">
      <c r="A141" s="4" t="s">
        <v>53</v>
      </c>
      <c r="B141" s="4" t="n">
        <v>13</v>
      </c>
      <c r="C141" s="5" t="n">
        <v>98875</v>
      </c>
      <c r="D141" s="5" t="n">
        <v>31691</v>
      </c>
      <c r="E141" s="5" t="n">
        <v>43990</v>
      </c>
      <c r="F141" s="5" t="n">
        <v>0</v>
      </c>
      <c r="G141" s="5" t="n">
        <v>129</v>
      </c>
      <c r="H141" s="5" t="n">
        <v>4967</v>
      </c>
      <c r="I141" s="5" t="n">
        <v>179652</v>
      </c>
      <c r="J141" s="11" t="n">
        <f aca="false">IF(I141=0,0,C141/I141)</f>
        <v>0.55036960345557</v>
      </c>
      <c r="K141" s="11" t="n">
        <f aca="false">IF(I141=0,0,D141/I141)</f>
        <v>0.176402155277982</v>
      </c>
      <c r="L141" s="11" t="n">
        <f aca="false">IF(I141=0,0,E141/I141)</f>
        <v>0.244862289314898</v>
      </c>
      <c r="M141" s="11" t="n">
        <f aca="false">IF(I141=0,0,H141/I141)</f>
        <v>0.0276478970453989</v>
      </c>
      <c r="N141" s="4" t="str">
        <f aca="false">INDEX($C$3:$E$3,MATCH(MAX(C141:E141),C141:E141,0))</f>
        <v>PT-Morena-PES</v>
      </c>
      <c r="O141" s="17" t="n">
        <f aca="false">(MAX(J141:L141)-LARGE(J141:L141,2))*100</f>
        <v>30.5507314140672</v>
      </c>
    </row>
    <row r="142" customFormat="false" ht="15" hidden="false" customHeight="false" outlineLevel="0" collapsed="false">
      <c r="A142" s="4" t="s">
        <v>53</v>
      </c>
      <c r="B142" s="4" t="n">
        <v>14</v>
      </c>
      <c r="C142" s="5" t="n">
        <v>96015</v>
      </c>
      <c r="D142" s="5" t="n">
        <v>63281</v>
      </c>
      <c r="E142" s="5" t="n">
        <v>42734</v>
      </c>
      <c r="F142" s="5" t="n">
        <v>0</v>
      </c>
      <c r="G142" s="5" t="n">
        <v>102</v>
      </c>
      <c r="H142" s="5" t="n">
        <v>5199</v>
      </c>
      <c r="I142" s="5" t="n">
        <v>207331</v>
      </c>
      <c r="J142" s="11" t="n">
        <f aca="false">IF(I142=0,0,C142/I142)</f>
        <v>0.463100067042555</v>
      </c>
      <c r="K142" s="11" t="n">
        <f aca="false">IF(I142=0,0,D142/I142)</f>
        <v>0.305217261287506</v>
      </c>
      <c r="L142" s="11" t="n">
        <f aca="false">IF(I142=0,0,E142/I142)</f>
        <v>0.206114859813535</v>
      </c>
      <c r="M142" s="11" t="n">
        <f aca="false">IF(I142=0,0,H142/I142)</f>
        <v>0.025075844905007</v>
      </c>
      <c r="N142" s="4" t="str">
        <f aca="false">INDEX($C$3:$E$3,MATCH(MAX(C142:E142),C142:E142,0))</f>
        <v>PT-Morena-PES</v>
      </c>
      <c r="O142" s="17" t="n">
        <f aca="false">(MAX(J142:L142)-LARGE(J142:L142,2))*100</f>
        <v>15.7882805755049</v>
      </c>
    </row>
    <row r="143" customFormat="false" ht="15" hidden="false" customHeight="false" outlineLevel="0" collapsed="false">
      <c r="A143" s="4" t="s">
        <v>53</v>
      </c>
      <c r="B143" s="4" t="n">
        <v>15</v>
      </c>
      <c r="C143" s="5" t="n">
        <v>90211</v>
      </c>
      <c r="D143" s="5" t="n">
        <v>59567</v>
      </c>
      <c r="E143" s="5" t="n">
        <v>45767</v>
      </c>
      <c r="F143" s="5" t="n">
        <v>0</v>
      </c>
      <c r="G143" s="5" t="n">
        <v>90</v>
      </c>
      <c r="H143" s="5" t="n">
        <v>5256</v>
      </c>
      <c r="I143" s="5" t="n">
        <v>200891</v>
      </c>
      <c r="J143" s="11" t="n">
        <f aca="false">IF(I143=0,0,C143/I143)</f>
        <v>0.449054462370141</v>
      </c>
      <c r="K143" s="11" t="n">
        <f aca="false">IF(I143=0,0,D143/I143)</f>
        <v>0.296514029996366</v>
      </c>
      <c r="L143" s="11" t="n">
        <f aca="false">IF(I143=0,0,E143/I143)</f>
        <v>0.227820061625459</v>
      </c>
      <c r="M143" s="11" t="n">
        <f aca="false">IF(I143=0,0,H143/I143)</f>
        <v>0.0261634418664848</v>
      </c>
      <c r="N143" s="4" t="str">
        <f aca="false">INDEX($C$3:$E$3,MATCH(MAX(C143:E143),C143:E143,0))</f>
        <v>PT-Morena-PES</v>
      </c>
      <c r="O143" s="17" t="n">
        <f aca="false">(MAX(J143:L143)-LARGE(J143:L143,2))*100</f>
        <v>15.2540432373775</v>
      </c>
    </row>
    <row r="144" customFormat="false" ht="15" hidden="false" customHeight="false" outlineLevel="0" collapsed="false">
      <c r="A144" s="4" t="s">
        <v>53</v>
      </c>
      <c r="B144" s="4" t="n">
        <v>16</v>
      </c>
      <c r="C144" s="5" t="n">
        <v>102086</v>
      </c>
      <c r="D144" s="5" t="n">
        <v>30410</v>
      </c>
      <c r="E144" s="5" t="n">
        <v>43752</v>
      </c>
      <c r="F144" s="5" t="n">
        <v>0</v>
      </c>
      <c r="G144" s="5" t="n">
        <v>84</v>
      </c>
      <c r="H144" s="5" t="n">
        <v>5011</v>
      </c>
      <c r="I144" s="5" t="n">
        <v>181343</v>
      </c>
      <c r="J144" s="11" t="n">
        <f aca="false">IF(I144=0,0,C144/I144)</f>
        <v>0.562944254809946</v>
      </c>
      <c r="K144" s="11" t="n">
        <f aca="false">IF(I144=0,0,D144/I144)</f>
        <v>0.16769326635161</v>
      </c>
      <c r="L144" s="11" t="n">
        <f aca="false">IF(I144=0,0,E144/I144)</f>
        <v>0.241266550128762</v>
      </c>
      <c r="M144" s="11" t="n">
        <f aca="false">IF(I144=0,0,H144/I144)</f>
        <v>0.0276327181087773</v>
      </c>
      <c r="N144" s="4" t="str">
        <f aca="false">INDEX($C$3:$E$3,MATCH(MAX(C144:E144),C144:E144,0))</f>
        <v>PT-Morena-PES</v>
      </c>
      <c r="O144" s="17" t="n">
        <f aca="false">(MAX(J144:L144)-LARGE(J144:L144,2))*100</f>
        <v>32.1677704681184</v>
      </c>
    </row>
    <row r="145" customFormat="false" ht="15" hidden="false" customHeight="false" outlineLevel="0" collapsed="false">
      <c r="A145" s="4" t="s">
        <v>53</v>
      </c>
      <c r="B145" s="4" t="n">
        <v>17</v>
      </c>
      <c r="C145" s="5" t="n">
        <v>95995</v>
      </c>
      <c r="D145" s="5" t="n">
        <v>27744</v>
      </c>
      <c r="E145" s="5" t="n">
        <v>39351</v>
      </c>
      <c r="F145" s="5" t="n">
        <v>0</v>
      </c>
      <c r="G145" s="5" t="n">
        <v>119</v>
      </c>
      <c r="H145" s="5" t="n">
        <v>4598</v>
      </c>
      <c r="I145" s="5" t="n">
        <v>167807</v>
      </c>
      <c r="J145" s="11" t="n">
        <f aca="false">IF(I145=0,0,C145/I145)</f>
        <v>0.572055992896602</v>
      </c>
      <c r="K145" s="11" t="n">
        <f aca="false">IF(I145=0,0,D145/I145)</f>
        <v>0.165332793030088</v>
      </c>
      <c r="L145" s="11" t="n">
        <f aca="false">IF(I145=0,0,E145/I145)</f>
        <v>0.234501540460172</v>
      </c>
      <c r="M145" s="11" t="n">
        <f aca="false">IF(I145=0,0,H145/I145)</f>
        <v>0.0274005256038187</v>
      </c>
      <c r="N145" s="4" t="str">
        <f aca="false">INDEX($C$3:$E$3,MATCH(MAX(C145:E145),C145:E145,0))</f>
        <v>PT-Morena-PES</v>
      </c>
      <c r="O145" s="17" t="n">
        <f aca="false">(MAX(J145:L145)-LARGE(J145:L145,2))*100</f>
        <v>33.755445243643</v>
      </c>
    </row>
    <row r="146" customFormat="false" ht="15" hidden="false" customHeight="false" outlineLevel="0" collapsed="false">
      <c r="A146" s="4" t="s">
        <v>53</v>
      </c>
      <c r="B146" s="4" t="n">
        <v>18</v>
      </c>
      <c r="C146" s="5" t="n">
        <v>76322</v>
      </c>
      <c r="D146" s="5" t="n">
        <v>77565</v>
      </c>
      <c r="E146" s="5" t="n">
        <v>59235</v>
      </c>
      <c r="F146" s="5" t="n">
        <v>0</v>
      </c>
      <c r="G146" s="5" t="n">
        <v>80</v>
      </c>
      <c r="H146" s="5" t="n">
        <v>6045</v>
      </c>
      <c r="I146" s="5" t="n">
        <v>219247</v>
      </c>
      <c r="J146" s="11" t="n">
        <f aca="false">IF(I146=0,0,C146/I146)</f>
        <v>0.348109666266813</v>
      </c>
      <c r="K146" s="11" t="n">
        <f aca="false">IF(I146=0,0,D146/I146)</f>
        <v>0.353779071093333</v>
      </c>
      <c r="L146" s="11" t="n">
        <f aca="false">IF(I146=0,0,E146/I146)</f>
        <v>0.270174734431942</v>
      </c>
      <c r="M146" s="11" t="n">
        <f aca="false">IF(I146=0,0,H146/I146)</f>
        <v>0.0275716429415226</v>
      </c>
      <c r="N146" s="4" t="str">
        <f aca="false">INDEX($C$3:$E$3,MATCH(MAX(C146:E146),C146:E146,0))</f>
        <v>PAN-PRD-MC</v>
      </c>
      <c r="O146" s="17" t="n">
        <f aca="false">(MAX(J146:L146)-LARGE(J146:L146,2))*100</f>
        <v>0.566940482651984</v>
      </c>
    </row>
    <row r="147" customFormat="false" ht="15" hidden="false" customHeight="false" outlineLevel="0" collapsed="false">
      <c r="A147" s="4" t="s">
        <v>53</v>
      </c>
      <c r="B147" s="4" t="n">
        <v>19</v>
      </c>
      <c r="C147" s="5" t="n">
        <v>104390</v>
      </c>
      <c r="D147" s="5" t="n">
        <v>57323</v>
      </c>
      <c r="E147" s="5" t="n">
        <v>50313</v>
      </c>
      <c r="F147" s="5" t="n">
        <v>0</v>
      </c>
      <c r="G147" s="5" t="n">
        <v>149</v>
      </c>
      <c r="H147" s="5" t="n">
        <v>5849</v>
      </c>
      <c r="I147" s="5" t="n">
        <v>218024</v>
      </c>
      <c r="J147" s="11" t="n">
        <f aca="false">IF(I147=0,0,C147/I147)</f>
        <v>0.47880049902763</v>
      </c>
      <c r="K147" s="11" t="n">
        <f aca="false">IF(I147=0,0,D147/I147)</f>
        <v>0.262920595897699</v>
      </c>
      <c r="L147" s="11" t="n">
        <f aca="false">IF(I147=0,0,E147/I147)</f>
        <v>0.230768172311305</v>
      </c>
      <c r="M147" s="11" t="n">
        <f aca="false">IF(I147=0,0,H147/I147)</f>
        <v>0.0268273217627417</v>
      </c>
      <c r="N147" s="4" t="str">
        <f aca="false">INDEX($C$3:$E$3,MATCH(MAX(C147:E147),C147:E147,0))</f>
        <v>PT-Morena-PES</v>
      </c>
      <c r="O147" s="17" t="n">
        <f aca="false">(MAX(J147:L147)-LARGE(J147:L147,2))*100</f>
        <v>21.5879903129931</v>
      </c>
    </row>
    <row r="148" customFormat="false" ht="15" hidden="false" customHeight="false" outlineLevel="0" collapsed="false">
      <c r="A148" s="4" t="s">
        <v>53</v>
      </c>
      <c r="B148" s="4" t="n">
        <v>20</v>
      </c>
      <c r="C148" s="5" t="n">
        <v>94607</v>
      </c>
      <c r="D148" s="5" t="n">
        <v>54153</v>
      </c>
      <c r="E148" s="5" t="n">
        <v>34183</v>
      </c>
      <c r="F148" s="5" t="n">
        <v>0</v>
      </c>
      <c r="G148" s="5" t="n">
        <v>98</v>
      </c>
      <c r="H148" s="5" t="n">
        <v>5213</v>
      </c>
      <c r="I148" s="5" t="n">
        <v>188254</v>
      </c>
      <c r="J148" s="11" t="n">
        <f aca="false">IF(I148=0,0,C148/I148)</f>
        <v>0.50254974661893</v>
      </c>
      <c r="K148" s="11" t="n">
        <f aca="false">IF(I148=0,0,D148/I148)</f>
        <v>0.28765922636438</v>
      </c>
      <c r="L148" s="11" t="n">
        <f aca="false">IF(I148=0,0,E148/I148)</f>
        <v>0.181579143072657</v>
      </c>
      <c r="M148" s="11" t="n">
        <f aca="false">IF(I148=0,0,H148/I148)</f>
        <v>0.0276913106760016</v>
      </c>
      <c r="N148" s="4" t="str">
        <f aca="false">INDEX($C$3:$E$3,MATCH(MAX(C148:E148),C148:E148,0))</f>
        <v>PT-Morena-PES</v>
      </c>
      <c r="O148" s="17" t="n">
        <f aca="false">(MAX(J148:L148)-LARGE(J148:L148,2))*100</f>
        <v>21.489052025455</v>
      </c>
    </row>
    <row r="149" customFormat="false" ht="15" hidden="false" customHeight="false" outlineLevel="0" collapsed="false">
      <c r="A149" s="4" t="s">
        <v>53</v>
      </c>
      <c r="B149" s="4" t="n">
        <v>21</v>
      </c>
      <c r="C149" s="5" t="n">
        <v>92505</v>
      </c>
      <c r="D149" s="5" t="n">
        <v>27141</v>
      </c>
      <c r="E149" s="5" t="n">
        <v>51870</v>
      </c>
      <c r="F149" s="5" t="n">
        <v>0</v>
      </c>
      <c r="G149" s="5" t="n">
        <v>65</v>
      </c>
      <c r="H149" s="5" t="n">
        <v>6011</v>
      </c>
      <c r="I149" s="5" t="n">
        <v>177592</v>
      </c>
      <c r="J149" s="11" t="n">
        <f aca="false">IF(I149=0,0,C149/I149)</f>
        <v>0.520884949772512</v>
      </c>
      <c r="K149" s="11" t="n">
        <f aca="false">IF(I149=0,0,D149/I149)</f>
        <v>0.152827830082436</v>
      </c>
      <c r="L149" s="11" t="n">
        <f aca="false">IF(I149=0,0,E149/I149)</f>
        <v>0.292073967295824</v>
      </c>
      <c r="M149" s="11" t="n">
        <f aca="false">IF(I149=0,0,H149/I149)</f>
        <v>0.0338472453714131</v>
      </c>
      <c r="N149" s="4" t="str">
        <f aca="false">INDEX($C$3:$E$3,MATCH(MAX(C149:E149),C149:E149,0))</f>
        <v>PT-Morena-PES</v>
      </c>
      <c r="O149" s="17" t="n">
        <f aca="false">(MAX(J149:L149)-LARGE(J149:L149,2))*100</f>
        <v>22.8810982476688</v>
      </c>
    </row>
    <row r="150" customFormat="false" ht="15" hidden="false" customHeight="false" outlineLevel="0" collapsed="false">
      <c r="A150" s="4" t="s">
        <v>53</v>
      </c>
      <c r="B150" s="4" t="n">
        <v>22</v>
      </c>
      <c r="C150" s="5" t="n">
        <v>93508</v>
      </c>
      <c r="D150" s="5" t="n">
        <v>86019</v>
      </c>
      <c r="E150" s="5" t="n">
        <v>50772</v>
      </c>
      <c r="F150" s="5" t="n">
        <v>0</v>
      </c>
      <c r="G150" s="5" t="n">
        <v>161</v>
      </c>
      <c r="H150" s="5" t="n">
        <v>6100</v>
      </c>
      <c r="I150" s="5" t="n">
        <v>236560</v>
      </c>
      <c r="J150" s="11" t="n">
        <f aca="false">IF(I150=0,0,C150/I150)</f>
        <v>0.395282380791343</v>
      </c>
      <c r="K150" s="11" t="n">
        <f aca="false">IF(I150=0,0,D150/I150)</f>
        <v>0.363624450456544</v>
      </c>
      <c r="L150" s="11" t="n">
        <f aca="false">IF(I150=0,0,E150/I150)</f>
        <v>0.21462631044978</v>
      </c>
      <c r="M150" s="11" t="n">
        <f aca="false">IF(I150=0,0,H150/I150)</f>
        <v>0.0257862698681096</v>
      </c>
      <c r="N150" s="4" t="str">
        <f aca="false">INDEX($C$3:$E$3,MATCH(MAX(C150:E150),C150:E150,0))</f>
        <v>PT-Morena-PES</v>
      </c>
      <c r="O150" s="17" t="n">
        <f aca="false">(MAX(J150:L150)-LARGE(J150:L150,2))*100</f>
        <v>3.16579303347988</v>
      </c>
    </row>
    <row r="151" customFormat="false" ht="15" hidden="false" customHeight="false" outlineLevel="0" collapsed="false">
      <c r="A151" s="4" t="s">
        <v>53</v>
      </c>
      <c r="B151" s="4" t="n">
        <v>23</v>
      </c>
      <c r="C151" s="5" t="n">
        <v>97221</v>
      </c>
      <c r="D151" s="5" t="n">
        <v>41747</v>
      </c>
      <c r="E151" s="5" t="n">
        <v>66268</v>
      </c>
      <c r="F151" s="5" t="n">
        <v>0</v>
      </c>
      <c r="G151" s="5" t="n">
        <v>86</v>
      </c>
      <c r="H151" s="5" t="n">
        <v>6758</v>
      </c>
      <c r="I151" s="5" t="n">
        <v>212080</v>
      </c>
      <c r="J151" s="11" t="n">
        <f aca="false">IF(I151=0,0,C151/I151)</f>
        <v>0.458416635231988</v>
      </c>
      <c r="K151" s="11" t="n">
        <f aca="false">IF(I151=0,0,D151/I151)</f>
        <v>0.196845529988684</v>
      </c>
      <c r="L151" s="11" t="n">
        <f aca="false">IF(I151=0,0,E151/I151)</f>
        <v>0.312466993587326</v>
      </c>
      <c r="M151" s="11" t="n">
        <f aca="false">IF(I151=0,0,H151/I151)</f>
        <v>0.0318653338362882</v>
      </c>
      <c r="N151" s="4" t="str">
        <f aca="false">INDEX($C$3:$E$3,MATCH(MAX(C151:E151),C151:E151,0))</f>
        <v>PT-Morena-PES</v>
      </c>
      <c r="O151" s="17" t="n">
        <f aca="false">(MAX(J151:L151)-LARGE(J151:L151,2))*100</f>
        <v>14.5949641644662</v>
      </c>
    </row>
    <row r="152" customFormat="false" ht="15" hidden="false" customHeight="false" outlineLevel="0" collapsed="false">
      <c r="A152" s="4" t="s">
        <v>53</v>
      </c>
      <c r="B152" s="4" t="n">
        <v>24</v>
      </c>
      <c r="C152" s="5" t="n">
        <v>101571</v>
      </c>
      <c r="D152" s="5" t="n">
        <v>55022</v>
      </c>
      <c r="E152" s="5" t="n">
        <v>44463</v>
      </c>
      <c r="F152" s="5" t="n">
        <v>0</v>
      </c>
      <c r="G152" s="5" t="n">
        <v>148</v>
      </c>
      <c r="H152" s="5" t="n">
        <v>5587</v>
      </c>
      <c r="I152" s="5" t="n">
        <v>206791</v>
      </c>
      <c r="J152" s="11" t="n">
        <f aca="false">IF(I152=0,0,C152/I152)</f>
        <v>0.491177082174756</v>
      </c>
      <c r="K152" s="11" t="n">
        <f aca="false">IF(I152=0,0,D152/I152)</f>
        <v>0.266075409471399</v>
      </c>
      <c r="L152" s="11" t="n">
        <f aca="false">IF(I152=0,0,E152/I152)</f>
        <v>0.215014193074167</v>
      </c>
      <c r="M152" s="11" t="n">
        <f aca="false">IF(I152=0,0,H152/I152)</f>
        <v>0.0270176168208481</v>
      </c>
      <c r="N152" s="4" t="str">
        <f aca="false">INDEX($C$3:$E$3,MATCH(MAX(C152:E152),C152:E152,0))</f>
        <v>PT-Morena-PES</v>
      </c>
      <c r="O152" s="17" t="n">
        <f aca="false">(MAX(J152:L152)-LARGE(J152:L152,2))*100</f>
        <v>22.5101672703357</v>
      </c>
    </row>
    <row r="153" customFormat="false" ht="15" hidden="false" customHeight="false" outlineLevel="0" collapsed="false">
      <c r="A153" s="4" t="s">
        <v>53</v>
      </c>
      <c r="B153" s="4" t="n">
        <v>25</v>
      </c>
      <c r="C153" s="5" t="n">
        <v>75944</v>
      </c>
      <c r="D153" s="5" t="n">
        <v>19859</v>
      </c>
      <c r="E153" s="5" t="n">
        <v>53726</v>
      </c>
      <c r="F153" s="5" t="n">
        <v>0</v>
      </c>
      <c r="G153" s="5" t="n">
        <v>61</v>
      </c>
      <c r="H153" s="5" t="n">
        <v>3903</v>
      </c>
      <c r="I153" s="5" t="n">
        <v>153493</v>
      </c>
      <c r="J153" s="11" t="n">
        <f aca="false">IF(I153=0,0,C153/I153)</f>
        <v>0.494771748548794</v>
      </c>
      <c r="K153" s="11" t="n">
        <f aca="false">IF(I153=0,0,D153/I153)</f>
        <v>0.129380492921501</v>
      </c>
      <c r="L153" s="11" t="n">
        <f aca="false">IF(I153=0,0,E153/I153)</f>
        <v>0.350022476595024</v>
      </c>
      <c r="M153" s="11" t="n">
        <f aca="false">IF(I153=0,0,H153/I153)</f>
        <v>0.0254278696748386</v>
      </c>
      <c r="N153" s="4" t="str">
        <f aca="false">INDEX($C$3:$E$3,MATCH(MAX(C153:E153),C153:E153,0))</f>
        <v>PT-Morena-PES</v>
      </c>
      <c r="O153" s="17" t="n">
        <f aca="false">(MAX(J153:L153)-LARGE(J153:L153,2))*100</f>
        <v>14.474927195377</v>
      </c>
    </row>
    <row r="154" customFormat="false" ht="15" hidden="false" customHeight="false" outlineLevel="0" collapsed="false">
      <c r="A154" s="4" t="s">
        <v>53</v>
      </c>
      <c r="B154" s="4" t="n">
        <v>26</v>
      </c>
      <c r="C154" s="5" t="n">
        <v>98944</v>
      </c>
      <c r="D154" s="5" t="n">
        <v>56238</v>
      </c>
      <c r="E154" s="5" t="n">
        <v>58228</v>
      </c>
      <c r="F154" s="5" t="n">
        <v>0</v>
      </c>
      <c r="G154" s="5" t="n">
        <v>135</v>
      </c>
      <c r="H154" s="5" t="n">
        <v>6283</v>
      </c>
      <c r="I154" s="5" t="n">
        <v>219828</v>
      </c>
      <c r="J154" s="11" t="n">
        <f aca="false">IF(I154=0,0,C154/I154)</f>
        <v>0.450097348836363</v>
      </c>
      <c r="K154" s="11" t="n">
        <f aca="false">IF(I154=0,0,D154/I154)</f>
        <v>0.255827283148644</v>
      </c>
      <c r="L154" s="11" t="n">
        <f aca="false">IF(I154=0,0,E154/I154)</f>
        <v>0.264879815128191</v>
      </c>
      <c r="M154" s="11" t="n">
        <f aca="false">IF(I154=0,0,H154/I154)</f>
        <v>0.0285814363957276</v>
      </c>
      <c r="N154" s="4" t="str">
        <f aca="false">INDEX($C$3:$E$3,MATCH(MAX(C154:E154),C154:E154,0))</f>
        <v>PT-Morena-PES</v>
      </c>
      <c r="O154" s="17" t="n">
        <f aca="false">(MAX(J154:L154)-LARGE(J154:L154,2))*100</f>
        <v>18.5217533708172</v>
      </c>
    </row>
    <row r="155" customFormat="false" ht="15" hidden="false" customHeight="false" outlineLevel="0" collapsed="false">
      <c r="A155" s="4" t="s">
        <v>53</v>
      </c>
      <c r="B155" s="4" t="n">
        <v>27</v>
      </c>
      <c r="C155" s="5" t="n">
        <v>101505</v>
      </c>
      <c r="D155" s="5" t="n">
        <v>59409</v>
      </c>
      <c r="E155" s="5" t="n">
        <v>64199</v>
      </c>
      <c r="F155" s="5" t="n">
        <v>0</v>
      </c>
      <c r="G155" s="5" t="n">
        <v>119</v>
      </c>
      <c r="H155" s="5" t="n">
        <v>6191</v>
      </c>
      <c r="I155" s="5" t="n">
        <v>231423</v>
      </c>
      <c r="J155" s="11" t="n">
        <f aca="false">IF(I155=0,0,C155/I155)</f>
        <v>0.438612411039525</v>
      </c>
      <c r="K155" s="11" t="n">
        <f aca="false">IF(I155=0,0,D155/I155)</f>
        <v>0.256711735652895</v>
      </c>
      <c r="L155" s="11" t="n">
        <f aca="false">IF(I155=0,0,E155/I155)</f>
        <v>0.27740976480298</v>
      </c>
      <c r="M155" s="11" t="n">
        <f aca="false">IF(I155=0,0,H155/I155)</f>
        <v>0.0267518785946081</v>
      </c>
      <c r="N155" s="4" t="str">
        <f aca="false">INDEX($C$3:$E$3,MATCH(MAX(C155:E155),C155:E155,0))</f>
        <v>PT-Morena-PES</v>
      </c>
      <c r="O155" s="17" t="n">
        <f aca="false">(MAX(J155:L155)-LARGE(J155:L155,2))*100</f>
        <v>16.1202646236545</v>
      </c>
    </row>
    <row r="156" customFormat="false" ht="15" hidden="false" customHeight="false" outlineLevel="0" collapsed="false">
      <c r="A156" s="4" t="s">
        <v>53</v>
      </c>
      <c r="B156" s="4" t="n">
        <v>28</v>
      </c>
      <c r="C156" s="5" t="n">
        <v>93866</v>
      </c>
      <c r="D156" s="5" t="n">
        <v>39553</v>
      </c>
      <c r="E156" s="5" t="n">
        <v>57727</v>
      </c>
      <c r="F156" s="5" t="n">
        <v>0</v>
      </c>
      <c r="G156" s="5" t="n">
        <v>99</v>
      </c>
      <c r="H156" s="5" t="n">
        <v>6201</v>
      </c>
      <c r="I156" s="5" t="n">
        <v>197446</v>
      </c>
      <c r="J156" s="11" t="n">
        <f aca="false">IF(I156=0,0,C156/I156)</f>
        <v>0.475400869098386</v>
      </c>
      <c r="K156" s="11" t="n">
        <f aca="false">IF(I156=0,0,D156/I156)</f>
        <v>0.200323126323147</v>
      </c>
      <c r="L156" s="11" t="n">
        <f aca="false">IF(I156=0,0,E156/I156)</f>
        <v>0.29236854633672</v>
      </c>
      <c r="M156" s="11" t="n">
        <f aca="false">IF(I156=0,0,H156/I156)</f>
        <v>0.0314060553265197</v>
      </c>
      <c r="N156" s="4" t="str">
        <f aca="false">INDEX($C$3:$E$3,MATCH(MAX(C156:E156),C156:E156,0))</f>
        <v>PT-Morena-PES</v>
      </c>
      <c r="O156" s="17" t="n">
        <f aca="false">(MAX(J156:L156)-LARGE(J156:L156,2))*100</f>
        <v>18.3032322761666</v>
      </c>
    </row>
    <row r="157" customFormat="false" ht="15" hidden="false" customHeight="false" outlineLevel="0" collapsed="false">
      <c r="A157" s="4" t="s">
        <v>53</v>
      </c>
      <c r="B157" s="4" t="n">
        <v>29</v>
      </c>
      <c r="C157" s="5" t="n">
        <v>96233</v>
      </c>
      <c r="D157" s="5" t="n">
        <v>58369</v>
      </c>
      <c r="E157" s="5" t="n">
        <v>35905</v>
      </c>
      <c r="F157" s="5" t="n">
        <v>0</v>
      </c>
      <c r="G157" s="5" t="n">
        <v>111</v>
      </c>
      <c r="H157" s="5" t="n">
        <v>5333</v>
      </c>
      <c r="I157" s="5" t="n">
        <v>195951</v>
      </c>
      <c r="J157" s="11" t="n">
        <f aca="false">IF(I157=0,0,C157/I157)</f>
        <v>0.491107470745237</v>
      </c>
      <c r="K157" s="11" t="n">
        <f aca="false">IF(I157=0,0,D157/I157)</f>
        <v>0.297875489280483</v>
      </c>
      <c r="L157" s="11" t="n">
        <f aca="false">IF(I157=0,0,E157/I157)</f>
        <v>0.183234584156243</v>
      </c>
      <c r="M157" s="11" t="n">
        <f aca="false">IF(I157=0,0,H157/I157)</f>
        <v>0.027215987670387</v>
      </c>
      <c r="N157" s="4" t="str">
        <f aca="false">INDEX($C$3:$E$3,MATCH(MAX(C157:E157),C157:E157,0))</f>
        <v>PT-Morena-PES</v>
      </c>
      <c r="O157" s="17" t="n">
        <f aca="false">(MAX(J157:L157)-LARGE(J157:L157,2))*100</f>
        <v>19.3231981464754</v>
      </c>
    </row>
    <row r="158" customFormat="false" ht="15" hidden="false" customHeight="false" outlineLevel="0" collapsed="false">
      <c r="A158" s="4" t="s">
        <v>53</v>
      </c>
      <c r="B158" s="4" t="n">
        <v>30</v>
      </c>
      <c r="C158" s="5" t="n">
        <v>76680</v>
      </c>
      <c r="D158" s="5" t="n">
        <v>17770</v>
      </c>
      <c r="E158" s="5" t="n">
        <v>60399</v>
      </c>
      <c r="F158" s="5" t="n">
        <v>0</v>
      </c>
      <c r="G158" s="5" t="n">
        <v>68</v>
      </c>
      <c r="H158" s="5" t="n">
        <v>4176</v>
      </c>
      <c r="I158" s="5" t="n">
        <v>159093</v>
      </c>
      <c r="J158" s="11" t="n">
        <f aca="false">IF(I158=0,0,C158/I158)</f>
        <v>0.481982236804888</v>
      </c>
      <c r="K158" s="11" t="n">
        <f aca="false">IF(I158=0,0,D158/I158)</f>
        <v>0.111695674856845</v>
      </c>
      <c r="L158" s="11" t="n">
        <f aca="false">IF(I158=0,0,E158/I158)</f>
        <v>0.379645867511456</v>
      </c>
      <c r="M158" s="11" t="n">
        <f aca="false">IF(I158=0,0,H158/I158)</f>
        <v>0.0262487978729422</v>
      </c>
      <c r="N158" s="4" t="str">
        <f aca="false">INDEX($C$3:$E$3,MATCH(MAX(C158:E158),C158:E158,0))</f>
        <v>PT-Morena-PES</v>
      </c>
      <c r="O158" s="17" t="n">
        <f aca="false">(MAX(J158:L158)-LARGE(J158:L158,2))*100</f>
        <v>10.2336369293432</v>
      </c>
    </row>
    <row r="159" customFormat="false" ht="15" hidden="false" customHeight="false" outlineLevel="0" collapsed="false">
      <c r="A159" s="4" t="s">
        <v>53</v>
      </c>
      <c r="B159" s="4" t="n">
        <v>31</v>
      </c>
      <c r="C159" s="5" t="n">
        <v>90684</v>
      </c>
      <c r="D159" s="5" t="n">
        <v>57792</v>
      </c>
      <c r="E159" s="5" t="n">
        <v>33905</v>
      </c>
      <c r="F159" s="5" t="n">
        <v>0</v>
      </c>
      <c r="G159" s="5" t="n">
        <v>117</v>
      </c>
      <c r="H159" s="5" t="n">
        <v>5507</v>
      </c>
      <c r="I159" s="5" t="n">
        <v>188005</v>
      </c>
      <c r="J159" s="11" t="n">
        <f aca="false">IF(I159=0,0,C159/I159)</f>
        <v>0.482348873700168</v>
      </c>
      <c r="K159" s="11" t="n">
        <f aca="false">IF(I159=0,0,D159/I159)</f>
        <v>0.307396079891492</v>
      </c>
      <c r="L159" s="11" t="n">
        <f aca="false">IF(I159=0,0,E159/I159)</f>
        <v>0.180340948379032</v>
      </c>
      <c r="M159" s="11" t="n">
        <f aca="false">IF(I159=0,0,H159/I159)</f>
        <v>0.0292917741549427</v>
      </c>
      <c r="N159" s="4" t="str">
        <f aca="false">INDEX($C$3:$E$3,MATCH(MAX(C159:E159),C159:E159,0))</f>
        <v>PT-Morena-PES</v>
      </c>
      <c r="O159" s="17" t="n">
        <f aca="false">(MAX(J159:L159)-LARGE(J159:L159,2))*100</f>
        <v>17.4952793808675</v>
      </c>
    </row>
    <row r="160" customFormat="false" ht="15" hidden="false" customHeight="false" outlineLevel="0" collapsed="false">
      <c r="A160" s="4" t="s">
        <v>53</v>
      </c>
      <c r="B160" s="4" t="n">
        <v>32</v>
      </c>
      <c r="C160" s="5" t="n">
        <v>89359</v>
      </c>
      <c r="D160" s="5" t="n">
        <v>40184</v>
      </c>
      <c r="E160" s="5" t="n">
        <v>30554</v>
      </c>
      <c r="F160" s="5" t="n">
        <v>0</v>
      </c>
      <c r="G160" s="5" t="n">
        <v>94</v>
      </c>
      <c r="H160" s="5" t="n">
        <v>5838</v>
      </c>
      <c r="I160" s="5" t="n">
        <v>166029</v>
      </c>
      <c r="J160" s="11" t="n">
        <f aca="false">IF(I160=0,0,C160/I160)</f>
        <v>0.538213203717423</v>
      </c>
      <c r="K160" s="11" t="n">
        <f aca="false">IF(I160=0,0,D160/I160)</f>
        <v>0.24203000680604</v>
      </c>
      <c r="L160" s="11" t="n">
        <f aca="false">IF(I160=0,0,E160/I160)</f>
        <v>0.184028091477995</v>
      </c>
      <c r="M160" s="11" t="n">
        <f aca="false">IF(I160=0,0,H160/I160)</f>
        <v>0.035162531846846</v>
      </c>
      <c r="N160" s="4" t="str">
        <f aca="false">INDEX($C$3:$E$3,MATCH(MAX(C160:E160),C160:E160,0))</f>
        <v>PT-Morena-PES</v>
      </c>
      <c r="O160" s="17" t="n">
        <f aca="false">(MAX(J160:L160)-LARGE(J160:L160,2))*100</f>
        <v>29.6183196911383</v>
      </c>
    </row>
    <row r="161" customFormat="false" ht="15" hidden="false" customHeight="false" outlineLevel="0" collapsed="false">
      <c r="A161" s="4" t="s">
        <v>53</v>
      </c>
      <c r="B161" s="4" t="n">
        <v>33</v>
      </c>
      <c r="C161" s="5" t="n">
        <v>93209</v>
      </c>
      <c r="D161" s="5" t="n">
        <v>31951</v>
      </c>
      <c r="E161" s="5" t="n">
        <v>35535</v>
      </c>
      <c r="F161" s="5" t="n">
        <v>0</v>
      </c>
      <c r="G161" s="5" t="n">
        <v>86</v>
      </c>
      <c r="H161" s="5" t="n">
        <v>5211</v>
      </c>
      <c r="I161" s="5" t="n">
        <v>165992</v>
      </c>
      <c r="J161" s="11" t="n">
        <f aca="false">IF(I161=0,0,C161/I161)</f>
        <v>0.561527061545135</v>
      </c>
      <c r="K161" s="11" t="n">
        <f aca="false">IF(I161=0,0,D161/I161)</f>
        <v>0.192485180008675</v>
      </c>
      <c r="L161" s="11" t="n">
        <f aca="false">IF(I161=0,0,E161/I161)</f>
        <v>0.214076582003952</v>
      </c>
      <c r="M161" s="11" t="n">
        <f aca="false">IF(I161=0,0,H161/I161)</f>
        <v>0.031393079184539</v>
      </c>
      <c r="N161" s="4" t="str">
        <f aca="false">INDEX($C$3:$E$3,MATCH(MAX(C161:E161),C161:E161,0))</f>
        <v>PT-Morena-PES</v>
      </c>
      <c r="O161" s="17" t="n">
        <f aca="false">(MAX(J161:L161)-LARGE(J161:L161,2))*100</f>
        <v>34.7450479541183</v>
      </c>
    </row>
    <row r="162" customFormat="false" ht="15" hidden="false" customHeight="false" outlineLevel="0" collapsed="false">
      <c r="A162" s="4" t="s">
        <v>53</v>
      </c>
      <c r="B162" s="4" t="n">
        <v>34</v>
      </c>
      <c r="C162" s="5" t="n">
        <v>107482</v>
      </c>
      <c r="D162" s="5" t="n">
        <v>65143</v>
      </c>
      <c r="E162" s="5" t="n">
        <v>57226</v>
      </c>
      <c r="F162" s="5" t="n">
        <v>0</v>
      </c>
      <c r="G162" s="5" t="n">
        <v>173</v>
      </c>
      <c r="H162" s="5" t="n">
        <v>5704</v>
      </c>
      <c r="I162" s="5" t="n">
        <v>235728</v>
      </c>
      <c r="J162" s="11" t="n">
        <f aca="false">IF(I162=0,0,C162/I162)</f>
        <v>0.455957713975429</v>
      </c>
      <c r="K162" s="11" t="n">
        <f aca="false">IF(I162=0,0,D162/I162)</f>
        <v>0.276348163985611</v>
      </c>
      <c r="L162" s="11" t="n">
        <f aca="false">IF(I162=0,0,E162/I162)</f>
        <v>0.242762845313242</v>
      </c>
      <c r="M162" s="11" t="n">
        <f aca="false">IF(I162=0,0,H162/I162)</f>
        <v>0.0241973800312224</v>
      </c>
      <c r="N162" s="4" t="str">
        <f aca="false">INDEX($C$3:$E$3,MATCH(MAX(C162:E162),C162:E162,0))</f>
        <v>PT-Morena-PES</v>
      </c>
      <c r="O162" s="17" t="n">
        <f aca="false">(MAX(J162:L162)-LARGE(J162:L162,2))*100</f>
        <v>17.9609549989819</v>
      </c>
    </row>
    <row r="163" customFormat="false" ht="15" hidden="false" customHeight="false" outlineLevel="0" collapsed="false">
      <c r="A163" s="4" t="s">
        <v>53</v>
      </c>
      <c r="B163" s="4" t="n">
        <v>35</v>
      </c>
      <c r="C163" s="5" t="n">
        <v>86970</v>
      </c>
      <c r="D163" s="5" t="n">
        <v>47109</v>
      </c>
      <c r="E163" s="5" t="n">
        <v>55179</v>
      </c>
      <c r="F163" s="5" t="n">
        <v>0</v>
      </c>
      <c r="G163" s="5" t="n">
        <v>70</v>
      </c>
      <c r="H163" s="5" t="n">
        <v>7850</v>
      </c>
      <c r="I163" s="5" t="n">
        <v>197178</v>
      </c>
      <c r="J163" s="11" t="n">
        <f aca="false">IF(I163=0,0,C163/I163)</f>
        <v>0.441073547758878</v>
      </c>
      <c r="K163" s="11" t="n">
        <f aca="false">IF(I163=0,0,D163/I163)</f>
        <v>0.238916106259319</v>
      </c>
      <c r="L163" s="11" t="n">
        <f aca="false">IF(I163=0,0,E163/I163)</f>
        <v>0.279843593098622</v>
      </c>
      <c r="M163" s="11" t="n">
        <f aca="false">IF(I163=0,0,H163/I163)</f>
        <v>0.0398117437036586</v>
      </c>
      <c r="N163" s="4" t="str">
        <f aca="false">INDEX($C$3:$E$3,MATCH(MAX(C163:E163),C163:E163,0))</f>
        <v>PT-Morena-PES</v>
      </c>
      <c r="O163" s="17" t="n">
        <f aca="false">(MAX(J163:L163)-LARGE(J163:L163,2))*100</f>
        <v>16.1229954660256</v>
      </c>
    </row>
    <row r="164" customFormat="false" ht="15" hidden="false" customHeight="false" outlineLevel="0" collapsed="false">
      <c r="A164" s="4" t="s">
        <v>53</v>
      </c>
      <c r="B164" s="4" t="n">
        <v>36</v>
      </c>
      <c r="C164" s="5" t="n">
        <v>79806</v>
      </c>
      <c r="D164" s="5" t="n">
        <v>53219</v>
      </c>
      <c r="E164" s="5" t="n">
        <v>79848</v>
      </c>
      <c r="F164" s="5" t="n">
        <v>0</v>
      </c>
      <c r="G164" s="5" t="n">
        <v>67</v>
      </c>
      <c r="H164" s="5" t="n">
        <v>8207</v>
      </c>
      <c r="I164" s="5" t="n">
        <v>221147</v>
      </c>
      <c r="J164" s="11" t="n">
        <f aca="false">IF(I164=0,0,C164/I164)</f>
        <v>0.360873084418961</v>
      </c>
      <c r="K164" s="11" t="n">
        <f aca="false">IF(I164=0,0,D164/I164)</f>
        <v>0.240649884465989</v>
      </c>
      <c r="L164" s="11" t="n">
        <f aca="false">IF(I164=0,0,E164/I164)</f>
        <v>0.361063003341669</v>
      </c>
      <c r="M164" s="11" t="n">
        <f aca="false">IF(I164=0,0,H164/I164)</f>
        <v>0.0371110618728719</v>
      </c>
      <c r="N164" s="4" t="str">
        <f aca="false">INDEX($C$3:$E$3,MATCH(MAX(C164:E164),C164:E164,0))</f>
        <v>PRI-PVEM-NA</v>
      </c>
      <c r="O164" s="17" t="n">
        <f aca="false">(MAX(J164:L164)-LARGE(J164:L164,2))*100</f>
        <v>0.0189918922707533</v>
      </c>
    </row>
    <row r="165" customFormat="false" ht="15" hidden="false" customHeight="false" outlineLevel="0" collapsed="false">
      <c r="A165" s="4" t="s">
        <v>53</v>
      </c>
      <c r="B165" s="4" t="n">
        <v>37</v>
      </c>
      <c r="C165" s="5" t="n">
        <v>101188</v>
      </c>
      <c r="D165" s="5" t="n">
        <v>42744</v>
      </c>
      <c r="E165" s="5" t="n">
        <v>47321</v>
      </c>
      <c r="F165" s="5" t="n">
        <v>0</v>
      </c>
      <c r="G165" s="5" t="n">
        <v>109</v>
      </c>
      <c r="H165" s="5" t="n">
        <v>5319</v>
      </c>
      <c r="I165" s="5" t="n">
        <v>196681</v>
      </c>
      <c r="J165" s="11" t="n">
        <f aca="false">IF(I165=0,0,C165/I165)</f>
        <v>0.514477758400659</v>
      </c>
      <c r="K165" s="11" t="n">
        <f aca="false">IF(I165=0,0,D165/I165)</f>
        <v>0.21732653382889</v>
      </c>
      <c r="L165" s="11" t="n">
        <f aca="false">IF(I165=0,0,E165/I165)</f>
        <v>0.240597719149282</v>
      </c>
      <c r="M165" s="11" t="n">
        <f aca="false">IF(I165=0,0,H165/I165)</f>
        <v>0.027043791723654</v>
      </c>
      <c r="N165" s="4" t="str">
        <f aca="false">INDEX($C$3:$E$3,MATCH(MAX(C165:E165),C165:E165,0))</f>
        <v>PT-Morena-PES</v>
      </c>
      <c r="O165" s="17" t="n">
        <f aca="false">(MAX(J165:L165)-LARGE(J165:L165,2))*100</f>
        <v>27.3880039251377</v>
      </c>
    </row>
    <row r="166" customFormat="false" ht="15" hidden="false" customHeight="false" outlineLevel="0" collapsed="false">
      <c r="A166" s="4" t="s">
        <v>53</v>
      </c>
      <c r="B166" s="4" t="n">
        <v>38</v>
      </c>
      <c r="C166" s="5" t="n">
        <v>110803</v>
      </c>
      <c r="D166" s="5" t="n">
        <v>23897</v>
      </c>
      <c r="E166" s="5" t="n">
        <v>51688</v>
      </c>
      <c r="F166" s="5" t="n">
        <v>0</v>
      </c>
      <c r="G166" s="5" t="n">
        <v>114</v>
      </c>
      <c r="H166" s="5" t="n">
        <v>5407</v>
      </c>
      <c r="I166" s="5" t="n">
        <v>191909</v>
      </c>
      <c r="J166" s="11" t="n">
        <f aca="false">IF(I166=0,0,C166/I166)</f>
        <v>0.577372608892756</v>
      </c>
      <c r="K166" s="11" t="n">
        <f aca="false">IF(I166=0,0,D166/I166)</f>
        <v>0.124522560171748</v>
      </c>
      <c r="L166" s="11" t="n">
        <f aca="false">IF(I166=0,0,E166/I166)</f>
        <v>0.269335987369013</v>
      </c>
      <c r="M166" s="11" t="n">
        <f aca="false">IF(I166=0,0,H166/I166)</f>
        <v>0.0281748120202804</v>
      </c>
      <c r="N166" s="4" t="str">
        <f aca="false">INDEX($C$3:$E$3,MATCH(MAX(C166:E166),C166:E166,0))</f>
        <v>PT-Morena-PES</v>
      </c>
      <c r="O166" s="17" t="n">
        <f aca="false">(MAX(J166:L166)-LARGE(J166:L166,2))*100</f>
        <v>30.8036621523743</v>
      </c>
    </row>
    <row r="167" customFormat="false" ht="15" hidden="false" customHeight="false" outlineLevel="0" collapsed="false">
      <c r="A167" s="4" t="s">
        <v>53</v>
      </c>
      <c r="B167" s="4" t="n">
        <v>39</v>
      </c>
      <c r="C167" s="5" t="n">
        <v>78590</v>
      </c>
      <c r="D167" s="5" t="n">
        <v>24693</v>
      </c>
      <c r="E167" s="5" t="n">
        <v>57143</v>
      </c>
      <c r="F167" s="5" t="n">
        <v>0</v>
      </c>
      <c r="G167" s="5" t="n">
        <v>71</v>
      </c>
      <c r="H167" s="5" t="n">
        <v>4732</v>
      </c>
      <c r="I167" s="5" t="n">
        <v>165229</v>
      </c>
      <c r="J167" s="11" t="n">
        <f aca="false">IF(I167=0,0,C167/I167)</f>
        <v>0.475642895617597</v>
      </c>
      <c r="K167" s="11" t="n">
        <f aca="false">IF(I167=0,0,D167/I167)</f>
        <v>0.149447130951588</v>
      </c>
      <c r="L167" s="11" t="n">
        <f aca="false">IF(I167=0,0,E167/I167)</f>
        <v>0.345841226419091</v>
      </c>
      <c r="M167" s="11" t="n">
        <f aca="false">IF(I167=0,0,H167/I167)</f>
        <v>0.028639040362164</v>
      </c>
      <c r="N167" s="4" t="str">
        <f aca="false">INDEX($C$3:$E$3,MATCH(MAX(C167:E167),C167:E167,0))</f>
        <v>PT-Morena-PES</v>
      </c>
      <c r="O167" s="17" t="n">
        <f aca="false">(MAX(J167:L167)-LARGE(J167:L167,2))*100</f>
        <v>12.9801669198506</v>
      </c>
    </row>
    <row r="168" customFormat="false" ht="15" hidden="false" customHeight="false" outlineLevel="0" collapsed="false">
      <c r="A168" s="4" t="s">
        <v>53</v>
      </c>
      <c r="B168" s="4" t="n">
        <v>40</v>
      </c>
      <c r="C168" s="5" t="n">
        <v>96233</v>
      </c>
      <c r="D168" s="5" t="n">
        <v>48169</v>
      </c>
      <c r="E168" s="5" t="n">
        <v>58036</v>
      </c>
      <c r="F168" s="5" t="n">
        <v>0</v>
      </c>
      <c r="G168" s="5" t="n">
        <v>119</v>
      </c>
      <c r="H168" s="5" t="n">
        <v>8010</v>
      </c>
      <c r="I168" s="5" t="n">
        <v>210567</v>
      </c>
      <c r="J168" s="11" t="n">
        <f aca="false">IF(I168=0,0,C168/I168)</f>
        <v>0.457018431188173</v>
      </c>
      <c r="K168" s="11" t="n">
        <f aca="false">IF(I168=0,0,D168/I168)</f>
        <v>0.228758542411679</v>
      </c>
      <c r="L168" s="11" t="n">
        <f aca="false">IF(I168=0,0,E168/I168)</f>
        <v>0.275617736872349</v>
      </c>
      <c r="M168" s="11" t="n">
        <f aca="false">IF(I168=0,0,H168/I168)</f>
        <v>0.0380401487412558</v>
      </c>
      <c r="N168" s="4" t="str">
        <f aca="false">INDEX($C$3:$E$3,MATCH(MAX(C168:E168),C168:E168,0))</f>
        <v>PT-Morena-PES</v>
      </c>
      <c r="O168" s="17" t="n">
        <f aca="false">(MAX(J168:L168)-LARGE(J168:L168,2))*100</f>
        <v>18.1400694315823</v>
      </c>
    </row>
    <row r="169" customFormat="false" ht="15" hidden="false" customHeight="false" outlineLevel="0" collapsed="false">
      <c r="A169" s="4" t="s">
        <v>53</v>
      </c>
      <c r="B169" s="4" t="n">
        <v>41</v>
      </c>
      <c r="C169" s="5" t="n">
        <v>119235</v>
      </c>
      <c r="D169" s="5" t="n">
        <v>31982</v>
      </c>
      <c r="E169" s="5" t="n">
        <v>64519</v>
      </c>
      <c r="F169" s="5" t="n">
        <v>0</v>
      </c>
      <c r="G169" s="5" t="n">
        <v>153</v>
      </c>
      <c r="H169" s="5" t="n">
        <v>5110</v>
      </c>
      <c r="I169" s="5" t="n">
        <v>220999</v>
      </c>
      <c r="J169" s="11" t="n">
        <f aca="false">IF(I169=0,0,C169/I169)</f>
        <v>0.539527328177956</v>
      </c>
      <c r="K169" s="11" t="n">
        <f aca="false">IF(I169=0,0,D169/I169)</f>
        <v>0.144715586948357</v>
      </c>
      <c r="L169" s="11" t="n">
        <f aca="false">IF(I169=0,0,E169/I169)</f>
        <v>0.291942497477364</v>
      </c>
      <c r="M169" s="11" t="n">
        <f aca="false">IF(I169=0,0,H169/I169)</f>
        <v>0.0231222765713872</v>
      </c>
      <c r="N169" s="4" t="str">
        <f aca="false">INDEX($C$3:$E$3,MATCH(MAX(C169:E169),C169:E169,0))</f>
        <v>PT-Morena-PES</v>
      </c>
      <c r="O169" s="17" t="n">
        <f aca="false">(MAX(J169:L169)-LARGE(J169:L169,2))*100</f>
        <v>24.7584830700591</v>
      </c>
    </row>
    <row r="170" customFormat="false" ht="15" hidden="false" customHeight="false" outlineLevel="0" collapsed="false">
      <c r="A170" s="4" t="s">
        <v>54</v>
      </c>
      <c r="B170" s="4" t="n">
        <v>1</v>
      </c>
      <c r="C170" s="5" t="n">
        <v>86643</v>
      </c>
      <c r="D170" s="5" t="n">
        <v>30236</v>
      </c>
      <c r="E170" s="5" t="n">
        <v>38968</v>
      </c>
      <c r="F170" s="5" t="n">
        <v>0</v>
      </c>
      <c r="G170" s="5" t="n">
        <v>49</v>
      </c>
      <c r="H170" s="5" t="n">
        <v>7664</v>
      </c>
      <c r="I170" s="5" t="n">
        <v>163560</v>
      </c>
      <c r="J170" s="11" t="n">
        <f aca="false">IF(I170=0,0,C170/I170)</f>
        <v>0.529732208363903</v>
      </c>
      <c r="K170" s="11" t="n">
        <f aca="false">IF(I170=0,0,D170/I170)</f>
        <v>0.184861824406945</v>
      </c>
      <c r="L170" s="11" t="n">
        <f aca="false">IF(I170=0,0,E170/I170)</f>
        <v>0.23824896062607</v>
      </c>
      <c r="M170" s="11" t="n">
        <f aca="false">IF(I170=0,0,H170/I170)</f>
        <v>0.0468574223526535</v>
      </c>
      <c r="N170" s="4" t="str">
        <f aca="false">INDEX($C$3:$E$3,MATCH(MAX(C170:E170),C170:E170,0))</f>
        <v>PT-Morena-PES</v>
      </c>
      <c r="O170" s="17" t="n">
        <f aca="false">(MAX(J170:L170)-LARGE(J170:L170,2))*100</f>
        <v>29.1483247737833</v>
      </c>
    </row>
    <row r="171" customFormat="false" ht="15" hidden="false" customHeight="false" outlineLevel="0" collapsed="false">
      <c r="A171" s="4" t="s">
        <v>54</v>
      </c>
      <c r="B171" s="4" t="n">
        <v>2</v>
      </c>
      <c r="C171" s="5" t="n">
        <v>57530</v>
      </c>
      <c r="D171" s="5" t="n">
        <v>56193</v>
      </c>
      <c r="E171" s="5" t="n">
        <v>57373</v>
      </c>
      <c r="F171" s="5" t="n">
        <v>0</v>
      </c>
      <c r="G171" s="5" t="n">
        <v>63</v>
      </c>
      <c r="H171" s="5" t="n">
        <v>11428</v>
      </c>
      <c r="I171" s="5" t="n">
        <v>182587</v>
      </c>
      <c r="J171" s="11" t="n">
        <f aca="false">IF(I171=0,0,C171/I171)</f>
        <v>0.315082672917568</v>
      </c>
      <c r="K171" s="11" t="n">
        <f aca="false">IF(I171=0,0,D171/I171)</f>
        <v>0.307760136263809</v>
      </c>
      <c r="L171" s="11" t="n">
        <f aca="false">IF(I171=0,0,E171/I171)</f>
        <v>0.314222808852766</v>
      </c>
      <c r="M171" s="11" t="n">
        <f aca="false">IF(I171=0,0,H171/I171)</f>
        <v>0.0625893409717012</v>
      </c>
      <c r="N171" s="4" t="str">
        <f aca="false">INDEX($C$3:$E$3,MATCH(MAX(C171:E171),C171:E171,0))</f>
        <v>PT-Morena-PES</v>
      </c>
      <c r="O171" s="17" t="n">
        <f aca="false">(MAX(J171:L171)-LARGE(J171:L171,2))*100</f>
        <v>0.0859864064801985</v>
      </c>
    </row>
    <row r="172" customFormat="false" ht="15" hidden="false" customHeight="false" outlineLevel="0" collapsed="false">
      <c r="A172" s="4" t="s">
        <v>54</v>
      </c>
      <c r="B172" s="4" t="n">
        <v>3</v>
      </c>
      <c r="C172" s="5" t="n">
        <v>67264</v>
      </c>
      <c r="D172" s="5" t="n">
        <v>58614</v>
      </c>
      <c r="E172" s="5" t="n">
        <v>40042</v>
      </c>
      <c r="F172" s="5" t="n">
        <v>0</v>
      </c>
      <c r="G172" s="5" t="n">
        <v>63</v>
      </c>
      <c r="H172" s="5" t="n">
        <v>10978</v>
      </c>
      <c r="I172" s="5" t="n">
        <v>176961</v>
      </c>
      <c r="J172" s="11" t="n">
        <f aca="false">IF(I172=0,0,C172/I172)</f>
        <v>0.380106351116913</v>
      </c>
      <c r="K172" s="11" t="n">
        <f aca="false">IF(I172=0,0,D172/I172)</f>
        <v>0.331225524268059</v>
      </c>
      <c r="L172" s="11" t="n">
        <f aca="false">IF(I172=0,0,E172/I172)</f>
        <v>0.226275846090381</v>
      </c>
      <c r="M172" s="11" t="n">
        <f aca="false">IF(I172=0,0,H172/I172)</f>
        <v>0.0620362678782331</v>
      </c>
      <c r="N172" s="4" t="str">
        <f aca="false">INDEX($C$3:$E$3,MATCH(MAX(C172:E172),C172:E172,0))</f>
        <v>PT-Morena-PES</v>
      </c>
      <c r="O172" s="17" t="n">
        <f aca="false">(MAX(J172:L172)-LARGE(J172:L172,2))*100</f>
        <v>4.88808268488537</v>
      </c>
    </row>
    <row r="173" customFormat="false" ht="15" hidden="false" customHeight="false" outlineLevel="0" collapsed="false">
      <c r="A173" s="4" t="s">
        <v>54</v>
      </c>
      <c r="B173" s="4" t="n">
        <v>4</v>
      </c>
      <c r="C173" s="5" t="n">
        <v>52518</v>
      </c>
      <c r="D173" s="5" t="n">
        <v>64748</v>
      </c>
      <c r="E173" s="5" t="n">
        <v>44953</v>
      </c>
      <c r="F173" s="5" t="n">
        <v>0</v>
      </c>
      <c r="G173" s="5" t="n">
        <v>52</v>
      </c>
      <c r="H173" s="5" t="n">
        <v>9096</v>
      </c>
      <c r="I173" s="5" t="n">
        <v>171367</v>
      </c>
      <c r="J173" s="11" t="n">
        <f aca="false">IF(I173=0,0,C173/I173)</f>
        <v>0.306465072038374</v>
      </c>
      <c r="K173" s="11" t="n">
        <f aca="false">IF(I173=0,0,D173/I173)</f>
        <v>0.377832371460083</v>
      </c>
      <c r="L173" s="11" t="n">
        <f aca="false">IF(I173=0,0,E173/I173)</f>
        <v>0.262320049951274</v>
      </c>
      <c r="M173" s="11" t="n">
        <f aca="false">IF(I173=0,0,H173/I173)</f>
        <v>0.0530790642305695</v>
      </c>
      <c r="N173" s="4" t="str">
        <f aca="false">INDEX($C$3:$E$3,MATCH(MAX(C173:E173),C173:E173,0))</f>
        <v>PAN-PRD-MC</v>
      </c>
      <c r="O173" s="17" t="n">
        <f aca="false">(MAX(J173:L173)-LARGE(J173:L173,2))*100</f>
        <v>7.13672994217089</v>
      </c>
    </row>
    <row r="174" customFormat="false" ht="15" hidden="false" customHeight="false" outlineLevel="0" collapsed="false">
      <c r="A174" s="4" t="s">
        <v>54</v>
      </c>
      <c r="B174" s="4" t="n">
        <v>5</v>
      </c>
      <c r="C174" s="5" t="n">
        <v>58758</v>
      </c>
      <c r="D174" s="5" t="n">
        <v>55278</v>
      </c>
      <c r="E174" s="5" t="n">
        <v>39946</v>
      </c>
      <c r="F174" s="5" t="n">
        <v>0</v>
      </c>
      <c r="G174" s="5" t="n">
        <v>89</v>
      </c>
      <c r="H174" s="5" t="n">
        <v>7919</v>
      </c>
      <c r="I174" s="5" t="n">
        <v>161990</v>
      </c>
      <c r="J174" s="11" t="n">
        <f aca="false">IF(I174=0,0,C174/I174)</f>
        <v>0.362726094203346</v>
      </c>
      <c r="K174" s="11" t="n">
        <f aca="false">IF(I174=0,0,D174/I174)</f>
        <v>0.341243286622631</v>
      </c>
      <c r="L174" s="11" t="n">
        <f aca="false">IF(I174=0,0,E174/I174)</f>
        <v>0.246595468856102</v>
      </c>
      <c r="M174" s="11" t="n">
        <f aca="false">IF(I174=0,0,H174/I174)</f>
        <v>0.0488857336872647</v>
      </c>
      <c r="N174" s="4" t="str">
        <f aca="false">INDEX($C$3:$E$3,MATCH(MAX(C174:E174),C174:E174,0))</f>
        <v>PT-Morena-PES</v>
      </c>
      <c r="O174" s="17" t="n">
        <f aca="false">(MAX(J174:L174)-LARGE(J174:L174,2))*100</f>
        <v>2.14828075807149</v>
      </c>
    </row>
    <row r="175" customFormat="false" ht="15" hidden="false" customHeight="false" outlineLevel="0" collapsed="false">
      <c r="A175" s="4" t="s">
        <v>54</v>
      </c>
      <c r="B175" s="4" t="n">
        <v>6</v>
      </c>
      <c r="C175" s="5" t="n">
        <v>57315</v>
      </c>
      <c r="D175" s="5" t="n">
        <v>46713</v>
      </c>
      <c r="E175" s="5" t="n">
        <v>51282</v>
      </c>
      <c r="F175" s="5" t="n">
        <v>0</v>
      </c>
      <c r="G175" s="5" t="n">
        <v>78</v>
      </c>
      <c r="H175" s="5" t="n">
        <v>11638</v>
      </c>
      <c r="I175" s="5" t="n">
        <v>167026</v>
      </c>
      <c r="J175" s="11" t="n">
        <f aca="false">IF(I175=0,0,C175/I175)</f>
        <v>0.34315016823728</v>
      </c>
      <c r="K175" s="11" t="n">
        <f aca="false">IF(I175=0,0,D175/I175)</f>
        <v>0.279675020655467</v>
      </c>
      <c r="L175" s="11" t="n">
        <f aca="false">IF(I175=0,0,E175/I175)</f>
        <v>0.307030043226803</v>
      </c>
      <c r="M175" s="11" t="n">
        <f aca="false">IF(I175=0,0,H175/I175)</f>
        <v>0.0696777747177086</v>
      </c>
      <c r="N175" s="4" t="str">
        <f aca="false">INDEX($C$3:$E$3,MATCH(MAX(C175:E175),C175:E175,0))</f>
        <v>PT-Morena-PES</v>
      </c>
      <c r="O175" s="17" t="n">
        <f aca="false">(MAX(J175:L175)-LARGE(J175:L175,2))*100</f>
        <v>3.61201250104775</v>
      </c>
    </row>
    <row r="176" customFormat="false" ht="15" hidden="false" customHeight="false" outlineLevel="0" collapsed="false">
      <c r="A176" s="4" t="s">
        <v>54</v>
      </c>
      <c r="B176" s="4" t="n">
        <v>7</v>
      </c>
      <c r="C176" s="5" t="n">
        <v>56197</v>
      </c>
      <c r="D176" s="5" t="n">
        <v>40784</v>
      </c>
      <c r="E176" s="5" t="n">
        <v>48227</v>
      </c>
      <c r="F176" s="5" t="n">
        <v>0</v>
      </c>
      <c r="G176" s="5" t="n">
        <v>105</v>
      </c>
      <c r="H176" s="5" t="n">
        <v>10373</v>
      </c>
      <c r="I176" s="5" t="n">
        <v>155686</v>
      </c>
      <c r="J176" s="11" t="n">
        <f aca="false">IF(I176=0,0,C176/I176)</f>
        <v>0.360963734696761</v>
      </c>
      <c r="K176" s="11" t="n">
        <f aca="false">IF(I176=0,0,D176/I176)</f>
        <v>0.26196318230284</v>
      </c>
      <c r="L176" s="11" t="n">
        <f aca="false">IF(I176=0,0,E176/I176)</f>
        <v>0.309770949218298</v>
      </c>
      <c r="M176" s="11" t="n">
        <f aca="false">IF(I176=0,0,H176/I176)</f>
        <v>0.0666276993435505</v>
      </c>
      <c r="N176" s="4" t="str">
        <f aca="false">INDEX($C$3:$E$3,MATCH(MAX(C176:E176),C176:E176,0))</f>
        <v>PT-Morena-PES</v>
      </c>
      <c r="O176" s="17" t="n">
        <f aca="false">(MAX(J176:L176)-LARGE(J176:L176,2))*100</f>
        <v>5.1192785478463</v>
      </c>
    </row>
    <row r="177" customFormat="false" ht="15" hidden="false" customHeight="false" outlineLevel="0" collapsed="false">
      <c r="A177" s="4" t="s">
        <v>54</v>
      </c>
      <c r="B177" s="4" t="n">
        <v>8</v>
      </c>
      <c r="C177" s="5" t="n">
        <v>71600</v>
      </c>
      <c r="D177" s="5" t="n">
        <v>34148</v>
      </c>
      <c r="E177" s="5" t="n">
        <v>41018</v>
      </c>
      <c r="F177" s="5" t="n">
        <v>0</v>
      </c>
      <c r="G177" s="5" t="n">
        <v>281</v>
      </c>
      <c r="H177" s="5" t="n">
        <v>10928</v>
      </c>
      <c r="I177" s="5" t="n">
        <v>157975</v>
      </c>
      <c r="J177" s="11" t="n">
        <f aca="false">IF(I177=0,0,C177/I177)</f>
        <v>0.453236271561956</v>
      </c>
      <c r="K177" s="11" t="n">
        <f aca="false">IF(I177=0,0,D177/I177)</f>
        <v>0.216160784934325</v>
      </c>
      <c r="L177" s="11" t="n">
        <f aca="false">IF(I177=0,0,E177/I177)</f>
        <v>0.259648678588384</v>
      </c>
      <c r="M177" s="11" t="n">
        <f aca="false">IF(I177=0,0,H177/I177)</f>
        <v>0.0691755024529198</v>
      </c>
      <c r="N177" s="4" t="str">
        <f aca="false">INDEX($C$3:$E$3,MATCH(MAX(C177:E177),C177:E177,0))</f>
        <v>PT-Morena-PES</v>
      </c>
      <c r="O177" s="17" t="n">
        <f aca="false">(MAX(J177:L177)-LARGE(J177:L177,2))*100</f>
        <v>19.3587592973572</v>
      </c>
    </row>
    <row r="178" customFormat="false" ht="15" hidden="false" customHeight="false" outlineLevel="0" collapsed="false">
      <c r="A178" s="4" t="s">
        <v>54</v>
      </c>
      <c r="B178" s="4" t="n">
        <v>9</v>
      </c>
      <c r="C178" s="5" t="n">
        <v>52425</v>
      </c>
      <c r="D178" s="5" t="n">
        <v>43467</v>
      </c>
      <c r="E178" s="5" t="n">
        <v>15826</v>
      </c>
      <c r="F178" s="5" t="n">
        <v>12722</v>
      </c>
      <c r="G178" s="5" t="n">
        <v>114</v>
      </c>
      <c r="H178" s="5" t="n">
        <v>6358</v>
      </c>
      <c r="I178" s="5" t="n">
        <v>130912</v>
      </c>
      <c r="J178" s="11" t="n">
        <f aca="false">IF(I178=0,0,C178/I178)</f>
        <v>0.400459850892202</v>
      </c>
      <c r="K178" s="11" t="n">
        <f aca="false">IF(I178=0,0,D178/I178)</f>
        <v>0.332032204839892</v>
      </c>
      <c r="L178" s="11" t="n">
        <f aca="false">IF(I178=0,0,E178/I178)</f>
        <v>0.120890369102909</v>
      </c>
      <c r="M178" s="11" t="n">
        <f aca="false">IF(I178=0,0,H178/I178)</f>
        <v>0.0485669762894158</v>
      </c>
      <c r="N178" s="4" t="str">
        <f aca="false">INDEX($C$3:$E$3,MATCH(MAX(C178:E178),C178:E178,0))</f>
        <v>PT-Morena-PES</v>
      </c>
      <c r="O178" s="17" t="n">
        <f aca="false">(MAX(J178:L178)-LARGE(J178:L178,2))*100</f>
        <v>6.84276460523099</v>
      </c>
    </row>
    <row r="179" customFormat="false" ht="15" hidden="false" customHeight="false" outlineLevel="0" collapsed="false">
      <c r="A179" s="4" t="s">
        <v>54</v>
      </c>
      <c r="B179" s="4" t="n">
        <v>10</v>
      </c>
      <c r="C179" s="5" t="n">
        <v>65393</v>
      </c>
      <c r="D179" s="5" t="n">
        <v>46081</v>
      </c>
      <c r="E179" s="5" t="n">
        <v>33798</v>
      </c>
      <c r="F179" s="5" t="n">
        <v>31486</v>
      </c>
      <c r="G179" s="5" t="n">
        <v>148</v>
      </c>
      <c r="H179" s="5" t="n">
        <v>10368</v>
      </c>
      <c r="I179" s="5" t="n">
        <v>187274</v>
      </c>
      <c r="J179" s="11" t="n">
        <f aca="false">IF(I179=0,0,C179/I179)</f>
        <v>0.349183549238015</v>
      </c>
      <c r="K179" s="11" t="n">
        <f aca="false">IF(I179=0,0,D179/I179)</f>
        <v>0.246061919967534</v>
      </c>
      <c r="L179" s="11" t="n">
        <f aca="false">IF(I179=0,0,E179/I179)</f>
        <v>0.180473530762412</v>
      </c>
      <c r="M179" s="11" t="n">
        <f aca="false">IF(I179=0,0,H179/I179)</f>
        <v>0.0553627305445497</v>
      </c>
      <c r="N179" s="4" t="str">
        <f aca="false">INDEX($C$3:$E$3,MATCH(MAX(C179:E179),C179:E179,0))</f>
        <v>PT-Morena-PES</v>
      </c>
      <c r="O179" s="17" t="n">
        <f aca="false">(MAX(J179:L179)-LARGE(J179:L179,2))*100</f>
        <v>10.3121629270481</v>
      </c>
    </row>
    <row r="180" customFormat="false" ht="15" hidden="false" customHeight="false" outlineLevel="0" collapsed="false">
      <c r="A180" s="4" t="s">
        <v>54</v>
      </c>
      <c r="B180" s="4" t="n">
        <v>11</v>
      </c>
      <c r="C180" s="5" t="n">
        <v>54703</v>
      </c>
      <c r="D180" s="5" t="n">
        <v>57358</v>
      </c>
      <c r="E180" s="5" t="n">
        <v>48739</v>
      </c>
      <c r="F180" s="5" t="n">
        <v>0</v>
      </c>
      <c r="G180" s="5" t="n">
        <v>87</v>
      </c>
      <c r="H180" s="5" t="n">
        <v>13289</v>
      </c>
      <c r="I180" s="5" t="n">
        <v>174176</v>
      </c>
      <c r="J180" s="11" t="n">
        <f aca="false">IF(I180=0,0,C180/I180)</f>
        <v>0.314067380121257</v>
      </c>
      <c r="K180" s="11" t="n">
        <f aca="false">IF(I180=0,0,D180/I180)</f>
        <v>0.329310582399412</v>
      </c>
      <c r="L180" s="11" t="n">
        <f aca="false">IF(I180=0,0,E180/I180)</f>
        <v>0.27982615285688</v>
      </c>
      <c r="M180" s="11" t="n">
        <f aca="false">IF(I180=0,0,H180/I180)</f>
        <v>0.0762963898585339</v>
      </c>
      <c r="N180" s="4" t="str">
        <f aca="false">INDEX($C$3:$E$3,MATCH(MAX(C180:E180),C180:E180,0))</f>
        <v>PAN-PRD-MC</v>
      </c>
      <c r="O180" s="17" t="n">
        <f aca="false">(MAX(J180:L180)-LARGE(J180:L180,2))*100</f>
        <v>1.52432022781554</v>
      </c>
    </row>
    <row r="181" customFormat="false" ht="15" hidden="false" customHeight="false" outlineLevel="0" collapsed="false">
      <c r="A181" s="4" t="s">
        <v>54</v>
      </c>
      <c r="B181" s="4" t="n">
        <v>12</v>
      </c>
      <c r="C181" s="5" t="n">
        <v>57144</v>
      </c>
      <c r="D181" s="5" t="n">
        <v>37022</v>
      </c>
      <c r="E181" s="5" t="n">
        <v>41052</v>
      </c>
      <c r="F181" s="5" t="n">
        <v>0</v>
      </c>
      <c r="G181" s="5" t="n">
        <v>53</v>
      </c>
      <c r="H181" s="5" t="n">
        <v>8188</v>
      </c>
      <c r="I181" s="5" t="n">
        <v>143459</v>
      </c>
      <c r="J181" s="11" t="n">
        <f aca="false">IF(I181=0,0,C181/I181)</f>
        <v>0.39832983639925</v>
      </c>
      <c r="K181" s="11" t="n">
        <f aca="false">IF(I181=0,0,D181/I181)</f>
        <v>0.258066764720234</v>
      </c>
      <c r="L181" s="11" t="n">
        <f aca="false">IF(I181=0,0,E181/I181)</f>
        <v>0.286158414599293</v>
      </c>
      <c r="M181" s="11" t="n">
        <f aca="false">IF(I181=0,0,H181/I181)</f>
        <v>0.0570755407468336</v>
      </c>
      <c r="N181" s="4" t="str">
        <f aca="false">INDEX($C$3:$E$3,MATCH(MAX(C181:E181),C181:E181,0))</f>
        <v>PT-Morena-PES</v>
      </c>
      <c r="O181" s="17" t="n">
        <f aca="false">(MAX(J181:L181)-LARGE(J181:L181,2))*100</f>
        <v>11.2171421799957</v>
      </c>
    </row>
    <row r="182" customFormat="false" ht="15" hidden="false" customHeight="false" outlineLevel="0" collapsed="false">
      <c r="A182" s="4" t="s">
        <v>55</v>
      </c>
      <c r="B182" s="4" t="n">
        <v>1</v>
      </c>
      <c r="C182" s="5" t="n">
        <v>94874</v>
      </c>
      <c r="D182" s="5" t="n">
        <v>58697</v>
      </c>
      <c r="E182" s="5" t="n">
        <v>24744</v>
      </c>
      <c r="F182" s="5" t="n">
        <v>16662</v>
      </c>
      <c r="G182" s="5" t="n">
        <v>198</v>
      </c>
      <c r="H182" s="5" t="n">
        <v>9039</v>
      </c>
      <c r="I182" s="5" t="n">
        <v>204214</v>
      </c>
      <c r="J182" s="11" t="n">
        <f aca="false">IF(I182=0,0,C182/I182)</f>
        <v>0.4645812725866</v>
      </c>
      <c r="K182" s="11" t="n">
        <f aca="false">IF(I182=0,0,D182/I182)</f>
        <v>0.287428873632562</v>
      </c>
      <c r="L182" s="11" t="n">
        <f aca="false">IF(I182=0,0,E182/I182)</f>
        <v>0.121167011076616</v>
      </c>
      <c r="M182" s="11" t="n">
        <f aca="false">IF(I182=0,0,H182/I182)</f>
        <v>0.0442623914129296</v>
      </c>
      <c r="N182" s="4" t="str">
        <f aca="false">INDEX($C$3:$E$3,MATCH(MAX(C182:E182),C182:E182,0))</f>
        <v>PT-Morena-PES</v>
      </c>
      <c r="O182" s="17" t="n">
        <f aca="false">(MAX(J182:L182)-LARGE(J182:L182,2))*100</f>
        <v>17.7152398954038</v>
      </c>
    </row>
    <row r="183" customFormat="false" ht="15" hidden="false" customHeight="false" outlineLevel="0" collapsed="false">
      <c r="A183" s="4" t="s">
        <v>55</v>
      </c>
      <c r="B183" s="4" t="n">
        <v>2</v>
      </c>
      <c r="C183" s="5" t="n">
        <v>92844</v>
      </c>
      <c r="D183" s="5" t="n">
        <v>46932</v>
      </c>
      <c r="E183" s="5" t="n">
        <v>34554</v>
      </c>
      <c r="F183" s="5" t="n">
        <v>0</v>
      </c>
      <c r="G183" s="5" t="n">
        <v>150</v>
      </c>
      <c r="H183" s="5" t="n">
        <v>9896</v>
      </c>
      <c r="I183" s="5" t="n">
        <v>184376</v>
      </c>
      <c r="J183" s="11" t="n">
        <f aca="false">IF(I183=0,0,C183/I183)</f>
        <v>0.503557946804356</v>
      </c>
      <c r="K183" s="11" t="n">
        <f aca="false">IF(I183=0,0,D183/I183)</f>
        <v>0.254545060094589</v>
      </c>
      <c r="L183" s="11" t="n">
        <f aca="false">IF(I183=0,0,E183/I183)</f>
        <v>0.187410508959951</v>
      </c>
      <c r="M183" s="11" t="n">
        <f aca="false">IF(I183=0,0,H183/I183)</f>
        <v>0.0536729292315703</v>
      </c>
      <c r="N183" s="4" t="str">
        <f aca="false">INDEX($C$3:$E$3,MATCH(MAX(C183:E183),C183:E183,0))</f>
        <v>PT-Morena-PES</v>
      </c>
      <c r="O183" s="17" t="n">
        <f aca="false">(MAX(J183:L183)-LARGE(J183:L183,2))*100</f>
        <v>24.9012886709767</v>
      </c>
    </row>
    <row r="184" customFormat="false" ht="15" hidden="false" customHeight="false" outlineLevel="0" collapsed="false">
      <c r="A184" s="4" t="s">
        <v>55</v>
      </c>
      <c r="B184" s="4" t="n">
        <v>3</v>
      </c>
      <c r="C184" s="5" t="n">
        <v>90268</v>
      </c>
      <c r="D184" s="5" t="n">
        <v>42897</v>
      </c>
      <c r="E184" s="5" t="n">
        <v>44436</v>
      </c>
      <c r="F184" s="5" t="n">
        <v>0</v>
      </c>
      <c r="G184" s="5" t="n">
        <v>156</v>
      </c>
      <c r="H184" s="5" t="n">
        <v>10775</v>
      </c>
      <c r="I184" s="5" t="n">
        <v>188532</v>
      </c>
      <c r="J184" s="11" t="n">
        <f aca="false">IF(I184=0,0,C184/I184)</f>
        <v>0.478794050877305</v>
      </c>
      <c r="K184" s="11" t="n">
        <f aca="false">IF(I184=0,0,D184/I184)</f>
        <v>0.227531665711922</v>
      </c>
      <c r="L184" s="11" t="n">
        <f aca="false">IF(I184=0,0,E184/I184)</f>
        <v>0.235694736172109</v>
      </c>
      <c r="M184" s="11" t="n">
        <f aca="false">IF(I184=0,0,H184/I184)</f>
        <v>0.0571521015000106</v>
      </c>
      <c r="N184" s="4" t="str">
        <f aca="false">INDEX($C$3:$E$3,MATCH(MAX(C184:E184),C184:E184,0))</f>
        <v>PT-Morena-PES</v>
      </c>
      <c r="O184" s="17" t="n">
        <f aca="false">(MAX(J184:L184)-LARGE(J184:L184,2))*100</f>
        <v>24.3099314705196</v>
      </c>
    </row>
    <row r="185" customFormat="false" ht="15" hidden="false" customHeight="false" outlineLevel="0" collapsed="false">
      <c r="A185" s="4" t="s">
        <v>55</v>
      </c>
      <c r="B185" s="4" t="n">
        <v>4</v>
      </c>
      <c r="C185" s="5" t="n">
        <v>82875</v>
      </c>
      <c r="D185" s="5" t="n">
        <v>37352</v>
      </c>
      <c r="E185" s="5" t="n">
        <v>27812</v>
      </c>
      <c r="F185" s="5" t="n">
        <v>34941</v>
      </c>
      <c r="G185" s="5" t="n">
        <v>117</v>
      </c>
      <c r="H185" s="5" t="n">
        <v>8491</v>
      </c>
      <c r="I185" s="5" t="n">
        <v>191588</v>
      </c>
      <c r="J185" s="11" t="n">
        <f aca="false">IF(I185=0,0,C185/I185)</f>
        <v>0.432568845647953</v>
      </c>
      <c r="K185" s="11" t="n">
        <f aca="false">IF(I185=0,0,D185/I185)</f>
        <v>0.194960018372758</v>
      </c>
      <c r="L185" s="11" t="n">
        <f aca="false">IF(I185=0,0,E185/I185)</f>
        <v>0.145165667995908</v>
      </c>
      <c r="M185" s="11" t="n">
        <f aca="false">IF(I185=0,0,H185/I185)</f>
        <v>0.0443190596488298</v>
      </c>
      <c r="N185" s="4" t="str">
        <f aca="false">INDEX($C$3:$E$3,MATCH(MAX(C185:E185),C185:E185,0))</f>
        <v>PT-Morena-PES</v>
      </c>
      <c r="O185" s="17" t="n">
        <f aca="false">(MAX(J185:L185)-LARGE(J185:L185,2))*100</f>
        <v>23.7608827275195</v>
      </c>
    </row>
    <row r="186" customFormat="false" ht="15" hidden="false" customHeight="false" outlineLevel="0" collapsed="false">
      <c r="A186" s="4" t="s">
        <v>55</v>
      </c>
      <c r="B186" s="4" t="n">
        <v>5</v>
      </c>
      <c r="C186" s="5" t="n">
        <v>86026</v>
      </c>
      <c r="D186" s="5" t="n">
        <v>49228</v>
      </c>
      <c r="E186" s="5" t="n">
        <v>45708</v>
      </c>
      <c r="F186" s="5" t="n">
        <v>0</v>
      </c>
      <c r="G186" s="5" t="n">
        <v>111</v>
      </c>
      <c r="H186" s="5" t="n">
        <v>12226</v>
      </c>
      <c r="I186" s="5" t="n">
        <v>193299</v>
      </c>
      <c r="J186" s="11" t="n">
        <f aca="false">IF(I186=0,0,C186/I186)</f>
        <v>0.445041102126757</v>
      </c>
      <c r="K186" s="11" t="n">
        <f aca="false">IF(I186=0,0,D186/I186)</f>
        <v>0.254672812585683</v>
      </c>
      <c r="L186" s="11" t="n">
        <f aca="false">IF(I186=0,0,E186/I186)</f>
        <v>0.236462682165971</v>
      </c>
      <c r="M186" s="11" t="n">
        <f aca="false">IF(I186=0,0,H186/I186)</f>
        <v>0.0632491632134672</v>
      </c>
      <c r="N186" s="4" t="str">
        <f aca="false">INDEX($C$3:$E$3,MATCH(MAX(C186:E186),C186:E186,0))</f>
        <v>PT-Morena-PES</v>
      </c>
      <c r="O186" s="17" t="n">
        <f aca="false">(MAX(J186:L186)-LARGE(J186:L186,2))*100</f>
        <v>19.0368289541074</v>
      </c>
    </row>
    <row r="187" customFormat="false" ht="15" hidden="false" customHeight="false" outlineLevel="0" collapsed="false">
      <c r="A187" s="4" t="s">
        <v>56</v>
      </c>
      <c r="B187" s="4" t="n">
        <v>1</v>
      </c>
      <c r="C187" s="5" t="n">
        <v>76532</v>
      </c>
      <c r="D187" s="5" t="n">
        <v>31335</v>
      </c>
      <c r="E187" s="5" t="n">
        <v>33756</v>
      </c>
      <c r="F187" s="5" t="n">
        <v>0</v>
      </c>
      <c r="G187" s="5" t="n">
        <v>28</v>
      </c>
      <c r="H187" s="5" t="n">
        <v>5507</v>
      </c>
      <c r="I187" s="5" t="n">
        <v>147158</v>
      </c>
      <c r="J187" s="11" t="n">
        <f aca="false">IF(I187=0,0,C187/I187)</f>
        <v>0.520066866904959</v>
      </c>
      <c r="K187" s="11" t="n">
        <f aca="false">IF(I187=0,0,D187/I187)</f>
        <v>0.212934397042634</v>
      </c>
      <c r="L187" s="11" t="n">
        <f aca="false">IF(I187=0,0,E187/I187)</f>
        <v>0.229386102012803</v>
      </c>
      <c r="M187" s="11" t="n">
        <f aca="false">IF(I187=0,0,H187/I187)</f>
        <v>0.0374223623588252</v>
      </c>
      <c r="N187" s="4" t="str">
        <f aca="false">INDEX($C$3:$E$3,MATCH(MAX(C187:E187),C187:E187,0))</f>
        <v>PT-Morena-PES</v>
      </c>
      <c r="O187" s="17" t="n">
        <f aca="false">(MAX(J187:L187)-LARGE(J187:L187,2))*100</f>
        <v>29.0680764892157</v>
      </c>
    </row>
    <row r="188" customFormat="false" ht="15" hidden="false" customHeight="false" outlineLevel="0" collapsed="false">
      <c r="A188" s="4" t="s">
        <v>56</v>
      </c>
      <c r="B188" s="4" t="n">
        <v>2</v>
      </c>
      <c r="C188" s="5" t="n">
        <v>99249</v>
      </c>
      <c r="D188" s="5" t="n">
        <v>50514</v>
      </c>
      <c r="E188" s="5" t="n">
        <v>25840</v>
      </c>
      <c r="F188" s="5" t="n">
        <v>0</v>
      </c>
      <c r="G188" s="5" t="n">
        <v>95</v>
      </c>
      <c r="H188" s="5" t="n">
        <v>5525</v>
      </c>
      <c r="I188" s="5" t="n">
        <v>181223</v>
      </c>
      <c r="J188" s="11" t="n">
        <f aca="false">IF(I188=0,0,C188/I188)</f>
        <v>0.547662272448861</v>
      </c>
      <c r="K188" s="11" t="n">
        <f aca="false">IF(I188=0,0,D188/I188)</f>
        <v>0.278739453601364</v>
      </c>
      <c r="L188" s="11" t="n">
        <f aca="false">IF(I188=0,0,E188/I188)</f>
        <v>0.1425867577515</v>
      </c>
      <c r="M188" s="11" t="n">
        <f aca="false">IF(I188=0,0,H188/I188)</f>
        <v>0.0304873001771298</v>
      </c>
      <c r="N188" s="4" t="str">
        <f aca="false">INDEX($C$3:$E$3,MATCH(MAX(C188:E188),C188:E188,0))</f>
        <v>PT-Morena-PES</v>
      </c>
      <c r="O188" s="17" t="n">
        <f aca="false">(MAX(J188:L188)-LARGE(J188:L188,2))*100</f>
        <v>26.8922818847497</v>
      </c>
    </row>
    <row r="189" customFormat="false" ht="15" hidden="false" customHeight="false" outlineLevel="0" collapsed="false">
      <c r="A189" s="4" t="s">
        <v>56</v>
      </c>
      <c r="B189" s="4" t="n">
        <v>3</v>
      </c>
      <c r="C189" s="5" t="n">
        <v>79027</v>
      </c>
      <c r="D189" s="5" t="n">
        <v>42447</v>
      </c>
      <c r="E189" s="5" t="n">
        <v>24593</v>
      </c>
      <c r="F189" s="5" t="n">
        <v>0</v>
      </c>
      <c r="G189" s="5" t="n">
        <v>49</v>
      </c>
      <c r="H189" s="5" t="n">
        <v>7815</v>
      </c>
      <c r="I189" s="5" t="n">
        <v>153931</v>
      </c>
      <c r="J189" s="11" t="n">
        <f aca="false">IF(I189=0,0,C189/I189)</f>
        <v>0.513392364111193</v>
      </c>
      <c r="K189" s="11" t="n">
        <f aca="false">IF(I189=0,0,D189/I189)</f>
        <v>0.275753421987774</v>
      </c>
      <c r="L189" s="11" t="n">
        <f aca="false">IF(I189=0,0,E189/I189)</f>
        <v>0.159766388836557</v>
      </c>
      <c r="M189" s="11" t="n">
        <f aca="false">IF(I189=0,0,H189/I189)</f>
        <v>0.0507695006204078</v>
      </c>
      <c r="N189" s="4" t="str">
        <f aca="false">INDEX($C$3:$E$3,MATCH(MAX(C189:E189),C189:E189,0))</f>
        <v>PT-Morena-PES</v>
      </c>
      <c r="O189" s="17" t="n">
        <f aca="false">(MAX(J189:L189)-LARGE(J189:L189,2))*100</f>
        <v>23.7638942123419</v>
      </c>
    </row>
    <row r="190" customFormat="false" ht="15" hidden="false" customHeight="false" outlineLevel="0" collapsed="false">
      <c r="A190" s="4" t="s">
        <v>57</v>
      </c>
      <c r="B190" s="4" t="n">
        <v>1</v>
      </c>
      <c r="C190" s="5" t="n">
        <v>36663</v>
      </c>
      <c r="D190" s="5" t="n">
        <v>110903</v>
      </c>
      <c r="E190" s="5" t="n">
        <v>33809</v>
      </c>
      <c r="F190" s="5" t="n">
        <v>0</v>
      </c>
      <c r="G190" s="5" t="n">
        <v>245</v>
      </c>
      <c r="H190" s="5" t="n">
        <v>6235</v>
      </c>
      <c r="I190" s="5" t="n">
        <v>187855</v>
      </c>
      <c r="J190" s="11" t="n">
        <f aca="false">IF(I190=0,0,C190/I190)</f>
        <v>0.1951664847888</v>
      </c>
      <c r="K190" s="11" t="n">
        <f aca="false">IF(I190=0,0,D190/I190)</f>
        <v>0.590364909105427</v>
      </c>
      <c r="L190" s="11" t="n">
        <f aca="false">IF(I190=0,0,E190/I190)</f>
        <v>0.179973916052274</v>
      </c>
      <c r="M190" s="11" t="n">
        <f aca="false">IF(I190=0,0,H190/I190)</f>
        <v>0.0331904926672167</v>
      </c>
      <c r="N190" s="4" t="str">
        <f aca="false">INDEX($C$3:$E$3,MATCH(MAX(C190:E190),C190:E190,0))</f>
        <v>PAN-PRD-MC</v>
      </c>
      <c r="O190" s="17" t="n">
        <f aca="false">(MAX(J190:L190)-LARGE(J190:L190,2))*100</f>
        <v>39.5198424316627</v>
      </c>
    </row>
    <row r="191" customFormat="false" ht="15" hidden="false" customHeight="false" outlineLevel="0" collapsed="false">
      <c r="A191" s="4" t="s">
        <v>57</v>
      </c>
      <c r="B191" s="4" t="n">
        <v>2</v>
      </c>
      <c r="C191" s="5" t="n">
        <v>53628</v>
      </c>
      <c r="D191" s="5" t="n">
        <v>67840</v>
      </c>
      <c r="E191" s="5" t="n">
        <v>51723</v>
      </c>
      <c r="F191" s="5" t="n">
        <v>0</v>
      </c>
      <c r="G191" s="5" t="n">
        <v>132</v>
      </c>
      <c r="H191" s="5" t="n">
        <v>4779</v>
      </c>
      <c r="I191" s="5" t="n">
        <v>178102</v>
      </c>
      <c r="J191" s="11" t="n">
        <f aca="false">IF(I191=0,0,C191/I191)</f>
        <v>0.301108353640049</v>
      </c>
      <c r="K191" s="11" t="n">
        <f aca="false">IF(I191=0,0,D191/I191)</f>
        <v>0.380905323915509</v>
      </c>
      <c r="L191" s="11" t="n">
        <f aca="false">IF(I191=0,0,E191/I191)</f>
        <v>0.290412235685169</v>
      </c>
      <c r="M191" s="11" t="n">
        <f aca="false">IF(I191=0,0,H191/I191)</f>
        <v>0.026832938428541</v>
      </c>
      <c r="N191" s="4" t="str">
        <f aca="false">INDEX($C$3:$E$3,MATCH(MAX(C191:E191),C191:E191,0))</f>
        <v>PAN-PRD-MC</v>
      </c>
      <c r="O191" s="17" t="n">
        <f aca="false">(MAX(J191:L191)-LARGE(J191:L191,2))*100</f>
        <v>7.97969702754601</v>
      </c>
    </row>
    <row r="192" customFormat="false" ht="15" hidden="false" customHeight="false" outlineLevel="0" collapsed="false">
      <c r="A192" s="4" t="s">
        <v>57</v>
      </c>
      <c r="B192" s="4" t="n">
        <v>3</v>
      </c>
      <c r="C192" s="5" t="n">
        <v>38833</v>
      </c>
      <c r="D192" s="5" t="n">
        <v>45891</v>
      </c>
      <c r="E192" s="5" t="n">
        <v>41681</v>
      </c>
      <c r="F192" s="5" t="n">
        <v>10504</v>
      </c>
      <c r="G192" s="5" t="n">
        <v>58</v>
      </c>
      <c r="H192" s="5" t="n">
        <v>3996</v>
      </c>
      <c r="I192" s="5" t="n">
        <v>140963</v>
      </c>
      <c r="J192" s="11" t="n">
        <f aca="false">IF(I192=0,0,C192/I192)</f>
        <v>0.275483637550279</v>
      </c>
      <c r="K192" s="11" t="n">
        <f aca="false">IF(I192=0,0,D192/I192)</f>
        <v>0.325553514042692</v>
      </c>
      <c r="L192" s="11" t="n">
        <f aca="false">IF(I192=0,0,E192/I192)</f>
        <v>0.295687520838802</v>
      </c>
      <c r="M192" s="11" t="n">
        <f aca="false">IF(I192=0,0,H192/I192)</f>
        <v>0.0283478643331938</v>
      </c>
      <c r="N192" s="4" t="str">
        <f aca="false">INDEX($C$3:$E$3,MATCH(MAX(C192:E192),C192:E192,0))</f>
        <v>PAN-PRD-MC</v>
      </c>
      <c r="O192" s="17" t="n">
        <f aca="false">(MAX(J192:L192)-LARGE(J192:L192,2))*100</f>
        <v>2.98659932038904</v>
      </c>
    </row>
    <row r="193" customFormat="false" ht="15" hidden="false" customHeight="false" outlineLevel="0" collapsed="false">
      <c r="A193" s="4" t="s">
        <v>57</v>
      </c>
      <c r="B193" s="4" t="n">
        <v>4</v>
      </c>
      <c r="C193" s="5" t="n">
        <v>50630</v>
      </c>
      <c r="D193" s="5" t="n">
        <v>119094</v>
      </c>
      <c r="E193" s="5" t="n">
        <v>31935</v>
      </c>
      <c r="F193" s="5" t="n">
        <v>16163</v>
      </c>
      <c r="G193" s="5" t="n">
        <v>253</v>
      </c>
      <c r="H193" s="5" t="n">
        <v>5410</v>
      </c>
      <c r="I193" s="5" t="n">
        <v>223485</v>
      </c>
      <c r="J193" s="11" t="n">
        <f aca="false">IF(I193=0,0,C193/I193)</f>
        <v>0.226547643018547</v>
      </c>
      <c r="K193" s="11" t="n">
        <f aca="false">IF(I193=0,0,D193/I193)</f>
        <v>0.532894825156051</v>
      </c>
      <c r="L193" s="11" t="n">
        <f aca="false">IF(I193=0,0,E193/I193)</f>
        <v>0.142895496342036</v>
      </c>
      <c r="M193" s="11" t="n">
        <f aca="false">IF(I193=0,0,H193/I193)</f>
        <v>0.0242074412152941</v>
      </c>
      <c r="N193" s="4" t="str">
        <f aca="false">INDEX($C$3:$E$3,MATCH(MAX(C193:E193),C193:E193,0))</f>
        <v>PAN-PRD-MC</v>
      </c>
      <c r="O193" s="17" t="n">
        <f aca="false">(MAX(J193:L193)-LARGE(J193:L193,2))*100</f>
        <v>30.6347182137504</v>
      </c>
    </row>
    <row r="194" customFormat="false" ht="15" hidden="false" customHeight="false" outlineLevel="0" collapsed="false">
      <c r="A194" s="4" t="s">
        <v>57</v>
      </c>
      <c r="B194" s="4" t="n">
        <v>5</v>
      </c>
      <c r="C194" s="5" t="n">
        <v>39008</v>
      </c>
      <c r="D194" s="5" t="n">
        <v>27124</v>
      </c>
      <c r="E194" s="5" t="n">
        <v>42537</v>
      </c>
      <c r="F194" s="5" t="n">
        <v>6503</v>
      </c>
      <c r="G194" s="5" t="n">
        <v>26</v>
      </c>
      <c r="H194" s="5" t="n">
        <v>4531</v>
      </c>
      <c r="I194" s="5" t="n">
        <v>119729</v>
      </c>
      <c r="J194" s="11" t="n">
        <f aca="false">IF(I194=0,0,C194/I194)</f>
        <v>0.32580243717061</v>
      </c>
      <c r="K194" s="11" t="n">
        <f aca="false">IF(I194=0,0,D194/I194)</f>
        <v>0.226544947339408</v>
      </c>
      <c r="L194" s="11" t="n">
        <f aca="false">IF(I194=0,0,E194/I194)</f>
        <v>0.355277334647412</v>
      </c>
      <c r="M194" s="11" t="n">
        <f aca="false">IF(I194=0,0,H194/I194)</f>
        <v>0.0378437972421051</v>
      </c>
      <c r="N194" s="4" t="str">
        <f aca="false">INDEX($C$3:$E$3,MATCH(MAX(C194:E194),C194:E194,0))</f>
        <v>PRI-PVEM-NA</v>
      </c>
      <c r="O194" s="17" t="n">
        <f aca="false">(MAX(J194:L194)-LARGE(J194:L194,2))*100</f>
        <v>2.94748974768018</v>
      </c>
    </row>
    <row r="195" customFormat="false" ht="15" hidden="false" customHeight="false" outlineLevel="0" collapsed="false">
      <c r="A195" s="4" t="s">
        <v>57</v>
      </c>
      <c r="B195" s="4" t="n">
        <v>6</v>
      </c>
      <c r="C195" s="5" t="n">
        <v>51693</v>
      </c>
      <c r="D195" s="5" t="n">
        <v>119640</v>
      </c>
      <c r="E195" s="5" t="n">
        <v>46878</v>
      </c>
      <c r="F195" s="5" t="n">
        <v>0</v>
      </c>
      <c r="G195" s="5" t="n">
        <v>240</v>
      </c>
      <c r="H195" s="5" t="n">
        <v>6851</v>
      </c>
      <c r="I195" s="5" t="n">
        <v>225302</v>
      </c>
      <c r="J195" s="11" t="n">
        <f aca="false">IF(I195=0,0,C195/I195)</f>
        <v>0.229438708932899</v>
      </c>
      <c r="K195" s="11" t="n">
        <f aca="false">IF(I195=0,0,D195/I195)</f>
        <v>0.531020585702746</v>
      </c>
      <c r="L195" s="11" t="n">
        <f aca="false">IF(I195=0,0,E195/I195)</f>
        <v>0.208067393986738</v>
      </c>
      <c r="M195" s="11" t="n">
        <f aca="false">IF(I195=0,0,H195/I195)</f>
        <v>0.030408074495566</v>
      </c>
      <c r="N195" s="4" t="str">
        <f aca="false">INDEX($C$3:$E$3,MATCH(MAX(C195:E195),C195:E195,0))</f>
        <v>PAN-PRD-MC</v>
      </c>
      <c r="O195" s="17" t="n">
        <f aca="false">(MAX(J195:L195)-LARGE(J195:L195,2))*100</f>
        <v>30.1581876769847</v>
      </c>
    </row>
    <row r="196" customFormat="false" ht="15" hidden="false" customHeight="false" outlineLevel="0" collapsed="false">
      <c r="A196" s="4" t="s">
        <v>57</v>
      </c>
      <c r="B196" s="4" t="n">
        <v>7</v>
      </c>
      <c r="C196" s="5" t="n">
        <v>50059</v>
      </c>
      <c r="D196" s="5" t="n">
        <v>56389</v>
      </c>
      <c r="E196" s="5" t="n">
        <v>52100</v>
      </c>
      <c r="F196" s="5" t="n">
        <v>21008</v>
      </c>
      <c r="G196" s="5" t="n">
        <v>233</v>
      </c>
      <c r="H196" s="5" t="n">
        <v>6408</v>
      </c>
      <c r="I196" s="5" t="n">
        <v>186197</v>
      </c>
      <c r="J196" s="11" t="n">
        <f aca="false">IF(I196=0,0,C196/I196)</f>
        <v>0.268849659231889</v>
      </c>
      <c r="K196" s="11" t="n">
        <f aca="false">IF(I196=0,0,D196/I196)</f>
        <v>0.302845910514133</v>
      </c>
      <c r="L196" s="11" t="n">
        <f aca="false">IF(I196=0,0,E196/I196)</f>
        <v>0.279811167741693</v>
      </c>
      <c r="M196" s="11" t="n">
        <f aca="false">IF(I196=0,0,H196/I196)</f>
        <v>0.034415162435485</v>
      </c>
      <c r="N196" s="4" t="str">
        <f aca="false">INDEX($C$3:$E$3,MATCH(MAX(C196:E196),C196:E196,0))</f>
        <v>PAN-PRD-MC</v>
      </c>
      <c r="O196" s="17" t="n">
        <f aca="false">(MAX(J196:L196)-LARGE(J196:L196,2))*100</f>
        <v>2.30347427724399</v>
      </c>
    </row>
    <row r="197" customFormat="false" ht="15" hidden="false" customHeight="false" outlineLevel="0" collapsed="false">
      <c r="A197" s="4" t="s">
        <v>57</v>
      </c>
      <c r="B197" s="4" t="n">
        <v>8</v>
      </c>
      <c r="C197" s="5" t="n">
        <v>45184</v>
      </c>
      <c r="D197" s="5" t="n">
        <v>49034</v>
      </c>
      <c r="E197" s="5" t="n">
        <v>41083</v>
      </c>
      <c r="F197" s="5" t="n">
        <v>20474</v>
      </c>
      <c r="G197" s="5" t="n">
        <v>87</v>
      </c>
      <c r="H197" s="5" t="n">
        <v>4369</v>
      </c>
      <c r="I197" s="5" t="n">
        <v>160231</v>
      </c>
      <c r="J197" s="11" t="n">
        <f aca="false">IF(I197=0,0,C197/I197)</f>
        <v>0.28199287278991</v>
      </c>
      <c r="K197" s="11" t="n">
        <f aca="false">IF(I197=0,0,D197/I197)</f>
        <v>0.306020682639439</v>
      </c>
      <c r="L197" s="11" t="n">
        <f aca="false">IF(I197=0,0,E197/I197)</f>
        <v>0.256398574557982</v>
      </c>
      <c r="M197" s="11" t="n">
        <f aca="false">IF(I197=0,0,H197/I197)</f>
        <v>0.0272668834370378</v>
      </c>
      <c r="N197" s="4" t="str">
        <f aca="false">INDEX($C$3:$E$3,MATCH(MAX(C197:E197),C197:E197,0))</f>
        <v>PAN-PRD-MC</v>
      </c>
      <c r="O197" s="17" t="n">
        <f aca="false">(MAX(J197:L197)-LARGE(J197:L197,2))*100</f>
        <v>2.40278098495297</v>
      </c>
    </row>
    <row r="198" customFormat="false" ht="15" hidden="false" customHeight="false" outlineLevel="0" collapsed="false">
      <c r="A198" s="4" t="s">
        <v>57</v>
      </c>
      <c r="B198" s="4" t="n">
        <v>9</v>
      </c>
      <c r="C198" s="5" t="n">
        <v>37902</v>
      </c>
      <c r="D198" s="5" t="n">
        <v>60743</v>
      </c>
      <c r="E198" s="5" t="n">
        <v>79683</v>
      </c>
      <c r="F198" s="5" t="n">
        <v>14889</v>
      </c>
      <c r="G198" s="5" t="n">
        <v>71</v>
      </c>
      <c r="H198" s="5" t="n">
        <v>9250</v>
      </c>
      <c r="I198" s="5" t="n">
        <v>202538</v>
      </c>
      <c r="J198" s="11" t="n">
        <f aca="false">IF(I198=0,0,C198/I198)</f>
        <v>0.187135253631417</v>
      </c>
      <c r="K198" s="11" t="n">
        <f aca="false">IF(I198=0,0,D198/I198)</f>
        <v>0.299909152850329</v>
      </c>
      <c r="L198" s="11" t="n">
        <f aca="false">IF(I198=0,0,E198/I198)</f>
        <v>0.393422468870039</v>
      </c>
      <c r="M198" s="11" t="n">
        <f aca="false">IF(I198=0,0,H198/I198)</f>
        <v>0.0456704420898794</v>
      </c>
      <c r="N198" s="4" t="str">
        <f aca="false">INDEX($C$3:$E$3,MATCH(MAX(C198:E198),C198:E198,0))</f>
        <v>PRI-PVEM-NA</v>
      </c>
      <c r="O198" s="17" t="n">
        <f aca="false">(MAX(J198:L198)-LARGE(J198:L198,2))*100</f>
        <v>9.35133160197099</v>
      </c>
    </row>
    <row r="199" customFormat="false" ht="15" hidden="false" customHeight="false" outlineLevel="0" collapsed="false">
      <c r="A199" s="4" t="s">
        <v>57</v>
      </c>
      <c r="B199" s="4" t="n">
        <v>10</v>
      </c>
      <c r="C199" s="5" t="n">
        <v>39053</v>
      </c>
      <c r="D199" s="5" t="n">
        <v>93477</v>
      </c>
      <c r="E199" s="5" t="n">
        <v>43646</v>
      </c>
      <c r="F199" s="5" t="n">
        <v>10696</v>
      </c>
      <c r="G199" s="5" t="n">
        <v>150</v>
      </c>
      <c r="H199" s="5" t="n">
        <v>6302</v>
      </c>
      <c r="I199" s="5" t="n">
        <v>193324</v>
      </c>
      <c r="J199" s="11" t="n">
        <f aca="false">IF(I199=0,0,C199/I199)</f>
        <v>0.202008027973764</v>
      </c>
      <c r="K199" s="11" t="n">
        <f aca="false">IF(I199=0,0,D199/I199)</f>
        <v>0.483525066727359</v>
      </c>
      <c r="L199" s="11" t="n">
        <f aca="false">IF(I199=0,0,E199/I199)</f>
        <v>0.225766071465519</v>
      </c>
      <c r="M199" s="11" t="n">
        <f aca="false">IF(I199=0,0,H199/I199)</f>
        <v>0.0325981254267447</v>
      </c>
      <c r="N199" s="4" t="str">
        <f aca="false">INDEX($C$3:$E$3,MATCH(MAX(C199:E199),C199:E199,0))</f>
        <v>PAN-PRD-MC</v>
      </c>
      <c r="O199" s="17" t="n">
        <f aca="false">(MAX(J199:L199)-LARGE(J199:L199,2))*100</f>
        <v>25.775899526184</v>
      </c>
    </row>
    <row r="200" customFormat="false" ht="15" hidden="false" customHeight="false" outlineLevel="0" collapsed="false">
      <c r="A200" s="4" t="s">
        <v>57</v>
      </c>
      <c r="B200" s="4" t="n">
        <v>11</v>
      </c>
      <c r="C200" s="5" t="n">
        <v>46151</v>
      </c>
      <c r="D200" s="5" t="n">
        <v>78262</v>
      </c>
      <c r="E200" s="5" t="n">
        <v>48897</v>
      </c>
      <c r="F200" s="5" t="n">
        <v>15545</v>
      </c>
      <c r="G200" s="5" t="n">
        <v>59</v>
      </c>
      <c r="H200" s="5" t="n">
        <v>5986</v>
      </c>
      <c r="I200" s="5" t="n">
        <v>194900</v>
      </c>
      <c r="J200" s="11" t="n">
        <f aca="false">IF(I200=0,0,C200/I200)</f>
        <v>0.236793227296049</v>
      </c>
      <c r="K200" s="11" t="n">
        <f aca="false">IF(I200=0,0,D200/I200)</f>
        <v>0.401549512570549</v>
      </c>
      <c r="L200" s="11" t="n">
        <f aca="false">IF(I200=0,0,E200/I200)</f>
        <v>0.250882503848127</v>
      </c>
      <c r="M200" s="11" t="n">
        <f aca="false">IF(I200=0,0,H200/I200)</f>
        <v>0.0307131862493586</v>
      </c>
      <c r="N200" s="4" t="str">
        <f aca="false">INDEX($C$3:$E$3,MATCH(MAX(C200:E200),C200:E200,0))</f>
        <v>PAN-PRD-MC</v>
      </c>
      <c r="O200" s="17" t="n">
        <f aca="false">(MAX(J200:L200)-LARGE(J200:L200,2))*100</f>
        <v>15.0667008722422</v>
      </c>
    </row>
    <row r="201" customFormat="false" ht="15" hidden="false" customHeight="false" outlineLevel="0" collapsed="false">
      <c r="A201" s="4" t="s">
        <v>57</v>
      </c>
      <c r="B201" s="4" t="n">
        <v>12</v>
      </c>
      <c r="C201" s="5" t="n">
        <v>48692</v>
      </c>
      <c r="D201" s="5" t="n">
        <v>33726</v>
      </c>
      <c r="E201" s="5" t="n">
        <v>53131</v>
      </c>
      <c r="F201" s="5" t="n">
        <v>15694</v>
      </c>
      <c r="G201" s="5" t="n">
        <v>275</v>
      </c>
      <c r="H201" s="5" t="n">
        <v>5099</v>
      </c>
      <c r="I201" s="5" t="n">
        <v>156617</v>
      </c>
      <c r="J201" s="11" t="n">
        <f aca="false">IF(I201=0,0,C201/I201)</f>
        <v>0.310898561458846</v>
      </c>
      <c r="K201" s="11" t="n">
        <f aca="false">IF(I201=0,0,D201/I201)</f>
        <v>0.215340607979977</v>
      </c>
      <c r="L201" s="11" t="n">
        <f aca="false">IF(I201=0,0,E201/I201)</f>
        <v>0.339241589354923</v>
      </c>
      <c r="M201" s="11" t="n">
        <f aca="false">IF(I201=0,0,H201/I201)</f>
        <v>0.0325571298134941</v>
      </c>
      <c r="N201" s="4" t="str">
        <f aca="false">INDEX($C$3:$E$3,MATCH(MAX(C201:E201),C201:E201,0))</f>
        <v>PRI-PVEM-NA</v>
      </c>
      <c r="O201" s="17" t="n">
        <f aca="false">(MAX(J201:L201)-LARGE(J201:L201,2))*100</f>
        <v>2.83430278960777</v>
      </c>
    </row>
    <row r="202" customFormat="false" ht="15" hidden="false" customHeight="false" outlineLevel="0" collapsed="false">
      <c r="A202" s="4" t="s">
        <v>58</v>
      </c>
      <c r="B202" s="4" t="n">
        <v>1</v>
      </c>
      <c r="C202" s="5" t="n">
        <v>100005</v>
      </c>
      <c r="D202" s="5" t="n">
        <v>32055</v>
      </c>
      <c r="E202" s="5" t="n">
        <v>62803</v>
      </c>
      <c r="F202" s="5" t="n">
        <v>0</v>
      </c>
      <c r="G202" s="5" t="n">
        <v>19</v>
      </c>
      <c r="H202" s="5" t="n">
        <v>7649</v>
      </c>
      <c r="I202" s="5" t="n">
        <v>202531</v>
      </c>
      <c r="J202" s="11" t="n">
        <f aca="false">IF(I202=0,0,C202/I202)</f>
        <v>0.493776261411833</v>
      </c>
      <c r="K202" s="11" t="n">
        <f aca="false">IF(I202=0,0,D202/I202)</f>
        <v>0.158272066992214</v>
      </c>
      <c r="L202" s="11" t="n">
        <f aca="false">IF(I202=0,0,E202/I202)</f>
        <v>0.310090800914428</v>
      </c>
      <c r="M202" s="11" t="n">
        <f aca="false">IF(I202=0,0,H202/I202)</f>
        <v>0.037767057882497</v>
      </c>
      <c r="N202" s="4" t="str">
        <f aca="false">INDEX($C$3:$E$3,MATCH(MAX(C202:E202),C202:E202,0))</f>
        <v>PT-Morena-PES</v>
      </c>
      <c r="O202" s="17" t="n">
        <f aca="false">(MAX(J202:L202)-LARGE(J202:L202,2))*100</f>
        <v>18.3685460497405</v>
      </c>
    </row>
    <row r="203" customFormat="false" ht="15" hidden="false" customHeight="false" outlineLevel="0" collapsed="false">
      <c r="A203" s="4" t="s">
        <v>58</v>
      </c>
      <c r="B203" s="4" t="n">
        <v>2</v>
      </c>
      <c r="C203" s="5" t="n">
        <v>101872</v>
      </c>
      <c r="D203" s="5" t="n">
        <v>26659</v>
      </c>
      <c r="E203" s="5" t="n">
        <v>56492</v>
      </c>
      <c r="F203" s="5" t="n">
        <v>0</v>
      </c>
      <c r="G203" s="5" t="n">
        <v>37</v>
      </c>
      <c r="H203" s="5" t="n">
        <v>10102</v>
      </c>
      <c r="I203" s="5" t="n">
        <v>195162</v>
      </c>
      <c r="J203" s="11" t="n">
        <f aca="false">IF(I203=0,0,C203/I203)</f>
        <v>0.521986862196534</v>
      </c>
      <c r="K203" s="11" t="n">
        <f aca="false">IF(I203=0,0,D203/I203)</f>
        <v>0.136599337985878</v>
      </c>
      <c r="L203" s="11" t="n">
        <f aca="false">IF(I203=0,0,E203/I203)</f>
        <v>0.289462087906457</v>
      </c>
      <c r="M203" s="11" t="n">
        <f aca="false">IF(I203=0,0,H203/I203)</f>
        <v>0.0517621258236747</v>
      </c>
      <c r="N203" s="4" t="str">
        <f aca="false">INDEX($C$3:$E$3,MATCH(MAX(C203:E203),C203:E203,0))</f>
        <v>PT-Morena-PES</v>
      </c>
      <c r="O203" s="17" t="n">
        <f aca="false">(MAX(J203:L203)-LARGE(J203:L203,2))*100</f>
        <v>23.2524774290077</v>
      </c>
    </row>
    <row r="204" customFormat="false" ht="15" hidden="false" customHeight="false" outlineLevel="0" collapsed="false">
      <c r="A204" s="4" t="s">
        <v>58</v>
      </c>
      <c r="B204" s="4" t="n">
        <v>3</v>
      </c>
      <c r="C204" s="5" t="n">
        <v>107036</v>
      </c>
      <c r="D204" s="5" t="n">
        <v>31688</v>
      </c>
      <c r="E204" s="5" t="n">
        <v>39397</v>
      </c>
      <c r="F204" s="5" t="n">
        <v>0</v>
      </c>
      <c r="G204" s="5" t="n">
        <v>76</v>
      </c>
      <c r="H204" s="5" t="n">
        <v>7988</v>
      </c>
      <c r="I204" s="5" t="n">
        <v>186185</v>
      </c>
      <c r="J204" s="11" t="n">
        <f aca="false">IF(I204=0,0,C204/I204)</f>
        <v>0.574890565835057</v>
      </c>
      <c r="K204" s="11" t="n">
        <f aca="false">IF(I204=0,0,D204/I204)</f>
        <v>0.170196310121653</v>
      </c>
      <c r="L204" s="11" t="n">
        <f aca="false">IF(I204=0,0,E204/I204)</f>
        <v>0.211601364234498</v>
      </c>
      <c r="M204" s="11" t="n">
        <f aca="false">IF(I204=0,0,H204/I204)</f>
        <v>0.0429035636598007</v>
      </c>
      <c r="N204" s="4" t="str">
        <f aca="false">INDEX($C$3:$E$3,MATCH(MAX(C204:E204),C204:E204,0))</f>
        <v>PT-Morena-PES</v>
      </c>
      <c r="O204" s="17" t="n">
        <f aca="false">(MAX(J204:L204)-LARGE(J204:L204,2))*100</f>
        <v>36.3289201600559</v>
      </c>
    </row>
    <row r="205" customFormat="false" ht="15" hidden="false" customHeight="false" outlineLevel="0" collapsed="false">
      <c r="A205" s="4" t="s">
        <v>58</v>
      </c>
      <c r="B205" s="4" t="n">
        <v>4</v>
      </c>
      <c r="C205" s="5" t="n">
        <v>112482</v>
      </c>
      <c r="D205" s="5" t="n">
        <v>25788</v>
      </c>
      <c r="E205" s="5" t="n">
        <v>37649</v>
      </c>
      <c r="F205" s="5" t="n">
        <v>0</v>
      </c>
      <c r="G205" s="5" t="n">
        <v>93</v>
      </c>
      <c r="H205" s="5" t="n">
        <v>8401</v>
      </c>
      <c r="I205" s="5" t="n">
        <v>184413</v>
      </c>
      <c r="J205" s="11" t="n">
        <f aca="false">IF(I205=0,0,C205/I205)</f>
        <v>0.609946153470742</v>
      </c>
      <c r="K205" s="11" t="n">
        <f aca="false">IF(I205=0,0,D205/I205)</f>
        <v>0.139838297733891</v>
      </c>
      <c r="L205" s="11" t="n">
        <f aca="false">IF(I205=0,0,E205/I205)</f>
        <v>0.204155889226898</v>
      </c>
      <c r="M205" s="11" t="n">
        <f aca="false">IF(I205=0,0,H205/I205)</f>
        <v>0.0455553567264781</v>
      </c>
      <c r="N205" s="4" t="str">
        <f aca="false">INDEX($C$3:$E$3,MATCH(MAX(C205:E205),C205:E205,0))</f>
        <v>PT-Morena-PES</v>
      </c>
      <c r="O205" s="17" t="n">
        <f aca="false">(MAX(J205:L205)-LARGE(J205:L205,2))*100</f>
        <v>40.5790264243844</v>
      </c>
    </row>
    <row r="206" customFormat="false" ht="15" hidden="false" customHeight="false" outlineLevel="0" collapsed="false">
      <c r="A206" s="4" t="s">
        <v>58</v>
      </c>
      <c r="B206" s="4" t="n">
        <v>5</v>
      </c>
      <c r="C206" s="5" t="n">
        <v>119380</v>
      </c>
      <c r="D206" s="5" t="n">
        <v>19058</v>
      </c>
      <c r="E206" s="5" t="n">
        <v>35427</v>
      </c>
      <c r="F206" s="5" t="n">
        <v>0</v>
      </c>
      <c r="G206" s="5" t="n">
        <v>35</v>
      </c>
      <c r="H206" s="5" t="n">
        <v>7263</v>
      </c>
      <c r="I206" s="5" t="n">
        <v>181163</v>
      </c>
      <c r="J206" s="11" t="n">
        <f aca="false">IF(I206=0,0,C206/I206)</f>
        <v>0.658964578859922</v>
      </c>
      <c r="K206" s="11" t="n">
        <f aca="false">IF(I206=0,0,D206/I206)</f>
        <v>0.105198081285914</v>
      </c>
      <c r="L206" s="11" t="n">
        <f aca="false">IF(I206=0,0,E206/I206)</f>
        <v>0.195553175869245</v>
      </c>
      <c r="M206" s="11" t="n">
        <f aca="false">IF(I206=0,0,H206/I206)</f>
        <v>0.0400909678024762</v>
      </c>
      <c r="N206" s="4" t="str">
        <f aca="false">INDEX($C$3:$E$3,MATCH(MAX(C206:E206),C206:E206,0))</f>
        <v>PT-Morena-PES</v>
      </c>
      <c r="O206" s="17" t="n">
        <f aca="false">(MAX(J206:L206)-LARGE(J206:L206,2))*100</f>
        <v>46.3411402990677</v>
      </c>
    </row>
    <row r="207" customFormat="false" ht="15" hidden="false" customHeight="false" outlineLevel="0" collapsed="false">
      <c r="A207" s="4" t="s">
        <v>58</v>
      </c>
      <c r="B207" s="4" t="n">
        <v>6</v>
      </c>
      <c r="C207" s="5" t="n">
        <v>87716</v>
      </c>
      <c r="D207" s="5" t="n">
        <v>35946</v>
      </c>
      <c r="E207" s="5" t="n">
        <v>33092</v>
      </c>
      <c r="F207" s="5" t="n">
        <v>5218</v>
      </c>
      <c r="G207" s="5" t="n">
        <v>91</v>
      </c>
      <c r="H207" s="5" t="n">
        <v>9110</v>
      </c>
      <c r="I207" s="5" t="n">
        <v>171173</v>
      </c>
      <c r="J207" s="11" t="n">
        <f aca="false">IF(I207=0,0,C207/I207)</f>
        <v>0.512440630239582</v>
      </c>
      <c r="K207" s="11" t="n">
        <f aca="false">IF(I207=0,0,D207/I207)</f>
        <v>0.209998072125861</v>
      </c>
      <c r="L207" s="11" t="n">
        <f aca="false">IF(I207=0,0,E207/I207)</f>
        <v>0.193324881844683</v>
      </c>
      <c r="M207" s="11" t="n">
        <f aca="false">IF(I207=0,0,H207/I207)</f>
        <v>0.0532210103228897</v>
      </c>
      <c r="N207" s="4" t="str">
        <f aca="false">INDEX($C$3:$E$3,MATCH(MAX(C207:E207),C207:E207,0))</f>
        <v>PT-Morena-PES</v>
      </c>
      <c r="O207" s="17" t="n">
        <f aca="false">(MAX(J207:L207)-LARGE(J207:L207,2))*100</f>
        <v>30.2442558113721</v>
      </c>
    </row>
    <row r="208" customFormat="false" ht="15" hidden="false" customHeight="false" outlineLevel="0" collapsed="false">
      <c r="A208" s="4" t="s">
        <v>58</v>
      </c>
      <c r="B208" s="4" t="n">
        <v>7</v>
      </c>
      <c r="C208" s="5" t="n">
        <v>102943</v>
      </c>
      <c r="D208" s="5" t="n">
        <v>29176</v>
      </c>
      <c r="E208" s="5" t="n">
        <v>62084</v>
      </c>
      <c r="F208" s="5" t="n">
        <v>0</v>
      </c>
      <c r="G208" s="5" t="n">
        <v>48</v>
      </c>
      <c r="H208" s="5" t="n">
        <v>9526</v>
      </c>
      <c r="I208" s="5" t="n">
        <v>203777</v>
      </c>
      <c r="J208" s="11" t="n">
        <f aca="false">IF(I208=0,0,C208/I208)</f>
        <v>0.505174774385726</v>
      </c>
      <c r="K208" s="11" t="n">
        <f aca="false">IF(I208=0,0,D208/I208)</f>
        <v>0.143176118992821</v>
      </c>
      <c r="L208" s="11" t="n">
        <f aca="false">IF(I208=0,0,E208/I208)</f>
        <v>0.304666375498707</v>
      </c>
      <c r="M208" s="11" t="n">
        <f aca="false">IF(I208=0,0,H208/I208)</f>
        <v>0.0467471795148618</v>
      </c>
      <c r="N208" s="4" t="str">
        <f aca="false">INDEX($C$3:$E$3,MATCH(MAX(C208:E208),C208:E208,0))</f>
        <v>PT-Morena-PES</v>
      </c>
      <c r="O208" s="17" t="n">
        <f aca="false">(MAX(J208:L208)-LARGE(J208:L208,2))*100</f>
        <v>20.0508398887019</v>
      </c>
    </row>
    <row r="209" customFormat="false" ht="15" hidden="false" customHeight="false" outlineLevel="0" collapsed="false">
      <c r="A209" s="4" t="s">
        <v>58</v>
      </c>
      <c r="B209" s="4" t="n">
        <v>8</v>
      </c>
      <c r="C209" s="5" t="n">
        <v>132759</v>
      </c>
      <c r="D209" s="5" t="n">
        <v>31828</v>
      </c>
      <c r="E209" s="5" t="n">
        <v>38352</v>
      </c>
      <c r="F209" s="5" t="n">
        <v>0</v>
      </c>
      <c r="G209" s="5" t="n">
        <v>170</v>
      </c>
      <c r="H209" s="5" t="n">
        <v>7631</v>
      </c>
      <c r="I209" s="5" t="n">
        <v>210740</v>
      </c>
      <c r="J209" s="11" t="n">
        <f aca="false">IF(I209=0,0,C209/I209)</f>
        <v>0.629965834677802</v>
      </c>
      <c r="K209" s="11" t="n">
        <f aca="false">IF(I209=0,0,D209/I209)</f>
        <v>0.151029704849578</v>
      </c>
      <c r="L209" s="11" t="n">
        <f aca="false">IF(I209=0,0,E209/I209)</f>
        <v>0.181987282907849</v>
      </c>
      <c r="M209" s="11" t="n">
        <f aca="false">IF(I209=0,0,H209/I209)</f>
        <v>0.0362104963462086</v>
      </c>
      <c r="N209" s="4" t="str">
        <f aca="false">INDEX($C$3:$E$3,MATCH(MAX(C209:E209),C209:E209,0))</f>
        <v>PT-Morena-PES</v>
      </c>
      <c r="O209" s="17" t="n">
        <f aca="false">(MAX(J209:L209)-LARGE(J209:L209,2))*100</f>
        <v>44.7978551769953</v>
      </c>
    </row>
    <row r="210" customFormat="false" ht="15" hidden="false" customHeight="false" outlineLevel="0" collapsed="false">
      <c r="A210" s="4" t="s">
        <v>58</v>
      </c>
      <c r="B210" s="4" t="n">
        <v>9</v>
      </c>
      <c r="C210" s="5" t="n">
        <v>90241</v>
      </c>
      <c r="D210" s="5" t="n">
        <v>35246</v>
      </c>
      <c r="E210" s="5" t="n">
        <v>53607</v>
      </c>
      <c r="F210" s="5" t="n">
        <v>0</v>
      </c>
      <c r="G210" s="5" t="n">
        <v>27</v>
      </c>
      <c r="H210" s="5" t="n">
        <v>7218</v>
      </c>
      <c r="I210" s="5" t="n">
        <v>186339</v>
      </c>
      <c r="J210" s="11" t="n">
        <f aca="false">IF(I210=0,0,C210/I210)</f>
        <v>0.484284019985081</v>
      </c>
      <c r="K210" s="11" t="n">
        <f aca="false">IF(I210=0,0,D210/I210)</f>
        <v>0.189149882740596</v>
      </c>
      <c r="L210" s="11" t="n">
        <f aca="false">IF(I210=0,0,E210/I210)</f>
        <v>0.28768534767279</v>
      </c>
      <c r="M210" s="11" t="n">
        <f aca="false">IF(I210=0,0,H210/I210)</f>
        <v>0.0387358523980487</v>
      </c>
      <c r="N210" s="4" t="str">
        <f aca="false">INDEX($C$3:$E$3,MATCH(MAX(C210:E210),C210:E210,0))</f>
        <v>PT-Morena-PES</v>
      </c>
      <c r="O210" s="17" t="n">
        <f aca="false">(MAX(J210:L210)-LARGE(J210:L210,2))*100</f>
        <v>19.6598672312291</v>
      </c>
    </row>
    <row r="211" customFormat="false" ht="15" hidden="false" customHeight="false" outlineLevel="0" collapsed="false">
      <c r="A211" s="4" t="s">
        <v>58</v>
      </c>
      <c r="B211" s="4" t="n">
        <v>10</v>
      </c>
      <c r="C211" s="5" t="n">
        <v>108448</v>
      </c>
      <c r="D211" s="5" t="n">
        <v>36206</v>
      </c>
      <c r="E211" s="5" t="n">
        <v>44506</v>
      </c>
      <c r="F211" s="5" t="n">
        <v>0</v>
      </c>
      <c r="G211" s="5" t="n">
        <v>33</v>
      </c>
      <c r="H211" s="5" t="n">
        <v>10933</v>
      </c>
      <c r="I211" s="5" t="n">
        <v>200126</v>
      </c>
      <c r="J211" s="11" t="n">
        <f aca="false">IF(I211=0,0,C211/I211)</f>
        <v>0.541898603879556</v>
      </c>
      <c r="K211" s="11" t="n">
        <f aca="false">IF(I211=0,0,D211/I211)</f>
        <v>0.18091602290557</v>
      </c>
      <c r="L211" s="11" t="n">
        <f aca="false">IF(I211=0,0,E211/I211)</f>
        <v>0.222389894366549</v>
      </c>
      <c r="M211" s="11" t="n">
        <f aca="false">IF(I211=0,0,H211/I211)</f>
        <v>0.0546305827328783</v>
      </c>
      <c r="N211" s="4" t="str">
        <f aca="false">INDEX($C$3:$E$3,MATCH(MAX(C211:E211),C211:E211,0))</f>
        <v>PT-Morena-PES</v>
      </c>
      <c r="O211" s="17" t="n">
        <f aca="false">(MAX(J211:L211)-LARGE(J211:L211,2))*100</f>
        <v>31.9508709513007</v>
      </c>
    </row>
    <row r="212" customFormat="false" ht="15" hidden="false" customHeight="false" outlineLevel="0" collapsed="false">
      <c r="A212" s="4" t="s">
        <v>59</v>
      </c>
      <c r="B212" s="4" t="n">
        <v>1</v>
      </c>
      <c r="C212" s="5" t="n">
        <v>74101</v>
      </c>
      <c r="D212" s="5" t="n">
        <v>72199</v>
      </c>
      <c r="E212" s="5" t="n">
        <v>52039</v>
      </c>
      <c r="F212" s="5" t="n">
        <v>0</v>
      </c>
      <c r="G212" s="5" t="n">
        <v>40</v>
      </c>
      <c r="H212" s="5" t="n">
        <v>11675</v>
      </c>
      <c r="I212" s="5" t="n">
        <v>210054</v>
      </c>
      <c r="J212" s="11" t="n">
        <f aca="false">IF(I212=0,0,C212/I212)</f>
        <v>0.352771192169633</v>
      </c>
      <c r="K212" s="11" t="n">
        <f aca="false">IF(I212=0,0,D212/I212)</f>
        <v>0.343716377693355</v>
      </c>
      <c r="L212" s="11" t="n">
        <f aca="false">IF(I212=0,0,E212/I212)</f>
        <v>0.247741057061518</v>
      </c>
      <c r="M212" s="11" t="n">
        <f aca="false">IF(I212=0,0,H212/I212)</f>
        <v>0.055580945852019</v>
      </c>
      <c r="N212" s="4" t="str">
        <f aca="false">INDEX($C$3:$E$3,MATCH(MAX(C212:E212),C212:E212,0))</f>
        <v>PT-Morena-PES</v>
      </c>
      <c r="O212" s="17" t="n">
        <f aca="false">(MAX(J212:L212)-LARGE(J212:L212,2))*100</f>
        <v>0.905481447627754</v>
      </c>
    </row>
    <row r="213" customFormat="false" ht="15" hidden="false" customHeight="false" outlineLevel="0" collapsed="false">
      <c r="A213" s="4" t="s">
        <v>59</v>
      </c>
      <c r="B213" s="4" t="n">
        <v>2</v>
      </c>
      <c r="C213" s="5" t="n">
        <v>58184</v>
      </c>
      <c r="D213" s="5" t="n">
        <v>69316</v>
      </c>
      <c r="E213" s="5" t="n">
        <v>73078</v>
      </c>
      <c r="F213" s="5" t="n">
        <v>0</v>
      </c>
      <c r="G213" s="5" t="n">
        <v>37</v>
      </c>
      <c r="H213" s="5" t="n">
        <v>13115</v>
      </c>
      <c r="I213" s="5" t="n">
        <v>213730</v>
      </c>
      <c r="J213" s="11" t="n">
        <f aca="false">IF(I213=0,0,C213/I213)</f>
        <v>0.27223131988958</v>
      </c>
      <c r="K213" s="11" t="n">
        <f aca="false">IF(I213=0,0,D213/I213)</f>
        <v>0.324315725447995</v>
      </c>
      <c r="L213" s="11" t="n">
        <f aca="false">IF(I213=0,0,E213/I213)</f>
        <v>0.34191737238572</v>
      </c>
      <c r="M213" s="11" t="n">
        <f aca="false">IF(I213=0,0,H213/I213)</f>
        <v>0.0613624666635475</v>
      </c>
      <c r="N213" s="4" t="str">
        <f aca="false">INDEX($C$3:$E$3,MATCH(MAX(C213:E213),C213:E213,0))</f>
        <v>PRI-PVEM-NA</v>
      </c>
      <c r="O213" s="17" t="n">
        <f aca="false">(MAX(J213:L213)-LARGE(J213:L213,2))*100</f>
        <v>1.76016469377251</v>
      </c>
    </row>
    <row r="214" customFormat="false" ht="15" hidden="false" customHeight="false" outlineLevel="0" collapsed="false">
      <c r="A214" s="4" t="s">
        <v>59</v>
      </c>
      <c r="B214" s="4" t="n">
        <v>3</v>
      </c>
      <c r="C214" s="5" t="n">
        <v>75438</v>
      </c>
      <c r="D214" s="5" t="n">
        <v>54563</v>
      </c>
      <c r="E214" s="5" t="n">
        <v>61387</v>
      </c>
      <c r="F214" s="5" t="n">
        <v>0</v>
      </c>
      <c r="G214" s="5" t="n">
        <v>48</v>
      </c>
      <c r="H214" s="5" t="n">
        <v>12426</v>
      </c>
      <c r="I214" s="5" t="n">
        <v>203862</v>
      </c>
      <c r="J214" s="11" t="n">
        <f aca="false">IF(I214=0,0,C214/I214)</f>
        <v>0.370044441828296</v>
      </c>
      <c r="K214" s="11" t="n">
        <f aca="false">IF(I214=0,0,D214/I214)</f>
        <v>0.26764674142312</v>
      </c>
      <c r="L214" s="11" t="n">
        <f aca="false">IF(I214=0,0,E214/I214)</f>
        <v>0.301120365737607</v>
      </c>
      <c r="M214" s="11" t="n">
        <f aca="false">IF(I214=0,0,H214/I214)</f>
        <v>0.0609529976160344</v>
      </c>
      <c r="N214" s="4" t="str">
        <f aca="false">INDEX($C$3:$E$3,MATCH(MAX(C214:E214),C214:E214,0))</f>
        <v>PT-Morena-PES</v>
      </c>
      <c r="O214" s="17" t="n">
        <f aca="false">(MAX(J214:L214)-LARGE(J214:L214,2))*100</f>
        <v>6.89240760906888</v>
      </c>
    </row>
    <row r="215" customFormat="false" ht="15" hidden="false" customHeight="false" outlineLevel="0" collapsed="false">
      <c r="A215" s="4" t="s">
        <v>59</v>
      </c>
      <c r="B215" s="4" t="n">
        <v>4</v>
      </c>
      <c r="C215" s="5" t="n">
        <v>87169</v>
      </c>
      <c r="D215" s="5" t="n">
        <v>54578</v>
      </c>
      <c r="E215" s="5" t="n">
        <v>52962</v>
      </c>
      <c r="F215" s="5" t="n">
        <v>0</v>
      </c>
      <c r="G215" s="5" t="n">
        <v>22</v>
      </c>
      <c r="H215" s="5" t="n">
        <v>11962</v>
      </c>
      <c r="I215" s="5" t="n">
        <v>206693</v>
      </c>
      <c r="J215" s="11" t="n">
        <f aca="false">IF(I215=0,0,C215/I215)</f>
        <v>0.421731747083839</v>
      </c>
      <c r="K215" s="11" t="n">
        <f aca="false">IF(I215=0,0,D215/I215)</f>
        <v>0.264053451253792</v>
      </c>
      <c r="L215" s="11" t="n">
        <f aca="false">IF(I215=0,0,E215/I215)</f>
        <v>0.256235092625295</v>
      </c>
      <c r="M215" s="11" t="n">
        <f aca="false">IF(I215=0,0,H215/I215)</f>
        <v>0.0578732709864388</v>
      </c>
      <c r="N215" s="4" t="str">
        <f aca="false">INDEX($C$3:$E$3,MATCH(MAX(C215:E215),C215:E215,0))</f>
        <v>PT-Morena-PES</v>
      </c>
      <c r="O215" s="17" t="n">
        <f aca="false">(MAX(J215:L215)-LARGE(J215:L215,2))*100</f>
        <v>15.7678295830047</v>
      </c>
    </row>
    <row r="216" customFormat="false" ht="15" hidden="false" customHeight="false" outlineLevel="0" collapsed="false">
      <c r="A216" s="4" t="s">
        <v>59</v>
      </c>
      <c r="B216" s="4" t="n">
        <v>5</v>
      </c>
      <c r="C216" s="5" t="n">
        <v>96250</v>
      </c>
      <c r="D216" s="5" t="n">
        <v>40744</v>
      </c>
      <c r="E216" s="5" t="n">
        <v>44978</v>
      </c>
      <c r="F216" s="5" t="n">
        <v>0</v>
      </c>
      <c r="G216" s="5" t="n">
        <v>81</v>
      </c>
      <c r="H216" s="5" t="n">
        <v>9439</v>
      </c>
      <c r="I216" s="5" t="n">
        <v>191492</v>
      </c>
      <c r="J216" s="11" t="n">
        <f aca="false">IF(I216=0,0,C216/I216)</f>
        <v>0.502631963737389</v>
      </c>
      <c r="K216" s="11" t="n">
        <f aca="false">IF(I216=0,0,D216/I216)</f>
        <v>0.212771290706661</v>
      </c>
      <c r="L216" s="11" t="n">
        <f aca="false">IF(I216=0,0,E216/I216)</f>
        <v>0.234881874960834</v>
      </c>
      <c r="M216" s="11" t="n">
        <f aca="false">IF(I216=0,0,H216/I216)</f>
        <v>0.049291876423036</v>
      </c>
      <c r="N216" s="4" t="str">
        <f aca="false">INDEX($C$3:$E$3,MATCH(MAX(C216:E216),C216:E216,0))</f>
        <v>PT-Morena-PES</v>
      </c>
      <c r="O216" s="17" t="n">
        <f aca="false">(MAX(J216:L216)-LARGE(J216:L216,2))*100</f>
        <v>26.7750088776555</v>
      </c>
    </row>
    <row r="217" customFormat="false" ht="15" hidden="false" customHeight="false" outlineLevel="0" collapsed="false">
      <c r="A217" s="4" t="s">
        <v>59</v>
      </c>
      <c r="B217" s="4" t="n">
        <v>6</v>
      </c>
      <c r="C217" s="5" t="n">
        <v>104345</v>
      </c>
      <c r="D217" s="5" t="n">
        <v>38717</v>
      </c>
      <c r="E217" s="5" t="n">
        <v>36224</v>
      </c>
      <c r="F217" s="5" t="n">
        <v>0</v>
      </c>
      <c r="G217" s="5" t="n">
        <v>156</v>
      </c>
      <c r="H217" s="5" t="n">
        <v>6710</v>
      </c>
      <c r="I217" s="5" t="n">
        <v>186152</v>
      </c>
      <c r="J217" s="11" t="n">
        <f aca="false">IF(I217=0,0,C217/I217)</f>
        <v>0.56053655077571</v>
      </c>
      <c r="K217" s="11" t="n">
        <f aca="false">IF(I217=0,0,D217/I217)</f>
        <v>0.207985946968069</v>
      </c>
      <c r="L217" s="11" t="n">
        <f aca="false">IF(I217=0,0,E217/I217)</f>
        <v>0.194593665391723</v>
      </c>
      <c r="M217" s="11" t="n">
        <f aca="false">IF(I217=0,0,H217/I217)</f>
        <v>0.0360458120245821</v>
      </c>
      <c r="N217" s="4" t="str">
        <f aca="false">INDEX($C$3:$E$3,MATCH(MAX(C217:E217),C217:E217,0))</f>
        <v>PT-Morena-PES</v>
      </c>
      <c r="O217" s="17" t="n">
        <f aca="false">(MAX(J217:L217)-LARGE(J217:L217,2))*100</f>
        <v>35.2550603807641</v>
      </c>
    </row>
    <row r="218" customFormat="false" ht="15" hidden="false" customHeight="false" outlineLevel="0" collapsed="false">
      <c r="A218" s="4" t="s">
        <v>59</v>
      </c>
      <c r="B218" s="4" t="n">
        <v>7</v>
      </c>
      <c r="C218" s="5" t="n">
        <v>98513</v>
      </c>
      <c r="D218" s="5" t="n">
        <v>50657</v>
      </c>
      <c r="E218" s="5" t="n">
        <v>40260</v>
      </c>
      <c r="F218" s="5" t="n">
        <v>0</v>
      </c>
      <c r="G218" s="5" t="n">
        <v>71</v>
      </c>
      <c r="H218" s="5" t="n">
        <v>9071</v>
      </c>
      <c r="I218" s="5" t="n">
        <v>198572</v>
      </c>
      <c r="J218" s="11" t="n">
        <f aca="false">IF(I218=0,0,C218/I218)</f>
        <v>0.496107205446891</v>
      </c>
      <c r="K218" s="11" t="n">
        <f aca="false">IF(I218=0,0,D218/I218)</f>
        <v>0.255106460125295</v>
      </c>
      <c r="L218" s="11" t="n">
        <f aca="false">IF(I218=0,0,E218/I218)</f>
        <v>0.202747617992466</v>
      </c>
      <c r="M218" s="11" t="n">
        <f aca="false">IF(I218=0,0,H218/I218)</f>
        <v>0.0456811635074432</v>
      </c>
      <c r="N218" s="4" t="str">
        <f aca="false">INDEX($C$3:$E$3,MATCH(MAX(C218:E218),C218:E218,0))</f>
        <v>PT-Morena-PES</v>
      </c>
      <c r="O218" s="17" t="n">
        <f aca="false">(MAX(J218:L218)-LARGE(J218:L218,2))*100</f>
        <v>24.1000745321596</v>
      </c>
    </row>
    <row r="219" customFormat="false" ht="15" hidden="false" customHeight="false" outlineLevel="0" collapsed="false">
      <c r="A219" s="4" t="s">
        <v>59</v>
      </c>
      <c r="B219" s="4" t="n">
        <v>8</v>
      </c>
      <c r="C219" s="5" t="n">
        <v>64100</v>
      </c>
      <c r="D219" s="5" t="n">
        <v>63104</v>
      </c>
      <c r="E219" s="5" t="n">
        <v>60940</v>
      </c>
      <c r="F219" s="5" t="n">
        <v>0</v>
      </c>
      <c r="G219" s="5" t="n">
        <v>31</v>
      </c>
      <c r="H219" s="5" t="n">
        <v>11980</v>
      </c>
      <c r="I219" s="5" t="n">
        <v>200155</v>
      </c>
      <c r="J219" s="11" t="n">
        <f aca="false">IF(I219=0,0,C219/I219)</f>
        <v>0.32025180485124</v>
      </c>
      <c r="K219" s="11" t="n">
        <f aca="false">IF(I219=0,0,D219/I219)</f>
        <v>0.315275661362444</v>
      </c>
      <c r="L219" s="11" t="n">
        <f aca="false">IF(I219=0,0,E219/I219)</f>
        <v>0.304464040368714</v>
      </c>
      <c r="M219" s="11" t="n">
        <f aca="false">IF(I219=0,0,H219/I219)</f>
        <v>0.0598536134495766</v>
      </c>
      <c r="N219" s="4" t="str">
        <f aca="false">INDEX($C$3:$E$3,MATCH(MAX(C219:E219),C219:E219,0))</f>
        <v>PT-Morena-PES</v>
      </c>
      <c r="O219" s="17" t="n">
        <f aca="false">(MAX(J219:L219)-LARGE(J219:L219,2))*100</f>
        <v>0.497614348879616</v>
      </c>
    </row>
    <row r="220" customFormat="false" ht="15" hidden="false" customHeight="false" outlineLevel="0" collapsed="false">
      <c r="A220" s="4" t="s">
        <v>59</v>
      </c>
      <c r="B220" s="4" t="n">
        <v>9</v>
      </c>
      <c r="C220" s="5" t="n">
        <v>106612</v>
      </c>
      <c r="D220" s="5" t="n">
        <v>63369</v>
      </c>
      <c r="E220" s="5" t="n">
        <v>26679</v>
      </c>
      <c r="F220" s="5" t="n">
        <v>0</v>
      </c>
      <c r="G220" s="5" t="n">
        <v>104</v>
      </c>
      <c r="H220" s="5" t="n">
        <v>6819</v>
      </c>
      <c r="I220" s="5" t="n">
        <v>203583</v>
      </c>
      <c r="J220" s="11" t="n">
        <f aca="false">IF(I220=0,0,C220/I220)</f>
        <v>0.523678303198204</v>
      </c>
      <c r="K220" s="11" t="n">
        <f aca="false">IF(I220=0,0,D220/I220)</f>
        <v>0.311268622625661</v>
      </c>
      <c r="L220" s="11" t="n">
        <f aca="false">IF(I220=0,0,E220/I220)</f>
        <v>0.131047287838376</v>
      </c>
      <c r="M220" s="11" t="n">
        <f aca="false">IF(I220=0,0,H220/I220)</f>
        <v>0.0334949381824612</v>
      </c>
      <c r="N220" s="4" t="str">
        <f aca="false">INDEX($C$3:$E$3,MATCH(MAX(C220:E220),C220:E220,0))</f>
        <v>PT-Morena-PES</v>
      </c>
      <c r="O220" s="17" t="n">
        <f aca="false">(MAX(J220:L220)-LARGE(J220:L220,2))*100</f>
        <v>21.2409680572543</v>
      </c>
    </row>
    <row r="221" customFormat="false" ht="15" hidden="false" customHeight="false" outlineLevel="0" collapsed="false">
      <c r="A221" s="4" t="s">
        <v>59</v>
      </c>
      <c r="B221" s="4" t="n">
        <v>10</v>
      </c>
      <c r="C221" s="5" t="n">
        <v>110408</v>
      </c>
      <c r="D221" s="5" t="n">
        <v>65343</v>
      </c>
      <c r="E221" s="5" t="n">
        <v>35611</v>
      </c>
      <c r="F221" s="5" t="n">
        <v>0</v>
      </c>
      <c r="G221" s="5" t="n">
        <v>151</v>
      </c>
      <c r="H221" s="5" t="n">
        <v>9244</v>
      </c>
      <c r="I221" s="5" t="n">
        <v>220757</v>
      </c>
      <c r="J221" s="11" t="n">
        <f aca="false">IF(I221=0,0,C221/I221)</f>
        <v>0.500133631096636</v>
      </c>
      <c r="K221" s="11" t="n">
        <f aca="false">IF(I221=0,0,D221/I221)</f>
        <v>0.295995143981844</v>
      </c>
      <c r="L221" s="11" t="n">
        <f aca="false">IF(I221=0,0,E221/I221)</f>
        <v>0.161313118043822</v>
      </c>
      <c r="M221" s="11" t="n">
        <f aca="false">IF(I221=0,0,H221/I221)</f>
        <v>0.0418740968576308</v>
      </c>
      <c r="N221" s="4" t="str">
        <f aca="false">INDEX($C$3:$E$3,MATCH(MAX(C221:E221),C221:E221,0))</f>
        <v>PT-Morena-PES</v>
      </c>
      <c r="O221" s="17" t="n">
        <f aca="false">(MAX(J221:L221)-LARGE(J221:L221,2))*100</f>
        <v>20.4138487114791</v>
      </c>
    </row>
    <row r="222" customFormat="false" ht="15" hidden="false" customHeight="false" outlineLevel="0" collapsed="false">
      <c r="A222" s="4" t="s">
        <v>59</v>
      </c>
      <c r="B222" s="4" t="n">
        <v>11</v>
      </c>
      <c r="C222" s="5" t="n">
        <v>102934</v>
      </c>
      <c r="D222" s="5" t="n">
        <v>44317</v>
      </c>
      <c r="E222" s="5" t="n">
        <v>31348</v>
      </c>
      <c r="F222" s="5" t="n">
        <v>0</v>
      </c>
      <c r="G222" s="5" t="n">
        <v>108</v>
      </c>
      <c r="H222" s="5" t="n">
        <v>7023</v>
      </c>
      <c r="I222" s="5" t="n">
        <v>185730</v>
      </c>
      <c r="J222" s="11" t="n">
        <f aca="false">IF(I222=0,0,C222/I222)</f>
        <v>0.554213105044958</v>
      </c>
      <c r="K222" s="11" t="n">
        <f aca="false">IF(I222=0,0,D222/I222)</f>
        <v>0.238609809939159</v>
      </c>
      <c r="L222" s="11" t="n">
        <f aca="false">IF(I222=0,0,E222/I222)</f>
        <v>0.168782641468799</v>
      </c>
      <c r="M222" s="11" t="n">
        <f aca="false">IF(I222=0,0,H222/I222)</f>
        <v>0.0378129542884833</v>
      </c>
      <c r="N222" s="4" t="str">
        <f aca="false">INDEX($C$3:$E$3,MATCH(MAX(C222:E222),C222:E222,0))</f>
        <v>PT-Morena-PES</v>
      </c>
      <c r="O222" s="17" t="n">
        <f aca="false">(MAX(J222:L222)-LARGE(J222:L222,2))*100</f>
        <v>31.5603295105799</v>
      </c>
    </row>
    <row r="223" customFormat="false" ht="15" hidden="false" customHeight="false" outlineLevel="0" collapsed="false">
      <c r="A223" s="4" t="s">
        <v>59</v>
      </c>
      <c r="B223" s="4" t="n">
        <v>12</v>
      </c>
      <c r="C223" s="5" t="n">
        <v>110533</v>
      </c>
      <c r="D223" s="5" t="n">
        <v>61118</v>
      </c>
      <c r="E223" s="5" t="n">
        <v>37188</v>
      </c>
      <c r="F223" s="5" t="n">
        <v>0</v>
      </c>
      <c r="G223" s="5" t="n">
        <v>181</v>
      </c>
      <c r="H223" s="5" t="n">
        <v>7736</v>
      </c>
      <c r="I223" s="5" t="n">
        <v>216756</v>
      </c>
      <c r="J223" s="11" t="n">
        <f aca="false">IF(I223=0,0,C223/I223)</f>
        <v>0.50994205466054</v>
      </c>
      <c r="K223" s="11" t="n">
        <f aca="false">IF(I223=0,0,D223/I223)</f>
        <v>0.281966819834284</v>
      </c>
      <c r="L223" s="11" t="n">
        <f aca="false">IF(I223=0,0,E223/I223)</f>
        <v>0.1715661850191</v>
      </c>
      <c r="M223" s="11" t="n">
        <f aca="false">IF(I223=0,0,H223/I223)</f>
        <v>0.03568990016424</v>
      </c>
      <c r="N223" s="4" t="str">
        <f aca="false">INDEX($C$3:$E$3,MATCH(MAX(C223:E223),C223:E223,0))</f>
        <v>PT-Morena-PES</v>
      </c>
      <c r="O223" s="17" t="n">
        <f aca="false">(MAX(J223:L223)-LARGE(J223:L223,2))*100</f>
        <v>22.7975234826256</v>
      </c>
    </row>
    <row r="224" customFormat="false" ht="15" hidden="false" customHeight="false" outlineLevel="0" collapsed="false">
      <c r="A224" s="4" t="s">
        <v>59</v>
      </c>
      <c r="B224" s="4" t="n">
        <v>13</v>
      </c>
      <c r="C224" s="5" t="n">
        <v>89943</v>
      </c>
      <c r="D224" s="5" t="n">
        <v>52798</v>
      </c>
      <c r="E224" s="5" t="n">
        <v>54419</v>
      </c>
      <c r="F224" s="5" t="n">
        <v>0</v>
      </c>
      <c r="G224" s="5" t="n">
        <v>68</v>
      </c>
      <c r="H224" s="5" t="n">
        <v>10291</v>
      </c>
      <c r="I224" s="5" t="n">
        <v>207519</v>
      </c>
      <c r="J224" s="11" t="n">
        <f aca="false">IF(I224=0,0,C224/I224)</f>
        <v>0.433420554262501</v>
      </c>
      <c r="K224" s="11" t="n">
        <f aca="false">IF(I224=0,0,D224/I224)</f>
        <v>0.254424896033616</v>
      </c>
      <c r="L224" s="11" t="n">
        <f aca="false">IF(I224=0,0,E224/I224)</f>
        <v>0.262236228971805</v>
      </c>
      <c r="M224" s="11" t="n">
        <f aca="false">IF(I224=0,0,H224/I224)</f>
        <v>0.0495906398932146</v>
      </c>
      <c r="N224" s="4" t="str">
        <f aca="false">INDEX($C$3:$E$3,MATCH(MAX(C224:E224),C224:E224,0))</f>
        <v>PT-Morena-PES</v>
      </c>
      <c r="O224" s="17" t="n">
        <f aca="false">(MAX(J224:L224)-LARGE(J224:L224,2))*100</f>
        <v>17.1184325290696</v>
      </c>
    </row>
    <row r="225" customFormat="false" ht="15" hidden="false" customHeight="false" outlineLevel="0" collapsed="false">
      <c r="A225" s="4" t="s">
        <v>59</v>
      </c>
      <c r="B225" s="4" t="n">
        <v>14</v>
      </c>
      <c r="C225" s="5" t="n">
        <v>100715</v>
      </c>
      <c r="D225" s="5" t="n">
        <v>48448</v>
      </c>
      <c r="E225" s="5" t="n">
        <v>58582</v>
      </c>
      <c r="F225" s="5" t="n">
        <v>0</v>
      </c>
      <c r="G225" s="5" t="n">
        <v>116</v>
      </c>
      <c r="H225" s="5" t="n">
        <v>11608</v>
      </c>
      <c r="I225" s="5" t="n">
        <v>219469</v>
      </c>
      <c r="J225" s="11" t="n">
        <f aca="false">IF(I225=0,0,C225/I225)</f>
        <v>0.458903079706018</v>
      </c>
      <c r="K225" s="11" t="n">
        <f aca="false">IF(I225=0,0,D225/I225)</f>
        <v>0.220750994445685</v>
      </c>
      <c r="L225" s="11" t="n">
        <f aca="false">IF(I225=0,0,E225/I225)</f>
        <v>0.266926080676542</v>
      </c>
      <c r="M225" s="11" t="n">
        <f aca="false">IF(I225=0,0,H225/I225)</f>
        <v>0.0528912967207214</v>
      </c>
      <c r="N225" s="4" t="str">
        <f aca="false">INDEX($C$3:$E$3,MATCH(MAX(C225:E225),C225:E225,0))</f>
        <v>PT-Morena-PES</v>
      </c>
      <c r="O225" s="17" t="n">
        <f aca="false">(MAX(J225:L225)-LARGE(J225:L225,2))*100</f>
        <v>19.1976999029476</v>
      </c>
    </row>
    <row r="226" customFormat="false" ht="15" hidden="false" customHeight="false" outlineLevel="0" collapsed="false">
      <c r="A226" s="4" t="s">
        <v>59</v>
      </c>
      <c r="B226" s="4" t="n">
        <v>15</v>
      </c>
      <c r="C226" s="5" t="n">
        <v>109274</v>
      </c>
      <c r="D226" s="5" t="n">
        <v>34799</v>
      </c>
      <c r="E226" s="5" t="n">
        <v>46153</v>
      </c>
      <c r="F226" s="5" t="n">
        <v>0</v>
      </c>
      <c r="G226" s="5" t="n">
        <v>48</v>
      </c>
      <c r="H226" s="5" t="n">
        <v>8684</v>
      </c>
      <c r="I226" s="5" t="n">
        <v>198958</v>
      </c>
      <c r="J226" s="11" t="n">
        <f aca="false">IF(I226=0,0,C226/I226)</f>
        <v>0.549231496094653</v>
      </c>
      <c r="K226" s="11" t="n">
        <f aca="false">IF(I226=0,0,D226/I226)</f>
        <v>0.174906261623056</v>
      </c>
      <c r="L226" s="11" t="n">
        <f aca="false">IF(I226=0,0,E226/I226)</f>
        <v>0.231973582364117</v>
      </c>
      <c r="M226" s="11" t="n">
        <f aca="false">IF(I226=0,0,H226/I226)</f>
        <v>0.0436474029694709</v>
      </c>
      <c r="N226" s="4" t="str">
        <f aca="false">INDEX($C$3:$E$3,MATCH(MAX(C226:E226),C226:E226,0))</f>
        <v>PT-Morena-PES</v>
      </c>
      <c r="O226" s="17" t="n">
        <f aca="false">(MAX(J226:L226)-LARGE(J226:L226,2))*100</f>
        <v>31.7257913730536</v>
      </c>
    </row>
    <row r="227" customFormat="false" ht="15" hidden="false" customHeight="false" outlineLevel="0" collapsed="false">
      <c r="A227" s="4" t="s">
        <v>60</v>
      </c>
      <c r="B227" s="4" t="n">
        <v>1</v>
      </c>
      <c r="C227" s="5" t="n">
        <v>46541</v>
      </c>
      <c r="D227" s="5" t="n">
        <v>60170</v>
      </c>
      <c r="E227" s="5" t="n">
        <v>51148</v>
      </c>
      <c r="F227" s="5" t="n">
        <v>0</v>
      </c>
      <c r="G227" s="5" t="n">
        <v>94</v>
      </c>
      <c r="H227" s="5" t="n">
        <v>10412</v>
      </c>
      <c r="I227" s="5" t="n">
        <v>168365</v>
      </c>
      <c r="J227" s="11" t="n">
        <f aca="false">IF(I227=0,0,C227/I227)</f>
        <v>0.276429186588662</v>
      </c>
      <c r="K227" s="11" t="n">
        <f aca="false">IF(I227=0,0,D227/I227)</f>
        <v>0.357378314970451</v>
      </c>
      <c r="L227" s="11" t="n">
        <f aca="false">IF(I227=0,0,E227/I227)</f>
        <v>0.303792355893446</v>
      </c>
      <c r="M227" s="11" t="n">
        <f aca="false">IF(I227=0,0,H227/I227)</f>
        <v>0.0618418317346242</v>
      </c>
      <c r="N227" s="4" t="str">
        <f aca="false">INDEX($C$3:$E$3,MATCH(MAX(C227:E227),C227:E227,0))</f>
        <v>PAN-PRD-MC</v>
      </c>
      <c r="O227" s="17" t="n">
        <f aca="false">(MAX(J227:L227)-LARGE(J227:L227,2))*100</f>
        <v>5.35859590770053</v>
      </c>
    </row>
    <row r="228" customFormat="false" ht="15" hidden="false" customHeight="false" outlineLevel="0" collapsed="false">
      <c r="A228" s="4" t="s">
        <v>60</v>
      </c>
      <c r="B228" s="4" t="n">
        <v>2</v>
      </c>
      <c r="C228" s="5" t="n">
        <v>69357</v>
      </c>
      <c r="D228" s="5" t="n">
        <v>53936</v>
      </c>
      <c r="E228" s="5" t="n">
        <v>52132</v>
      </c>
      <c r="F228" s="5" t="n">
        <v>0</v>
      </c>
      <c r="G228" s="5" t="n">
        <v>150</v>
      </c>
      <c r="H228" s="5" t="n">
        <v>8454</v>
      </c>
      <c r="I228" s="5" t="n">
        <v>184029</v>
      </c>
      <c r="J228" s="11" t="n">
        <f aca="false">IF(I228=0,0,C228/I228)</f>
        <v>0.376880817697211</v>
      </c>
      <c r="K228" s="11" t="n">
        <f aca="false">IF(I228=0,0,D228/I228)</f>
        <v>0.293084242157486</v>
      </c>
      <c r="L228" s="11" t="n">
        <f aca="false">IF(I228=0,0,E228/I228)</f>
        <v>0.283281439338365</v>
      </c>
      <c r="M228" s="11" t="n">
        <f aca="false">IF(I228=0,0,H228/I228)</f>
        <v>0.0459384118807362</v>
      </c>
      <c r="N228" s="4" t="str">
        <f aca="false">INDEX($C$3:$E$3,MATCH(MAX(C228:E228),C228:E228,0))</f>
        <v>PT-Morena-PES</v>
      </c>
      <c r="O228" s="17" t="n">
        <f aca="false">(MAX(J228:L228)-LARGE(J228:L228,2))*100</f>
        <v>8.37965755397247</v>
      </c>
    </row>
    <row r="229" customFormat="false" ht="15" hidden="false" customHeight="false" outlineLevel="0" collapsed="false">
      <c r="A229" s="4" t="s">
        <v>60</v>
      </c>
      <c r="B229" s="4" t="n">
        <v>3</v>
      </c>
      <c r="C229" s="5" t="n">
        <v>83496</v>
      </c>
      <c r="D229" s="5" t="n">
        <v>67833</v>
      </c>
      <c r="E229" s="5" t="n">
        <v>52942</v>
      </c>
      <c r="F229" s="5" t="n">
        <v>0</v>
      </c>
      <c r="G229" s="5" t="n">
        <v>197</v>
      </c>
      <c r="H229" s="5" t="n">
        <v>8306</v>
      </c>
      <c r="I229" s="5" t="n">
        <v>212774</v>
      </c>
      <c r="J229" s="11" t="n">
        <f aca="false">IF(I229=0,0,C229/I229)</f>
        <v>0.39241636666134</v>
      </c>
      <c r="K229" s="11" t="n">
        <f aca="false">IF(I229=0,0,D229/I229)</f>
        <v>0.318803049244739</v>
      </c>
      <c r="L229" s="11" t="n">
        <f aca="false">IF(I229=0,0,E229/I229)</f>
        <v>0.248817994679801</v>
      </c>
      <c r="M229" s="11" t="n">
        <f aca="false">IF(I229=0,0,H229/I229)</f>
        <v>0.0390367244118172</v>
      </c>
      <c r="N229" s="4" t="str">
        <f aca="false">INDEX($C$3:$E$3,MATCH(MAX(C229:E229),C229:E229,0))</f>
        <v>PT-Morena-PES</v>
      </c>
      <c r="O229" s="17" t="n">
        <f aca="false">(MAX(J229:L229)-LARGE(J229:L229,2))*100</f>
        <v>7.36133174166017</v>
      </c>
    </row>
    <row r="230" customFormat="false" ht="15" hidden="false" customHeight="false" outlineLevel="0" collapsed="false">
      <c r="A230" s="4" t="s">
        <v>60</v>
      </c>
      <c r="B230" s="4" t="n">
        <v>4</v>
      </c>
      <c r="C230" s="5" t="n">
        <v>80548</v>
      </c>
      <c r="D230" s="5" t="n">
        <v>93158</v>
      </c>
      <c r="E230" s="5" t="n">
        <v>47341</v>
      </c>
      <c r="F230" s="5" t="n">
        <v>0</v>
      </c>
      <c r="G230" s="5" t="n">
        <v>297</v>
      </c>
      <c r="H230" s="5" t="n">
        <v>9671</v>
      </c>
      <c r="I230" s="5" t="n">
        <v>231015</v>
      </c>
      <c r="J230" s="11" t="n">
        <f aca="false">IF(I230=0,0,C230/I230)</f>
        <v>0.348669999783564</v>
      </c>
      <c r="K230" s="11" t="n">
        <f aca="false">IF(I230=0,0,D230/I230)</f>
        <v>0.403255199878796</v>
      </c>
      <c r="L230" s="11" t="n">
        <f aca="false">IF(I230=0,0,E230/I230)</f>
        <v>0.204926087050624</v>
      </c>
      <c r="M230" s="11" t="n">
        <f aca="false">IF(I230=0,0,H230/I230)</f>
        <v>0.0418630824838214</v>
      </c>
      <c r="N230" s="4" t="str">
        <f aca="false">INDEX($C$3:$E$3,MATCH(MAX(C230:E230),C230:E230,0))</f>
        <v>PAN-PRD-MC</v>
      </c>
      <c r="O230" s="17" t="n">
        <f aca="false">(MAX(J230:L230)-LARGE(J230:L230,2))*100</f>
        <v>5.45852000952319</v>
      </c>
    </row>
    <row r="231" customFormat="false" ht="15" hidden="false" customHeight="false" outlineLevel="0" collapsed="false">
      <c r="A231" s="4" t="s">
        <v>60</v>
      </c>
      <c r="B231" s="4" t="n">
        <v>5</v>
      </c>
      <c r="C231" s="5" t="n">
        <v>56952</v>
      </c>
      <c r="D231" s="5" t="n">
        <v>89965</v>
      </c>
      <c r="E231" s="5" t="n">
        <v>50787</v>
      </c>
      <c r="F231" s="5" t="n">
        <v>0</v>
      </c>
      <c r="G231" s="5" t="n">
        <v>163</v>
      </c>
      <c r="H231" s="5" t="n">
        <v>10848</v>
      </c>
      <c r="I231" s="5" t="n">
        <v>208715</v>
      </c>
      <c r="J231" s="11" t="n">
        <f aca="false">IF(I231=0,0,C231/I231)</f>
        <v>0.272869702704645</v>
      </c>
      <c r="K231" s="11" t="n">
        <f aca="false">IF(I231=0,0,D231/I231)</f>
        <v>0.431042330450614</v>
      </c>
      <c r="L231" s="11" t="n">
        <f aca="false">IF(I231=0,0,E231/I231)</f>
        <v>0.243331816112881</v>
      </c>
      <c r="M231" s="11" t="n">
        <f aca="false">IF(I231=0,0,H231/I231)</f>
        <v>0.0519751814675514</v>
      </c>
      <c r="N231" s="4" t="str">
        <f aca="false">INDEX($C$3:$E$3,MATCH(MAX(C231:E231),C231:E231,0))</f>
        <v>PAN-PRD-MC</v>
      </c>
      <c r="O231" s="17" t="n">
        <f aca="false">(MAX(J231:L231)-LARGE(J231:L231,2))*100</f>
        <v>15.8172627745969</v>
      </c>
    </row>
    <row r="232" customFormat="false" ht="15" hidden="false" customHeight="false" outlineLevel="0" collapsed="false">
      <c r="A232" s="4" t="s">
        <v>61</v>
      </c>
      <c r="B232" s="4" t="n">
        <v>1</v>
      </c>
      <c r="C232" s="5" t="n">
        <v>111398</v>
      </c>
      <c r="D232" s="5" t="n">
        <v>42420</v>
      </c>
      <c r="E232" s="5" t="n">
        <v>33901</v>
      </c>
      <c r="F232" s="5" t="n">
        <v>0</v>
      </c>
      <c r="G232" s="5" t="n">
        <v>182</v>
      </c>
      <c r="H232" s="5" t="n">
        <v>7438</v>
      </c>
      <c r="I232" s="5" t="n">
        <v>195339</v>
      </c>
      <c r="J232" s="11" t="n">
        <f aca="false">IF(I232=0,0,C232/I232)</f>
        <v>0.57028038435745</v>
      </c>
      <c r="K232" s="11" t="n">
        <f aca="false">IF(I232=0,0,D232/I232)</f>
        <v>0.217160935604257</v>
      </c>
      <c r="L232" s="11" t="n">
        <f aca="false">IF(I232=0,0,E232/I232)</f>
        <v>0.173549572793963</v>
      </c>
      <c r="M232" s="11" t="n">
        <f aca="false">IF(I232=0,0,H232/I232)</f>
        <v>0.0380773936592283</v>
      </c>
      <c r="N232" s="4" t="str">
        <f aca="false">INDEX($C$3:$E$3,MATCH(MAX(C232:E232),C232:E232,0))</f>
        <v>PT-Morena-PES</v>
      </c>
      <c r="O232" s="17" t="n">
        <f aca="false">(MAX(J232:L232)-LARGE(J232:L232,2))*100</f>
        <v>35.3119448753193</v>
      </c>
    </row>
    <row r="233" customFormat="false" ht="15" hidden="false" customHeight="false" outlineLevel="0" collapsed="false">
      <c r="A233" s="4" t="s">
        <v>61</v>
      </c>
      <c r="B233" s="4" t="n">
        <v>2</v>
      </c>
      <c r="C233" s="5" t="n">
        <v>94634</v>
      </c>
      <c r="D233" s="5" t="n">
        <v>49445</v>
      </c>
      <c r="E233" s="5" t="n">
        <v>34308</v>
      </c>
      <c r="F233" s="5" t="n">
        <v>0</v>
      </c>
      <c r="G233" s="5" t="n">
        <v>97</v>
      </c>
      <c r="H233" s="5" t="n">
        <v>7402</v>
      </c>
      <c r="I233" s="5" t="n">
        <v>185886</v>
      </c>
      <c r="J233" s="11" t="n">
        <f aca="false">IF(I233=0,0,C233/I233)</f>
        <v>0.509096973413813</v>
      </c>
      <c r="K233" s="11" t="n">
        <f aca="false">IF(I233=0,0,D233/I233)</f>
        <v>0.265996363362491</v>
      </c>
      <c r="L233" s="11" t="n">
        <f aca="false">IF(I233=0,0,E233/I233)</f>
        <v>0.184564733223589</v>
      </c>
      <c r="M233" s="11" t="n">
        <f aca="false">IF(I233=0,0,H233/I233)</f>
        <v>0.0398201047954122</v>
      </c>
      <c r="N233" s="4" t="str">
        <f aca="false">INDEX($C$3:$E$3,MATCH(MAX(C233:E233),C233:E233,0))</f>
        <v>PT-Morena-PES</v>
      </c>
      <c r="O233" s="17" t="n">
        <f aca="false">(MAX(J233:L233)-LARGE(J233:L233,2))*100</f>
        <v>24.3100610051322</v>
      </c>
    </row>
    <row r="234" customFormat="false" ht="15" hidden="false" customHeight="false" outlineLevel="0" collapsed="false">
      <c r="A234" s="4" t="s">
        <v>61</v>
      </c>
      <c r="B234" s="4" t="n">
        <v>3</v>
      </c>
      <c r="C234" s="5" t="n">
        <v>105881</v>
      </c>
      <c r="D234" s="5" t="n">
        <v>19118</v>
      </c>
      <c r="E234" s="5" t="n">
        <v>19896</v>
      </c>
      <c r="F234" s="5" t="n">
        <v>0</v>
      </c>
      <c r="G234" s="5" t="n">
        <v>86</v>
      </c>
      <c r="H234" s="5" t="n">
        <v>4883</v>
      </c>
      <c r="I234" s="5" t="n">
        <v>149864</v>
      </c>
      <c r="J234" s="11" t="n">
        <f aca="false">IF(I234=0,0,C234/I234)</f>
        <v>0.706513905941387</v>
      </c>
      <c r="K234" s="11" t="n">
        <f aca="false">IF(I234=0,0,D234/I234)</f>
        <v>0.127568995889607</v>
      </c>
      <c r="L234" s="11" t="n">
        <f aca="false">IF(I234=0,0,E234/I234)</f>
        <v>0.132760369401591</v>
      </c>
      <c r="M234" s="11" t="n">
        <f aca="false">IF(I234=0,0,H234/I234)</f>
        <v>0.032582875140127</v>
      </c>
      <c r="N234" s="4" t="str">
        <f aca="false">INDEX($C$3:$E$3,MATCH(MAX(C234:E234),C234:E234,0))</f>
        <v>PT-Morena-PES</v>
      </c>
      <c r="O234" s="17" t="n">
        <f aca="false">(MAX(J234:L234)-LARGE(J234:L234,2))*100</f>
        <v>57.3753536539796</v>
      </c>
    </row>
    <row r="235" customFormat="false" ht="15" hidden="false" customHeight="false" outlineLevel="0" collapsed="false">
      <c r="A235" s="4" t="s">
        <v>61</v>
      </c>
      <c r="B235" s="4" t="n">
        <v>4</v>
      </c>
      <c r="C235" s="5" t="n">
        <v>113637</v>
      </c>
      <c r="D235" s="5" t="n">
        <v>43012</v>
      </c>
      <c r="E235" s="5" t="n">
        <v>27276</v>
      </c>
      <c r="F235" s="5" t="n">
        <v>0</v>
      </c>
      <c r="G235" s="5" t="n">
        <v>259</v>
      </c>
      <c r="H235" s="5" t="n">
        <v>5932</v>
      </c>
      <c r="I235" s="5" t="n">
        <v>190116</v>
      </c>
      <c r="J235" s="11" t="n">
        <f aca="false">IF(I235=0,0,C235/I235)</f>
        <v>0.597724547118601</v>
      </c>
      <c r="K235" s="11" t="n">
        <f aca="false">IF(I235=0,0,D235/I235)</f>
        <v>0.226240821393255</v>
      </c>
      <c r="L235" s="11" t="n">
        <f aca="false">IF(I235=0,0,E235/I235)</f>
        <v>0.143470302341728</v>
      </c>
      <c r="M235" s="11" t="n">
        <f aca="false">IF(I235=0,0,H235/I235)</f>
        <v>0.0312020029876496</v>
      </c>
      <c r="N235" s="4" t="str">
        <f aca="false">INDEX($C$3:$E$3,MATCH(MAX(C235:E235),C235:E235,0))</f>
        <v>PT-Morena-PES</v>
      </c>
      <c r="O235" s="17" t="n">
        <f aca="false">(MAX(J235:L235)-LARGE(J235:L235,2))*100</f>
        <v>37.1483725725347</v>
      </c>
    </row>
    <row r="236" customFormat="false" ht="15" hidden="false" customHeight="false" outlineLevel="0" collapsed="false">
      <c r="A236" s="4" t="s">
        <v>62</v>
      </c>
      <c r="B236" s="4" t="n">
        <v>1</v>
      </c>
      <c r="C236" s="5" t="n">
        <v>41175</v>
      </c>
      <c r="D236" s="5" t="n">
        <v>53476</v>
      </c>
      <c r="E236" s="5" t="n">
        <v>66965</v>
      </c>
      <c r="F236" s="5" t="n">
        <v>0</v>
      </c>
      <c r="G236" s="5" t="n">
        <v>55</v>
      </c>
      <c r="H236" s="5" t="n">
        <v>11547</v>
      </c>
      <c r="I236" s="5" t="n">
        <v>173218</v>
      </c>
      <c r="J236" s="11" t="n">
        <f aca="false">IF(I236=0,0,C236/I236)</f>
        <v>0.23770624300015</v>
      </c>
      <c r="K236" s="11" t="n">
        <f aca="false">IF(I236=0,0,D236/I236)</f>
        <v>0.308720802687942</v>
      </c>
      <c r="L236" s="11" t="n">
        <f aca="false">IF(I236=0,0,E236/I236)</f>
        <v>0.386593772009837</v>
      </c>
      <c r="M236" s="11" t="n">
        <f aca="false">IF(I236=0,0,H236/I236)</f>
        <v>0.0666616633375284</v>
      </c>
      <c r="N236" s="4" t="str">
        <f aca="false">INDEX($C$3:$E$3,MATCH(MAX(C236:E236),C236:E236,0))</f>
        <v>PRI-PVEM-NA</v>
      </c>
      <c r="O236" s="17" t="n">
        <f aca="false">(MAX(J236:L236)-LARGE(J236:L236,2))*100</f>
        <v>7.78729693218949</v>
      </c>
    </row>
    <row r="237" customFormat="false" ht="15" hidden="false" customHeight="false" outlineLevel="0" collapsed="false">
      <c r="A237" s="4" t="s">
        <v>62</v>
      </c>
      <c r="B237" s="4" t="n">
        <v>2</v>
      </c>
      <c r="C237" s="5" t="n">
        <v>50690</v>
      </c>
      <c r="D237" s="5" t="n">
        <v>82276</v>
      </c>
      <c r="E237" s="5" t="n">
        <v>52895</v>
      </c>
      <c r="F237" s="5" t="n">
        <v>0</v>
      </c>
      <c r="G237" s="5" t="n">
        <v>155</v>
      </c>
      <c r="H237" s="5" t="n">
        <v>10194</v>
      </c>
      <c r="I237" s="5" t="n">
        <v>196210</v>
      </c>
      <c r="J237" s="11" t="n">
        <f aca="false">IF(I237=0,0,C237/I237)</f>
        <v>0.258345650068804</v>
      </c>
      <c r="K237" s="11" t="n">
        <f aca="false">IF(I237=0,0,D237/I237)</f>
        <v>0.419326232098262</v>
      </c>
      <c r="L237" s="11" t="n">
        <f aca="false">IF(I237=0,0,E237/I237)</f>
        <v>0.269583609398094</v>
      </c>
      <c r="M237" s="11" t="n">
        <f aca="false">IF(I237=0,0,H237/I237)</f>
        <v>0.0519545385046634</v>
      </c>
      <c r="N237" s="4" t="str">
        <f aca="false">INDEX($C$3:$E$3,MATCH(MAX(C237:E237),C237:E237,0))</f>
        <v>PAN-PRD-MC</v>
      </c>
      <c r="O237" s="17" t="n">
        <f aca="false">(MAX(J237:L237)-LARGE(J237:L237,2))*100</f>
        <v>14.9742622700168</v>
      </c>
    </row>
    <row r="238" customFormat="false" ht="15" hidden="false" customHeight="false" outlineLevel="0" collapsed="false">
      <c r="A238" s="4" t="s">
        <v>62</v>
      </c>
      <c r="B238" s="4" t="n">
        <v>3</v>
      </c>
      <c r="C238" s="5" t="n">
        <v>39746</v>
      </c>
      <c r="D238" s="5" t="n">
        <v>56205</v>
      </c>
      <c r="E238" s="5" t="n">
        <v>62128</v>
      </c>
      <c r="F238" s="5" t="n">
        <v>0</v>
      </c>
      <c r="G238" s="5" t="n">
        <v>65</v>
      </c>
      <c r="H238" s="5" t="n">
        <v>10539</v>
      </c>
      <c r="I238" s="5" t="n">
        <v>168683</v>
      </c>
      <c r="J238" s="11" t="n">
        <f aca="false">IF(I238=0,0,C238/I238)</f>
        <v>0.235625403864053</v>
      </c>
      <c r="K238" s="11" t="n">
        <f aca="false">IF(I238=0,0,D238/I238)</f>
        <v>0.33319895899409</v>
      </c>
      <c r="L238" s="11" t="n">
        <f aca="false">IF(I238=0,0,E238/I238)</f>
        <v>0.368312159494436</v>
      </c>
      <c r="M238" s="11" t="n">
        <f aca="false">IF(I238=0,0,H238/I238)</f>
        <v>0.0624781394687076</v>
      </c>
      <c r="N238" s="4" t="str">
        <f aca="false">INDEX($C$3:$E$3,MATCH(MAX(C238:E238),C238:E238,0))</f>
        <v>PRI-PVEM-NA</v>
      </c>
      <c r="O238" s="17" t="n">
        <f aca="false">(MAX(J238:L238)-LARGE(J238:L238,2))*100</f>
        <v>3.51132005003468</v>
      </c>
    </row>
    <row r="239" customFormat="false" ht="15" hidden="false" customHeight="false" outlineLevel="0" collapsed="false">
      <c r="A239" s="4" t="s">
        <v>62</v>
      </c>
      <c r="B239" s="4" t="n">
        <v>4</v>
      </c>
      <c r="C239" s="5" t="n">
        <v>58400</v>
      </c>
      <c r="D239" s="5" t="n">
        <v>45611</v>
      </c>
      <c r="E239" s="5" t="n">
        <v>43807</v>
      </c>
      <c r="F239" s="5" t="n">
        <v>0</v>
      </c>
      <c r="G239" s="5" t="n">
        <v>90</v>
      </c>
      <c r="H239" s="5" t="n">
        <v>9184</v>
      </c>
      <c r="I239" s="5" t="n">
        <v>157092</v>
      </c>
      <c r="J239" s="11" t="n">
        <f aca="false">IF(I239=0,0,C239/I239)</f>
        <v>0.371756677615665</v>
      </c>
      <c r="K239" s="11" t="n">
        <f aca="false">IF(I239=0,0,D239/I239)</f>
        <v>0.290345784635755</v>
      </c>
      <c r="L239" s="11" t="n">
        <f aca="false">IF(I239=0,0,E239/I239)</f>
        <v>0.27886206808749</v>
      </c>
      <c r="M239" s="11" t="n">
        <f aca="false">IF(I239=0,0,H239/I239)</f>
        <v>0.058462556972984</v>
      </c>
      <c r="N239" s="4" t="str">
        <f aca="false">INDEX($C$3:$E$3,MATCH(MAX(C239:E239),C239:E239,0))</f>
        <v>PT-Morena-PES</v>
      </c>
      <c r="O239" s="17" t="n">
        <f aca="false">(MAX(J239:L239)-LARGE(J239:L239,2))*100</f>
        <v>8.14108929799099</v>
      </c>
    </row>
    <row r="240" customFormat="false" ht="15" hidden="false" customHeight="false" outlineLevel="0" collapsed="false">
      <c r="A240" s="4" t="s">
        <v>62</v>
      </c>
      <c r="B240" s="4" t="n">
        <v>5</v>
      </c>
      <c r="C240" s="5" t="n">
        <v>57819</v>
      </c>
      <c r="D240" s="5" t="n">
        <v>87672</v>
      </c>
      <c r="E240" s="5" t="n">
        <v>33925</v>
      </c>
      <c r="F240" s="5" t="n">
        <v>0</v>
      </c>
      <c r="G240" s="5" t="n">
        <v>295</v>
      </c>
      <c r="H240" s="5" t="n">
        <v>9737</v>
      </c>
      <c r="I240" s="5" t="n">
        <v>189448</v>
      </c>
      <c r="J240" s="11" t="n">
        <f aca="false">IF(I240=0,0,C240/I240)</f>
        <v>0.305197204509945</v>
      </c>
      <c r="K240" s="11" t="n">
        <f aca="false">IF(I240=0,0,D240/I240)</f>
        <v>0.462776065199949</v>
      </c>
      <c r="L240" s="11" t="n">
        <f aca="false">IF(I240=0,0,E240/I240)</f>
        <v>0.179072885435581</v>
      </c>
      <c r="M240" s="11" t="n">
        <f aca="false">IF(I240=0,0,H240/I240)</f>
        <v>0.0513966893289979</v>
      </c>
      <c r="N240" s="4" t="str">
        <f aca="false">INDEX($C$3:$E$3,MATCH(MAX(C240:E240),C240:E240,0))</f>
        <v>PAN-PRD-MC</v>
      </c>
      <c r="O240" s="17" t="n">
        <f aca="false">(MAX(J240:L240)-LARGE(J240:L240,2))*100</f>
        <v>15.7578860690005</v>
      </c>
    </row>
    <row r="241" customFormat="false" ht="15" hidden="false" customHeight="false" outlineLevel="0" collapsed="false">
      <c r="A241" s="4" t="s">
        <v>62</v>
      </c>
      <c r="B241" s="4" t="n">
        <v>6</v>
      </c>
      <c r="C241" s="5" t="n">
        <v>66849</v>
      </c>
      <c r="D241" s="5" t="n">
        <v>67381</v>
      </c>
      <c r="E241" s="5" t="n">
        <v>31953</v>
      </c>
      <c r="F241" s="5" t="n">
        <v>0</v>
      </c>
      <c r="G241" s="5" t="n">
        <v>280</v>
      </c>
      <c r="H241" s="5" t="n">
        <v>9384</v>
      </c>
      <c r="I241" s="5" t="n">
        <v>175847</v>
      </c>
      <c r="J241" s="11" t="n">
        <f aca="false">IF(I241=0,0,C241/I241)</f>
        <v>0.380154338714906</v>
      </c>
      <c r="K241" s="11" t="n">
        <f aca="false">IF(I241=0,0,D241/I241)</f>
        <v>0.383179695985715</v>
      </c>
      <c r="L241" s="11" t="n">
        <f aca="false">IF(I241=0,0,E241/I241)</f>
        <v>0.181709099387536</v>
      </c>
      <c r="M241" s="11" t="n">
        <f aca="false">IF(I241=0,0,H241/I241)</f>
        <v>0.0533645726114179</v>
      </c>
      <c r="N241" s="4" t="str">
        <f aca="false">INDEX($C$3:$E$3,MATCH(MAX(C241:E241),C241:E241,0))</f>
        <v>PAN-PRD-MC</v>
      </c>
      <c r="O241" s="17" t="n">
        <f aca="false">(MAX(J241:L241)-LARGE(J241:L241,2))*100</f>
        <v>0.302535727080927</v>
      </c>
    </row>
    <row r="242" customFormat="false" ht="15" hidden="false" customHeight="false" outlineLevel="0" collapsed="false">
      <c r="A242" s="4" t="s">
        <v>62</v>
      </c>
      <c r="B242" s="4" t="n">
        <v>7</v>
      </c>
      <c r="C242" s="5" t="n">
        <v>48612</v>
      </c>
      <c r="D242" s="5" t="n">
        <v>63868</v>
      </c>
      <c r="E242" s="5" t="n">
        <v>63744</v>
      </c>
      <c r="F242" s="5" t="n">
        <v>0</v>
      </c>
      <c r="G242" s="5" t="n">
        <v>24</v>
      </c>
      <c r="H242" s="5" t="n">
        <v>16893</v>
      </c>
      <c r="I242" s="5" t="n">
        <v>193141</v>
      </c>
      <c r="J242" s="11" t="n">
        <f aca="false">IF(I242=0,0,C242/I242)</f>
        <v>0.251691769225592</v>
      </c>
      <c r="K242" s="11" t="n">
        <f aca="false">IF(I242=0,0,D242/I242)</f>
        <v>0.330680694414961</v>
      </c>
      <c r="L242" s="11" t="n">
        <f aca="false">IF(I242=0,0,E242/I242)</f>
        <v>0.330038676407392</v>
      </c>
      <c r="M242" s="11" t="n">
        <f aca="false">IF(I242=0,0,H242/I242)</f>
        <v>0.0874645984022036</v>
      </c>
      <c r="N242" s="4" t="str">
        <f aca="false">INDEX($C$3:$E$3,MATCH(MAX(C242:E242),C242:E242,0))</f>
        <v>PAN-PRD-MC</v>
      </c>
      <c r="O242" s="17" t="n">
        <f aca="false">(MAX(J242:L242)-LARGE(J242:L242,2))*100</f>
        <v>0.0642018007569634</v>
      </c>
    </row>
    <row r="243" customFormat="false" ht="15" hidden="false" customHeight="false" outlineLevel="0" collapsed="false">
      <c r="A243" s="4" t="s">
        <v>63</v>
      </c>
      <c r="B243" s="4" t="n">
        <v>1</v>
      </c>
      <c r="C243" s="5" t="n">
        <v>79810</v>
      </c>
      <c r="D243" s="5" t="n">
        <v>35590</v>
      </c>
      <c r="E243" s="5" t="n">
        <v>48225</v>
      </c>
      <c r="F243" s="5" t="n">
        <v>0</v>
      </c>
      <c r="G243" s="5" t="n">
        <v>51</v>
      </c>
      <c r="H243" s="5" t="n">
        <v>5536</v>
      </c>
      <c r="I243" s="5" t="n">
        <v>169212</v>
      </c>
      <c r="J243" s="11" t="n">
        <f aca="false">IF(I243=0,0,C243/I243)</f>
        <v>0.47165685648772</v>
      </c>
      <c r="K243" s="11" t="n">
        <f aca="false">IF(I243=0,0,D243/I243)</f>
        <v>0.210327872727703</v>
      </c>
      <c r="L243" s="11" t="n">
        <f aca="false">IF(I243=0,0,E243/I243)</f>
        <v>0.284997517906531</v>
      </c>
      <c r="M243" s="11" t="n">
        <f aca="false">IF(I243=0,0,H243/I243)</f>
        <v>0.0327163558140085</v>
      </c>
      <c r="N243" s="4" t="str">
        <f aca="false">INDEX($C$3:$E$3,MATCH(MAX(C243:E243),C243:E243,0))</f>
        <v>PT-Morena-PES</v>
      </c>
      <c r="O243" s="17" t="n">
        <f aca="false">(MAX(J243:L243)-LARGE(J243:L243,2))*100</f>
        <v>18.6659338581188</v>
      </c>
    </row>
    <row r="244" customFormat="false" ht="15" hidden="false" customHeight="false" outlineLevel="0" collapsed="false">
      <c r="A244" s="4" t="s">
        <v>63</v>
      </c>
      <c r="B244" s="4" t="n">
        <v>2</v>
      </c>
      <c r="C244" s="5" t="n">
        <v>106199</v>
      </c>
      <c r="D244" s="5" t="n">
        <v>39572</v>
      </c>
      <c r="E244" s="5" t="n">
        <v>42514</v>
      </c>
      <c r="F244" s="5" t="n">
        <v>6158</v>
      </c>
      <c r="G244" s="5" t="n">
        <v>25</v>
      </c>
      <c r="H244" s="5" t="n">
        <v>4737</v>
      </c>
      <c r="I244" s="5" t="n">
        <v>199205</v>
      </c>
      <c r="J244" s="11" t="n">
        <f aca="false">IF(I244=0,0,C244/I244)</f>
        <v>0.533114128661429</v>
      </c>
      <c r="K244" s="11" t="n">
        <f aca="false">IF(I244=0,0,D244/I244)</f>
        <v>0.198649632288346</v>
      </c>
      <c r="L244" s="11" t="n">
        <f aca="false">IF(I244=0,0,E244/I244)</f>
        <v>0.213418337893125</v>
      </c>
      <c r="M244" s="11" t="n">
        <f aca="false">IF(I244=0,0,H244/I244)</f>
        <v>0.0237795236063352</v>
      </c>
      <c r="N244" s="4" t="str">
        <f aca="false">INDEX($C$3:$E$3,MATCH(MAX(C244:E244),C244:E244,0))</f>
        <v>PT-Morena-PES</v>
      </c>
      <c r="O244" s="17" t="n">
        <f aca="false">(MAX(J244:L244)-LARGE(J244:L244,2))*100</f>
        <v>31.9695790768304</v>
      </c>
    </row>
    <row r="245" customFormat="false" ht="15" hidden="false" customHeight="false" outlineLevel="0" collapsed="false">
      <c r="A245" s="4" t="s">
        <v>63</v>
      </c>
      <c r="B245" s="4" t="n">
        <v>3</v>
      </c>
      <c r="C245" s="5" t="n">
        <v>88696</v>
      </c>
      <c r="D245" s="5" t="n">
        <v>42884</v>
      </c>
      <c r="E245" s="5" t="n">
        <v>64671</v>
      </c>
      <c r="F245" s="5" t="n">
        <v>0</v>
      </c>
      <c r="G245" s="5" t="n">
        <v>37</v>
      </c>
      <c r="H245" s="5" t="n">
        <v>7905</v>
      </c>
      <c r="I245" s="5" t="n">
        <v>204193</v>
      </c>
      <c r="J245" s="11" t="n">
        <f aca="false">IF(I245=0,0,C245/I245)</f>
        <v>0.434373362456108</v>
      </c>
      <c r="K245" s="11" t="n">
        <f aca="false">IF(I245=0,0,D245/I245)</f>
        <v>0.210016993726523</v>
      </c>
      <c r="L245" s="11" t="n">
        <f aca="false">IF(I245=0,0,E245/I245)</f>
        <v>0.316715068587072</v>
      </c>
      <c r="M245" s="11" t="n">
        <f aca="false">IF(I245=0,0,H245/I245)</f>
        <v>0.0387133741117472</v>
      </c>
      <c r="N245" s="4" t="str">
        <f aca="false">INDEX($C$3:$E$3,MATCH(MAX(C245:E245),C245:E245,0))</f>
        <v>PT-Morena-PES</v>
      </c>
      <c r="O245" s="17" t="n">
        <f aca="false">(MAX(J245:L245)-LARGE(J245:L245,2))*100</f>
        <v>11.7658293869036</v>
      </c>
    </row>
    <row r="246" customFormat="false" ht="15" hidden="false" customHeight="false" outlineLevel="0" collapsed="false">
      <c r="A246" s="4" t="s">
        <v>63</v>
      </c>
      <c r="B246" s="4" t="n">
        <v>4</v>
      </c>
      <c r="C246" s="5" t="n">
        <v>98289</v>
      </c>
      <c r="D246" s="5" t="n">
        <v>28097</v>
      </c>
      <c r="E246" s="5" t="n">
        <v>64444</v>
      </c>
      <c r="F246" s="5" t="n">
        <v>0</v>
      </c>
      <c r="G246" s="5" t="n">
        <v>39</v>
      </c>
      <c r="H246" s="5" t="n">
        <v>6365</v>
      </c>
      <c r="I246" s="5" t="n">
        <v>197234</v>
      </c>
      <c r="J246" s="11" t="n">
        <f aca="false">IF(I246=0,0,C246/I246)</f>
        <v>0.498337000719957</v>
      </c>
      <c r="K246" s="11" t="n">
        <f aca="false">IF(I246=0,0,D246/I246)</f>
        <v>0.142455154790756</v>
      </c>
      <c r="L246" s="11" t="n">
        <f aca="false">IF(I246=0,0,E246/I246)</f>
        <v>0.326738797570399</v>
      </c>
      <c r="M246" s="11" t="n">
        <f aca="false">IF(I246=0,0,H246/I246)</f>
        <v>0.0322713122483953</v>
      </c>
      <c r="N246" s="4" t="str">
        <f aca="false">INDEX($C$3:$E$3,MATCH(MAX(C246:E246),C246:E246,0))</f>
        <v>PT-Morena-PES</v>
      </c>
      <c r="O246" s="17" t="n">
        <f aca="false">(MAX(J246:L246)-LARGE(J246:L246,2))*100</f>
        <v>17.1598203149558</v>
      </c>
    </row>
    <row r="247" customFormat="false" ht="15" hidden="false" customHeight="false" outlineLevel="0" collapsed="false">
      <c r="A247" s="4" t="s">
        <v>63</v>
      </c>
      <c r="B247" s="4" t="n">
        <v>5</v>
      </c>
      <c r="C247" s="5" t="n">
        <v>99292</v>
      </c>
      <c r="D247" s="5" t="n">
        <v>22224</v>
      </c>
      <c r="E247" s="5" t="n">
        <v>41924</v>
      </c>
      <c r="F247" s="5" t="n">
        <v>11891</v>
      </c>
      <c r="G247" s="5" t="n">
        <v>82</v>
      </c>
      <c r="H247" s="5" t="n">
        <v>3939</v>
      </c>
      <c r="I247" s="5" t="n">
        <v>179352</v>
      </c>
      <c r="J247" s="11" t="n">
        <f aca="false">IF(I247=0,0,C247/I247)</f>
        <v>0.553615237075695</v>
      </c>
      <c r="K247" s="11" t="n">
        <f aca="false">IF(I247=0,0,D247/I247)</f>
        <v>0.12391275257594</v>
      </c>
      <c r="L247" s="11" t="n">
        <f aca="false">IF(I247=0,0,E247/I247)</f>
        <v>0.233752620545073</v>
      </c>
      <c r="M247" s="11" t="n">
        <f aca="false">IF(I247=0,0,H247/I247)</f>
        <v>0.021962397966011</v>
      </c>
      <c r="N247" s="4" t="str">
        <f aca="false">INDEX($C$3:$E$3,MATCH(MAX(C247:E247),C247:E247,0))</f>
        <v>PT-Morena-PES</v>
      </c>
      <c r="O247" s="17" t="n">
        <f aca="false">(MAX(J247:L247)-LARGE(J247:L247,2))*100</f>
        <v>31.9862616530621</v>
      </c>
    </row>
    <row r="248" customFormat="false" ht="15" hidden="false" customHeight="false" outlineLevel="0" collapsed="false">
      <c r="A248" s="4" t="s">
        <v>63</v>
      </c>
      <c r="B248" s="4" t="n">
        <v>6</v>
      </c>
      <c r="C248" s="5" t="n">
        <v>82309</v>
      </c>
      <c r="D248" s="5" t="n">
        <v>34719</v>
      </c>
      <c r="E248" s="5" t="n">
        <v>52322</v>
      </c>
      <c r="F248" s="5" t="n">
        <v>0</v>
      </c>
      <c r="G248" s="5" t="n">
        <v>66</v>
      </c>
      <c r="H248" s="5" t="n">
        <v>5965</v>
      </c>
      <c r="I248" s="5" t="n">
        <v>175381</v>
      </c>
      <c r="J248" s="11" t="n">
        <f aca="false">IF(I248=0,0,C248/I248)</f>
        <v>0.469315376238019</v>
      </c>
      <c r="K248" s="11" t="n">
        <f aca="false">IF(I248=0,0,D248/I248)</f>
        <v>0.19796329134855</v>
      </c>
      <c r="L248" s="11" t="n">
        <f aca="false">IF(I248=0,0,E248/I248)</f>
        <v>0.298333342836453</v>
      </c>
      <c r="M248" s="11" t="n">
        <f aca="false">IF(I248=0,0,H248/I248)</f>
        <v>0.0340116660299576</v>
      </c>
      <c r="N248" s="4" t="str">
        <f aca="false">INDEX($C$3:$E$3,MATCH(MAX(C248:E248),C248:E248,0))</f>
        <v>PT-Morena-PES</v>
      </c>
      <c r="O248" s="17" t="n">
        <f aca="false">(MAX(J248:L248)-LARGE(J248:L248,2))*100</f>
        <v>17.0982033401566</v>
      </c>
    </row>
    <row r="249" customFormat="false" ht="15" hidden="false" customHeight="false" outlineLevel="0" collapsed="false">
      <c r="A249" s="4" t="s">
        <v>63</v>
      </c>
      <c r="B249" s="4" t="n">
        <v>7</v>
      </c>
      <c r="C249" s="5" t="n">
        <v>94263</v>
      </c>
      <c r="D249" s="5" t="n">
        <v>24163</v>
      </c>
      <c r="E249" s="5" t="n">
        <v>45139</v>
      </c>
      <c r="F249" s="5" t="n">
        <v>0</v>
      </c>
      <c r="G249" s="5" t="n">
        <v>119</v>
      </c>
      <c r="H249" s="5" t="n">
        <v>4531</v>
      </c>
      <c r="I249" s="5" t="n">
        <v>168215</v>
      </c>
      <c r="J249" s="11" t="n">
        <f aca="false">IF(I249=0,0,C249/I249)</f>
        <v>0.560372142793449</v>
      </c>
      <c r="K249" s="11" t="n">
        <f aca="false">IF(I249=0,0,D249/I249)</f>
        <v>0.143643551407425</v>
      </c>
      <c r="L249" s="11" t="n">
        <f aca="false">IF(I249=0,0,E249/I249)</f>
        <v>0.268341111078085</v>
      </c>
      <c r="M249" s="11" t="n">
        <f aca="false">IF(I249=0,0,H249/I249)</f>
        <v>0.0269357667271052</v>
      </c>
      <c r="N249" s="4" t="str">
        <f aca="false">INDEX($C$3:$E$3,MATCH(MAX(C249:E249),C249:E249,0))</f>
        <v>PT-Morena-PES</v>
      </c>
      <c r="O249" s="17" t="n">
        <f aca="false">(MAX(J249:L249)-LARGE(J249:L249,2))*100</f>
        <v>29.2031031715364</v>
      </c>
    </row>
    <row r="250" customFormat="false" ht="15" hidden="false" customHeight="false" outlineLevel="0" collapsed="false">
      <c r="A250" s="4" t="s">
        <v>64</v>
      </c>
      <c r="B250" s="4" t="n">
        <v>1</v>
      </c>
      <c r="C250" s="5" t="n">
        <v>63611</v>
      </c>
      <c r="D250" s="5" t="n">
        <v>30858</v>
      </c>
      <c r="E250" s="5" t="n">
        <v>35432</v>
      </c>
      <c r="F250" s="5" t="n">
        <v>0</v>
      </c>
      <c r="G250" s="5" t="n">
        <v>77</v>
      </c>
      <c r="H250" s="5" t="n">
        <v>4687</v>
      </c>
      <c r="I250" s="5" t="n">
        <v>134665</v>
      </c>
      <c r="J250" s="11" t="n">
        <f aca="false">IF(I250=0,0,C250/I250)</f>
        <v>0.472364756989567</v>
      </c>
      <c r="K250" s="11" t="n">
        <f aca="false">IF(I250=0,0,D250/I250)</f>
        <v>0.229146400326737</v>
      </c>
      <c r="L250" s="11" t="n">
        <f aca="false">IF(I250=0,0,E250/I250)</f>
        <v>0.263112167229792</v>
      </c>
      <c r="M250" s="11" t="n">
        <f aca="false">IF(I250=0,0,H250/I250)</f>
        <v>0.0348048861990866</v>
      </c>
      <c r="N250" s="4" t="str">
        <f aca="false">INDEX($C$3:$E$3,MATCH(MAX(C250:E250),C250:E250,0))</f>
        <v>PT-Morena-PES</v>
      </c>
      <c r="O250" s="17" t="n">
        <f aca="false">(MAX(J250:L250)-LARGE(J250:L250,2))*100</f>
        <v>20.9252589759774</v>
      </c>
    </row>
    <row r="251" customFormat="false" ht="15" hidden="false" customHeight="false" outlineLevel="0" collapsed="false">
      <c r="A251" s="4" t="s">
        <v>64</v>
      </c>
      <c r="B251" s="4" t="n">
        <v>2</v>
      </c>
      <c r="C251" s="5" t="n">
        <v>72500</v>
      </c>
      <c r="D251" s="5" t="n">
        <v>40015</v>
      </c>
      <c r="E251" s="5" t="n">
        <v>44375</v>
      </c>
      <c r="F251" s="5" t="n">
        <v>0</v>
      </c>
      <c r="G251" s="5" t="n">
        <v>56</v>
      </c>
      <c r="H251" s="5" t="n">
        <v>5639</v>
      </c>
      <c r="I251" s="5" t="n">
        <v>162585</v>
      </c>
      <c r="J251" s="11" t="n">
        <f aca="false">IF(I251=0,0,C251/I251)</f>
        <v>0.445920595380878</v>
      </c>
      <c r="K251" s="11" t="n">
        <f aca="false">IF(I251=0,0,D251/I251)</f>
        <v>0.246117415505735</v>
      </c>
      <c r="L251" s="11" t="n">
        <f aca="false">IF(I251=0,0,E251/I251)</f>
        <v>0.272934157517606</v>
      </c>
      <c r="M251" s="11" t="n">
        <f aca="false">IF(I251=0,0,H251/I251)</f>
        <v>0.0346833963772796</v>
      </c>
      <c r="N251" s="4" t="str">
        <f aca="false">INDEX($C$3:$E$3,MATCH(MAX(C251:E251),C251:E251,0))</f>
        <v>PT-Morena-PES</v>
      </c>
      <c r="O251" s="17" t="n">
        <f aca="false">(MAX(J251:L251)-LARGE(J251:L251,2))*100</f>
        <v>17.2986437863272</v>
      </c>
    </row>
    <row r="252" customFormat="false" ht="15" hidden="false" customHeight="false" outlineLevel="0" collapsed="false">
      <c r="A252" s="4" t="s">
        <v>64</v>
      </c>
      <c r="B252" s="4" t="n">
        <v>3</v>
      </c>
      <c r="C252" s="5" t="n">
        <v>71776</v>
      </c>
      <c r="D252" s="5" t="n">
        <v>33369</v>
      </c>
      <c r="E252" s="5" t="n">
        <v>40060</v>
      </c>
      <c r="F252" s="5" t="n">
        <v>0</v>
      </c>
      <c r="G252" s="5" t="n">
        <v>93</v>
      </c>
      <c r="H252" s="5" t="n">
        <v>4906</v>
      </c>
      <c r="I252" s="5" t="n">
        <v>150204</v>
      </c>
      <c r="J252" s="11" t="n">
        <f aca="false">IF(I252=0,0,C252/I252)</f>
        <v>0.477856781443903</v>
      </c>
      <c r="K252" s="11" t="n">
        <f aca="false">IF(I252=0,0,D252/I252)</f>
        <v>0.222157865303188</v>
      </c>
      <c r="L252" s="11" t="n">
        <f aca="false">IF(I252=0,0,E252/I252)</f>
        <v>0.266703949295625</v>
      </c>
      <c r="M252" s="11" t="n">
        <f aca="false">IF(I252=0,0,H252/I252)</f>
        <v>0.0326622460120902</v>
      </c>
      <c r="N252" s="4" t="str">
        <f aca="false">INDEX($C$3:$E$3,MATCH(MAX(C252:E252),C252:E252,0))</f>
        <v>PT-Morena-PES</v>
      </c>
      <c r="O252" s="17" t="n">
        <f aca="false">(MAX(J252:L252)-LARGE(J252:L252,2))*100</f>
        <v>21.1152832148278</v>
      </c>
    </row>
    <row r="253" customFormat="false" ht="15" hidden="false" customHeight="false" outlineLevel="0" collapsed="false">
      <c r="A253" s="4" t="s">
        <v>64</v>
      </c>
      <c r="B253" s="4" t="n">
        <v>4</v>
      </c>
      <c r="C253" s="5" t="n">
        <v>70175</v>
      </c>
      <c r="D253" s="5" t="n">
        <v>32796</v>
      </c>
      <c r="E253" s="5" t="n">
        <v>56202</v>
      </c>
      <c r="F253" s="5" t="n">
        <v>0</v>
      </c>
      <c r="G253" s="5" t="n">
        <v>46</v>
      </c>
      <c r="H253" s="5" t="n">
        <v>6165</v>
      </c>
      <c r="I253" s="5" t="n">
        <v>165384</v>
      </c>
      <c r="J253" s="11" t="n">
        <f aca="false">IF(I253=0,0,C253/I253)</f>
        <v>0.424315532336865</v>
      </c>
      <c r="K253" s="11" t="n">
        <f aca="false">IF(I253=0,0,D253/I253)</f>
        <v>0.19830213321724</v>
      </c>
      <c r="L253" s="11" t="n">
        <f aca="false">IF(I253=0,0,E253/I253)</f>
        <v>0.339827310985343</v>
      </c>
      <c r="M253" s="11" t="n">
        <f aca="false">IF(I253=0,0,H253/I253)</f>
        <v>0.037276882890727</v>
      </c>
      <c r="N253" s="4" t="str">
        <f aca="false">INDEX($C$3:$E$3,MATCH(MAX(C253:E253),C253:E253,0))</f>
        <v>PT-Morena-PES</v>
      </c>
      <c r="O253" s="17" t="n">
        <f aca="false">(MAX(J253:L253)-LARGE(J253:L253,2))*100</f>
        <v>8.44882213515214</v>
      </c>
    </row>
    <row r="254" customFormat="false" ht="15" hidden="false" customHeight="false" outlineLevel="0" collapsed="false">
      <c r="A254" s="4" t="s">
        <v>64</v>
      </c>
      <c r="B254" s="4" t="n">
        <v>5</v>
      </c>
      <c r="C254" s="5" t="n">
        <v>69949</v>
      </c>
      <c r="D254" s="5" t="n">
        <v>34554</v>
      </c>
      <c r="E254" s="5" t="n">
        <v>45350</v>
      </c>
      <c r="F254" s="5" t="n">
        <v>0</v>
      </c>
      <c r="G254" s="5" t="n">
        <v>109</v>
      </c>
      <c r="H254" s="5" t="n">
        <v>5138</v>
      </c>
      <c r="I254" s="5" t="n">
        <v>155100</v>
      </c>
      <c r="J254" s="11" t="n">
        <f aca="false">IF(I254=0,0,C254/I254)</f>
        <v>0.450992907801418</v>
      </c>
      <c r="K254" s="11" t="n">
        <f aca="false">IF(I254=0,0,D254/I254)</f>
        <v>0.222785299806576</v>
      </c>
      <c r="L254" s="11" t="n">
        <f aca="false">IF(I254=0,0,E254/I254)</f>
        <v>0.292392005157963</v>
      </c>
      <c r="M254" s="11" t="n">
        <f aca="false">IF(I254=0,0,H254/I254)</f>
        <v>0.0331270148291425</v>
      </c>
      <c r="N254" s="4" t="str">
        <f aca="false">INDEX($C$3:$E$3,MATCH(MAX(C254:E254),C254:E254,0))</f>
        <v>PT-Morena-PES</v>
      </c>
      <c r="O254" s="17" t="n">
        <f aca="false">(MAX(J254:L254)-LARGE(J254:L254,2))*100</f>
        <v>15.8600902643456</v>
      </c>
    </row>
    <row r="255" customFormat="false" ht="15" hidden="false" customHeight="false" outlineLevel="0" collapsed="false">
      <c r="A255" s="4" t="s">
        <v>64</v>
      </c>
      <c r="B255" s="4" t="n">
        <v>6</v>
      </c>
      <c r="C255" s="5" t="n">
        <v>88368</v>
      </c>
      <c r="D255" s="5" t="n">
        <v>18011</v>
      </c>
      <c r="E255" s="5" t="n">
        <v>36390</v>
      </c>
      <c r="F255" s="5" t="n">
        <v>18256</v>
      </c>
      <c r="G255" s="5" t="n">
        <v>32</v>
      </c>
      <c r="H255" s="5" t="n">
        <v>4408</v>
      </c>
      <c r="I255" s="5" t="n">
        <v>165465</v>
      </c>
      <c r="J255" s="11" t="n">
        <f aca="false">IF(I255=0,0,C255/I255)</f>
        <v>0.534058562233705</v>
      </c>
      <c r="K255" s="11" t="n">
        <f aca="false">IF(I255=0,0,D255/I255)</f>
        <v>0.108850814371619</v>
      </c>
      <c r="L255" s="11" t="n">
        <f aca="false">IF(I255=0,0,E255/I255)</f>
        <v>0.219925664037712</v>
      </c>
      <c r="M255" s="11" t="n">
        <f aca="false">IF(I255=0,0,H255/I255)</f>
        <v>0.0266400749403197</v>
      </c>
      <c r="N255" s="4" t="str">
        <f aca="false">INDEX($C$3:$E$3,MATCH(MAX(C255:E255),C255:E255,0))</f>
        <v>PT-Morena-PES</v>
      </c>
      <c r="O255" s="17" t="n">
        <f aca="false">(MAX(J255:L255)-LARGE(J255:L255,2))*100</f>
        <v>31.4132898195993</v>
      </c>
    </row>
    <row r="256" customFormat="false" ht="15" hidden="false" customHeight="false" outlineLevel="0" collapsed="false">
      <c r="A256" s="4" t="s">
        <v>64</v>
      </c>
      <c r="B256" s="4" t="n">
        <v>7</v>
      </c>
      <c r="C256" s="5" t="n">
        <v>73262</v>
      </c>
      <c r="D256" s="5" t="n">
        <v>29943</v>
      </c>
      <c r="E256" s="5" t="n">
        <v>45772</v>
      </c>
      <c r="F256" s="5" t="n">
        <v>0</v>
      </c>
      <c r="G256" s="5" t="n">
        <v>31</v>
      </c>
      <c r="H256" s="5" t="n">
        <v>5694</v>
      </c>
      <c r="I256" s="5" t="n">
        <v>154702</v>
      </c>
      <c r="J256" s="11" t="n">
        <f aca="false">IF(I256=0,0,C256/I256)</f>
        <v>0.473568538221872</v>
      </c>
      <c r="K256" s="11" t="n">
        <f aca="false">IF(I256=0,0,D256/I256)</f>
        <v>0.193552765962948</v>
      </c>
      <c r="L256" s="11" t="n">
        <f aca="false">IF(I256=0,0,E256/I256)</f>
        <v>0.295872063709584</v>
      </c>
      <c r="M256" s="11" t="n">
        <f aca="false">IF(I256=0,0,H256/I256)</f>
        <v>0.0368062468487802</v>
      </c>
      <c r="N256" s="4" t="str">
        <f aca="false">INDEX($C$3:$E$3,MATCH(MAX(C256:E256),C256:E256,0))</f>
        <v>PT-Morena-PES</v>
      </c>
      <c r="O256" s="17" t="n">
        <f aca="false">(MAX(J256:L256)-LARGE(J256:L256,2))*100</f>
        <v>17.7696474512288</v>
      </c>
    </row>
    <row r="257" customFormat="false" ht="15" hidden="false" customHeight="false" outlineLevel="0" collapsed="false">
      <c r="A257" s="4" t="s">
        <v>65</v>
      </c>
      <c r="B257" s="4" t="n">
        <v>1</v>
      </c>
      <c r="C257" s="5" t="n">
        <v>113164</v>
      </c>
      <c r="D257" s="5" t="n">
        <v>19426</v>
      </c>
      <c r="E257" s="5" t="n">
        <v>33532</v>
      </c>
      <c r="F257" s="5" t="n">
        <v>1257</v>
      </c>
      <c r="G257" s="5" t="n">
        <v>68</v>
      </c>
      <c r="H257" s="5" t="n">
        <v>6937</v>
      </c>
      <c r="I257" s="5" t="n">
        <v>174384</v>
      </c>
      <c r="J257" s="11" t="n">
        <f aca="false">IF(I257=0,0,C257/I257)</f>
        <v>0.648935682172676</v>
      </c>
      <c r="K257" s="11" t="n">
        <f aca="false">IF(I257=0,0,D257/I257)</f>
        <v>0.111397834663731</v>
      </c>
      <c r="L257" s="11" t="n">
        <f aca="false">IF(I257=0,0,E257/I257)</f>
        <v>0.192288283328746</v>
      </c>
      <c r="M257" s="11" t="n">
        <f aca="false">IF(I257=0,0,H257/I257)</f>
        <v>0.0397800256904303</v>
      </c>
      <c r="N257" s="4" t="str">
        <f aca="false">INDEX($C$3:$E$3,MATCH(MAX(C257:E257),C257:E257,0))</f>
        <v>PT-Morena-PES</v>
      </c>
      <c r="O257" s="17" t="n">
        <f aca="false">(MAX(J257:L257)-LARGE(J257:L257,2))*100</f>
        <v>45.6647398843931</v>
      </c>
    </row>
    <row r="258" customFormat="false" ht="15" hidden="false" customHeight="false" outlineLevel="0" collapsed="false">
      <c r="A258" s="4" t="s">
        <v>65</v>
      </c>
      <c r="B258" s="4" t="n">
        <v>2</v>
      </c>
      <c r="C258" s="5" t="n">
        <v>132751</v>
      </c>
      <c r="D258" s="5" t="n">
        <v>41469</v>
      </c>
      <c r="E258" s="5" t="n">
        <v>25091</v>
      </c>
      <c r="F258" s="5" t="n">
        <v>1319</v>
      </c>
      <c r="G258" s="5" t="n">
        <v>145</v>
      </c>
      <c r="H258" s="5" t="n">
        <v>7841</v>
      </c>
      <c r="I258" s="5" t="n">
        <v>208616</v>
      </c>
      <c r="J258" s="11" t="n">
        <f aca="false">IF(I258=0,0,C258/I258)</f>
        <v>0.636341411972236</v>
      </c>
      <c r="K258" s="11" t="n">
        <f aca="false">IF(I258=0,0,D258/I258)</f>
        <v>0.198781493269931</v>
      </c>
      <c r="L258" s="11" t="n">
        <f aca="false">IF(I258=0,0,E258/I258)</f>
        <v>0.120273612762204</v>
      </c>
      <c r="M258" s="11" t="n">
        <f aca="false">IF(I258=0,0,H258/I258)</f>
        <v>0.0375858035817004</v>
      </c>
      <c r="N258" s="4" t="str">
        <f aca="false">INDEX($C$3:$E$3,MATCH(MAX(C258:E258),C258:E258,0))</f>
        <v>PT-Morena-PES</v>
      </c>
      <c r="O258" s="17" t="n">
        <f aca="false">(MAX(J258:L258)-LARGE(J258:L258,2))*100</f>
        <v>43.7559918702305</v>
      </c>
    </row>
    <row r="259" customFormat="false" ht="15" hidden="false" customHeight="false" outlineLevel="0" collapsed="false">
      <c r="A259" s="4" t="s">
        <v>65</v>
      </c>
      <c r="B259" s="4" t="n">
        <v>3</v>
      </c>
      <c r="C259" s="5" t="n">
        <v>105341</v>
      </c>
      <c r="D259" s="5" t="n">
        <v>34043</v>
      </c>
      <c r="E259" s="5" t="n">
        <v>26081</v>
      </c>
      <c r="F259" s="5" t="n">
        <v>1517</v>
      </c>
      <c r="G259" s="5" t="n">
        <v>18</v>
      </c>
      <c r="H259" s="5" t="n">
        <v>5302</v>
      </c>
      <c r="I259" s="5" t="n">
        <v>172302</v>
      </c>
      <c r="J259" s="11" t="n">
        <f aca="false">IF(I259=0,0,C259/I259)</f>
        <v>0.611374215041033</v>
      </c>
      <c r="K259" s="11" t="n">
        <f aca="false">IF(I259=0,0,D259/I259)</f>
        <v>0.197577509257002</v>
      </c>
      <c r="L259" s="11" t="n">
        <f aca="false">IF(I259=0,0,E259/I259)</f>
        <v>0.15136794697682</v>
      </c>
      <c r="M259" s="11" t="n">
        <f aca="false">IF(I259=0,0,H259/I259)</f>
        <v>0.0307715522744948</v>
      </c>
      <c r="N259" s="4" t="str">
        <f aca="false">INDEX($C$3:$E$3,MATCH(MAX(C259:E259),C259:E259,0))</f>
        <v>PT-Morena-PES</v>
      </c>
      <c r="O259" s="17" t="n">
        <f aca="false">(MAX(J259:L259)-LARGE(J259:L259,2))*100</f>
        <v>41.379670578403</v>
      </c>
    </row>
    <row r="260" customFormat="false" ht="15" hidden="false" customHeight="false" outlineLevel="0" collapsed="false">
      <c r="A260" s="4" t="s">
        <v>65</v>
      </c>
      <c r="B260" s="4" t="n">
        <v>4</v>
      </c>
      <c r="C260" s="5" t="n">
        <v>173408</v>
      </c>
      <c r="D260" s="5" t="n">
        <v>15157</v>
      </c>
      <c r="E260" s="5" t="n">
        <v>24699</v>
      </c>
      <c r="F260" s="5" t="n">
        <v>0</v>
      </c>
      <c r="G260" s="5" t="n">
        <v>119</v>
      </c>
      <c r="H260" s="5" t="n">
        <v>5543</v>
      </c>
      <c r="I260" s="5" t="n">
        <v>218926</v>
      </c>
      <c r="J260" s="11" t="n">
        <f aca="false">IF(I260=0,0,C260/I260)</f>
        <v>0.792084996756895</v>
      </c>
      <c r="K260" s="11" t="n">
        <f aca="false">IF(I260=0,0,D260/I260)</f>
        <v>0.0692334396097312</v>
      </c>
      <c r="L260" s="11" t="n">
        <f aca="false">IF(I260=0,0,E260/I260)</f>
        <v>0.112818943387263</v>
      </c>
      <c r="M260" s="11" t="n">
        <f aca="false">IF(I260=0,0,H260/I260)</f>
        <v>0.0253190575811005</v>
      </c>
      <c r="N260" s="4" t="str">
        <f aca="false">INDEX($C$3:$E$3,MATCH(MAX(C260:E260),C260:E260,0))</f>
        <v>PT-Morena-PES</v>
      </c>
      <c r="O260" s="17" t="n">
        <f aca="false">(MAX(J260:L260)-LARGE(J260:L260,2))*100</f>
        <v>67.9266053369632</v>
      </c>
    </row>
    <row r="261" customFormat="false" ht="15" hidden="false" customHeight="false" outlineLevel="0" collapsed="false">
      <c r="A261" s="4" t="s">
        <v>65</v>
      </c>
      <c r="B261" s="4" t="n">
        <v>5</v>
      </c>
      <c r="C261" s="5" t="n">
        <v>153578</v>
      </c>
      <c r="D261" s="5" t="n">
        <v>27205</v>
      </c>
      <c r="E261" s="5" t="n">
        <v>33212</v>
      </c>
      <c r="F261" s="5" t="n">
        <v>0</v>
      </c>
      <c r="G261" s="5" t="n">
        <v>33</v>
      </c>
      <c r="H261" s="5" t="n">
        <v>7988</v>
      </c>
      <c r="I261" s="5" t="n">
        <v>222016</v>
      </c>
      <c r="J261" s="11" t="n">
        <f aca="false">IF(I261=0,0,C261/I261)</f>
        <v>0.69174293744595</v>
      </c>
      <c r="K261" s="11" t="n">
        <f aca="false">IF(I261=0,0,D261/I261)</f>
        <v>0.122536213606227</v>
      </c>
      <c r="L261" s="11" t="n">
        <f aca="false">IF(I261=0,0,E261/I261)</f>
        <v>0.149592822138945</v>
      </c>
      <c r="M261" s="11" t="n">
        <f aca="false">IF(I261=0,0,H261/I261)</f>
        <v>0.035979388872874</v>
      </c>
      <c r="N261" s="4" t="str">
        <f aca="false">INDEX($C$3:$E$3,MATCH(MAX(C261:E261),C261:E261,0))</f>
        <v>PT-Morena-PES</v>
      </c>
      <c r="O261" s="17" t="n">
        <f aca="false">(MAX(J261:L261)-LARGE(J261:L261,2))*100</f>
        <v>54.2150115307005</v>
      </c>
    </row>
    <row r="262" customFormat="false" ht="15" hidden="false" customHeight="false" outlineLevel="0" collapsed="false">
      <c r="A262" s="4" t="s">
        <v>65</v>
      </c>
      <c r="B262" s="4" t="n">
        <v>6</v>
      </c>
      <c r="C262" s="5" t="n">
        <v>139882</v>
      </c>
      <c r="D262" s="5" t="n">
        <v>18827</v>
      </c>
      <c r="E262" s="5" t="n">
        <v>35834</v>
      </c>
      <c r="F262" s="5" t="n">
        <v>2389</v>
      </c>
      <c r="G262" s="5" t="n">
        <v>93</v>
      </c>
      <c r="H262" s="5" t="n">
        <v>7489</v>
      </c>
      <c r="I262" s="5" t="n">
        <v>204514</v>
      </c>
      <c r="J262" s="11" t="n">
        <f aca="false">IF(I262=0,0,C262/I262)</f>
        <v>0.68397273536286</v>
      </c>
      <c r="K262" s="11" t="n">
        <f aca="false">IF(I262=0,0,D262/I262)</f>
        <v>0.0920572674731314</v>
      </c>
      <c r="L262" s="11" t="n">
        <f aca="false">IF(I262=0,0,E262/I262)</f>
        <v>0.175215388677548</v>
      </c>
      <c r="M262" s="11" t="n">
        <f aca="false">IF(I262=0,0,H262/I262)</f>
        <v>0.0366185200035205</v>
      </c>
      <c r="N262" s="4" t="str">
        <f aca="false">INDEX($C$3:$E$3,MATCH(MAX(C262:E262),C262:E262,0))</f>
        <v>PT-Morena-PES</v>
      </c>
      <c r="O262" s="17" t="n">
        <f aca="false">(MAX(J262:L262)-LARGE(J262:L262,2))*100</f>
        <v>50.8757346685313</v>
      </c>
    </row>
    <row r="263" customFormat="false" ht="15" hidden="false" customHeight="false" outlineLevel="0" collapsed="false">
      <c r="A263" s="4" t="s">
        <v>66</v>
      </c>
      <c r="B263" s="4" t="n">
        <v>1</v>
      </c>
      <c r="C263" s="5" t="n">
        <v>58335</v>
      </c>
      <c r="D263" s="5" t="n">
        <v>58988</v>
      </c>
      <c r="E263" s="5" t="n">
        <v>43357</v>
      </c>
      <c r="F263" s="5" t="n">
        <v>0</v>
      </c>
      <c r="G263" s="5" t="n">
        <v>86</v>
      </c>
      <c r="H263" s="5" t="n">
        <v>4565</v>
      </c>
      <c r="I263" s="5" t="n">
        <v>165331</v>
      </c>
      <c r="J263" s="11" t="n">
        <f aca="false">IF(I263=0,0,C263/I263)</f>
        <v>0.352837640853802</v>
      </c>
      <c r="K263" s="11" t="n">
        <f aca="false">IF(I263=0,0,D263/I263)</f>
        <v>0.35678729336906</v>
      </c>
      <c r="L263" s="11" t="n">
        <f aca="false">IF(I263=0,0,E263/I263)</f>
        <v>0.262243620373675</v>
      </c>
      <c r="M263" s="11" t="n">
        <f aca="false">IF(I263=0,0,H263/I263)</f>
        <v>0.0276112767720512</v>
      </c>
      <c r="N263" s="4" t="str">
        <f aca="false">INDEX($C$3:$E$3,MATCH(MAX(C263:E263),C263:E263,0))</f>
        <v>PAN-PRD-MC</v>
      </c>
      <c r="O263" s="17" t="n">
        <f aca="false">(MAX(J263:L263)-LARGE(J263:L263,2))*100</f>
        <v>0.394965251525725</v>
      </c>
    </row>
    <row r="264" customFormat="false" ht="15" hidden="false" customHeight="false" outlineLevel="0" collapsed="false">
      <c r="A264" s="4" t="s">
        <v>66</v>
      </c>
      <c r="B264" s="4" t="n">
        <v>2</v>
      </c>
      <c r="C264" s="5" t="n">
        <v>68811</v>
      </c>
      <c r="D264" s="5" t="n">
        <v>61524</v>
      </c>
      <c r="E264" s="5" t="n">
        <v>29181</v>
      </c>
      <c r="F264" s="5" t="n">
        <v>0</v>
      </c>
      <c r="G264" s="5" t="n">
        <v>44</v>
      </c>
      <c r="H264" s="5" t="n">
        <v>4301</v>
      </c>
      <c r="I264" s="5" t="n">
        <v>163861</v>
      </c>
      <c r="J264" s="11" t="n">
        <f aca="false">IF(I264=0,0,C264/I264)</f>
        <v>0.41993518897114</v>
      </c>
      <c r="K264" s="11" t="n">
        <f aca="false">IF(I264=0,0,D264/I264)</f>
        <v>0.375464570581163</v>
      </c>
      <c r="L264" s="11" t="n">
        <f aca="false">IF(I264=0,0,E264/I264)</f>
        <v>0.178083863762579</v>
      </c>
      <c r="M264" s="11" t="n">
        <f aca="false">IF(I264=0,0,H264/I264)</f>
        <v>0.0262478564148882</v>
      </c>
      <c r="N264" s="4" t="str">
        <f aca="false">INDEX($C$3:$E$3,MATCH(MAX(C264:E264),C264:E264,0))</f>
        <v>PT-Morena-PES</v>
      </c>
      <c r="O264" s="17" t="n">
        <f aca="false">(MAX(J264:L264)-LARGE(J264:L264,2))*100</f>
        <v>4.44706183899769</v>
      </c>
    </row>
    <row r="265" customFormat="false" ht="15" hidden="false" customHeight="false" outlineLevel="0" collapsed="false">
      <c r="A265" s="4" t="s">
        <v>66</v>
      </c>
      <c r="B265" s="4" t="n">
        <v>3</v>
      </c>
      <c r="C265" s="5" t="n">
        <v>64331</v>
      </c>
      <c r="D265" s="5" t="n">
        <v>62800</v>
      </c>
      <c r="E265" s="5" t="n">
        <v>45568</v>
      </c>
      <c r="F265" s="5" t="n">
        <v>0</v>
      </c>
      <c r="G265" s="5" t="n">
        <v>66</v>
      </c>
      <c r="H265" s="5" t="n">
        <v>5453</v>
      </c>
      <c r="I265" s="5" t="n">
        <v>178218</v>
      </c>
      <c r="J265" s="11" t="n">
        <f aca="false">IF(I265=0,0,C265/I265)</f>
        <v>0.360968027920861</v>
      </c>
      <c r="K265" s="11" t="n">
        <f aca="false">IF(I265=0,0,D265/I265)</f>
        <v>0.352377425400352</v>
      </c>
      <c r="L265" s="11" t="n">
        <f aca="false">IF(I265=0,0,E265/I265)</f>
        <v>0.255686855424256</v>
      </c>
      <c r="M265" s="11" t="n">
        <f aca="false">IF(I265=0,0,H265/I265)</f>
        <v>0.0305973582915306</v>
      </c>
      <c r="N265" s="4" t="str">
        <f aca="false">INDEX($C$3:$E$3,MATCH(MAX(C265:E265),C265:E265,0))</f>
        <v>PT-Morena-PES</v>
      </c>
      <c r="O265" s="17" t="n">
        <f aca="false">(MAX(J265:L265)-LARGE(J265:L265,2))*100</f>
        <v>0.859060252050858</v>
      </c>
    </row>
    <row r="266" customFormat="false" ht="15" hidden="false" customHeight="false" outlineLevel="0" collapsed="false">
      <c r="A266" s="4" t="s">
        <v>66</v>
      </c>
      <c r="B266" s="4" t="n">
        <v>4</v>
      </c>
      <c r="C266" s="5" t="n">
        <v>67327</v>
      </c>
      <c r="D266" s="5" t="n">
        <v>61888</v>
      </c>
      <c r="E266" s="5" t="n">
        <v>39186</v>
      </c>
      <c r="F266" s="5" t="n">
        <v>0</v>
      </c>
      <c r="G266" s="5" t="n">
        <v>39</v>
      </c>
      <c r="H266" s="5" t="n">
        <v>4175</v>
      </c>
      <c r="I266" s="5" t="n">
        <v>172615</v>
      </c>
      <c r="J266" s="11" t="n">
        <f aca="false">IF(I266=0,0,C266/I266)</f>
        <v>0.390041421660922</v>
      </c>
      <c r="K266" s="11" t="n">
        <f aca="false">IF(I266=0,0,D266/I266)</f>
        <v>0.358531993163978</v>
      </c>
      <c r="L266" s="11" t="n">
        <f aca="false">IF(I266=0,0,E266/I266)</f>
        <v>0.227013874808099</v>
      </c>
      <c r="M266" s="11" t="n">
        <f aca="false">IF(I266=0,0,H266/I266)</f>
        <v>0.0241867740347015</v>
      </c>
      <c r="N266" s="4" t="str">
        <f aca="false">INDEX($C$3:$E$3,MATCH(MAX(C266:E266),C266:E266,0))</f>
        <v>PT-Morena-PES</v>
      </c>
      <c r="O266" s="17" t="n">
        <f aca="false">(MAX(J266:L266)-LARGE(J266:L266,2))*100</f>
        <v>3.1509428496944</v>
      </c>
    </row>
    <row r="267" customFormat="false" ht="15" hidden="false" customHeight="false" outlineLevel="0" collapsed="false">
      <c r="A267" s="4" t="s">
        <v>66</v>
      </c>
      <c r="B267" s="4" t="n">
        <v>5</v>
      </c>
      <c r="C267" s="5" t="n">
        <v>61461</v>
      </c>
      <c r="D267" s="5" t="n">
        <v>74617</v>
      </c>
      <c r="E267" s="5" t="n">
        <v>62919</v>
      </c>
      <c r="F267" s="5" t="n">
        <v>0</v>
      </c>
      <c r="G267" s="5" t="n">
        <v>96</v>
      </c>
      <c r="H267" s="5" t="n">
        <v>7021</v>
      </c>
      <c r="I267" s="5" t="n">
        <v>206114</v>
      </c>
      <c r="J267" s="11" t="n">
        <f aca="false">IF(I267=0,0,C267/I267)</f>
        <v>0.298189351523914</v>
      </c>
      <c r="K267" s="11" t="n">
        <f aca="false">IF(I267=0,0,D267/I267)</f>
        <v>0.362018106484761</v>
      </c>
      <c r="L267" s="11" t="n">
        <f aca="false">IF(I267=0,0,E267/I267)</f>
        <v>0.305263106824379</v>
      </c>
      <c r="M267" s="11" t="n">
        <f aca="false">IF(I267=0,0,H267/I267)</f>
        <v>0.0340636735010722</v>
      </c>
      <c r="N267" s="4" t="str">
        <f aca="false">INDEX($C$3:$E$3,MATCH(MAX(C267:E267),C267:E267,0))</f>
        <v>PAN-PRD-MC</v>
      </c>
      <c r="O267" s="17" t="n">
        <f aca="false">(MAX(J267:L267)-LARGE(J267:L267,2))*100</f>
        <v>5.67549996603821</v>
      </c>
    </row>
    <row r="268" customFormat="false" ht="15" hidden="false" customHeight="false" outlineLevel="0" collapsed="false">
      <c r="A268" s="4" t="s">
        <v>66</v>
      </c>
      <c r="B268" s="4" t="n">
        <v>6</v>
      </c>
      <c r="C268" s="5" t="n">
        <v>46517</v>
      </c>
      <c r="D268" s="5" t="n">
        <v>99293</v>
      </c>
      <c r="E268" s="5" t="n">
        <v>49805</v>
      </c>
      <c r="F268" s="5" t="n">
        <v>0</v>
      </c>
      <c r="G268" s="5" t="n">
        <v>50</v>
      </c>
      <c r="H268" s="5" t="n">
        <v>7639</v>
      </c>
      <c r="I268" s="5" t="n">
        <v>203304</v>
      </c>
      <c r="J268" s="11" t="n">
        <f aca="false">IF(I268=0,0,C268/I268)</f>
        <v>0.228805139102034</v>
      </c>
      <c r="K268" s="11" t="n">
        <f aca="false">IF(I268=0,0,D268/I268)</f>
        <v>0.488396686735136</v>
      </c>
      <c r="L268" s="11" t="n">
        <f aca="false">IF(I268=0,0,E268/I268)</f>
        <v>0.244977964034156</v>
      </c>
      <c r="M268" s="11" t="n">
        <f aca="false">IF(I268=0,0,H268/I268)</f>
        <v>0.0375742730098768</v>
      </c>
      <c r="N268" s="4" t="str">
        <f aca="false">INDEX($C$3:$E$3,MATCH(MAX(C268:E268),C268:E268,0))</f>
        <v>PAN-PRD-MC</v>
      </c>
      <c r="O268" s="17" t="n">
        <f aca="false">(MAX(J268:L268)-LARGE(J268:L268,2))*100</f>
        <v>24.341872270098</v>
      </c>
    </row>
    <row r="269" customFormat="false" ht="15" hidden="false" customHeight="false" outlineLevel="0" collapsed="false">
      <c r="A269" s="4" t="s">
        <v>66</v>
      </c>
      <c r="B269" s="4" t="n">
        <v>7</v>
      </c>
      <c r="C269" s="5" t="n">
        <v>79777</v>
      </c>
      <c r="D269" s="5" t="n">
        <v>55401</v>
      </c>
      <c r="E269" s="5" t="n">
        <v>38149</v>
      </c>
      <c r="F269" s="5" t="n">
        <v>2971</v>
      </c>
      <c r="G269" s="5" t="n">
        <v>769</v>
      </c>
      <c r="H269" s="5" t="n">
        <v>4561</v>
      </c>
      <c r="I269" s="5" t="n">
        <v>181628</v>
      </c>
      <c r="J269" s="11" t="n">
        <f aca="false">IF(I269=0,0,C269/I269)</f>
        <v>0.439232937652785</v>
      </c>
      <c r="K269" s="11" t="n">
        <f aca="false">IF(I269=0,0,D269/I269)</f>
        <v>0.305024555685247</v>
      </c>
      <c r="L269" s="11" t="n">
        <f aca="false">IF(I269=0,0,E269/I269)</f>
        <v>0.21003920100425</v>
      </c>
      <c r="M269" s="11" t="n">
        <f aca="false">IF(I269=0,0,H269/I269)</f>
        <v>0.025111766908186</v>
      </c>
      <c r="N269" s="4" t="str">
        <f aca="false">INDEX($C$3:$E$3,MATCH(MAX(C269:E269),C269:E269,0))</f>
        <v>PT-Morena-PES</v>
      </c>
      <c r="O269" s="17" t="n">
        <f aca="false">(MAX(J269:L269)-LARGE(J269:L269,2))*100</f>
        <v>13.4208381967538</v>
      </c>
    </row>
    <row r="270" customFormat="false" ht="15" hidden="false" customHeight="false" outlineLevel="0" collapsed="false">
      <c r="A270" s="4" t="s">
        <v>66</v>
      </c>
      <c r="B270" s="4" t="n">
        <v>8</v>
      </c>
      <c r="C270" s="5" t="n">
        <v>77986</v>
      </c>
      <c r="D270" s="5" t="n">
        <v>72357</v>
      </c>
      <c r="E270" s="5" t="n">
        <v>38066</v>
      </c>
      <c r="F270" s="5" t="n">
        <v>4916</v>
      </c>
      <c r="G270" s="5" t="n">
        <v>107</v>
      </c>
      <c r="H270" s="5" t="n">
        <v>5723</v>
      </c>
      <c r="I270" s="5" t="n">
        <v>199155</v>
      </c>
      <c r="J270" s="11" t="n">
        <f aca="false">IF(I270=0,0,C270/I270)</f>
        <v>0.391584444277071</v>
      </c>
      <c r="K270" s="11" t="n">
        <f aca="false">IF(I270=0,0,D270/I270)</f>
        <v>0.363320027114559</v>
      </c>
      <c r="L270" s="11" t="n">
        <f aca="false">IF(I270=0,0,E270/I270)</f>
        <v>0.191137556174839</v>
      </c>
      <c r="M270" s="11" t="n">
        <f aca="false">IF(I270=0,0,H270/I270)</f>
        <v>0.0287364113379026</v>
      </c>
      <c r="N270" s="4" t="str">
        <f aca="false">INDEX($C$3:$E$3,MATCH(MAX(C270:E270),C270:E270,0))</f>
        <v>PT-Morena-PES</v>
      </c>
      <c r="O270" s="17" t="n">
        <f aca="false">(MAX(J270:L270)-LARGE(J270:L270,2))*100</f>
        <v>2.82644171625116</v>
      </c>
    </row>
    <row r="271" customFormat="false" ht="15" hidden="false" customHeight="false" outlineLevel="0" collapsed="false">
      <c r="A271" s="4" t="s">
        <v>66</v>
      </c>
      <c r="B271" s="4" t="n">
        <v>9</v>
      </c>
      <c r="C271" s="5" t="n">
        <v>79698</v>
      </c>
      <c r="D271" s="5" t="n">
        <v>55980</v>
      </c>
      <c r="E271" s="5" t="n">
        <v>19109</v>
      </c>
      <c r="F271" s="5" t="n">
        <v>0</v>
      </c>
      <c r="G271" s="5" t="n">
        <v>53</v>
      </c>
      <c r="H271" s="5" t="n">
        <v>3762</v>
      </c>
      <c r="I271" s="5" t="n">
        <v>158602</v>
      </c>
      <c r="J271" s="11" t="n">
        <f aca="false">IF(I271=0,0,C271/I271)</f>
        <v>0.502503121019912</v>
      </c>
      <c r="K271" s="11" t="n">
        <f aca="false">IF(I271=0,0,D271/I271)</f>
        <v>0.352958979079709</v>
      </c>
      <c r="L271" s="11" t="n">
        <f aca="false">IF(I271=0,0,E271/I271)</f>
        <v>0.120483978764454</v>
      </c>
      <c r="M271" s="11" t="n">
        <f aca="false">IF(I271=0,0,H271/I271)</f>
        <v>0.0237197513272216</v>
      </c>
      <c r="N271" s="4" t="str">
        <f aca="false">INDEX($C$3:$E$3,MATCH(MAX(C271:E271),C271:E271,0))</f>
        <v>PT-Morena-PES</v>
      </c>
      <c r="O271" s="17" t="n">
        <f aca="false">(MAX(J271:L271)-LARGE(J271:L271,2))*100</f>
        <v>14.9544141940202</v>
      </c>
    </row>
    <row r="272" customFormat="false" ht="15" hidden="false" customHeight="false" outlineLevel="0" collapsed="false">
      <c r="A272" s="4" t="s">
        <v>67</v>
      </c>
      <c r="B272" s="4" t="n">
        <v>1</v>
      </c>
      <c r="C272" s="5" t="n">
        <v>96193</v>
      </c>
      <c r="D272" s="5" t="n">
        <v>44473</v>
      </c>
      <c r="E272" s="5" t="n">
        <v>43296</v>
      </c>
      <c r="F272" s="5" t="n">
        <v>0</v>
      </c>
      <c r="G272" s="5" t="n">
        <v>987</v>
      </c>
      <c r="H272" s="5" t="n">
        <v>8900</v>
      </c>
      <c r="I272" s="5" t="n">
        <v>193849</v>
      </c>
      <c r="J272" s="11" t="n">
        <f aca="false">IF(I272=0,0,C272/I272)</f>
        <v>0.49622644429427</v>
      </c>
      <c r="K272" s="11" t="n">
        <f aca="false">IF(I272=0,0,D272/I272)</f>
        <v>0.22942083786865</v>
      </c>
      <c r="L272" s="11" t="n">
        <f aca="false">IF(I272=0,0,E272/I272)</f>
        <v>0.223349101620333</v>
      </c>
      <c r="M272" s="11" t="n">
        <f aca="false">IF(I272=0,0,H272/I272)</f>
        <v>0.0459120243075796</v>
      </c>
      <c r="N272" s="4" t="str">
        <f aca="false">INDEX($C$3:$E$3,MATCH(MAX(C272:E272),C272:E272,0))</f>
        <v>PT-Morena-PES</v>
      </c>
      <c r="O272" s="17" t="n">
        <f aca="false">(MAX(J272:L272)-LARGE(J272:L272,2))*100</f>
        <v>26.680560642562</v>
      </c>
    </row>
    <row r="273" customFormat="false" ht="15" hidden="false" customHeight="false" outlineLevel="0" collapsed="false">
      <c r="A273" s="4" t="s">
        <v>67</v>
      </c>
      <c r="B273" s="4" t="n">
        <v>2</v>
      </c>
      <c r="C273" s="5" t="n">
        <v>126818</v>
      </c>
      <c r="D273" s="5" t="n">
        <v>40291</v>
      </c>
      <c r="E273" s="5" t="n">
        <v>41488</v>
      </c>
      <c r="F273" s="5" t="n">
        <v>0</v>
      </c>
      <c r="G273" s="5" t="n">
        <v>103</v>
      </c>
      <c r="H273" s="5" t="n">
        <v>7299</v>
      </c>
      <c r="I273" s="5" t="n">
        <v>215999</v>
      </c>
      <c r="J273" s="11" t="n">
        <f aca="false">IF(I273=0,0,C273/I273)</f>
        <v>0.587123088532817</v>
      </c>
      <c r="K273" s="11" t="n">
        <f aca="false">IF(I273=0,0,D273/I273)</f>
        <v>0.186533270987366</v>
      </c>
      <c r="L273" s="11" t="n">
        <f aca="false">IF(I273=0,0,E273/I273)</f>
        <v>0.192074963310015</v>
      </c>
      <c r="M273" s="11" t="n">
        <f aca="false">IF(I273=0,0,H273/I273)</f>
        <v>0.0337918231102922</v>
      </c>
      <c r="N273" s="4" t="str">
        <f aca="false">INDEX($C$3:$E$3,MATCH(MAX(C273:E273),C273:E273,0))</f>
        <v>PT-Morena-PES</v>
      </c>
      <c r="O273" s="17" t="n">
        <f aca="false">(MAX(J273:L273)-LARGE(J273:L273,2))*100</f>
        <v>39.5048125222802</v>
      </c>
    </row>
    <row r="274" customFormat="false" ht="15" hidden="false" customHeight="false" outlineLevel="0" collapsed="false">
      <c r="A274" s="4" t="s">
        <v>67</v>
      </c>
      <c r="B274" s="4" t="n">
        <v>3</v>
      </c>
      <c r="C274" s="5" t="n">
        <v>129632</v>
      </c>
      <c r="D274" s="5" t="n">
        <v>28366</v>
      </c>
      <c r="E274" s="5" t="n">
        <v>34863</v>
      </c>
      <c r="F274" s="5" t="n">
        <v>0</v>
      </c>
      <c r="G274" s="5" t="n">
        <v>89</v>
      </c>
      <c r="H274" s="5" t="n">
        <v>7625</v>
      </c>
      <c r="I274" s="5" t="n">
        <v>200575</v>
      </c>
      <c r="J274" s="11" t="n">
        <f aca="false">IF(I274=0,0,C274/I274)</f>
        <v>0.646301882088994</v>
      </c>
      <c r="K274" s="11" t="n">
        <f aca="false">IF(I274=0,0,D274/I274)</f>
        <v>0.141423407702854</v>
      </c>
      <c r="L274" s="11" t="n">
        <f aca="false">IF(I274=0,0,E274/I274)</f>
        <v>0.173815281066933</v>
      </c>
      <c r="M274" s="11" t="n">
        <f aca="false">IF(I274=0,0,H274/I274)</f>
        <v>0.0380157048485604</v>
      </c>
      <c r="N274" s="4" t="str">
        <f aca="false">INDEX($C$3:$E$3,MATCH(MAX(C274:E274),C274:E274,0))</f>
        <v>PT-Morena-PES</v>
      </c>
      <c r="O274" s="17" t="n">
        <f aca="false">(MAX(J274:L274)-LARGE(J274:L274,2))*100</f>
        <v>47.2486601022062</v>
      </c>
    </row>
    <row r="275" customFormat="false" ht="15" hidden="false" customHeight="false" outlineLevel="0" collapsed="false">
      <c r="A275" s="4" t="s">
        <v>68</v>
      </c>
      <c r="B275" s="4" t="n">
        <v>1</v>
      </c>
      <c r="C275" s="5" t="n">
        <v>60387</v>
      </c>
      <c r="D275" s="5" t="n">
        <v>65696</v>
      </c>
      <c r="E275" s="5" t="n">
        <v>29210</v>
      </c>
      <c r="F275" s="5" t="n">
        <v>0</v>
      </c>
      <c r="G275" s="5" t="n">
        <v>12</v>
      </c>
      <c r="H275" s="5" t="n">
        <v>5483</v>
      </c>
      <c r="I275" s="5" t="n">
        <v>160788</v>
      </c>
      <c r="J275" s="11" t="n">
        <f aca="false">IF(I275=0,0,C275/I275)</f>
        <v>0.37556907231883</v>
      </c>
      <c r="K275" s="11" t="n">
        <f aca="false">IF(I275=0,0,D275/I275)</f>
        <v>0.408587705550165</v>
      </c>
      <c r="L275" s="11" t="n">
        <f aca="false">IF(I275=0,0,E275/I275)</f>
        <v>0.181667786153196</v>
      </c>
      <c r="M275" s="11" t="n">
        <f aca="false">IF(I275=0,0,H275/I275)</f>
        <v>0.0341008035425529</v>
      </c>
      <c r="N275" s="4" t="str">
        <f aca="false">INDEX($C$3:$E$3,MATCH(MAX(C275:E275),C275:E275,0))</f>
        <v>PAN-PRD-MC</v>
      </c>
      <c r="O275" s="17" t="n">
        <f aca="false">(MAX(J275:L275)-LARGE(J275:L275,2))*100</f>
        <v>3.30186332313357</v>
      </c>
    </row>
    <row r="276" customFormat="false" ht="15" hidden="false" customHeight="false" outlineLevel="0" collapsed="false">
      <c r="A276" s="4" t="s">
        <v>68</v>
      </c>
      <c r="B276" s="4" t="n">
        <v>2</v>
      </c>
      <c r="C276" s="5" t="n">
        <v>54891</v>
      </c>
      <c r="D276" s="5" t="n">
        <v>77320</v>
      </c>
      <c r="E276" s="5" t="n">
        <v>37562</v>
      </c>
      <c r="F276" s="5" t="n">
        <v>0</v>
      </c>
      <c r="G276" s="5" t="n">
        <v>10</v>
      </c>
      <c r="H276" s="5" t="n">
        <v>6977</v>
      </c>
      <c r="I276" s="5" t="n">
        <v>176760</v>
      </c>
      <c r="J276" s="11" t="n">
        <f aca="false">IF(I276=0,0,C276/I276)</f>
        <v>0.310539714867617</v>
      </c>
      <c r="K276" s="11" t="n">
        <f aca="false">IF(I276=0,0,D276/I276)</f>
        <v>0.437429282643132</v>
      </c>
      <c r="L276" s="11" t="n">
        <f aca="false">IF(I276=0,0,E276/I276)</f>
        <v>0.212502828694275</v>
      </c>
      <c r="M276" s="11" t="n">
        <f aca="false">IF(I276=0,0,H276/I276)</f>
        <v>0.0394715999094818</v>
      </c>
      <c r="N276" s="4" t="str">
        <f aca="false">INDEX($C$3:$E$3,MATCH(MAX(C276:E276),C276:E276,0))</f>
        <v>PAN-PRD-MC</v>
      </c>
      <c r="O276" s="17" t="n">
        <f aca="false">(MAX(J276:L276)-LARGE(J276:L276,2))*100</f>
        <v>12.6889567775515</v>
      </c>
    </row>
    <row r="277" customFormat="false" ht="15" hidden="false" customHeight="false" outlineLevel="0" collapsed="false">
      <c r="A277" s="4" t="s">
        <v>68</v>
      </c>
      <c r="B277" s="4" t="n">
        <v>3</v>
      </c>
      <c r="C277" s="5" t="n">
        <v>69833</v>
      </c>
      <c r="D277" s="5" t="n">
        <v>51912</v>
      </c>
      <c r="E277" s="5" t="n">
        <v>37137</v>
      </c>
      <c r="F277" s="5" t="n">
        <v>0</v>
      </c>
      <c r="G277" s="5" t="n">
        <v>42</v>
      </c>
      <c r="H277" s="5" t="n">
        <v>5100</v>
      </c>
      <c r="I277" s="5" t="n">
        <v>164024</v>
      </c>
      <c r="J277" s="11" t="n">
        <f aca="false">IF(I277=0,0,C277/I277)</f>
        <v>0.425748670926206</v>
      </c>
      <c r="K277" s="11" t="n">
        <f aca="false">IF(I277=0,0,D277/I277)</f>
        <v>0.316490269716627</v>
      </c>
      <c r="L277" s="11" t="n">
        <f aca="false">IF(I277=0,0,E277/I277)</f>
        <v>0.226411988489489</v>
      </c>
      <c r="M277" s="11" t="n">
        <f aca="false">IF(I277=0,0,H277/I277)</f>
        <v>0.0310930107789104</v>
      </c>
      <c r="N277" s="4" t="str">
        <f aca="false">INDEX($C$3:$E$3,MATCH(MAX(C277:E277),C277:E277,0))</f>
        <v>PT-Morena-PES</v>
      </c>
      <c r="O277" s="17" t="n">
        <f aca="false">(MAX(J277:L277)-LARGE(J277:L277,2))*100</f>
        <v>10.9258401209579</v>
      </c>
    </row>
    <row r="278" customFormat="false" ht="15" hidden="false" customHeight="false" outlineLevel="0" collapsed="false">
      <c r="A278" s="4" t="s">
        <v>68</v>
      </c>
      <c r="B278" s="4" t="n">
        <v>4</v>
      </c>
      <c r="C278" s="5" t="n">
        <v>81784</v>
      </c>
      <c r="D278" s="5" t="n">
        <v>78548</v>
      </c>
      <c r="E278" s="5" t="n">
        <v>22347</v>
      </c>
      <c r="F278" s="5" t="n">
        <v>0</v>
      </c>
      <c r="G278" s="5" t="n">
        <v>115</v>
      </c>
      <c r="H278" s="5" t="n">
        <v>5350</v>
      </c>
      <c r="I278" s="5" t="n">
        <v>188144</v>
      </c>
      <c r="J278" s="11" t="n">
        <f aca="false">IF(I278=0,0,C278/I278)</f>
        <v>0.434688323837061</v>
      </c>
      <c r="K278" s="11" t="n">
        <f aca="false">IF(I278=0,0,D278/I278)</f>
        <v>0.417488732035037</v>
      </c>
      <c r="L278" s="11" t="n">
        <f aca="false">IF(I278=0,0,E278/I278)</f>
        <v>0.118776043881282</v>
      </c>
      <c r="M278" s="11" t="n">
        <f aca="false">IF(I278=0,0,H278/I278)</f>
        <v>0.0284356662981546</v>
      </c>
      <c r="N278" s="4" t="str">
        <f aca="false">INDEX($C$3:$E$3,MATCH(MAX(C278:E278),C278:E278,0))</f>
        <v>PT-Morena-PES</v>
      </c>
      <c r="O278" s="17" t="n">
        <f aca="false">(MAX(J278:L278)-LARGE(J278:L278,2))*100</f>
        <v>1.7199591802024</v>
      </c>
    </row>
    <row r="279" customFormat="false" ht="15" hidden="false" customHeight="false" outlineLevel="0" collapsed="false">
      <c r="A279" s="4" t="s">
        <v>68</v>
      </c>
      <c r="B279" s="4" t="n">
        <v>5</v>
      </c>
      <c r="C279" s="5" t="n">
        <v>74208</v>
      </c>
      <c r="D279" s="5" t="n">
        <v>64047</v>
      </c>
      <c r="E279" s="5" t="n">
        <v>20680</v>
      </c>
      <c r="F279" s="5" t="n">
        <v>0</v>
      </c>
      <c r="G279" s="5" t="n">
        <v>34</v>
      </c>
      <c r="H279" s="5" t="n">
        <v>4399</v>
      </c>
      <c r="I279" s="5" t="n">
        <v>163368</v>
      </c>
      <c r="J279" s="11" t="n">
        <f aca="false">IF(I279=0,0,C279/I279)</f>
        <v>0.454238284119289</v>
      </c>
      <c r="K279" s="11" t="n">
        <f aca="false">IF(I279=0,0,D279/I279)</f>
        <v>0.392041281034229</v>
      </c>
      <c r="L279" s="11" t="n">
        <f aca="false">IF(I279=0,0,E279/I279)</f>
        <v>0.126585377797365</v>
      </c>
      <c r="M279" s="11" t="n">
        <f aca="false">IF(I279=0,0,H279/I279)</f>
        <v>0.0269269379560257</v>
      </c>
      <c r="N279" s="4" t="str">
        <f aca="false">INDEX($C$3:$E$3,MATCH(MAX(C279:E279),C279:E279,0))</f>
        <v>PT-Morena-PES</v>
      </c>
      <c r="O279" s="17" t="n">
        <f aca="false">(MAX(J279:L279)-LARGE(J279:L279,2))*100</f>
        <v>6.21970030850595</v>
      </c>
    </row>
    <row r="280" customFormat="false" ht="15" hidden="false" customHeight="false" outlineLevel="0" collapsed="false">
      <c r="A280" s="4" t="s">
        <v>68</v>
      </c>
      <c r="B280" s="4" t="n">
        <v>6</v>
      </c>
      <c r="C280" s="5" t="n">
        <v>75374</v>
      </c>
      <c r="D280" s="5" t="n">
        <v>66131</v>
      </c>
      <c r="E280" s="5" t="n">
        <v>39742</v>
      </c>
      <c r="F280" s="5" t="n">
        <v>0</v>
      </c>
      <c r="G280" s="5" t="n">
        <v>49</v>
      </c>
      <c r="H280" s="5" t="n">
        <v>6040</v>
      </c>
      <c r="I280" s="5" t="n">
        <v>187336</v>
      </c>
      <c r="J280" s="11" t="n">
        <f aca="false">IF(I280=0,0,C280/I280)</f>
        <v>0.402346585813725</v>
      </c>
      <c r="K280" s="11" t="n">
        <f aca="false">IF(I280=0,0,D280/I280)</f>
        <v>0.35300743049921</v>
      </c>
      <c r="L280" s="11" t="n">
        <f aca="false">IF(I280=0,0,E280/I280)</f>
        <v>0.212142887645727</v>
      </c>
      <c r="M280" s="11" t="n">
        <f aca="false">IF(I280=0,0,H280/I280)</f>
        <v>0.0322415339283427</v>
      </c>
      <c r="N280" s="4" t="str">
        <f aca="false">INDEX($C$3:$E$3,MATCH(MAX(C280:E280),C280:E280,0))</f>
        <v>PT-Morena-PES</v>
      </c>
      <c r="O280" s="17" t="n">
        <f aca="false">(MAX(J280:L280)-LARGE(J280:L280,2))*100</f>
        <v>4.93391553145151</v>
      </c>
    </row>
    <row r="281" customFormat="false" ht="15" hidden="false" customHeight="false" outlineLevel="0" collapsed="false">
      <c r="A281" s="4" t="s">
        <v>68</v>
      </c>
      <c r="B281" s="4" t="n">
        <v>7</v>
      </c>
      <c r="C281" s="5" t="n">
        <v>88713</v>
      </c>
      <c r="D281" s="5" t="n">
        <v>53605</v>
      </c>
      <c r="E281" s="5" t="n">
        <v>33692</v>
      </c>
      <c r="F281" s="5" t="n">
        <v>0</v>
      </c>
      <c r="G281" s="5" t="n">
        <v>44</v>
      </c>
      <c r="H281" s="5" t="n">
        <v>7081</v>
      </c>
      <c r="I281" s="5" t="n">
        <v>183135</v>
      </c>
      <c r="J281" s="11" t="n">
        <f aca="false">IF(I281=0,0,C281/I281)</f>
        <v>0.484413137849128</v>
      </c>
      <c r="K281" s="11" t="n">
        <f aca="false">IF(I281=0,0,D281/I281)</f>
        <v>0.292707565457176</v>
      </c>
      <c r="L281" s="11" t="n">
        <f aca="false">IF(I281=0,0,E281/I281)</f>
        <v>0.18397357140907</v>
      </c>
      <c r="M281" s="11" t="n">
        <f aca="false">IF(I281=0,0,H281/I281)</f>
        <v>0.0386654653670789</v>
      </c>
      <c r="N281" s="4" t="str">
        <f aca="false">INDEX($C$3:$E$3,MATCH(MAX(C281:E281),C281:E281,0))</f>
        <v>PT-Morena-PES</v>
      </c>
      <c r="O281" s="17" t="n">
        <f aca="false">(MAX(J281:L281)-LARGE(J281:L281,2))*100</f>
        <v>19.1705572391951</v>
      </c>
    </row>
    <row r="282" customFormat="false" ht="15" hidden="false" customHeight="false" outlineLevel="0" collapsed="false">
      <c r="A282" s="4" t="s">
        <v>68</v>
      </c>
      <c r="B282" s="4" t="n">
        <v>8</v>
      </c>
      <c r="C282" s="5" t="n">
        <v>86679</v>
      </c>
      <c r="D282" s="5" t="n">
        <v>77877</v>
      </c>
      <c r="E282" s="5" t="n">
        <v>38705</v>
      </c>
      <c r="F282" s="5" t="n">
        <v>0</v>
      </c>
      <c r="G282" s="5" t="n">
        <v>76</v>
      </c>
      <c r="H282" s="5" t="n">
        <v>7971</v>
      </c>
      <c r="I282" s="5" t="n">
        <v>211308</v>
      </c>
      <c r="J282" s="11" t="n">
        <f aca="false">IF(I282=0,0,C282/I282)</f>
        <v>0.410202169345221</v>
      </c>
      <c r="K282" s="11" t="n">
        <f aca="false">IF(I282=0,0,D282/I282)</f>
        <v>0.368547333749787</v>
      </c>
      <c r="L282" s="11" t="n">
        <f aca="false">IF(I282=0,0,E282/I282)</f>
        <v>0.183168644821777</v>
      </c>
      <c r="M282" s="11" t="n">
        <f aca="false">IF(I282=0,0,H282/I282)</f>
        <v>0.0377221875177466</v>
      </c>
      <c r="N282" s="4" t="str">
        <f aca="false">INDEX($C$3:$E$3,MATCH(MAX(C282:E282),C282:E282,0))</f>
        <v>PT-Morena-PES</v>
      </c>
      <c r="O282" s="17" t="n">
        <f aca="false">(MAX(J282:L282)-LARGE(J282:L282,2))*100</f>
        <v>4.16548355954341</v>
      </c>
    </row>
    <row r="283" customFormat="false" ht="15" hidden="false" customHeight="false" outlineLevel="0" collapsed="false">
      <c r="A283" s="4" t="s">
        <v>68</v>
      </c>
      <c r="B283" s="4" t="n">
        <v>9</v>
      </c>
      <c r="C283" s="5" t="n">
        <v>69757</v>
      </c>
      <c r="D283" s="5" t="n">
        <v>68751</v>
      </c>
      <c r="E283" s="5" t="n">
        <v>38497</v>
      </c>
      <c r="F283" s="5" t="n">
        <v>0</v>
      </c>
      <c r="G283" s="5" t="n">
        <v>32</v>
      </c>
      <c r="H283" s="5" t="n">
        <v>7125</v>
      </c>
      <c r="I283" s="5" t="n">
        <v>184162</v>
      </c>
      <c r="J283" s="11" t="n">
        <f aca="false">IF(I283=0,0,C283/I283)</f>
        <v>0.378780638785417</v>
      </c>
      <c r="K283" s="11" t="n">
        <f aca="false">IF(I283=0,0,D283/I283)</f>
        <v>0.373318056928139</v>
      </c>
      <c r="L283" s="11" t="n">
        <f aca="false">IF(I283=0,0,E283/I283)</f>
        <v>0.209038781073186</v>
      </c>
      <c r="M283" s="11" t="n">
        <f aca="false">IF(I283=0,0,H283/I283)</f>
        <v>0.0386887631541795</v>
      </c>
      <c r="N283" s="4" t="str">
        <f aca="false">INDEX($C$3:$E$3,MATCH(MAX(C283:E283),C283:E283,0))</f>
        <v>PT-Morena-PES</v>
      </c>
      <c r="O283" s="17" t="n">
        <f aca="false">(MAX(J283:L283)-LARGE(J283:L283,2))*100</f>
        <v>0.546258185727783</v>
      </c>
    </row>
    <row r="284" customFormat="false" ht="15" hidden="false" customHeight="false" outlineLevel="0" collapsed="false">
      <c r="A284" s="4" t="s">
        <v>68</v>
      </c>
      <c r="B284" s="4" t="n">
        <v>10</v>
      </c>
      <c r="C284" s="5" t="n">
        <v>119386</v>
      </c>
      <c r="D284" s="5" t="n">
        <v>54446</v>
      </c>
      <c r="E284" s="5" t="n">
        <v>37888</v>
      </c>
      <c r="F284" s="5" t="n">
        <v>0</v>
      </c>
      <c r="G284" s="5" t="n">
        <v>126</v>
      </c>
      <c r="H284" s="5" t="n">
        <v>7179</v>
      </c>
      <c r="I284" s="5" t="n">
        <v>219025</v>
      </c>
      <c r="J284" s="11" t="n">
        <f aca="false">IF(I284=0,0,C284/I284)</f>
        <v>0.545079328843739</v>
      </c>
      <c r="K284" s="11" t="n">
        <f aca="false">IF(I284=0,0,D284/I284)</f>
        <v>0.248583495034813</v>
      </c>
      <c r="L284" s="11" t="n">
        <f aca="false">IF(I284=0,0,E284/I284)</f>
        <v>0.172984819084579</v>
      </c>
      <c r="M284" s="11" t="n">
        <f aca="false">IF(I284=0,0,H284/I284)</f>
        <v>0.0327770802419815</v>
      </c>
      <c r="N284" s="4" t="str">
        <f aca="false">INDEX($C$3:$E$3,MATCH(MAX(C284:E284),C284:E284,0))</f>
        <v>PT-Morena-PES</v>
      </c>
      <c r="O284" s="17" t="n">
        <f aca="false">(MAX(J284:L284)-LARGE(J284:L284,2))*100</f>
        <v>29.6495833808926</v>
      </c>
    </row>
    <row r="285" customFormat="false" ht="15" hidden="false" customHeight="false" outlineLevel="0" collapsed="false">
      <c r="A285" s="4" t="s">
        <v>68</v>
      </c>
      <c r="B285" s="4" t="n">
        <v>11</v>
      </c>
      <c r="C285" s="5" t="n">
        <v>130383</v>
      </c>
      <c r="D285" s="5" t="n">
        <v>40473</v>
      </c>
      <c r="E285" s="5" t="n">
        <v>22245</v>
      </c>
      <c r="F285" s="5" t="n">
        <v>0</v>
      </c>
      <c r="G285" s="5" t="n">
        <v>58</v>
      </c>
      <c r="H285" s="5" t="n">
        <v>4814</v>
      </c>
      <c r="I285" s="5" t="n">
        <v>197973</v>
      </c>
      <c r="J285" s="11" t="n">
        <f aca="false">IF(I285=0,0,C285/I285)</f>
        <v>0.65858980770105</v>
      </c>
      <c r="K285" s="11" t="n">
        <f aca="false">IF(I285=0,0,D285/I285)</f>
        <v>0.204436968677547</v>
      </c>
      <c r="L285" s="11" t="n">
        <f aca="false">IF(I285=0,0,E285/I285)</f>
        <v>0.112363807185828</v>
      </c>
      <c r="M285" s="11" t="n">
        <f aca="false">IF(I285=0,0,H285/I285)</f>
        <v>0.0243164471922939</v>
      </c>
      <c r="N285" s="4" t="str">
        <f aca="false">INDEX($C$3:$E$3,MATCH(MAX(C285:E285),C285:E285,0))</f>
        <v>PT-Morena-PES</v>
      </c>
      <c r="O285" s="17" t="n">
        <f aca="false">(MAX(J285:L285)-LARGE(J285:L285,2))*100</f>
        <v>45.4152839023503</v>
      </c>
    </row>
    <row r="286" customFormat="false" ht="15" hidden="false" customHeight="false" outlineLevel="0" collapsed="false">
      <c r="A286" s="4" t="s">
        <v>68</v>
      </c>
      <c r="B286" s="4" t="n">
        <v>12</v>
      </c>
      <c r="C286" s="5" t="n">
        <v>79327</v>
      </c>
      <c r="D286" s="5" t="n">
        <v>102580</v>
      </c>
      <c r="E286" s="5" t="n">
        <v>30592</v>
      </c>
      <c r="F286" s="5" t="n">
        <v>0</v>
      </c>
      <c r="G286" s="5" t="n">
        <v>101</v>
      </c>
      <c r="H286" s="5" t="n">
        <v>6290</v>
      </c>
      <c r="I286" s="5" t="n">
        <v>218890</v>
      </c>
      <c r="J286" s="11" t="n">
        <f aca="false">IF(I286=0,0,C286/I286)</f>
        <v>0.362405774589977</v>
      </c>
      <c r="K286" s="11" t="n">
        <f aca="false">IF(I286=0,0,D286/I286)</f>
        <v>0.468637215039518</v>
      </c>
      <c r="L286" s="11" t="n">
        <f aca="false">IF(I286=0,0,E286/I286)</f>
        <v>0.139759696651286</v>
      </c>
      <c r="M286" s="11" t="n">
        <f aca="false">IF(I286=0,0,H286/I286)</f>
        <v>0.0287358947416511</v>
      </c>
      <c r="N286" s="4" t="str">
        <f aca="false">INDEX($C$3:$E$3,MATCH(MAX(C286:E286),C286:E286,0))</f>
        <v>PAN-PRD-MC</v>
      </c>
      <c r="O286" s="17" t="n">
        <f aca="false">(MAX(J286:L286)-LARGE(J286:L286,2))*100</f>
        <v>10.6231440449541</v>
      </c>
    </row>
    <row r="287" customFormat="false" ht="15" hidden="false" customHeight="false" outlineLevel="0" collapsed="false">
      <c r="A287" s="4" t="s">
        <v>68</v>
      </c>
      <c r="B287" s="4" t="n">
        <v>13</v>
      </c>
      <c r="C287" s="5" t="n">
        <v>81930</v>
      </c>
      <c r="D287" s="5" t="n">
        <v>71591</v>
      </c>
      <c r="E287" s="5" t="n">
        <v>38609</v>
      </c>
      <c r="F287" s="5" t="n">
        <v>0</v>
      </c>
      <c r="G287" s="5" t="n">
        <v>37</v>
      </c>
      <c r="H287" s="5" t="n">
        <v>7655</v>
      </c>
      <c r="I287" s="5" t="n">
        <v>199822</v>
      </c>
      <c r="J287" s="11" t="n">
        <f aca="false">IF(I287=0,0,C287/I287)</f>
        <v>0.410014913272813</v>
      </c>
      <c r="K287" s="11" t="n">
        <f aca="false">IF(I287=0,0,D287/I287)</f>
        <v>0.358273863738728</v>
      </c>
      <c r="L287" s="11" t="n">
        <f aca="false">IF(I287=0,0,E287/I287)</f>
        <v>0.193216963097156</v>
      </c>
      <c r="M287" s="11" t="n">
        <f aca="false">IF(I287=0,0,H287/I287)</f>
        <v>0.0383090950946342</v>
      </c>
      <c r="N287" s="4" t="str">
        <f aca="false">INDEX($C$3:$E$3,MATCH(MAX(C287:E287),C287:E287,0))</f>
        <v>PT-Morena-PES</v>
      </c>
      <c r="O287" s="17" t="n">
        <f aca="false">(MAX(J287:L287)-LARGE(J287:L287,2))*100</f>
        <v>5.17410495340853</v>
      </c>
    </row>
    <row r="288" customFormat="false" ht="15" hidden="false" customHeight="false" outlineLevel="0" collapsed="false">
      <c r="A288" s="4" t="s">
        <v>68</v>
      </c>
      <c r="B288" s="4" t="n">
        <v>14</v>
      </c>
      <c r="C288" s="5" t="n">
        <v>97734</v>
      </c>
      <c r="D288" s="5" t="n">
        <v>47716</v>
      </c>
      <c r="E288" s="5" t="n">
        <v>25999</v>
      </c>
      <c r="F288" s="5" t="n">
        <v>0</v>
      </c>
      <c r="G288" s="5" t="n">
        <v>31</v>
      </c>
      <c r="H288" s="5" t="n">
        <v>5517</v>
      </c>
      <c r="I288" s="5" t="n">
        <v>176997</v>
      </c>
      <c r="J288" s="11" t="n">
        <f aca="false">IF(I288=0,0,C288/I288)</f>
        <v>0.552178850488991</v>
      </c>
      <c r="K288" s="11" t="n">
        <f aca="false">IF(I288=0,0,D288/I288)</f>
        <v>0.2695864901665</v>
      </c>
      <c r="L288" s="11" t="n">
        <f aca="false">IF(I288=0,0,E288/I288)</f>
        <v>0.14688949530218</v>
      </c>
      <c r="M288" s="11" t="n">
        <f aca="false">IF(I288=0,0,H288/I288)</f>
        <v>0.0311700198308446</v>
      </c>
      <c r="N288" s="4" t="str">
        <f aca="false">INDEX($C$3:$E$3,MATCH(MAX(C288:E288),C288:E288,0))</f>
        <v>PT-Morena-PES</v>
      </c>
      <c r="O288" s="17" t="n">
        <f aca="false">(MAX(J288:L288)-LARGE(J288:L288,2))*100</f>
        <v>28.2592360322491</v>
      </c>
    </row>
    <row r="289" customFormat="false" ht="15" hidden="false" customHeight="false" outlineLevel="0" collapsed="false">
      <c r="A289" s="4" t="s">
        <v>68</v>
      </c>
      <c r="B289" s="4" t="n">
        <v>15</v>
      </c>
      <c r="C289" s="5" t="n">
        <v>92896</v>
      </c>
      <c r="D289" s="5" t="n">
        <v>64242</v>
      </c>
      <c r="E289" s="5" t="n">
        <v>32510</v>
      </c>
      <c r="F289" s="5" t="n">
        <v>0</v>
      </c>
      <c r="G289" s="5" t="n">
        <v>72</v>
      </c>
      <c r="H289" s="5" t="n">
        <v>7406</v>
      </c>
      <c r="I289" s="5" t="n">
        <v>197126</v>
      </c>
      <c r="J289" s="11" t="n">
        <f aca="false">IF(I289=0,0,C289/I289)</f>
        <v>0.471251889654333</v>
      </c>
      <c r="K289" s="11" t="n">
        <f aca="false">IF(I289=0,0,D289/I289)</f>
        <v>0.325893083611497</v>
      </c>
      <c r="L289" s="11" t="n">
        <f aca="false">IF(I289=0,0,E289/I289)</f>
        <v>0.164919898947881</v>
      </c>
      <c r="M289" s="11" t="n">
        <f aca="false">IF(I289=0,0,H289/I289)</f>
        <v>0.0375698791635807</v>
      </c>
      <c r="N289" s="4" t="str">
        <f aca="false">INDEX($C$3:$E$3,MATCH(MAX(C289:E289),C289:E289,0))</f>
        <v>PT-Morena-PES</v>
      </c>
      <c r="O289" s="17" t="n">
        <f aca="false">(MAX(J289:L289)-LARGE(J289:L289,2))*100</f>
        <v>14.5358806042836</v>
      </c>
    </row>
    <row r="290" customFormat="false" ht="15" hidden="false" customHeight="false" outlineLevel="0" collapsed="false">
      <c r="A290" s="4" t="s">
        <v>68</v>
      </c>
      <c r="B290" s="4" t="n">
        <v>16</v>
      </c>
      <c r="C290" s="5" t="n">
        <v>101673</v>
      </c>
      <c r="D290" s="5" t="n">
        <v>52698</v>
      </c>
      <c r="E290" s="5" t="n">
        <v>44740</v>
      </c>
      <c r="F290" s="5" t="n">
        <v>0</v>
      </c>
      <c r="G290" s="5" t="n">
        <v>75</v>
      </c>
      <c r="H290" s="5" t="n">
        <v>6454</v>
      </c>
      <c r="I290" s="5" t="n">
        <v>205640</v>
      </c>
      <c r="J290" s="11" t="n">
        <f aca="false">IF(I290=0,0,C290/I290)</f>
        <v>0.494422291382999</v>
      </c>
      <c r="K290" s="11" t="n">
        <f aca="false">IF(I290=0,0,D290/I290)</f>
        <v>0.256263372884653</v>
      </c>
      <c r="L290" s="11" t="n">
        <f aca="false">IF(I290=0,0,E290/I290)</f>
        <v>0.217564676133048</v>
      </c>
      <c r="M290" s="11" t="n">
        <f aca="false">IF(I290=0,0,H290/I290)</f>
        <v>0.0313849445633145</v>
      </c>
      <c r="N290" s="4" t="str">
        <f aca="false">INDEX($C$3:$E$3,MATCH(MAX(C290:E290),C290:E290,0))</f>
        <v>PT-Morena-PES</v>
      </c>
      <c r="O290" s="17" t="n">
        <f aca="false">(MAX(J290:L290)-LARGE(J290:L290,2))*100</f>
        <v>23.8158918498347</v>
      </c>
    </row>
    <row r="291" customFormat="false" ht="15" hidden="false" customHeight="false" outlineLevel="0" collapsed="false">
      <c r="A291" s="4" t="s">
        <v>68</v>
      </c>
      <c r="B291" s="4" t="n">
        <v>17</v>
      </c>
      <c r="C291" s="5" t="n">
        <v>82176</v>
      </c>
      <c r="D291" s="5" t="n">
        <v>63118</v>
      </c>
      <c r="E291" s="5" t="n">
        <v>27310</v>
      </c>
      <c r="F291" s="5" t="n">
        <v>0</v>
      </c>
      <c r="G291" s="5" t="n">
        <v>55</v>
      </c>
      <c r="H291" s="5" t="n">
        <v>7257</v>
      </c>
      <c r="I291" s="5" t="n">
        <v>179916</v>
      </c>
      <c r="J291" s="11" t="n">
        <f aca="false">IF(I291=0,0,C291/I291)</f>
        <v>0.456746481691456</v>
      </c>
      <c r="K291" s="11" t="n">
        <f aca="false">IF(I291=0,0,D291/I291)</f>
        <v>0.350819271215456</v>
      </c>
      <c r="L291" s="11" t="n">
        <f aca="false">IF(I291=0,0,E291/I291)</f>
        <v>0.151793058983081</v>
      </c>
      <c r="M291" s="11" t="n">
        <f aca="false">IF(I291=0,0,H291/I291)</f>
        <v>0.0403354898952845</v>
      </c>
      <c r="N291" s="4" t="str">
        <f aca="false">INDEX($C$3:$E$3,MATCH(MAX(C291:E291),C291:E291,0))</f>
        <v>PT-Morena-PES</v>
      </c>
      <c r="O291" s="17" t="n">
        <f aca="false">(MAX(J291:L291)-LARGE(J291:L291,2))*100</f>
        <v>10.5927210476</v>
      </c>
    </row>
    <row r="292" customFormat="false" ht="15" hidden="false" customHeight="false" outlineLevel="0" collapsed="false">
      <c r="A292" s="4" t="s">
        <v>68</v>
      </c>
      <c r="B292" s="4" t="n">
        <v>18</v>
      </c>
      <c r="C292" s="5" t="n">
        <v>84411</v>
      </c>
      <c r="D292" s="5" t="n">
        <v>62016</v>
      </c>
      <c r="E292" s="5" t="n">
        <v>39726</v>
      </c>
      <c r="F292" s="5" t="n">
        <v>0</v>
      </c>
      <c r="G292" s="5" t="n">
        <v>45</v>
      </c>
      <c r="H292" s="5" t="n">
        <v>9910</v>
      </c>
      <c r="I292" s="5" t="n">
        <v>196108</v>
      </c>
      <c r="J292" s="11" t="n">
        <f aca="false">IF(I292=0,0,C292/I292)</f>
        <v>0.430431190976401</v>
      </c>
      <c r="K292" s="11" t="n">
        <f aca="false">IF(I292=0,0,D292/I292)</f>
        <v>0.316233911926082</v>
      </c>
      <c r="L292" s="11" t="n">
        <f aca="false">IF(I292=0,0,E292/I292)</f>
        <v>0.202572052134538</v>
      </c>
      <c r="M292" s="11" t="n">
        <f aca="false">IF(I292=0,0,H292/I292)</f>
        <v>0.0505333795663614</v>
      </c>
      <c r="N292" s="4" t="str">
        <f aca="false">INDEX($C$3:$E$3,MATCH(MAX(C292:E292),C292:E292,0))</f>
        <v>PT-Morena-PES</v>
      </c>
      <c r="O292" s="17" t="n">
        <f aca="false">(MAX(J292:L292)-LARGE(J292:L292,2))*100</f>
        <v>11.4197279050319</v>
      </c>
    </row>
    <row r="293" customFormat="false" ht="15" hidden="false" customHeight="false" outlineLevel="0" collapsed="false">
      <c r="A293" s="4" t="s">
        <v>68</v>
      </c>
      <c r="B293" s="4" t="n">
        <v>19</v>
      </c>
      <c r="C293" s="5" t="n">
        <v>80650</v>
      </c>
      <c r="D293" s="5" t="n">
        <v>68597</v>
      </c>
      <c r="E293" s="5" t="n">
        <v>30029</v>
      </c>
      <c r="F293" s="5" t="n">
        <v>0</v>
      </c>
      <c r="G293" s="5" t="n">
        <v>51</v>
      </c>
      <c r="H293" s="5" t="n">
        <v>8651</v>
      </c>
      <c r="I293" s="5" t="n">
        <v>187978</v>
      </c>
      <c r="J293" s="11" t="n">
        <f aca="false">IF(I293=0,0,C293/I293)</f>
        <v>0.429039568460139</v>
      </c>
      <c r="K293" s="11" t="n">
        <f aca="false">IF(I293=0,0,D293/I293)</f>
        <v>0.364920363021205</v>
      </c>
      <c r="L293" s="11" t="n">
        <f aca="false">IF(I293=0,0,E293/I293)</f>
        <v>0.159747417250955</v>
      </c>
      <c r="M293" s="11" t="n">
        <f aca="false">IF(I293=0,0,H293/I293)</f>
        <v>0.046021342923108</v>
      </c>
      <c r="N293" s="4" t="str">
        <f aca="false">INDEX($C$3:$E$3,MATCH(MAX(C293:E293),C293:E293,0))</f>
        <v>PT-Morena-PES</v>
      </c>
      <c r="O293" s="17" t="n">
        <f aca="false">(MAX(J293:L293)-LARGE(J293:L293,2))*100</f>
        <v>6.41192054389344</v>
      </c>
    </row>
    <row r="294" customFormat="false" ht="15" hidden="false" customHeight="false" outlineLevel="0" collapsed="false">
      <c r="A294" s="4" t="s">
        <v>68</v>
      </c>
      <c r="B294" s="4" t="n">
        <v>20</v>
      </c>
      <c r="C294" s="5" t="n">
        <v>112103</v>
      </c>
      <c r="D294" s="5" t="n">
        <v>43865</v>
      </c>
      <c r="E294" s="5" t="n">
        <v>32189</v>
      </c>
      <c r="F294" s="5" t="n">
        <v>0</v>
      </c>
      <c r="G294" s="5" t="n">
        <v>25</v>
      </c>
      <c r="H294" s="5" t="n">
        <v>6273</v>
      </c>
      <c r="I294" s="5" t="n">
        <v>194455</v>
      </c>
      <c r="J294" s="11" t="n">
        <f aca="false">IF(I294=0,0,C294/I294)</f>
        <v>0.576498418657273</v>
      </c>
      <c r="K294" s="11" t="n">
        <f aca="false">IF(I294=0,0,D294/I294)</f>
        <v>0.22557918284436</v>
      </c>
      <c r="L294" s="11" t="n">
        <f aca="false">IF(I294=0,0,E294/I294)</f>
        <v>0.165534442415983</v>
      </c>
      <c r="M294" s="11" t="n">
        <f aca="false">IF(I294=0,0,H294/I294)</f>
        <v>0.0322593916330256</v>
      </c>
      <c r="N294" s="4" t="str">
        <f aca="false">INDEX($C$3:$E$3,MATCH(MAX(C294:E294),C294:E294,0))</f>
        <v>PT-Morena-PES</v>
      </c>
      <c r="O294" s="17" t="n">
        <f aca="false">(MAX(J294:L294)-LARGE(J294:L294,2))*100</f>
        <v>35.0919235812913</v>
      </c>
    </row>
    <row r="295" customFormat="false" ht="15" hidden="false" customHeight="false" outlineLevel="0" collapsed="false">
      <c r="A295" s="4" t="s">
        <v>69</v>
      </c>
      <c r="B295" s="4" t="n">
        <v>1</v>
      </c>
      <c r="C295" s="5" t="n">
        <v>56021</v>
      </c>
      <c r="D295" s="5" t="n">
        <v>66462</v>
      </c>
      <c r="E295" s="5" t="n">
        <v>96682</v>
      </c>
      <c r="F295" s="5" t="n">
        <v>0</v>
      </c>
      <c r="G295" s="5" t="n">
        <v>26</v>
      </c>
      <c r="H295" s="5" t="n">
        <v>5552</v>
      </c>
      <c r="I295" s="5" t="n">
        <v>224743</v>
      </c>
      <c r="J295" s="11" t="n">
        <f aca="false">IF(I295=0,0,C295/I295)</f>
        <v>0.249266940460882</v>
      </c>
      <c r="K295" s="11" t="n">
        <f aca="false">IF(I295=0,0,D295/I295)</f>
        <v>0.295724449704774</v>
      </c>
      <c r="L295" s="11" t="n">
        <f aca="false">IF(I295=0,0,E295/I295)</f>
        <v>0.430189149383963</v>
      </c>
      <c r="M295" s="11" t="n">
        <f aca="false">IF(I295=0,0,H295/I295)</f>
        <v>0.0247037727537676</v>
      </c>
      <c r="N295" s="4" t="str">
        <f aca="false">INDEX($C$3:$E$3,MATCH(MAX(C295:E295),C295:E295,0))</f>
        <v>PRI-PVEM-NA</v>
      </c>
      <c r="O295" s="17" t="n">
        <f aca="false">(MAX(J295:L295)-LARGE(J295:L295,2))*100</f>
        <v>13.4464699679189</v>
      </c>
    </row>
    <row r="296" customFormat="false" ht="15" hidden="false" customHeight="false" outlineLevel="0" collapsed="false">
      <c r="A296" s="4" t="s">
        <v>69</v>
      </c>
      <c r="B296" s="4" t="n">
        <v>2</v>
      </c>
      <c r="C296" s="5" t="n">
        <v>50496</v>
      </c>
      <c r="D296" s="5" t="n">
        <v>72240</v>
      </c>
      <c r="E296" s="5" t="n">
        <v>90622</v>
      </c>
      <c r="F296" s="5" t="n">
        <v>0</v>
      </c>
      <c r="G296" s="5" t="n">
        <v>47</v>
      </c>
      <c r="H296" s="5" t="n">
        <v>7108</v>
      </c>
      <c r="I296" s="5" t="n">
        <v>220513</v>
      </c>
      <c r="J296" s="11" t="n">
        <f aca="false">IF(I296=0,0,C296/I296)</f>
        <v>0.228993301982196</v>
      </c>
      <c r="K296" s="11" t="n">
        <f aca="false">IF(I296=0,0,D296/I296)</f>
        <v>0.327599733349054</v>
      </c>
      <c r="L296" s="11" t="n">
        <f aca="false">IF(I296=0,0,E296/I296)</f>
        <v>0.410959898055897</v>
      </c>
      <c r="M296" s="11" t="n">
        <f aca="false">IF(I296=0,0,H296/I296)</f>
        <v>0.0322339272514546</v>
      </c>
      <c r="N296" s="4" t="str">
        <f aca="false">INDEX($C$3:$E$3,MATCH(MAX(C296:E296),C296:E296,0))</f>
        <v>PRI-PVEM-NA</v>
      </c>
      <c r="O296" s="17" t="n">
        <f aca="false">(MAX(J296:L296)-LARGE(J296:L296,2))*100</f>
        <v>8.33601647068427</v>
      </c>
    </row>
    <row r="297" customFormat="false" ht="15" hidden="false" customHeight="false" outlineLevel="0" collapsed="false">
      <c r="A297" s="4" t="s">
        <v>69</v>
      </c>
      <c r="B297" s="4" t="n">
        <v>3</v>
      </c>
      <c r="C297" s="5" t="n">
        <v>80746</v>
      </c>
      <c r="D297" s="5" t="n">
        <v>79782</v>
      </c>
      <c r="E297" s="5" t="n">
        <v>62039</v>
      </c>
      <c r="F297" s="5" t="n">
        <v>0</v>
      </c>
      <c r="G297" s="5" t="n">
        <v>96</v>
      </c>
      <c r="H297" s="5" t="n">
        <v>6516</v>
      </c>
      <c r="I297" s="5" t="n">
        <v>229179</v>
      </c>
      <c r="J297" s="11" t="n">
        <f aca="false">IF(I297=0,0,C297/I297)</f>
        <v>0.352327220207785</v>
      </c>
      <c r="K297" s="11" t="n">
        <f aca="false">IF(I297=0,0,D297/I297)</f>
        <v>0.348120901129685</v>
      </c>
      <c r="L297" s="11" t="n">
        <f aca="false">IF(I297=0,0,E297/I297)</f>
        <v>0.270701067724355</v>
      </c>
      <c r="M297" s="11" t="n">
        <f aca="false">IF(I297=0,0,H297/I297)</f>
        <v>0.0284319243909782</v>
      </c>
      <c r="N297" s="4" t="str">
        <f aca="false">INDEX($C$3:$E$3,MATCH(MAX(C297:E297),C297:E297,0))</f>
        <v>PT-Morena-PES</v>
      </c>
      <c r="O297" s="17" t="n">
        <f aca="false">(MAX(J297:L297)-LARGE(J297:L297,2))*100</f>
        <v>0.420631907810054</v>
      </c>
    </row>
    <row r="298" customFormat="false" ht="15" hidden="false" customHeight="false" outlineLevel="0" collapsed="false">
      <c r="A298" s="4" t="s">
        <v>69</v>
      </c>
      <c r="B298" s="4" t="n">
        <v>4</v>
      </c>
      <c r="C298" s="5" t="n">
        <v>76004</v>
      </c>
      <c r="D298" s="5" t="n">
        <v>105058</v>
      </c>
      <c r="E298" s="5" t="n">
        <v>61209</v>
      </c>
      <c r="F298" s="5" t="n">
        <v>0</v>
      </c>
      <c r="G298" s="5" t="n">
        <v>107</v>
      </c>
      <c r="H298" s="5" t="n">
        <v>6379</v>
      </c>
      <c r="I298" s="5" t="n">
        <v>248757</v>
      </c>
      <c r="J298" s="11" t="n">
        <f aca="false">IF(I298=0,0,C298/I298)</f>
        <v>0.305535120619721</v>
      </c>
      <c r="K298" s="11" t="n">
        <f aca="false">IF(I298=0,0,D298/I298)</f>
        <v>0.422331833878042</v>
      </c>
      <c r="L298" s="11" t="n">
        <f aca="false">IF(I298=0,0,E298/I298)</f>
        <v>0.246059407373461</v>
      </c>
      <c r="M298" s="11" t="n">
        <f aca="false">IF(I298=0,0,H298/I298)</f>
        <v>0.0256434994794116</v>
      </c>
      <c r="N298" s="4" t="str">
        <f aca="false">INDEX($C$3:$E$3,MATCH(MAX(C298:E298),C298:E298,0))</f>
        <v>PAN-PRD-MC</v>
      </c>
      <c r="O298" s="17" t="n">
        <f aca="false">(MAX(J298:L298)-LARGE(J298:L298,2))*100</f>
        <v>11.679671325832</v>
      </c>
    </row>
    <row r="299" customFormat="false" ht="15" hidden="false" customHeight="false" outlineLevel="0" collapsed="false">
      <c r="A299" s="4" t="s">
        <v>69</v>
      </c>
      <c r="B299" s="4" t="n">
        <v>5</v>
      </c>
      <c r="C299" s="5" t="n">
        <v>50717</v>
      </c>
      <c r="D299" s="5" t="n">
        <v>78979</v>
      </c>
      <c r="E299" s="5" t="n">
        <v>96751</v>
      </c>
      <c r="F299" s="5" t="n">
        <v>0</v>
      </c>
      <c r="G299" s="5" t="n">
        <v>22</v>
      </c>
      <c r="H299" s="5" t="n">
        <v>6411</v>
      </c>
      <c r="I299" s="5" t="n">
        <v>232880</v>
      </c>
      <c r="J299" s="11" t="n">
        <f aca="false">IF(I299=0,0,C299/I299)</f>
        <v>0.217781690140845</v>
      </c>
      <c r="K299" s="11" t="n">
        <f aca="false">IF(I299=0,0,D299/I299)</f>
        <v>0.33914032978358</v>
      </c>
      <c r="L299" s="11" t="n">
        <f aca="false">IF(I299=0,0,E299/I299)</f>
        <v>0.415454311233253</v>
      </c>
      <c r="M299" s="11" t="n">
        <f aca="false">IF(I299=0,0,H299/I299)</f>
        <v>0.0275291995877705</v>
      </c>
      <c r="N299" s="4" t="str">
        <f aca="false">INDEX($C$3:$E$3,MATCH(MAX(C299:E299),C299:E299,0))</f>
        <v>PRI-PVEM-NA</v>
      </c>
      <c r="O299" s="17" t="n">
        <f aca="false">(MAX(J299:L299)-LARGE(J299:L299,2))*100</f>
        <v>7.63139814496736</v>
      </c>
    </row>
    <row r="300" customFormat="false" ht="15" hidden="false" customHeight="false" outlineLevel="0" collapsed="false">
      <c r="A300" s="4" t="s">
        <v>70</v>
      </c>
      <c r="B300" s="4" t="n">
        <v>1</v>
      </c>
      <c r="C300" s="5" t="n">
        <v>80485</v>
      </c>
      <c r="D300" s="5" t="n">
        <v>34454</v>
      </c>
      <c r="E300" s="5" t="n">
        <v>53033</v>
      </c>
      <c r="F300" s="5" t="n">
        <v>0</v>
      </c>
      <c r="G300" s="5" t="n">
        <v>66</v>
      </c>
      <c r="H300" s="5" t="n">
        <v>6389</v>
      </c>
      <c r="I300" s="5" t="n">
        <v>174427</v>
      </c>
      <c r="J300" s="11" t="n">
        <f aca="false">IF(I300=0,0,C300/I300)</f>
        <v>0.46142512340406</v>
      </c>
      <c r="K300" s="11" t="n">
        <f aca="false">IF(I300=0,0,D300/I300)</f>
        <v>0.197526759045331</v>
      </c>
      <c r="L300" s="11" t="n">
        <f aca="false">IF(I300=0,0,E300/I300)</f>
        <v>0.304041232148693</v>
      </c>
      <c r="M300" s="11" t="n">
        <f aca="false">IF(I300=0,0,H300/I300)</f>
        <v>0.0366285036146927</v>
      </c>
      <c r="N300" s="4" t="str">
        <f aca="false">INDEX($C$3:$E$3,MATCH(MAX(C300:E300),C300:E300,0))</f>
        <v>PT-Morena-PES</v>
      </c>
      <c r="O300" s="17" t="n">
        <f aca="false">(MAX(J300:L300)-LARGE(J300:L300,2))*100</f>
        <v>15.7383891255368</v>
      </c>
    </row>
    <row r="301" customFormat="false" ht="15" hidden="false" customHeight="false" outlineLevel="0" collapsed="false">
      <c r="A301" s="4" t="s">
        <v>70</v>
      </c>
      <c r="B301" s="4" t="n">
        <v>2</v>
      </c>
      <c r="C301" s="5" t="n">
        <v>60145</v>
      </c>
      <c r="D301" s="5" t="n">
        <v>58620</v>
      </c>
      <c r="E301" s="5" t="n">
        <v>67381</v>
      </c>
      <c r="F301" s="5" t="n">
        <v>0</v>
      </c>
      <c r="G301" s="5" t="n">
        <v>42</v>
      </c>
      <c r="H301" s="5" t="n">
        <v>8435</v>
      </c>
      <c r="I301" s="5" t="n">
        <v>194623</v>
      </c>
      <c r="J301" s="11" t="n">
        <f aca="false">IF(I301=0,0,C301/I301)</f>
        <v>0.30903336193564</v>
      </c>
      <c r="K301" s="11" t="n">
        <f aca="false">IF(I301=0,0,D301/I301)</f>
        <v>0.301197700169045</v>
      </c>
      <c r="L301" s="11" t="n">
        <f aca="false">IF(I301=0,0,E301/I301)</f>
        <v>0.346212934750775</v>
      </c>
      <c r="M301" s="11" t="n">
        <f aca="false">IF(I301=0,0,H301/I301)</f>
        <v>0.0433402013122807</v>
      </c>
      <c r="N301" s="4" t="str">
        <f aca="false">INDEX($C$3:$E$3,MATCH(MAX(C301:E301),C301:E301,0))</f>
        <v>PRI-PVEM-NA</v>
      </c>
      <c r="O301" s="17" t="n">
        <f aca="false">(MAX(J301:L301)-LARGE(J301:L301,2))*100</f>
        <v>3.71795728151349</v>
      </c>
    </row>
    <row r="302" customFormat="false" ht="15" hidden="false" customHeight="false" outlineLevel="0" collapsed="false">
      <c r="A302" s="4" t="s">
        <v>70</v>
      </c>
      <c r="B302" s="4" t="n">
        <v>3</v>
      </c>
      <c r="C302" s="5" t="n">
        <v>85164</v>
      </c>
      <c r="D302" s="5" t="n">
        <v>29061</v>
      </c>
      <c r="E302" s="5" t="n">
        <v>73038</v>
      </c>
      <c r="F302" s="5" t="n">
        <v>0</v>
      </c>
      <c r="G302" s="5" t="n">
        <v>113</v>
      </c>
      <c r="H302" s="5" t="n">
        <v>8091</v>
      </c>
      <c r="I302" s="5" t="n">
        <v>195467</v>
      </c>
      <c r="J302" s="11" t="n">
        <f aca="false">IF(I302=0,0,C302/I302)</f>
        <v>0.435695027805205</v>
      </c>
      <c r="K302" s="11" t="n">
        <f aca="false">IF(I302=0,0,D302/I302)</f>
        <v>0.148674712355538</v>
      </c>
      <c r="L302" s="11" t="n">
        <f aca="false">IF(I302=0,0,E302/I302)</f>
        <v>0.373658980799828</v>
      </c>
      <c r="M302" s="11" t="n">
        <f aca="false">IF(I302=0,0,H302/I302)</f>
        <v>0.0413931763417866</v>
      </c>
      <c r="N302" s="4" t="str">
        <f aca="false">INDEX($C$3:$E$3,MATCH(MAX(C302:E302),C302:E302,0))</f>
        <v>PT-Morena-PES</v>
      </c>
      <c r="O302" s="17" t="n">
        <f aca="false">(MAX(J302:L302)-LARGE(J302:L302,2))*100</f>
        <v>6.20360470053769</v>
      </c>
    </row>
    <row r="303" customFormat="false" ht="15" hidden="false" customHeight="false" outlineLevel="0" collapsed="false">
      <c r="A303" s="4" t="s">
        <v>70</v>
      </c>
      <c r="B303" s="4" t="n">
        <v>4</v>
      </c>
      <c r="C303" s="5" t="n">
        <v>81577</v>
      </c>
      <c r="D303" s="5" t="n">
        <v>33168</v>
      </c>
      <c r="E303" s="5" t="n">
        <v>71559</v>
      </c>
      <c r="F303" s="5" t="n">
        <v>0</v>
      </c>
      <c r="G303" s="5" t="n">
        <v>84</v>
      </c>
      <c r="H303" s="5" t="n">
        <v>7469</v>
      </c>
      <c r="I303" s="5" t="n">
        <v>193857</v>
      </c>
      <c r="J303" s="11" t="n">
        <f aca="false">IF(I303=0,0,C303/I303)</f>
        <v>0.42081018482696</v>
      </c>
      <c r="K303" s="11" t="n">
        <f aca="false">IF(I303=0,0,D303/I303)</f>
        <v>0.171095188721583</v>
      </c>
      <c r="L303" s="11" t="n">
        <f aca="false">IF(I303=0,0,E303/I303)</f>
        <v>0.369132917562946</v>
      </c>
      <c r="M303" s="11" t="n">
        <f aca="false">IF(I303=0,0,H303/I303)</f>
        <v>0.0385283997998525</v>
      </c>
      <c r="N303" s="4" t="str">
        <f aca="false">INDEX($C$3:$E$3,MATCH(MAX(C303:E303),C303:E303,0))</f>
        <v>PT-Morena-PES</v>
      </c>
      <c r="O303" s="17" t="n">
        <f aca="false">(MAX(J303:L303)-LARGE(J303:L303,2))*100</f>
        <v>5.16772672640142</v>
      </c>
    </row>
  </sheetData>
  <autoFilter ref="A3:O3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3"/>
  </cols>
  <sheetData>
    <row r="1" customFormat="false" ht="16.15" hidden="false" customHeight="false" outlineLevel="0" collapsed="false">
      <c r="A1" s="10" t="s">
        <v>71</v>
      </c>
    </row>
    <row r="3" customFormat="false" ht="31.5" hidden="false" customHeight="true" outlineLevel="0" collapsed="false">
      <c r="A3" s="3" t="s">
        <v>24</v>
      </c>
      <c r="B3" s="3" t="s">
        <v>17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9</v>
      </c>
      <c r="M3" s="3" t="s">
        <v>81</v>
      </c>
      <c r="N3" s="3" t="s">
        <v>82</v>
      </c>
      <c r="O3" s="3" t="s">
        <v>83</v>
      </c>
      <c r="P3" s="3" t="s">
        <v>10</v>
      </c>
      <c r="Q3" s="3" t="s">
        <v>84</v>
      </c>
      <c r="R3" s="3" t="s">
        <v>85</v>
      </c>
      <c r="S3" s="3" t="s">
        <v>86</v>
      </c>
      <c r="T3" s="3" t="s">
        <v>87</v>
      </c>
      <c r="U3" s="3" t="s">
        <v>88</v>
      </c>
      <c r="V3" s="3" t="s">
        <v>89</v>
      </c>
      <c r="W3" s="3" t="s">
        <v>90</v>
      </c>
      <c r="X3" s="3" t="s">
        <v>91</v>
      </c>
      <c r="Y3" s="3" t="s">
        <v>92</v>
      </c>
      <c r="Z3" s="3" t="s">
        <v>93</v>
      </c>
      <c r="AA3" s="3" t="s">
        <v>94</v>
      </c>
      <c r="AB3" s="3" t="s">
        <v>25</v>
      </c>
      <c r="AC3" s="3" t="s">
        <v>26</v>
      </c>
    </row>
    <row r="4" customFormat="false" ht="15" hidden="false" customHeight="false" outlineLevel="0" collapsed="false">
      <c r="A4" s="4" t="s">
        <v>39</v>
      </c>
      <c r="B4" s="5" t="n">
        <v>1608</v>
      </c>
      <c r="C4" s="5" t="n">
        <v>180692</v>
      </c>
      <c r="D4" s="5" t="n">
        <v>104602</v>
      </c>
      <c r="E4" s="5" t="n">
        <v>12438</v>
      </c>
      <c r="F4" s="5" t="n">
        <v>24356</v>
      </c>
      <c r="G4" s="5" t="n">
        <v>15958</v>
      </c>
      <c r="H4" s="5" t="n">
        <v>11779</v>
      </c>
      <c r="I4" s="5" t="n">
        <v>18557</v>
      </c>
      <c r="J4" s="5" t="n">
        <v>144269</v>
      </c>
      <c r="K4" s="5" t="n">
        <v>13451</v>
      </c>
      <c r="L4" s="5" t="n">
        <v>1866</v>
      </c>
      <c r="M4" s="5" t="n">
        <v>749</v>
      </c>
      <c r="N4" s="5" t="n">
        <v>414</v>
      </c>
      <c r="O4" s="5" t="n">
        <v>115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2673</v>
      </c>
      <c r="U4" s="5" t="n">
        <v>1211</v>
      </c>
      <c r="V4" s="5" t="n">
        <v>178</v>
      </c>
      <c r="W4" s="5" t="n">
        <v>807</v>
      </c>
      <c r="X4" s="5" t="n">
        <v>0</v>
      </c>
      <c r="Y4" s="5" t="n">
        <v>0</v>
      </c>
      <c r="Z4" s="5" t="n">
        <v>544</v>
      </c>
      <c r="AA4" s="5" t="n">
        <v>21842</v>
      </c>
      <c r="AB4" s="5" t="n">
        <v>556501</v>
      </c>
      <c r="AC4" s="5" t="n">
        <v>943448</v>
      </c>
    </row>
    <row r="5" customFormat="false" ht="15" hidden="false" customHeight="false" outlineLevel="0" collapsed="false">
      <c r="A5" s="4" t="s">
        <v>40</v>
      </c>
      <c r="B5" s="5" t="n">
        <v>4738</v>
      </c>
      <c r="C5" s="5" t="n">
        <v>266234</v>
      </c>
      <c r="D5" s="5" t="n">
        <v>130200</v>
      </c>
      <c r="E5" s="5" t="n">
        <v>22765</v>
      </c>
      <c r="F5" s="5" t="n">
        <v>49660</v>
      </c>
      <c r="G5" s="5" t="n">
        <v>62226</v>
      </c>
      <c r="H5" s="5" t="n">
        <v>37711</v>
      </c>
      <c r="I5" s="5" t="n">
        <v>31612</v>
      </c>
      <c r="J5" s="5" t="n">
        <v>707038</v>
      </c>
      <c r="K5" s="5" t="n">
        <v>42047</v>
      </c>
      <c r="L5" s="5" t="n">
        <v>4935</v>
      </c>
      <c r="M5" s="5" t="n">
        <v>1458</v>
      </c>
      <c r="N5" s="5" t="n">
        <v>1463</v>
      </c>
      <c r="O5" s="5" t="n">
        <v>367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18870</v>
      </c>
      <c r="U5" s="5" t="n">
        <v>8351</v>
      </c>
      <c r="V5" s="5" t="n">
        <v>937</v>
      </c>
      <c r="W5" s="5" t="n">
        <v>5119</v>
      </c>
      <c r="X5" s="5" t="n">
        <v>0</v>
      </c>
      <c r="Y5" s="5" t="n">
        <v>0</v>
      </c>
      <c r="Z5" s="5" t="n">
        <v>1311</v>
      </c>
      <c r="AA5" s="5" t="n">
        <v>41920</v>
      </c>
      <c r="AB5" s="5" t="n">
        <v>1434224</v>
      </c>
      <c r="AC5" s="5" t="n">
        <v>2731567</v>
      </c>
    </row>
    <row r="6" customFormat="false" ht="15" hidden="false" customHeight="false" outlineLevel="0" collapsed="false">
      <c r="A6" s="4" t="s">
        <v>41</v>
      </c>
      <c r="B6" s="5" t="n">
        <v>992</v>
      </c>
      <c r="C6" s="5" t="n">
        <v>74518</v>
      </c>
      <c r="D6" s="5" t="n">
        <v>24941</v>
      </c>
      <c r="E6" s="5" t="n">
        <v>3778</v>
      </c>
      <c r="F6" s="5" t="n">
        <v>13370</v>
      </c>
      <c r="G6" s="5" t="n">
        <v>20294</v>
      </c>
      <c r="H6" s="5" t="n">
        <v>6014</v>
      </c>
      <c r="I6" s="5" t="n">
        <v>11217</v>
      </c>
      <c r="J6" s="5" t="n">
        <v>121355</v>
      </c>
      <c r="K6" s="5" t="n">
        <v>6172</v>
      </c>
      <c r="L6" s="5" t="n">
        <v>757</v>
      </c>
      <c r="M6" s="5" t="n">
        <v>472</v>
      </c>
      <c r="N6" s="5" t="n">
        <v>217</v>
      </c>
      <c r="O6" s="5" t="n">
        <v>43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2255</v>
      </c>
      <c r="U6" s="5" t="n">
        <v>1514</v>
      </c>
      <c r="V6" s="5" t="n">
        <v>174</v>
      </c>
      <c r="W6" s="5" t="n">
        <v>1561</v>
      </c>
      <c r="X6" s="5" t="n">
        <v>0</v>
      </c>
      <c r="Y6" s="5" t="n">
        <v>0</v>
      </c>
      <c r="Z6" s="5" t="n">
        <v>221</v>
      </c>
      <c r="AA6" s="5" t="n">
        <v>11094</v>
      </c>
      <c r="AB6" s="5" t="n">
        <v>299967</v>
      </c>
      <c r="AC6" s="5" t="n">
        <v>516146</v>
      </c>
    </row>
    <row r="7" customFormat="false" ht="15" hidden="false" customHeight="false" outlineLevel="0" collapsed="false">
      <c r="A7" s="4" t="s">
        <v>42</v>
      </c>
      <c r="B7" s="5" t="n">
        <v>1164</v>
      </c>
      <c r="C7" s="5" t="n">
        <v>64766</v>
      </c>
      <c r="D7" s="5" t="n">
        <v>116387</v>
      </c>
      <c r="E7" s="5" t="n">
        <v>9897</v>
      </c>
      <c r="F7" s="5" t="n">
        <v>8635</v>
      </c>
      <c r="G7" s="5" t="n">
        <v>16564</v>
      </c>
      <c r="H7" s="5" t="n">
        <v>8756</v>
      </c>
      <c r="I7" s="5" t="n">
        <v>9162</v>
      </c>
      <c r="J7" s="5" t="n">
        <v>174293</v>
      </c>
      <c r="K7" s="5" t="n">
        <v>9031</v>
      </c>
      <c r="L7" s="5" t="n">
        <v>704</v>
      </c>
      <c r="M7" s="5" t="n">
        <v>456</v>
      </c>
      <c r="N7" s="5" t="n">
        <v>919</v>
      </c>
      <c r="O7" s="5" t="n">
        <v>127</v>
      </c>
      <c r="P7" s="5" t="n">
        <v>4951</v>
      </c>
      <c r="Q7" s="5" t="n">
        <v>2806</v>
      </c>
      <c r="R7" s="5" t="n">
        <v>611</v>
      </c>
      <c r="S7" s="5" t="n">
        <v>117</v>
      </c>
      <c r="T7" s="5" t="n">
        <v>2924</v>
      </c>
      <c r="U7" s="5" t="n">
        <v>1638</v>
      </c>
      <c r="V7" s="5" t="n">
        <v>197</v>
      </c>
      <c r="W7" s="5" t="n">
        <v>916</v>
      </c>
      <c r="X7" s="5" t="n">
        <v>0</v>
      </c>
      <c r="Y7" s="5" t="n">
        <v>0</v>
      </c>
      <c r="Z7" s="5" t="n">
        <v>130</v>
      </c>
      <c r="AA7" s="5" t="n">
        <v>15313</v>
      </c>
      <c r="AB7" s="5" t="n">
        <v>449300</v>
      </c>
      <c r="AC7" s="5" t="n">
        <v>642056</v>
      </c>
    </row>
    <row r="8" customFormat="false" ht="15" hidden="false" customHeight="false" outlineLevel="0" collapsed="false">
      <c r="A8" s="4" t="s">
        <v>43</v>
      </c>
      <c r="B8" s="5" t="n">
        <v>3786</v>
      </c>
      <c r="C8" s="5" t="n">
        <v>340651</v>
      </c>
      <c r="D8" s="5" t="n">
        <v>401652</v>
      </c>
      <c r="E8" s="5" t="n">
        <v>23404</v>
      </c>
      <c r="F8" s="5" t="n">
        <v>27987</v>
      </c>
      <c r="G8" s="5" t="n">
        <v>33044</v>
      </c>
      <c r="H8" s="5" t="n">
        <v>33507</v>
      </c>
      <c r="I8" s="5" t="n">
        <v>19320</v>
      </c>
      <c r="J8" s="5" t="n">
        <v>409482</v>
      </c>
      <c r="K8" s="5" t="n">
        <v>17082</v>
      </c>
      <c r="L8" s="5" t="n">
        <v>2847</v>
      </c>
      <c r="M8" s="5" t="n">
        <v>1079</v>
      </c>
      <c r="N8" s="5" t="n">
        <v>1779</v>
      </c>
      <c r="O8" s="5" t="n">
        <v>266</v>
      </c>
      <c r="P8" s="5" t="n">
        <v>3295</v>
      </c>
      <c r="Q8" s="5" t="n">
        <v>4914</v>
      </c>
      <c r="R8" s="5" t="n">
        <v>720</v>
      </c>
      <c r="S8" s="5" t="n">
        <v>185</v>
      </c>
      <c r="T8" s="5" t="n">
        <v>5832</v>
      </c>
      <c r="U8" s="5" t="n">
        <v>2686</v>
      </c>
      <c r="V8" s="5" t="n">
        <v>284</v>
      </c>
      <c r="W8" s="5" t="n">
        <v>1768</v>
      </c>
      <c r="X8" s="5" t="n">
        <v>0</v>
      </c>
      <c r="Y8" s="5" t="n">
        <v>0</v>
      </c>
      <c r="Z8" s="5" t="n">
        <v>431</v>
      </c>
      <c r="AA8" s="5" t="n">
        <v>32763</v>
      </c>
      <c r="AB8" s="5" t="n">
        <v>1364978</v>
      </c>
      <c r="AC8" s="5" t="n">
        <v>2154098</v>
      </c>
    </row>
    <row r="9" customFormat="false" ht="15" hidden="false" customHeight="false" outlineLevel="0" collapsed="false">
      <c r="A9" s="4" t="s">
        <v>44</v>
      </c>
      <c r="B9" s="5" t="n">
        <v>960</v>
      </c>
      <c r="C9" s="5" t="n">
        <v>50539</v>
      </c>
      <c r="D9" s="5" t="n">
        <v>64981</v>
      </c>
      <c r="E9" s="5" t="n">
        <v>7265</v>
      </c>
      <c r="F9" s="5" t="n">
        <v>16402</v>
      </c>
      <c r="G9" s="5" t="n">
        <v>14101</v>
      </c>
      <c r="H9" s="5" t="n">
        <v>18556</v>
      </c>
      <c r="I9" s="5" t="n">
        <v>10676</v>
      </c>
      <c r="J9" s="5" t="n">
        <v>122999</v>
      </c>
      <c r="K9" s="5" t="n">
        <v>5429</v>
      </c>
      <c r="L9" s="5" t="n">
        <v>780</v>
      </c>
      <c r="M9" s="5" t="n">
        <v>710</v>
      </c>
      <c r="N9" s="5" t="n">
        <v>295</v>
      </c>
      <c r="O9" s="5" t="n">
        <v>95</v>
      </c>
      <c r="P9" s="5" t="n">
        <v>991</v>
      </c>
      <c r="Q9" s="5" t="n">
        <v>2534</v>
      </c>
      <c r="R9" s="5" t="n">
        <v>248</v>
      </c>
      <c r="S9" s="5" t="n">
        <v>98</v>
      </c>
      <c r="T9" s="5" t="n">
        <v>4187</v>
      </c>
      <c r="U9" s="5" t="n">
        <v>1384</v>
      </c>
      <c r="V9" s="5" t="n">
        <v>158</v>
      </c>
      <c r="W9" s="5" t="n">
        <v>665</v>
      </c>
      <c r="X9" s="5" t="n">
        <v>0</v>
      </c>
      <c r="Y9" s="5" t="n">
        <v>0</v>
      </c>
      <c r="Z9" s="5" t="n">
        <v>208</v>
      </c>
      <c r="AA9" s="5" t="n">
        <v>11630</v>
      </c>
      <c r="AB9" s="5" t="n">
        <v>334931</v>
      </c>
      <c r="AC9" s="5" t="n">
        <v>530720</v>
      </c>
    </row>
    <row r="10" customFormat="false" ht="15" hidden="false" customHeight="false" outlineLevel="0" collapsed="false">
      <c r="A10" s="4" t="s">
        <v>45</v>
      </c>
      <c r="B10" s="5" t="n">
        <v>6361</v>
      </c>
      <c r="C10" s="5" t="n">
        <v>90584</v>
      </c>
      <c r="D10" s="5" t="n">
        <v>312004</v>
      </c>
      <c r="E10" s="5" t="n">
        <v>80066</v>
      </c>
      <c r="F10" s="5" t="n">
        <v>362011</v>
      </c>
      <c r="G10" s="5" t="n">
        <v>112262</v>
      </c>
      <c r="H10" s="5" t="n">
        <v>65285</v>
      </c>
      <c r="I10" s="5" t="n">
        <v>68532</v>
      </c>
      <c r="J10" s="5" t="n">
        <v>1010340</v>
      </c>
      <c r="K10" s="5" t="n">
        <v>48888</v>
      </c>
      <c r="L10" s="5" t="n">
        <v>2586</v>
      </c>
      <c r="M10" s="5" t="n">
        <v>1172</v>
      </c>
      <c r="N10" s="5" t="n">
        <v>687</v>
      </c>
      <c r="O10" s="5" t="n">
        <v>637</v>
      </c>
      <c r="P10" s="5" t="n">
        <v>3184</v>
      </c>
      <c r="Q10" s="5" t="n">
        <v>6833</v>
      </c>
      <c r="R10" s="5" t="n">
        <v>1659</v>
      </c>
      <c r="S10" s="5" t="n">
        <v>1812</v>
      </c>
      <c r="T10" s="5" t="n">
        <v>21770</v>
      </c>
      <c r="U10" s="5" t="n">
        <v>8834</v>
      </c>
      <c r="V10" s="5" t="n">
        <v>1500</v>
      </c>
      <c r="W10" s="5" t="n">
        <v>6257</v>
      </c>
      <c r="X10" s="5" t="n">
        <v>3452</v>
      </c>
      <c r="Y10" s="5" t="n">
        <v>0</v>
      </c>
      <c r="Z10" s="5" t="n">
        <v>1350</v>
      </c>
      <c r="AA10" s="5" t="n">
        <v>195258</v>
      </c>
      <c r="AB10" s="5" t="n">
        <v>2406963</v>
      </c>
      <c r="AC10" s="5" t="n">
        <v>3493368</v>
      </c>
    </row>
    <row r="11" customFormat="false" ht="15" hidden="false" customHeight="false" outlineLevel="0" collapsed="false">
      <c r="A11" s="4" t="s">
        <v>46</v>
      </c>
      <c r="B11" s="5" t="n">
        <v>5329</v>
      </c>
      <c r="C11" s="5" t="n">
        <v>394127</v>
      </c>
      <c r="D11" s="5" t="n">
        <v>257942</v>
      </c>
      <c r="E11" s="5" t="n">
        <v>29944</v>
      </c>
      <c r="F11" s="5" t="n">
        <v>60498</v>
      </c>
      <c r="G11" s="5" t="n">
        <v>48731</v>
      </c>
      <c r="H11" s="5" t="n">
        <v>36943</v>
      </c>
      <c r="I11" s="5" t="n">
        <v>44556</v>
      </c>
      <c r="J11" s="5" t="n">
        <v>416531</v>
      </c>
      <c r="K11" s="5" t="n">
        <v>32982</v>
      </c>
      <c r="L11" s="5" t="n">
        <v>3755</v>
      </c>
      <c r="M11" s="5" t="n">
        <v>1630</v>
      </c>
      <c r="N11" s="5" t="n">
        <v>2918</v>
      </c>
      <c r="O11" s="5" t="n">
        <v>307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8874</v>
      </c>
      <c r="U11" s="5" t="n">
        <v>4440</v>
      </c>
      <c r="V11" s="5" t="n">
        <v>633</v>
      </c>
      <c r="W11" s="5" t="n">
        <v>3362</v>
      </c>
      <c r="X11" s="5" t="n">
        <v>73066</v>
      </c>
      <c r="Y11" s="5" t="n">
        <v>0</v>
      </c>
      <c r="Z11" s="5" t="n">
        <v>1042</v>
      </c>
      <c r="AA11" s="5" t="n">
        <v>67695</v>
      </c>
      <c r="AB11" s="5" t="n">
        <v>1489976</v>
      </c>
      <c r="AC11" s="5" t="n">
        <v>2741821</v>
      </c>
    </row>
    <row r="12" customFormat="false" ht="15" hidden="false" customHeight="false" outlineLevel="0" collapsed="false">
      <c r="A12" s="4" t="s">
        <v>47</v>
      </c>
      <c r="B12" s="5" t="n">
        <v>13005</v>
      </c>
      <c r="C12" s="5" t="n">
        <v>834572</v>
      </c>
      <c r="D12" s="5" t="n">
        <v>511948</v>
      </c>
      <c r="E12" s="5" t="n">
        <v>563466</v>
      </c>
      <c r="F12" s="5" t="n">
        <v>238448</v>
      </c>
      <c r="G12" s="5" t="n">
        <v>141943</v>
      </c>
      <c r="H12" s="5" t="n">
        <v>138607</v>
      </c>
      <c r="I12" s="5" t="n">
        <v>99511</v>
      </c>
      <c r="J12" s="5" t="n">
        <v>2334801</v>
      </c>
      <c r="K12" s="5" t="n">
        <v>123862</v>
      </c>
      <c r="L12" s="5" t="n">
        <v>35393</v>
      </c>
      <c r="M12" s="5" t="n">
        <v>11574</v>
      </c>
      <c r="N12" s="5" t="n">
        <v>3056</v>
      </c>
      <c r="O12" s="5" t="n">
        <v>3981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87998</v>
      </c>
      <c r="U12" s="5" t="n">
        <v>24205</v>
      </c>
      <c r="V12" s="5" t="n">
        <v>2409</v>
      </c>
      <c r="W12" s="5" t="n">
        <v>13967</v>
      </c>
      <c r="X12" s="5" t="n">
        <v>0</v>
      </c>
      <c r="Y12" s="5" t="n">
        <v>0</v>
      </c>
      <c r="Z12" s="5" t="n">
        <v>4724</v>
      </c>
      <c r="AA12" s="5" t="n">
        <v>190816</v>
      </c>
      <c r="AB12" s="5" t="n">
        <v>5365281</v>
      </c>
      <c r="AC12" s="5" t="n">
        <v>7626268</v>
      </c>
    </row>
    <row r="13" customFormat="false" ht="15" hidden="false" customHeight="false" outlineLevel="0" collapsed="false">
      <c r="A13" s="4" t="s">
        <v>48</v>
      </c>
      <c r="B13" s="5" t="n">
        <v>2500</v>
      </c>
      <c r="C13" s="5" t="n">
        <v>178869</v>
      </c>
      <c r="D13" s="5" t="n">
        <v>162175</v>
      </c>
      <c r="E13" s="5" t="n">
        <v>11944</v>
      </c>
      <c r="F13" s="5" t="n">
        <v>31944</v>
      </c>
      <c r="G13" s="5" t="n">
        <v>49800</v>
      </c>
      <c r="H13" s="5" t="n">
        <v>19756</v>
      </c>
      <c r="I13" s="5" t="n">
        <v>18009</v>
      </c>
      <c r="J13" s="5" t="n">
        <v>202458</v>
      </c>
      <c r="K13" s="5" t="n">
        <v>14364</v>
      </c>
      <c r="L13" s="5" t="n">
        <v>2633</v>
      </c>
      <c r="M13" s="5" t="n">
        <v>1674</v>
      </c>
      <c r="N13" s="5" t="n">
        <v>984</v>
      </c>
      <c r="O13" s="5" t="n">
        <v>141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5525</v>
      </c>
      <c r="U13" s="5" t="n">
        <v>4510</v>
      </c>
      <c r="V13" s="5" t="n">
        <v>351</v>
      </c>
      <c r="W13" s="5" t="n">
        <v>1512</v>
      </c>
      <c r="X13" s="5" t="n">
        <v>0</v>
      </c>
      <c r="Y13" s="5" t="n">
        <v>0</v>
      </c>
      <c r="Z13" s="5" t="n">
        <v>316</v>
      </c>
      <c r="AA13" s="5" t="n">
        <v>25196</v>
      </c>
      <c r="AB13" s="5" t="n">
        <v>732161</v>
      </c>
      <c r="AC13" s="5" t="n">
        <v>1279679</v>
      </c>
    </row>
    <row r="14" customFormat="false" ht="15" hidden="false" customHeight="false" outlineLevel="0" collapsed="false">
      <c r="A14" s="4" t="s">
        <v>49</v>
      </c>
      <c r="B14" s="5" t="n">
        <v>7499</v>
      </c>
      <c r="C14" s="5" t="n">
        <v>877807</v>
      </c>
      <c r="D14" s="5" t="n">
        <v>333820</v>
      </c>
      <c r="E14" s="5" t="n">
        <v>65931</v>
      </c>
      <c r="F14" s="5" t="n">
        <v>185933</v>
      </c>
      <c r="G14" s="5" t="n">
        <v>51521</v>
      </c>
      <c r="H14" s="5" t="n">
        <v>62094</v>
      </c>
      <c r="I14" s="5" t="n">
        <v>72883</v>
      </c>
      <c r="J14" s="5" t="n">
        <v>465611</v>
      </c>
      <c r="K14" s="5" t="n">
        <v>39777</v>
      </c>
      <c r="L14" s="5" t="n">
        <v>8092</v>
      </c>
      <c r="M14" s="5" t="n">
        <v>3325</v>
      </c>
      <c r="N14" s="5" t="n">
        <v>2594</v>
      </c>
      <c r="O14" s="5" t="n">
        <v>505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9613</v>
      </c>
      <c r="U14" s="5" t="n">
        <v>4508</v>
      </c>
      <c r="V14" s="5" t="n">
        <v>460</v>
      </c>
      <c r="W14" s="5" t="n">
        <v>2227</v>
      </c>
      <c r="X14" s="5" t="n">
        <v>18442</v>
      </c>
      <c r="Y14" s="5" t="n">
        <v>0</v>
      </c>
      <c r="Z14" s="5" t="n">
        <v>1593</v>
      </c>
      <c r="AA14" s="5" t="n">
        <v>100099</v>
      </c>
      <c r="AB14" s="5" t="n">
        <v>2306835</v>
      </c>
      <c r="AC14" s="5" t="n">
        <v>4359031</v>
      </c>
    </row>
    <row r="15" customFormat="false" ht="15" hidden="false" customHeight="false" outlineLevel="0" collapsed="false">
      <c r="A15" s="4" t="s">
        <v>50</v>
      </c>
      <c r="B15" s="5" t="n">
        <v>5013</v>
      </c>
      <c r="C15" s="5" t="n">
        <v>69073</v>
      </c>
      <c r="D15" s="5" t="n">
        <v>283653</v>
      </c>
      <c r="E15" s="5" t="n">
        <v>204131</v>
      </c>
      <c r="F15" s="5" t="n">
        <v>68149</v>
      </c>
      <c r="G15" s="5" t="n">
        <v>94141</v>
      </c>
      <c r="H15" s="5" t="n">
        <v>59845</v>
      </c>
      <c r="I15" s="5" t="n">
        <v>26919</v>
      </c>
      <c r="J15" s="5" t="n">
        <v>629472</v>
      </c>
      <c r="K15" s="5" t="n">
        <v>31351</v>
      </c>
      <c r="L15" s="5" t="n">
        <v>3115</v>
      </c>
      <c r="M15" s="5" t="n">
        <v>2200</v>
      </c>
      <c r="N15" s="5" t="n">
        <v>619</v>
      </c>
      <c r="O15" s="5" t="n">
        <v>1804</v>
      </c>
      <c r="P15" s="5" t="n">
        <v>3139</v>
      </c>
      <c r="Q15" s="5" t="n">
        <v>9452</v>
      </c>
      <c r="R15" s="5" t="n">
        <v>823</v>
      </c>
      <c r="S15" s="5" t="n">
        <v>484</v>
      </c>
      <c r="T15" s="5" t="n">
        <v>11457</v>
      </c>
      <c r="U15" s="5" t="n">
        <v>6404</v>
      </c>
      <c r="V15" s="5" t="n">
        <v>694</v>
      </c>
      <c r="W15" s="5" t="n">
        <v>4717</v>
      </c>
      <c r="X15" s="5" t="n">
        <v>9834</v>
      </c>
      <c r="Y15" s="5" t="n">
        <v>0</v>
      </c>
      <c r="Z15" s="5" t="n">
        <v>592</v>
      </c>
      <c r="AA15" s="5" t="n">
        <v>83142</v>
      </c>
      <c r="AB15" s="5" t="n">
        <v>1605210</v>
      </c>
      <c r="AC15" s="5" t="n">
        <v>2503904</v>
      </c>
    </row>
    <row r="16" customFormat="false" ht="15" hidden="false" customHeight="false" outlineLevel="0" collapsed="false">
      <c r="A16" s="4" t="s">
        <v>51</v>
      </c>
      <c r="B16" s="5" t="n">
        <v>3806</v>
      </c>
      <c r="C16" s="5" t="n">
        <v>128085</v>
      </c>
      <c r="D16" s="5" t="n">
        <v>260944</v>
      </c>
      <c r="E16" s="5" t="n">
        <v>41963</v>
      </c>
      <c r="F16" s="5" t="n">
        <v>34076</v>
      </c>
      <c r="G16" s="5" t="n">
        <v>61675</v>
      </c>
      <c r="H16" s="5" t="n">
        <v>21644</v>
      </c>
      <c r="I16" s="5" t="n">
        <v>58518</v>
      </c>
      <c r="J16" s="5" t="n">
        <v>643912</v>
      </c>
      <c r="K16" s="5" t="n">
        <v>52030</v>
      </c>
      <c r="L16" s="5" t="n">
        <v>2683</v>
      </c>
      <c r="M16" s="5" t="n">
        <v>2035</v>
      </c>
      <c r="N16" s="5" t="n">
        <v>532</v>
      </c>
      <c r="O16" s="5" t="n">
        <v>278</v>
      </c>
      <c r="P16" s="5" t="n">
        <v>4099</v>
      </c>
      <c r="Q16" s="5" t="n">
        <v>3349</v>
      </c>
      <c r="R16" s="5" t="n">
        <v>1603</v>
      </c>
      <c r="S16" s="5" t="n">
        <v>391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4673</v>
      </c>
      <c r="Y16" s="5" t="n">
        <v>0</v>
      </c>
      <c r="Z16" s="5" t="n">
        <v>465</v>
      </c>
      <c r="AA16" s="5" t="n">
        <v>64262</v>
      </c>
      <c r="AB16" s="5" t="n">
        <v>1387217</v>
      </c>
      <c r="AC16" s="5" t="n">
        <v>2118481</v>
      </c>
    </row>
    <row r="17" customFormat="false" ht="15" hidden="false" customHeight="false" outlineLevel="0" collapsed="false">
      <c r="A17" s="4" t="s">
        <v>52</v>
      </c>
      <c r="B17" s="5" t="n">
        <v>9863</v>
      </c>
      <c r="C17" s="5" t="n">
        <v>543362</v>
      </c>
      <c r="D17" s="5" t="n">
        <v>514668</v>
      </c>
      <c r="E17" s="5" t="n">
        <v>49860</v>
      </c>
      <c r="F17" s="5" t="n">
        <v>159568</v>
      </c>
      <c r="G17" s="5" t="n">
        <v>73843</v>
      </c>
      <c r="H17" s="5" t="n">
        <v>816741</v>
      </c>
      <c r="I17" s="5" t="n">
        <v>88182</v>
      </c>
      <c r="J17" s="5" t="n">
        <v>838845</v>
      </c>
      <c r="K17" s="5" t="n">
        <v>69375</v>
      </c>
      <c r="L17" s="5" t="n">
        <v>11793</v>
      </c>
      <c r="M17" s="5" t="n">
        <v>1961</v>
      </c>
      <c r="N17" s="5" t="n">
        <v>9563</v>
      </c>
      <c r="O17" s="5" t="n">
        <v>2256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17190</v>
      </c>
      <c r="U17" s="5" t="n">
        <v>6815</v>
      </c>
      <c r="V17" s="5" t="n">
        <v>970</v>
      </c>
      <c r="W17" s="5" t="n">
        <v>4738</v>
      </c>
      <c r="X17" s="5" t="n">
        <v>146701</v>
      </c>
      <c r="Y17" s="5" t="n">
        <v>0</v>
      </c>
      <c r="Z17" s="5" t="n">
        <v>1824</v>
      </c>
      <c r="AA17" s="5" t="n">
        <v>123165</v>
      </c>
      <c r="AB17" s="5" t="n">
        <v>3481420</v>
      </c>
      <c r="AC17" s="5" t="n">
        <v>5896959</v>
      </c>
    </row>
    <row r="18" customFormat="false" ht="15" hidden="false" customHeight="false" outlineLevel="0" collapsed="false">
      <c r="A18" s="4" t="s">
        <v>53</v>
      </c>
      <c r="B18" s="5" t="n">
        <v>19364</v>
      </c>
      <c r="C18" s="5" t="n">
        <v>1123877</v>
      </c>
      <c r="D18" s="5" t="n">
        <v>1546532</v>
      </c>
      <c r="E18" s="5" t="n">
        <v>452517</v>
      </c>
      <c r="F18" s="5" t="n">
        <v>321609</v>
      </c>
      <c r="G18" s="5" t="n">
        <v>232184</v>
      </c>
      <c r="H18" s="5" t="n">
        <v>179892</v>
      </c>
      <c r="I18" s="5" t="n">
        <v>197286</v>
      </c>
      <c r="J18" s="5" t="n">
        <v>3313121</v>
      </c>
      <c r="K18" s="5" t="n">
        <v>167316</v>
      </c>
      <c r="L18" s="5" t="n">
        <v>30317</v>
      </c>
      <c r="M18" s="5" t="n">
        <v>11339</v>
      </c>
      <c r="N18" s="5" t="n">
        <v>4556</v>
      </c>
      <c r="O18" s="5" t="n">
        <v>2506</v>
      </c>
      <c r="P18" s="5" t="n">
        <v>17526</v>
      </c>
      <c r="Q18" s="5" t="n">
        <v>23738</v>
      </c>
      <c r="R18" s="5" t="n">
        <v>3598</v>
      </c>
      <c r="S18" s="5" t="n">
        <v>1955</v>
      </c>
      <c r="T18" s="5" t="n">
        <v>87830</v>
      </c>
      <c r="U18" s="5" t="n">
        <v>26528</v>
      </c>
      <c r="V18" s="5" t="n">
        <v>3582</v>
      </c>
      <c r="W18" s="5" t="n">
        <v>19151</v>
      </c>
      <c r="X18" s="5" t="n">
        <v>0</v>
      </c>
      <c r="Y18" s="5" t="n">
        <v>0</v>
      </c>
      <c r="Z18" s="5" t="n">
        <v>4392</v>
      </c>
      <c r="AA18" s="5" t="n">
        <v>234254</v>
      </c>
      <c r="AB18" s="5" t="n">
        <v>8005606</v>
      </c>
      <c r="AC18" s="5" t="n">
        <v>11832184</v>
      </c>
    </row>
    <row r="19" customFormat="false" ht="15" hidden="false" customHeight="false" outlineLevel="0" collapsed="false">
      <c r="A19" s="4" t="s">
        <v>54</v>
      </c>
      <c r="B19" s="5" t="n">
        <v>6026</v>
      </c>
      <c r="C19" s="5" t="n">
        <v>228687</v>
      </c>
      <c r="D19" s="5" t="n">
        <v>306741</v>
      </c>
      <c r="E19" s="5" t="n">
        <v>269924</v>
      </c>
      <c r="F19" s="5" t="n">
        <v>148226</v>
      </c>
      <c r="G19" s="5" t="n">
        <v>106637</v>
      </c>
      <c r="H19" s="5" t="n">
        <v>56258</v>
      </c>
      <c r="I19" s="5" t="n">
        <v>46257</v>
      </c>
      <c r="J19" s="5" t="n">
        <v>560023</v>
      </c>
      <c r="K19" s="5" t="n">
        <v>44890</v>
      </c>
      <c r="L19" s="5" t="n">
        <v>7154</v>
      </c>
      <c r="M19" s="5" t="n">
        <v>5563</v>
      </c>
      <c r="N19" s="5" t="n">
        <v>1470</v>
      </c>
      <c r="O19" s="5" t="n">
        <v>1586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10724</v>
      </c>
      <c r="U19" s="5" t="n">
        <v>11063</v>
      </c>
      <c r="V19" s="5" t="n">
        <v>921</v>
      </c>
      <c r="W19" s="5" t="n">
        <v>3232</v>
      </c>
      <c r="X19" s="5" t="n">
        <v>44208</v>
      </c>
      <c r="Y19" s="5" t="n">
        <v>0</v>
      </c>
      <c r="Z19" s="5" t="n">
        <v>1182</v>
      </c>
      <c r="AA19" s="5" t="n">
        <v>118227</v>
      </c>
      <c r="AB19" s="5" t="n">
        <v>1972973</v>
      </c>
      <c r="AC19" s="5" t="n">
        <v>3368021</v>
      </c>
    </row>
    <row r="20" customFormat="false" ht="15" hidden="false" customHeight="false" outlineLevel="0" collapsed="false">
      <c r="A20" s="4" t="s">
        <v>55</v>
      </c>
      <c r="B20" s="5" t="n">
        <v>2443</v>
      </c>
      <c r="C20" s="5" t="n">
        <v>90504</v>
      </c>
      <c r="D20" s="5" t="n">
        <v>84405</v>
      </c>
      <c r="E20" s="5" t="n">
        <v>104451</v>
      </c>
      <c r="F20" s="5" t="n">
        <v>51200</v>
      </c>
      <c r="G20" s="5" t="n">
        <v>44587</v>
      </c>
      <c r="H20" s="5" t="n">
        <v>40151</v>
      </c>
      <c r="I20" s="5" t="n">
        <v>37453</v>
      </c>
      <c r="J20" s="5" t="n">
        <v>342933</v>
      </c>
      <c r="K20" s="5" t="n">
        <v>38853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1834</v>
      </c>
      <c r="Q20" s="5" t="n">
        <v>1304</v>
      </c>
      <c r="R20" s="5" t="n">
        <v>542</v>
      </c>
      <c r="S20" s="5" t="n">
        <v>516</v>
      </c>
      <c r="T20" s="5" t="n">
        <v>12056</v>
      </c>
      <c r="U20" s="5" t="n">
        <v>3762</v>
      </c>
      <c r="V20" s="5" t="n">
        <v>803</v>
      </c>
      <c r="W20" s="5" t="n">
        <v>3893</v>
      </c>
      <c r="X20" s="5" t="n">
        <v>51603</v>
      </c>
      <c r="Y20" s="5" t="n">
        <v>0</v>
      </c>
      <c r="Z20" s="5" t="n">
        <v>732</v>
      </c>
      <c r="AA20" s="5" t="n">
        <v>50427</v>
      </c>
      <c r="AB20" s="5" t="n">
        <v>962009</v>
      </c>
      <c r="AC20" s="5" t="n">
        <v>1439365</v>
      </c>
    </row>
    <row r="21" customFormat="false" ht="15" hidden="false" customHeight="false" outlineLevel="0" collapsed="false">
      <c r="A21" s="4" t="s">
        <v>56</v>
      </c>
      <c r="B21" s="5" t="n">
        <v>1680</v>
      </c>
      <c r="C21" s="5" t="n">
        <v>73963</v>
      </c>
      <c r="D21" s="5" t="n">
        <v>62814</v>
      </c>
      <c r="E21" s="5" t="n">
        <v>20004</v>
      </c>
      <c r="F21" s="5" t="n">
        <v>9389</v>
      </c>
      <c r="G21" s="5" t="n">
        <v>23155</v>
      </c>
      <c r="H21" s="5" t="n">
        <v>26745</v>
      </c>
      <c r="I21" s="5" t="n">
        <v>11986</v>
      </c>
      <c r="J21" s="5" t="n">
        <v>213462</v>
      </c>
      <c r="K21" s="5" t="n">
        <v>10293</v>
      </c>
      <c r="L21" s="5" t="n">
        <v>2072</v>
      </c>
      <c r="M21" s="5" t="n">
        <v>865</v>
      </c>
      <c r="N21" s="5" t="n">
        <v>456</v>
      </c>
      <c r="O21" s="5" t="n">
        <v>191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4758</v>
      </c>
      <c r="U21" s="5" t="n">
        <v>1693</v>
      </c>
      <c r="V21" s="5" t="n">
        <v>261</v>
      </c>
      <c r="W21" s="5" t="n">
        <v>1186</v>
      </c>
      <c r="X21" s="5" t="n">
        <v>0</v>
      </c>
      <c r="Y21" s="5" t="n">
        <v>0</v>
      </c>
      <c r="Z21" s="5" t="n">
        <v>172</v>
      </c>
      <c r="AA21" s="5" t="n">
        <v>18847</v>
      </c>
      <c r="AB21" s="5" t="n">
        <v>482312</v>
      </c>
      <c r="AC21" s="5" t="n">
        <v>846811</v>
      </c>
    </row>
    <row r="22" customFormat="false" ht="15" hidden="false" customHeight="false" outlineLevel="0" collapsed="false">
      <c r="A22" s="4" t="s">
        <v>57</v>
      </c>
      <c r="B22" s="5" t="n">
        <v>6613</v>
      </c>
      <c r="C22" s="5" t="n">
        <v>611652</v>
      </c>
      <c r="D22" s="5" t="n">
        <v>396298</v>
      </c>
      <c r="E22" s="5" t="n">
        <v>20796</v>
      </c>
      <c r="F22" s="5" t="n">
        <v>105443</v>
      </c>
      <c r="G22" s="5" t="n">
        <v>95561</v>
      </c>
      <c r="H22" s="5" t="n">
        <v>229675</v>
      </c>
      <c r="I22" s="5" t="n">
        <v>65362</v>
      </c>
      <c r="J22" s="5" t="n">
        <v>388295</v>
      </c>
      <c r="K22" s="5" t="n">
        <v>38517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7730</v>
      </c>
      <c r="U22" s="5" t="n">
        <v>4918</v>
      </c>
      <c r="V22" s="5" t="n">
        <v>571</v>
      </c>
      <c r="W22" s="5" t="n">
        <v>1904</v>
      </c>
      <c r="X22" s="5" t="n">
        <v>127476</v>
      </c>
      <c r="Y22" s="5" t="n">
        <v>4000</v>
      </c>
      <c r="Z22" s="5" t="n">
        <v>1829</v>
      </c>
      <c r="AA22" s="5" t="n">
        <v>69216</v>
      </c>
      <c r="AB22" s="5" t="n">
        <v>2169243</v>
      </c>
      <c r="AC22" s="5" t="n">
        <v>3899320</v>
      </c>
    </row>
    <row r="23" customFormat="false" ht="15" hidden="false" customHeight="false" outlineLevel="0" collapsed="false">
      <c r="A23" s="4" t="s">
        <v>58</v>
      </c>
      <c r="B23" s="5" t="n">
        <v>5474</v>
      </c>
      <c r="C23" s="5" t="n">
        <v>124444</v>
      </c>
      <c r="D23" s="5" t="n">
        <v>336283</v>
      </c>
      <c r="E23" s="5" t="n">
        <v>133053</v>
      </c>
      <c r="F23" s="5" t="n">
        <v>56851</v>
      </c>
      <c r="G23" s="5" t="n">
        <v>113825</v>
      </c>
      <c r="H23" s="5" t="n">
        <v>39479</v>
      </c>
      <c r="I23" s="5" t="n">
        <v>57182</v>
      </c>
      <c r="J23" s="5" t="n">
        <v>883566</v>
      </c>
      <c r="K23" s="5" t="n">
        <v>33458</v>
      </c>
      <c r="L23" s="5" t="n">
        <v>3206</v>
      </c>
      <c r="M23" s="5" t="n">
        <v>2171</v>
      </c>
      <c r="N23" s="5" t="n">
        <v>541</v>
      </c>
      <c r="O23" s="5" t="n">
        <v>756</v>
      </c>
      <c r="P23" s="5" t="n">
        <v>4749</v>
      </c>
      <c r="Q23" s="5" t="n">
        <v>6370</v>
      </c>
      <c r="R23" s="5" t="n">
        <v>1349</v>
      </c>
      <c r="S23" s="5" t="n">
        <v>625</v>
      </c>
      <c r="T23" s="5" t="n">
        <v>18129</v>
      </c>
      <c r="U23" s="5" t="n">
        <v>8842</v>
      </c>
      <c r="V23" s="5" t="n">
        <v>1052</v>
      </c>
      <c r="W23" s="5" t="n">
        <v>4010</v>
      </c>
      <c r="X23" s="5" t="n">
        <v>5218</v>
      </c>
      <c r="Y23" s="5" t="n">
        <v>0</v>
      </c>
      <c r="Z23" s="5" t="n">
        <v>629</v>
      </c>
      <c r="AA23" s="5" t="n">
        <v>85821</v>
      </c>
      <c r="AB23" s="5" t="n">
        <v>1921609</v>
      </c>
      <c r="AC23" s="5" t="n">
        <v>2859593</v>
      </c>
    </row>
    <row r="24" customFormat="false" ht="15" hidden="false" customHeight="false" outlineLevel="0" collapsed="false">
      <c r="A24" s="4" t="s">
        <v>59</v>
      </c>
      <c r="B24" s="5" t="n">
        <v>7589</v>
      </c>
      <c r="C24" s="5" t="n">
        <v>611829</v>
      </c>
      <c r="D24" s="5" t="n">
        <v>508176</v>
      </c>
      <c r="E24" s="5" t="n">
        <v>77962</v>
      </c>
      <c r="F24" s="5" t="n">
        <v>124281</v>
      </c>
      <c r="G24" s="5" t="n">
        <v>108084</v>
      </c>
      <c r="H24" s="5" t="n">
        <v>104891</v>
      </c>
      <c r="I24" s="5" t="n">
        <v>79391</v>
      </c>
      <c r="J24" s="5" t="n">
        <v>1180271</v>
      </c>
      <c r="K24" s="5" t="n">
        <v>46636</v>
      </c>
      <c r="L24" s="5" t="n">
        <v>8307</v>
      </c>
      <c r="M24" s="5" t="n">
        <v>6072</v>
      </c>
      <c r="N24" s="5" t="n">
        <v>3535</v>
      </c>
      <c r="O24" s="5" t="n">
        <v>1474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29920</v>
      </c>
      <c r="U24" s="5" t="n">
        <v>12868</v>
      </c>
      <c r="V24" s="5" t="n">
        <v>1640</v>
      </c>
      <c r="W24" s="5" t="n">
        <v>9100</v>
      </c>
      <c r="X24" s="5" t="n">
        <v>0</v>
      </c>
      <c r="Y24" s="5" t="n">
        <v>0</v>
      </c>
      <c r="Z24" s="5" t="n">
        <v>1262</v>
      </c>
      <c r="AA24" s="5" t="n">
        <v>147783</v>
      </c>
      <c r="AB24" s="5" t="n">
        <v>3063482</v>
      </c>
      <c r="AC24" s="5" t="n">
        <v>4456816</v>
      </c>
    </row>
    <row r="25" customFormat="false" ht="15" hidden="false" customHeight="false" outlineLevel="0" collapsed="false">
      <c r="A25" s="4" t="s">
        <v>60</v>
      </c>
      <c r="B25" s="5" t="n">
        <v>2692</v>
      </c>
      <c r="C25" s="5" t="n">
        <v>315232</v>
      </c>
      <c r="D25" s="5" t="n">
        <v>182796</v>
      </c>
      <c r="E25" s="5" t="n">
        <v>21113</v>
      </c>
      <c r="F25" s="5" t="n">
        <v>49092</v>
      </c>
      <c r="G25" s="5" t="n">
        <v>26042</v>
      </c>
      <c r="H25" s="5" t="n">
        <v>21551</v>
      </c>
      <c r="I25" s="5" t="n">
        <v>22462</v>
      </c>
      <c r="J25" s="5" t="n">
        <v>274732</v>
      </c>
      <c r="K25" s="5" t="n">
        <v>23935</v>
      </c>
      <c r="L25" s="5" t="n">
        <v>4002</v>
      </c>
      <c r="M25" s="5" t="n">
        <v>1988</v>
      </c>
      <c r="N25" s="5" t="n">
        <v>988</v>
      </c>
      <c r="O25" s="5" t="n">
        <v>188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7238</v>
      </c>
      <c r="U25" s="5" t="n">
        <v>2735</v>
      </c>
      <c r="V25" s="5" t="n">
        <v>391</v>
      </c>
      <c r="W25" s="5" t="n">
        <v>1821</v>
      </c>
      <c r="X25" s="5" t="n">
        <v>0</v>
      </c>
      <c r="Y25" s="5" t="n">
        <v>0</v>
      </c>
      <c r="Z25" s="5" t="n">
        <v>901</v>
      </c>
      <c r="AA25" s="5" t="n">
        <v>47691</v>
      </c>
      <c r="AB25" s="5" t="n">
        <v>1004898</v>
      </c>
      <c r="AC25" s="5" t="n">
        <v>1582953</v>
      </c>
    </row>
    <row r="26" customFormat="false" ht="15" hidden="false" customHeight="false" outlineLevel="0" collapsed="false">
      <c r="A26" s="4" t="s">
        <v>61</v>
      </c>
      <c r="B26" s="5" t="n">
        <v>2118</v>
      </c>
      <c r="C26" s="5" t="n">
        <v>102032</v>
      </c>
      <c r="D26" s="5" t="n">
        <v>71101</v>
      </c>
      <c r="E26" s="5" t="n">
        <v>24914</v>
      </c>
      <c r="F26" s="5" t="n">
        <v>26111</v>
      </c>
      <c r="G26" s="5" t="n">
        <v>29290</v>
      </c>
      <c r="H26" s="5" t="n">
        <v>21001</v>
      </c>
      <c r="I26" s="5" t="n">
        <v>13629</v>
      </c>
      <c r="J26" s="5" t="n">
        <v>355036</v>
      </c>
      <c r="K26" s="5" t="n">
        <v>26192</v>
      </c>
      <c r="L26" s="5" t="n">
        <v>3790</v>
      </c>
      <c r="M26" s="5" t="n">
        <v>1336</v>
      </c>
      <c r="N26" s="5" t="n">
        <v>598</v>
      </c>
      <c r="O26" s="5" t="n">
        <v>324</v>
      </c>
      <c r="P26" s="5" t="n">
        <v>1840</v>
      </c>
      <c r="Q26" s="5" t="n">
        <v>2187</v>
      </c>
      <c r="R26" s="5" t="n">
        <v>310</v>
      </c>
      <c r="S26" s="5" t="n">
        <v>203</v>
      </c>
      <c r="T26" s="5" t="n">
        <v>7679</v>
      </c>
      <c r="U26" s="5" t="n">
        <v>4182</v>
      </c>
      <c r="V26" s="5" t="n">
        <v>362</v>
      </c>
      <c r="W26" s="5" t="n">
        <v>2809</v>
      </c>
      <c r="X26" s="5" t="n">
        <v>0</v>
      </c>
      <c r="Y26" s="5" t="n">
        <v>0</v>
      </c>
      <c r="Z26" s="5" t="n">
        <v>624</v>
      </c>
      <c r="AA26" s="5" t="n">
        <v>25655</v>
      </c>
      <c r="AB26" s="5" t="n">
        <v>721205</v>
      </c>
      <c r="AC26" s="5" t="n">
        <v>1208666</v>
      </c>
    </row>
    <row r="27" customFormat="false" ht="15" hidden="false" customHeight="false" outlineLevel="0" collapsed="false">
      <c r="A27" s="4" t="s">
        <v>62</v>
      </c>
      <c r="B27" s="5" t="n">
        <v>3647</v>
      </c>
      <c r="C27" s="5" t="n">
        <v>270412</v>
      </c>
      <c r="D27" s="5" t="n">
        <v>235157</v>
      </c>
      <c r="E27" s="5" t="n">
        <v>139186</v>
      </c>
      <c r="F27" s="5" t="n">
        <v>70890</v>
      </c>
      <c r="G27" s="5" t="n">
        <v>44303</v>
      </c>
      <c r="H27" s="5" t="n">
        <v>36088</v>
      </c>
      <c r="I27" s="5" t="n">
        <v>37938</v>
      </c>
      <c r="J27" s="5" t="n">
        <v>287048</v>
      </c>
      <c r="K27" s="5" t="n">
        <v>21424</v>
      </c>
      <c r="L27" s="5" t="n">
        <v>4070</v>
      </c>
      <c r="M27" s="5" t="n">
        <v>3783</v>
      </c>
      <c r="N27" s="5" t="n">
        <v>2165</v>
      </c>
      <c r="O27" s="5" t="n">
        <v>785</v>
      </c>
      <c r="P27" s="5" t="n">
        <v>3345</v>
      </c>
      <c r="Q27" s="5" t="n">
        <v>5464</v>
      </c>
      <c r="R27" s="5" t="n">
        <v>1578</v>
      </c>
      <c r="S27" s="5" t="n">
        <v>1045</v>
      </c>
      <c r="T27" s="5" t="n">
        <v>5391</v>
      </c>
      <c r="U27" s="5" t="n">
        <v>2910</v>
      </c>
      <c r="V27" s="5" t="n">
        <v>375</v>
      </c>
      <c r="W27" s="5" t="n">
        <v>1840</v>
      </c>
      <c r="X27" s="5" t="n">
        <v>0</v>
      </c>
      <c r="Y27" s="5" t="n">
        <v>0</v>
      </c>
      <c r="Z27" s="5" t="n">
        <v>964</v>
      </c>
      <c r="AA27" s="5" t="n">
        <v>77478</v>
      </c>
      <c r="AB27" s="5" t="n">
        <v>1253639</v>
      </c>
      <c r="AC27" s="5" t="n">
        <v>1974326</v>
      </c>
    </row>
    <row r="28" customFormat="false" ht="15" hidden="false" customHeight="false" outlineLevel="0" collapsed="false">
      <c r="A28" s="4" t="s">
        <v>63</v>
      </c>
      <c r="B28" s="5" t="n">
        <v>4872</v>
      </c>
      <c r="C28" s="5" t="n">
        <v>155980</v>
      </c>
      <c r="D28" s="5" t="n">
        <v>293490</v>
      </c>
      <c r="E28" s="5" t="n">
        <v>26752</v>
      </c>
      <c r="F28" s="5" t="n">
        <v>26598</v>
      </c>
      <c r="G28" s="5" t="n">
        <v>40757</v>
      </c>
      <c r="H28" s="5" t="n">
        <v>38023</v>
      </c>
      <c r="I28" s="5" t="n">
        <v>25957</v>
      </c>
      <c r="J28" s="5" t="n">
        <v>566415</v>
      </c>
      <c r="K28" s="5" t="n">
        <v>18718</v>
      </c>
      <c r="L28" s="5" t="n">
        <v>3627</v>
      </c>
      <c r="M28" s="5" t="n">
        <v>1349</v>
      </c>
      <c r="N28" s="5" t="n">
        <v>1157</v>
      </c>
      <c r="O28" s="5" t="n">
        <v>361</v>
      </c>
      <c r="P28" s="5" t="n">
        <v>5549</v>
      </c>
      <c r="Q28" s="5" t="n">
        <v>6110</v>
      </c>
      <c r="R28" s="5" t="n">
        <v>1132</v>
      </c>
      <c r="S28" s="5" t="n">
        <v>403</v>
      </c>
      <c r="T28" s="5" t="n">
        <v>12842</v>
      </c>
      <c r="U28" s="5" t="n">
        <v>5863</v>
      </c>
      <c r="V28" s="5" t="n">
        <v>661</v>
      </c>
      <c r="W28" s="5" t="n">
        <v>3602</v>
      </c>
      <c r="X28" s="5" t="n">
        <v>18049</v>
      </c>
      <c r="Y28" s="5" t="n">
        <v>0</v>
      </c>
      <c r="Z28" s="5" t="n">
        <v>419</v>
      </c>
      <c r="AA28" s="5" t="n">
        <v>38978</v>
      </c>
      <c r="AB28" s="5" t="n">
        <v>1292792</v>
      </c>
      <c r="AC28" s="5" t="n">
        <v>2135258</v>
      </c>
    </row>
    <row r="29" customFormat="false" ht="15" hidden="false" customHeight="false" outlineLevel="0" collapsed="false">
      <c r="A29" s="4" t="s">
        <v>64</v>
      </c>
      <c r="B29" s="5" t="n">
        <v>3668</v>
      </c>
      <c r="C29" s="5" t="n">
        <v>144576</v>
      </c>
      <c r="D29" s="5" t="n">
        <v>245497</v>
      </c>
      <c r="E29" s="5" t="n">
        <v>18185</v>
      </c>
      <c r="F29" s="5" t="n">
        <v>23599</v>
      </c>
      <c r="G29" s="5" t="n">
        <v>37460</v>
      </c>
      <c r="H29" s="5" t="n">
        <v>51557</v>
      </c>
      <c r="I29" s="5" t="n">
        <v>21464</v>
      </c>
      <c r="J29" s="5" t="n">
        <v>441361</v>
      </c>
      <c r="K29" s="5" t="n">
        <v>14573</v>
      </c>
      <c r="L29" s="5" t="n">
        <v>1842</v>
      </c>
      <c r="M29" s="5" t="n">
        <v>2450</v>
      </c>
      <c r="N29" s="5" t="n">
        <v>658</v>
      </c>
      <c r="O29" s="5" t="n">
        <v>278</v>
      </c>
      <c r="P29" s="5" t="n">
        <v>6086</v>
      </c>
      <c r="Q29" s="5" t="n">
        <v>5280</v>
      </c>
      <c r="R29" s="5" t="n">
        <v>1262</v>
      </c>
      <c r="S29" s="5" t="n">
        <v>393</v>
      </c>
      <c r="T29" s="5" t="n">
        <v>8169</v>
      </c>
      <c r="U29" s="5" t="n">
        <v>5410</v>
      </c>
      <c r="V29" s="5" t="n">
        <v>426</v>
      </c>
      <c r="W29" s="5" t="n">
        <v>2242</v>
      </c>
      <c r="X29" s="5" t="n">
        <v>18256</v>
      </c>
      <c r="Y29" s="5" t="n">
        <v>0</v>
      </c>
      <c r="Z29" s="5" t="n">
        <v>444</v>
      </c>
      <c r="AA29" s="5" t="n">
        <v>36637</v>
      </c>
      <c r="AB29" s="5" t="n">
        <v>1088105</v>
      </c>
      <c r="AC29" s="5" t="n">
        <v>2093132</v>
      </c>
    </row>
    <row r="30" customFormat="false" ht="15" hidden="false" customHeight="false" outlineLevel="0" collapsed="false">
      <c r="A30" s="4" t="s">
        <v>65</v>
      </c>
      <c r="B30" s="5" t="n">
        <v>2940</v>
      </c>
      <c r="C30" s="5" t="n">
        <v>18508</v>
      </c>
      <c r="D30" s="5" t="n">
        <v>112378</v>
      </c>
      <c r="E30" s="5" t="n">
        <v>111829</v>
      </c>
      <c r="F30" s="5" t="n">
        <v>51698</v>
      </c>
      <c r="G30" s="5" t="n">
        <v>21261</v>
      </c>
      <c r="H30" s="5" t="n">
        <v>20385</v>
      </c>
      <c r="I30" s="5" t="n">
        <v>14373</v>
      </c>
      <c r="J30" s="5" t="n">
        <v>759586</v>
      </c>
      <c r="K30" s="5" t="n">
        <v>18639</v>
      </c>
      <c r="L30" s="5" t="n">
        <v>3267</v>
      </c>
      <c r="M30" s="5" t="n">
        <v>934</v>
      </c>
      <c r="N30" s="5" t="n">
        <v>202</v>
      </c>
      <c r="O30" s="5" t="n">
        <v>1002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10929</v>
      </c>
      <c r="U30" s="5" t="n">
        <v>4212</v>
      </c>
      <c r="V30" s="5" t="n">
        <v>447</v>
      </c>
      <c r="W30" s="5" t="n">
        <v>3050</v>
      </c>
      <c r="X30" s="5" t="n">
        <v>6482</v>
      </c>
      <c r="Y30" s="5" t="n">
        <v>0</v>
      </c>
      <c r="Z30" s="5" t="n">
        <v>476</v>
      </c>
      <c r="AA30" s="5" t="n">
        <v>41100</v>
      </c>
      <c r="AB30" s="5" t="n">
        <v>1200758</v>
      </c>
      <c r="AC30" s="5" t="n">
        <v>1687618</v>
      </c>
    </row>
    <row r="31" customFormat="false" ht="15" hidden="false" customHeight="false" outlineLevel="0" collapsed="false">
      <c r="A31" s="4" t="s">
        <v>66</v>
      </c>
      <c r="B31" s="5" t="n">
        <v>4668</v>
      </c>
      <c r="C31" s="5" t="n">
        <v>536327</v>
      </c>
      <c r="D31" s="5" t="n">
        <v>300747</v>
      </c>
      <c r="E31" s="5" t="n">
        <v>20076</v>
      </c>
      <c r="F31" s="5" t="n">
        <v>40094</v>
      </c>
      <c r="G31" s="5" t="n">
        <v>40814</v>
      </c>
      <c r="H31" s="5" t="n">
        <v>34733</v>
      </c>
      <c r="I31" s="5" t="n">
        <v>24499</v>
      </c>
      <c r="J31" s="5" t="n">
        <v>517655</v>
      </c>
      <c r="K31" s="5" t="n">
        <v>28628</v>
      </c>
      <c r="L31" s="5" t="n">
        <v>6703</v>
      </c>
      <c r="M31" s="5" t="n">
        <v>2368</v>
      </c>
      <c r="N31" s="5" t="n">
        <v>2383</v>
      </c>
      <c r="O31" s="5" t="n">
        <v>258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9752</v>
      </c>
      <c r="U31" s="5" t="n">
        <v>4061</v>
      </c>
      <c r="V31" s="5" t="n">
        <v>470</v>
      </c>
      <c r="W31" s="5" t="n">
        <v>2863</v>
      </c>
      <c r="X31" s="5" t="n">
        <v>7887</v>
      </c>
      <c r="Y31" s="5" t="n">
        <v>0</v>
      </c>
      <c r="Z31" s="5" t="n">
        <v>1310</v>
      </c>
      <c r="AA31" s="5" t="n">
        <v>47200</v>
      </c>
      <c r="AB31" s="5" t="n">
        <v>1628828</v>
      </c>
      <c r="AC31" s="5" t="n">
        <v>2628745</v>
      </c>
    </row>
    <row r="32" customFormat="false" ht="15" hidden="false" customHeight="false" outlineLevel="0" collapsed="false">
      <c r="A32" s="4" t="s">
        <v>67</v>
      </c>
      <c r="B32" s="5" t="n">
        <v>1542</v>
      </c>
      <c r="C32" s="5" t="n">
        <v>70804</v>
      </c>
      <c r="D32" s="5" t="n">
        <v>86834</v>
      </c>
      <c r="E32" s="5" t="n">
        <v>21889</v>
      </c>
      <c r="F32" s="5" t="n">
        <v>15011</v>
      </c>
      <c r="G32" s="5" t="n">
        <v>33790</v>
      </c>
      <c r="H32" s="5" t="n">
        <v>16921</v>
      </c>
      <c r="I32" s="5" t="n">
        <v>13946</v>
      </c>
      <c r="J32" s="5" t="n">
        <v>292880</v>
      </c>
      <c r="K32" s="5" t="n">
        <v>13722</v>
      </c>
      <c r="L32" s="5" t="n">
        <v>2026</v>
      </c>
      <c r="M32" s="5" t="n">
        <v>898</v>
      </c>
      <c r="N32" s="5" t="n">
        <v>395</v>
      </c>
      <c r="O32" s="5" t="n">
        <v>197</v>
      </c>
      <c r="P32" s="5" t="n">
        <v>1771</v>
      </c>
      <c r="Q32" s="5" t="n">
        <v>1606</v>
      </c>
      <c r="R32" s="5" t="n">
        <v>331</v>
      </c>
      <c r="S32" s="5" t="n">
        <v>148</v>
      </c>
      <c r="T32" s="5" t="n">
        <v>6826</v>
      </c>
      <c r="U32" s="5" t="n">
        <v>3272</v>
      </c>
      <c r="V32" s="5" t="n">
        <v>362</v>
      </c>
      <c r="W32" s="5" t="n">
        <v>1791</v>
      </c>
      <c r="X32" s="5" t="n">
        <v>0</v>
      </c>
      <c r="Y32" s="5" t="n">
        <v>0</v>
      </c>
      <c r="Z32" s="5" t="n">
        <v>1179</v>
      </c>
      <c r="AA32" s="5" t="n">
        <v>23824</v>
      </c>
      <c r="AB32" s="5" t="n">
        <v>610423</v>
      </c>
      <c r="AC32" s="5" t="n">
        <v>922016</v>
      </c>
    </row>
    <row r="33" customFormat="false" ht="15" hidden="false" customHeight="false" outlineLevel="0" collapsed="false">
      <c r="A33" s="4" t="s">
        <v>68</v>
      </c>
      <c r="B33" s="5" t="n">
        <v>10685</v>
      </c>
      <c r="C33" s="5" t="n">
        <v>951499</v>
      </c>
      <c r="D33" s="5" t="n">
        <v>457069</v>
      </c>
      <c r="E33" s="5" t="n">
        <v>191310</v>
      </c>
      <c r="F33" s="5" t="n">
        <v>142786</v>
      </c>
      <c r="G33" s="5" t="n">
        <v>80160</v>
      </c>
      <c r="H33" s="5" t="n">
        <v>90296</v>
      </c>
      <c r="I33" s="5" t="n">
        <v>59554</v>
      </c>
      <c r="J33" s="5" t="n">
        <v>1550408</v>
      </c>
      <c r="K33" s="5" t="n">
        <v>46837</v>
      </c>
      <c r="L33" s="5" t="n">
        <v>21241</v>
      </c>
      <c r="M33" s="5" t="n">
        <v>15766</v>
      </c>
      <c r="N33" s="5" t="n">
        <v>3889</v>
      </c>
      <c r="O33" s="5" t="n">
        <v>1228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27295</v>
      </c>
      <c r="U33" s="5" t="n">
        <v>10165</v>
      </c>
      <c r="V33" s="5" t="n">
        <v>1298</v>
      </c>
      <c r="W33" s="5" t="n">
        <v>8132</v>
      </c>
      <c r="X33" s="5" t="n">
        <v>0</v>
      </c>
      <c r="Y33" s="5" t="n">
        <v>0</v>
      </c>
      <c r="Z33" s="5" t="n">
        <v>1090</v>
      </c>
      <c r="AA33" s="5" t="n">
        <v>132932</v>
      </c>
      <c r="AB33" s="5" t="n">
        <v>3792955</v>
      </c>
      <c r="AC33" s="5" t="n">
        <v>5773780</v>
      </c>
    </row>
    <row r="34" customFormat="false" ht="15" hidden="false" customHeight="false" outlineLevel="0" collapsed="false">
      <c r="A34" s="4" t="s">
        <v>69</v>
      </c>
      <c r="B34" s="5" t="n">
        <v>2686</v>
      </c>
      <c r="C34" s="5" t="n">
        <v>344319</v>
      </c>
      <c r="D34" s="5" t="n">
        <v>340322</v>
      </c>
      <c r="E34" s="5" t="n">
        <v>29061</v>
      </c>
      <c r="F34" s="5" t="n">
        <v>37104</v>
      </c>
      <c r="G34" s="5" t="n">
        <v>17170</v>
      </c>
      <c r="H34" s="5" t="n">
        <v>22442</v>
      </c>
      <c r="I34" s="5" t="n">
        <v>23310</v>
      </c>
      <c r="J34" s="5" t="n">
        <v>277370</v>
      </c>
      <c r="K34" s="5" t="n">
        <v>11502</v>
      </c>
      <c r="L34" s="5" t="n">
        <v>2576</v>
      </c>
      <c r="M34" s="5" t="n">
        <v>1470</v>
      </c>
      <c r="N34" s="5" t="n">
        <v>2463</v>
      </c>
      <c r="O34" s="5" t="n">
        <v>190</v>
      </c>
      <c r="P34" s="5" t="n">
        <v>2228</v>
      </c>
      <c r="Q34" s="5" t="n">
        <v>3523</v>
      </c>
      <c r="R34" s="5" t="n">
        <v>608</v>
      </c>
      <c r="S34" s="5" t="n">
        <v>208</v>
      </c>
      <c r="T34" s="5" t="n">
        <v>4636</v>
      </c>
      <c r="U34" s="5" t="n">
        <v>1746</v>
      </c>
      <c r="V34" s="5" t="n">
        <v>240</v>
      </c>
      <c r="W34" s="5" t="n">
        <v>1320</v>
      </c>
      <c r="X34" s="5" t="n">
        <v>0</v>
      </c>
      <c r="Y34" s="5" t="n">
        <v>0</v>
      </c>
      <c r="Z34" s="5" t="n">
        <v>298</v>
      </c>
      <c r="AA34" s="5" t="n">
        <v>31966</v>
      </c>
      <c r="AB34" s="5" t="n">
        <v>1156072</v>
      </c>
      <c r="AC34" s="5" t="n">
        <v>1540088</v>
      </c>
    </row>
    <row r="35" customFormat="false" ht="15" hidden="false" customHeight="false" outlineLevel="0" collapsed="false">
      <c r="A35" s="4" t="s">
        <v>70</v>
      </c>
      <c r="B35" s="5" t="n">
        <v>2528</v>
      </c>
      <c r="C35" s="5" t="n">
        <v>93649</v>
      </c>
      <c r="D35" s="5" t="n">
        <v>189890</v>
      </c>
      <c r="E35" s="5" t="n">
        <v>38608</v>
      </c>
      <c r="F35" s="5" t="n">
        <v>44402</v>
      </c>
      <c r="G35" s="5" t="n">
        <v>53397</v>
      </c>
      <c r="H35" s="5" t="n">
        <v>17931</v>
      </c>
      <c r="I35" s="5" t="n">
        <v>27043</v>
      </c>
      <c r="J35" s="5" t="n">
        <v>230820</v>
      </c>
      <c r="K35" s="5" t="n">
        <v>13763</v>
      </c>
      <c r="L35" s="5" t="n">
        <v>2445</v>
      </c>
      <c r="M35" s="5" t="n">
        <v>2044</v>
      </c>
      <c r="N35" s="5" t="n">
        <v>390</v>
      </c>
      <c r="O35" s="5" t="n">
        <v>236</v>
      </c>
      <c r="P35" s="5" t="n">
        <v>1142</v>
      </c>
      <c r="Q35" s="5" t="n">
        <v>1864</v>
      </c>
      <c r="R35" s="5" t="n">
        <v>407</v>
      </c>
      <c r="S35" s="5" t="n">
        <v>263</v>
      </c>
      <c r="T35" s="5" t="n">
        <v>4502</v>
      </c>
      <c r="U35" s="5" t="n">
        <v>3496</v>
      </c>
      <c r="V35" s="5" t="n">
        <v>339</v>
      </c>
      <c r="W35" s="5" t="n">
        <v>1054</v>
      </c>
      <c r="X35" s="5" t="n">
        <v>0</v>
      </c>
      <c r="Y35" s="5" t="n">
        <v>0</v>
      </c>
      <c r="Z35" s="5" t="n">
        <v>305</v>
      </c>
      <c r="AA35" s="5" t="n">
        <v>30384</v>
      </c>
      <c r="AB35" s="5" t="n">
        <v>758374</v>
      </c>
      <c r="AC35" s="5" t="n">
        <v>1162459</v>
      </c>
    </row>
    <row r="36" customFormat="false" ht="15" hidden="false" customHeight="false" outlineLevel="0" collapsed="false">
      <c r="A36" s="13" t="s">
        <v>35</v>
      </c>
      <c r="B36" s="14" t="n">
        <f aca="false">SUM(B4:B35)</f>
        <v>157859</v>
      </c>
      <c r="C36" s="14" t="n">
        <f aca="false">SUM(C4:C35)</f>
        <v>9962173</v>
      </c>
      <c r="D36" s="14" t="n">
        <f aca="false">SUM(D4:D35)</f>
        <v>9236447</v>
      </c>
      <c r="E36" s="14" t="n">
        <f aca="false">SUM(E4:E35)</f>
        <v>2848482</v>
      </c>
      <c r="F36" s="14" t="n">
        <f aca="false">SUM(F4:F35)</f>
        <v>2625421</v>
      </c>
      <c r="G36" s="14" t="n">
        <f aca="false">SUM(G4:G35)</f>
        <v>1944580</v>
      </c>
      <c r="H36" s="14" t="n">
        <f aca="false">SUM(H4:H35)</f>
        <v>2385257</v>
      </c>
      <c r="I36" s="14" t="n">
        <f aca="false">SUM(I4:I35)</f>
        <v>1356746</v>
      </c>
      <c r="J36" s="14" t="n">
        <f aca="false">SUM(J4:J35)</f>
        <v>20656388</v>
      </c>
      <c r="K36" s="14" t="n">
        <f aca="false">SUM(K4:K35)</f>
        <v>1123737</v>
      </c>
      <c r="L36" s="14" t="n">
        <f aca="false">SUM(L4:L35)</f>
        <v>188584</v>
      </c>
      <c r="M36" s="14" t="n">
        <f aca="false">SUM(M4:M35)</f>
        <v>90891</v>
      </c>
      <c r="N36" s="14" t="n">
        <f aca="false">SUM(N4:N35)</f>
        <v>51886</v>
      </c>
      <c r="O36" s="14" t="n">
        <f aca="false">SUM(O4:O35)</f>
        <v>22482</v>
      </c>
      <c r="P36" s="14" t="n">
        <f aca="false">SUM(P4:P35)</f>
        <v>65729</v>
      </c>
      <c r="Q36" s="14" t="n">
        <f aca="false">SUM(Q4:Q35)</f>
        <v>87334</v>
      </c>
      <c r="R36" s="14" t="n">
        <f aca="false">SUM(R4:R35)</f>
        <v>16781</v>
      </c>
      <c r="S36" s="14" t="n">
        <f aca="false">SUM(S4:S35)</f>
        <v>8846</v>
      </c>
      <c r="T36" s="14" t="n">
        <f aca="false">SUM(T4:T35)</f>
        <v>475574</v>
      </c>
      <c r="U36" s="14" t="n">
        <f aca="false">SUM(U4:U35)</f>
        <v>194226</v>
      </c>
      <c r="V36" s="14" t="n">
        <f aca="false">SUM(V4:V35)</f>
        <v>23146</v>
      </c>
      <c r="W36" s="14" t="n">
        <f aca="false">SUM(W4:W35)</f>
        <v>120616</v>
      </c>
      <c r="X36" s="14" t="n">
        <f aca="false">SUM(X4:X35)</f>
        <v>535347</v>
      </c>
      <c r="Y36" s="14" t="n">
        <f aca="false">SUM(Y4:Y35)</f>
        <v>4000</v>
      </c>
      <c r="Z36" s="14" t="n">
        <f aca="false">SUM(Z4:Z35)</f>
        <v>32959</v>
      </c>
      <c r="AA36" s="14" t="n">
        <f aca="false">SUM(AA4:AA35)</f>
        <v>2242615</v>
      </c>
      <c r="AB36" s="14" t="n">
        <f aca="false">SUM(AB4:AB35)</f>
        <v>56300247</v>
      </c>
      <c r="AC36" s="14" t="n">
        <f aca="false">SUM(AC4:AC35)</f>
        <v>88948697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2026-10-12T03:43:43Z</dcterms:created>
  <dc:creator>openpyxl</dc:creator>
  <dc:description/>
  <dc:language>en-US</dc:language>
  <cp:lastModifiedBy/>
  <dcterms:modified xsi:type="dcterms:W3CDTF">2026-10-12T03:43:44Z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