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Por estado" sheetId="2" state="visible" r:id="rId4"/>
    <sheet name="Por distrito" sheetId="3" state="visible" r:id="rId5"/>
    <sheet name="Votos por partido" sheetId="4" state="visible" r:id="rId6"/>
  </sheets>
  <definedNames>
    <definedName function="false" hidden="true" localSheetId="2" name="_xlnm._FilterDatabase" vbProcedure="false">'Por distrito'!$A$3:$N$303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<sst xmlns="http://schemas.openxmlformats.org/spreadsheetml/2006/main" count="499" uniqueCount="96">
  <si>
    <t xml:space="preserve">Senadurías 2024 – Resumen</t>
  </si>
  <si>
    <t xml:space="preserve">Fuente: SEN_2024.csv (PREP)</t>
  </si>
  <si>
    <t xml:space="preserve">Bloque</t>
  </si>
  <si>
    <t xml:space="preserve">Votos</t>
  </si>
  <si>
    <t xml:space="preserve">% del total</t>
  </si>
  <si>
    <t xml:space="preserve">% de votos válidos</t>
  </si>
  <si>
    <t xml:space="preserve">Estados ganados (por bloque)</t>
  </si>
  <si>
    <t xml:space="preserve">Distritos ganados</t>
  </si>
  <si>
    <t xml:space="preserve">Sigamos Haciendo Historia (PVEM-PT-Morena)</t>
  </si>
  <si>
    <t xml:space="preserve">Fuerza y Corazón por México (PAN-PRI-PRD)</t>
  </si>
  <si>
    <t xml:space="preserve">MC</t>
  </si>
  <si>
    <t xml:space="preserve">No registrados</t>
  </si>
  <si>
    <t xml:space="preserve">Votos nulos</t>
  </si>
  <si>
    <t xml:space="preserve">Total votos emitidos</t>
  </si>
  <si>
    <t xml:space="preserve">Lista nominal</t>
  </si>
  <si>
    <t xml:space="preserve">Participación</t>
  </si>
  <si>
    <t xml:space="preserve">Actas</t>
  </si>
  <si>
    <t xml:space="preserve">Candidatura (según coaliciones reales)</t>
  </si>
  <si>
    <t xml:space="preserve">Estados en 1er lugar</t>
  </si>
  <si>
    <t xml:space="preserve">Estados en 2º lugar</t>
  </si>
  <si>
    <t xml:space="preserve">PVEM-PT-MORENA</t>
  </si>
  <si>
    <t xml:space="preserve">MORENA</t>
  </si>
  <si>
    <t xml:space="preserve">PAN-PRI-PRD</t>
  </si>
  <si>
    <t xml:space="preserve">PVEM</t>
  </si>
  <si>
    <t xml:space="preserve">PAN</t>
  </si>
  <si>
    <t xml:space="preserve">Total</t>
  </si>
  <si>
    <t xml:space="preserve">Casillas sin distrito (tipos V y M)</t>
  </si>
  <si>
    <t xml:space="preserve">Casillas</t>
  </si>
  <si>
    <t xml:space="preserve">Sigamos Haciendo Historia %</t>
  </si>
  <si>
    <t xml:space="preserve">Fuerza y Corazón %</t>
  </si>
  <si>
    <t xml:space="preserve">MC %</t>
  </si>
  <si>
    <t xml:space="preserve">Tipo M</t>
  </si>
  <si>
    <t xml:space="preserve">Tipo V</t>
  </si>
  <si>
    <t xml:space="preserve">Notas:</t>
  </si>
  <si>
    <t xml:space="preserve">Los nombres de los bloques son una asignación mía a partir de las coaliciones del archivo (PVEM-PT-Morena; PAN-PRI-PRD; MC). Cada bloque suma el partido solo más sus combinaciones. Las coaliciones no fueron iguales en todos los estados (en el archivo, las columnas de combinaciones de PAN-PRI-PRD aparecen en 30 estados y las de PVEM-PT-Morena en 20); por eso la tabla "Candidatura (según coaliciones reales)" y las columnas de 1er y 2º lugar en Por estado separan a los partidos coaligados de los que compitieron solos (p. ej. "MORENA" = Morena sin coalición), deduciéndolo de qué columnas de coalición tienen votos.</t>
  </si>
  <si>
    <t xml:space="preserve">La senaduría se decide por estado: el primer lugar obtiene 2 escaños y el segundo (primera minoría) 1. Este archivo no incluye las 32 senadurías de representación proporcional, ni valida el cómputo oficial.</t>
  </si>
  <si>
    <t xml:space="preserve">Los votos de las casillas tipos V y M (151 casillas, 184,177 votos) no tienen distrito federal y llevan la clave de sección 4074; por eso entran en los totales por estado pero no en la hoja de distritos. Es probable que correspondan al voto desde el extranjero, pero el archivo no lo indica.</t>
  </si>
  <si>
    <t xml:space="preserve">146 actas sin datos (paquetes no recibidos o casillas no instaladas) se tomaron como cero. Las casillas especiales (tipo S, 1,045,262 votos) tienen dos actas por casilla (tipos 3EMR y 3ERP) y no tienen lista nominal; ambas se incluyeron en los totales. La participación calculada (60.96%) coincide con la del encabezado del archivo.</t>
  </si>
  <si>
    <t xml:space="preserve">Los acentos del archivo venían dañados y se corrigieron en los nombres de los estados.</t>
  </si>
  <si>
    <t xml:space="preserve">Resultados por estado y bloque – Senadurías 2024 (fuente: SEN_2024.csv)</t>
  </si>
  <si>
    <t xml:space="preserve">Bloque = partido solo + combinaciones de coalición. Las últimas 4 columnas toman en cuenta las coaliciones que realmente hubo en cada estado (valores fijos, no fórmulas).</t>
  </si>
  <si>
    <t xml:space="preserve">Estado</t>
  </si>
  <si>
    <t xml:space="preserve">Total votos</t>
  </si>
  <si>
    <t xml:space="preserve">Votos nulos %</t>
  </si>
  <si>
    <t xml:space="preserve">Bloque ganador</t>
  </si>
  <si>
    <t xml:space="preserve">Margen (pts)</t>
  </si>
  <si>
    <t xml:space="preserve">Candidatura en 1er lugar (2 escaños)</t>
  </si>
  <si>
    <t xml:space="preserve">% 1er lugar</t>
  </si>
  <si>
    <t xml:space="preserve">Candidatura en 2º lugar (primera minoría, 1 escaño)</t>
  </si>
  <si>
    <t xml:space="preserve">% 2º lugar</t>
  </si>
  <si>
    <t xml:space="preserve">Nacional</t>
  </si>
  <si>
    <t xml:space="preserve">Votos para senadurías por distrito federal – 2024 (fuente: SEN_2024.csv)</t>
  </si>
  <si>
    <t xml:space="preserve">La senaduría se decide por estado; esta hoja muestra cómo votó cada distrito. No incluye las casillas sin distrito (tipos V y M, 184,177 votos), que sí están en los totales por estado.</t>
  </si>
  <si>
    <t xml:space="preserve">Distrito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</si>
  <si>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</si>
  <si>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</si>
  <si>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</si>
  <si>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</si>
  <si>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</si>
  <si>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</si>
  <si>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</si>
  <si>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</si>
  <si>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</si>
  <si>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</si>
  <si>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</si>
  <si>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</si>
  <si>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</si>
  <si>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</si>
  <si>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</si>
  <si>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</si>
  <si>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</si>
  <si>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</si>
  <si>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</si>
  <si>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</si>
  <si>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</si>
  <si>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</si>
  <si>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</si>
  <si>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</si>
  <si>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</si>
  <si>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</si>
  <si>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</si>
  <si>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</si>
  <si>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</si>
  <si>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</si>
  <si>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</si>
  <si>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</si>
  <si>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Votos por partido y combinación de coalición, por estado – Senadurías 2024 (fuente: SEN_2024.csv)</t>
  </si>
  <si>
    <t xml:space="preserve">PRI</t>
  </si>
  <si>
    <t xml:space="preserve">PRD</t>
  </si>
  <si>
    <t xml:space="preserve">PT</t>
  </si>
  <si>
    <t xml:space="preserve">PAN-PRI</t>
  </si>
  <si>
    <t xml:space="preserve">PAN-PRD</t>
  </si>
  <si>
    <t xml:space="preserve">PRI-PRD</t>
  </si>
  <si>
    <t xml:space="preserve">PVEM-PT</t>
  </si>
  <si>
    <t xml:space="preserve">PVEM-MORENA</t>
  </si>
  <si>
    <t xml:space="preserve">PT-MORENA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</si>
</sst>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%"/>
    <numFmt numFmtId="168" formatCode="0.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'Por estado'!B36</f>
        <v>33057610</v>
      </c>
      <c r="C5" s="6" t="n">
        <f aca="false">B5/$B$10</f>
        <v>0.550925954164913</v>
      </c>
      <c r="D5" s="6" t="n">
        <f aca="false">B5/SUM($B$5:$B$7)</f>
        <v>0.574049369939609</v>
      </c>
      <c r="E5" s="4" t="n">
        <f aca="false">COUNTIF('Por estado'!$N$4:$N$35,A5)</f>
        <v>29</v>
      </c>
      <c r="F5" s="4" t="n">
        <f aca="false">COUNTIF('Por distrito'!$M$4:$M$303,A5)</f>
        <v>260</v>
      </c>
    </row>
    <row r="6" customFormat="false" ht="15" hidden="false" customHeight="false" outlineLevel="0" collapsed="false">
      <c r="A6" s="4" t="s">
        <v>9</v>
      </c>
      <c r="B6" s="5" t="n">
        <f aca="false">'Por estado'!C36</f>
        <v>18000854</v>
      </c>
      <c r="C6" s="6" t="n">
        <f aca="false">B6/$B$10</f>
        <v>0.299995603606349</v>
      </c>
      <c r="D6" s="6" t="n">
        <f aca="false">B6/SUM($B$5:$B$7)</f>
        <v>0.312586992740095</v>
      </c>
      <c r="E6" s="4" t="n">
        <f aca="false">COUNTIF('Por estado'!$N$4:$N$35,A6)</f>
        <v>3</v>
      </c>
      <c r="F6" s="4" t="n">
        <f aca="false">COUNTIF('Por distrito'!$M$4:$M$303,A6)</f>
        <v>40</v>
      </c>
    </row>
    <row r="7" customFormat="false" ht="15" hidden="false" customHeight="false" outlineLevel="0" collapsed="false">
      <c r="A7" s="4" t="s">
        <v>10</v>
      </c>
      <c r="B7" s="5" t="n">
        <f aca="false">'Por estado'!D36</f>
        <v>6528238</v>
      </c>
      <c r="C7" s="6" t="n">
        <f aca="false">B7/$B$10</f>
        <v>0.108797210359903</v>
      </c>
      <c r="D7" s="6" t="n">
        <f aca="false">B7/SUM($B$5:$B$7)</f>
        <v>0.113363637320297</v>
      </c>
      <c r="E7" s="4" t="n">
        <f aca="false">COUNTIF('Por estado'!$N$4:$N$35,A7)</f>
        <v>0</v>
      </c>
      <c r="F7" s="4" t="n">
        <f aca="false">COUNTIF('Por distrito'!$M$4:$M$303,A7)</f>
        <v>0</v>
      </c>
    </row>
    <row r="8" customFormat="false" ht="15" hidden="false" customHeight="false" outlineLevel="0" collapsed="false">
      <c r="A8" s="4" t="s">
        <v>11</v>
      </c>
      <c r="B8" s="5" t="n">
        <f aca="false">'Por estado'!E36</f>
        <v>47092</v>
      </c>
      <c r="C8" s="6" t="n">
        <f aca="false">B8/$B$10</f>
        <v>0.000784817929473246</v>
      </c>
      <c r="D8" s="6"/>
      <c r="E8" s="4"/>
      <c r="F8" s="4"/>
    </row>
    <row r="9" customFormat="false" ht="15" hidden="false" customHeight="false" outlineLevel="0" collapsed="false">
      <c r="A9" s="4" t="s">
        <v>12</v>
      </c>
      <c r="B9" s="5" t="n">
        <f aca="false">'Por estado'!F36</f>
        <v>2369932</v>
      </c>
      <c r="C9" s="6" t="n">
        <f aca="false">B9/$B$10</f>
        <v>0.039496413939361</v>
      </c>
      <c r="D9" s="6"/>
      <c r="E9" s="4"/>
      <c r="F9" s="4"/>
    </row>
    <row r="10" customFormat="false" ht="15" hidden="false" customHeight="false" outlineLevel="0" collapsed="false">
      <c r="A10" s="7" t="s">
        <v>13</v>
      </c>
      <c r="B10" s="5" t="n">
        <f aca="false">'Por estado'!G36</f>
        <v>60003726</v>
      </c>
      <c r="C10" s="4"/>
      <c r="D10" s="4"/>
      <c r="E10" s="4"/>
      <c r="F10" s="4"/>
    </row>
    <row r="11" customFormat="false" ht="15" hidden="false" customHeight="false" outlineLevel="0" collapsed="false">
      <c r="A11" s="7" t="s">
        <v>14</v>
      </c>
      <c r="B11" s="5" t="n">
        <f aca="false">'Por estado'!H36</f>
        <v>98438250</v>
      </c>
      <c r="C11" s="4"/>
      <c r="D11" s="4"/>
      <c r="E11" s="4"/>
      <c r="F11" s="4"/>
    </row>
    <row r="12" customFormat="false" ht="15" hidden="false" customHeight="false" outlineLevel="0" collapsed="false">
      <c r="A12" s="7" t="s">
        <v>15</v>
      </c>
      <c r="B12" s="6" t="n">
        <f aca="false">B10/B11</f>
        <v>0.609557016708444</v>
      </c>
      <c r="C12" s="4"/>
      <c r="D12" s="4"/>
      <c r="E12" s="4"/>
      <c r="F12" s="4"/>
    </row>
    <row r="13" customFormat="false" ht="15" hidden="false" customHeight="false" outlineLevel="0" collapsed="false">
      <c r="A13" s="7" t="s">
        <v>16</v>
      </c>
      <c r="B13" s="5" t="n">
        <f aca="false">'Votos por partido'!B36</f>
        <v>171794</v>
      </c>
      <c r="C13" s="4"/>
      <c r="D13" s="4"/>
      <c r="E13" s="4"/>
      <c r="F13" s="4"/>
    </row>
    <row r="15" customFormat="false" ht="33.75" hidden="false" customHeight="true" outlineLevel="0" collapsed="false">
      <c r="A15" s="8" t="s">
        <v>17</v>
      </c>
      <c r="B15" s="8" t="s">
        <v>18</v>
      </c>
      <c r="C15" s="3" t="s">
        <v>19</v>
      </c>
    </row>
    <row r="16" customFormat="false" ht="15" hidden="false" customHeight="false" outlineLevel="0" collapsed="false">
      <c r="A16" s="4" t="s">
        <v>20</v>
      </c>
      <c r="B16" s="4" t="n">
        <v>19</v>
      </c>
      <c r="C16" s="0" t="n">
        <v>1</v>
      </c>
    </row>
    <row r="17" customFormat="false" ht="15" hidden="false" customHeight="false" outlineLevel="0" collapsed="false">
      <c r="A17" s="4" t="s">
        <v>21</v>
      </c>
      <c r="B17" s="4" t="n">
        <v>10</v>
      </c>
      <c r="C17" s="0" t="n">
        <v>1</v>
      </c>
    </row>
    <row r="18" customFormat="false" ht="15" hidden="false" customHeight="false" outlineLevel="0" collapsed="false">
      <c r="A18" s="4" t="s">
        <v>22</v>
      </c>
      <c r="B18" s="4" t="n">
        <v>2</v>
      </c>
      <c r="C18" s="0" t="n">
        <v>25</v>
      </c>
    </row>
    <row r="19" customFormat="false" ht="15" hidden="false" customHeight="false" outlineLevel="0" collapsed="false">
      <c r="A19" s="4" t="s">
        <v>23</v>
      </c>
      <c r="B19" s="4" t="n">
        <v>1</v>
      </c>
      <c r="C19" s="0" t="n">
        <v>2</v>
      </c>
    </row>
    <row r="20" customFormat="false" ht="15" hidden="false" customHeight="false" outlineLevel="0" collapsed="false">
      <c r="A20" s="4" t="s">
        <v>10</v>
      </c>
      <c r="B20" s="4" t="n">
        <v>0</v>
      </c>
      <c r="C20" s="0" t="n">
        <v>2</v>
      </c>
    </row>
    <row r="21" customFormat="false" ht="15" hidden="false" customHeight="false" outlineLevel="0" collapsed="false">
      <c r="A21" s="4" t="s">
        <v>24</v>
      </c>
      <c r="B21" s="4" t="n">
        <v>0</v>
      </c>
      <c r="C21" s="0" t="n">
        <v>1</v>
      </c>
    </row>
    <row r="22" customFormat="false" ht="15" hidden="false" customHeight="false" outlineLevel="0" collapsed="false">
      <c r="A22" s="7" t="s">
        <v>25</v>
      </c>
      <c r="B22" s="4" t="n">
        <f aca="false">SUM(B16:B21)</f>
        <v>32</v>
      </c>
      <c r="C22" s="0" t="n">
        <f aca="false">SUM(C16:C21)</f>
        <v>32</v>
      </c>
    </row>
    <row r="24" customFormat="false" ht="33.75" hidden="false" customHeight="true" outlineLevel="0" collapsed="false">
      <c r="A24" s="8" t="s">
        <v>26</v>
      </c>
      <c r="B24" s="8" t="s">
        <v>27</v>
      </c>
      <c r="C24" s="8" t="s">
        <v>3</v>
      </c>
      <c r="D24" s="8" t="s">
        <v>28</v>
      </c>
      <c r="E24" s="8" t="s">
        <v>29</v>
      </c>
      <c r="F24" s="8" t="s">
        <v>30</v>
      </c>
    </row>
    <row r="25" customFormat="false" ht="15" hidden="false" customHeight="false" outlineLevel="0" collapsed="false">
      <c r="A25" s="4" t="s">
        <v>31</v>
      </c>
      <c r="B25" s="5" t="n">
        <v>87</v>
      </c>
      <c r="C25" s="5" t="n">
        <v>39437</v>
      </c>
      <c r="D25" s="9" t="n">
        <v>0.647640540609073</v>
      </c>
      <c r="E25" s="9" t="n">
        <v>0.275020919441134</v>
      </c>
      <c r="F25" s="9" t="n">
        <v>0.0464538377665644</v>
      </c>
    </row>
    <row r="26" customFormat="false" ht="15" hidden="false" customHeight="false" outlineLevel="0" collapsed="false">
      <c r="A26" s="4" t="s">
        <v>32</v>
      </c>
      <c r="B26" s="5" t="n">
        <v>64</v>
      </c>
      <c r="C26" s="5" t="n">
        <v>144740</v>
      </c>
      <c r="D26" s="9" t="n">
        <v>0.42098936023214</v>
      </c>
      <c r="E26" s="9" t="n">
        <v>0.497913500069089</v>
      </c>
      <c r="F26" s="9" t="n">
        <v>0.0671756252590853</v>
      </c>
    </row>
    <row r="27" customFormat="false" ht="15" hidden="false" customHeight="false" outlineLevel="0" collapsed="false">
      <c r="A27" s="7" t="s">
        <v>25</v>
      </c>
      <c r="B27" s="5" t="n">
        <v>151</v>
      </c>
      <c r="C27" s="5" t="n">
        <v>184177</v>
      </c>
      <c r="D27" s="9" t="n">
        <v>0.469521167138133</v>
      </c>
      <c r="E27" s="9" t="n">
        <v>0.450186505372549</v>
      </c>
      <c r="F27" s="9" t="n">
        <v>0.062738561275295</v>
      </c>
    </row>
    <row r="29" customFormat="false" ht="15" hidden="false" customHeight="false" outlineLevel="0" collapsed="false">
      <c r="A29" s="10" t="s">
        <v>33</v>
      </c>
    </row>
    <row r="30" customFormat="false" ht="109.5" hidden="false" customHeight="true" outlineLevel="0" collapsed="false">
      <c r="A30" s="11" t="s">
        <v>34</v>
      </c>
      <c r="B30" s="11"/>
      <c r="C30" s="11"/>
      <c r="D30" s="11"/>
      <c r="E30" s="11"/>
      <c r="F30" s="11"/>
    </row>
    <row r="31" customFormat="false" ht="61.5" hidden="false" customHeight="true" outlineLevel="0" collapsed="false">
      <c r="A31" s="11" t="s">
        <v>35</v>
      </c>
      <c r="B31" s="11"/>
      <c r="C31" s="11"/>
      <c r="D31" s="11"/>
      <c r="E31" s="11"/>
      <c r="F31" s="11"/>
    </row>
    <row r="32" customFormat="false" ht="61.5" hidden="false" customHeight="true" outlineLevel="0" collapsed="false">
      <c r="A32" s="11" t="s">
        <v>36</v>
      </c>
      <c r="B32" s="11"/>
      <c r="C32" s="11"/>
      <c r="D32" s="11"/>
      <c r="E32" s="11"/>
      <c r="F32" s="11"/>
    </row>
    <row r="33" customFormat="false" ht="61.5" hidden="false" customHeight="true" outlineLevel="0" collapsed="false">
      <c r="A33" s="11" t="s">
        <v>37</v>
      </c>
      <c r="B33" s="11"/>
      <c r="C33" s="11"/>
      <c r="D33" s="11"/>
      <c r="E33" s="11"/>
      <c r="F33" s="11"/>
    </row>
    <row r="34" customFormat="false" ht="61.5" hidden="false" customHeight="true" outlineLevel="0" collapsed="false">
      <c r="A34" s="11" t="s">
        <v>38</v>
      </c>
      <c r="B34" s="11"/>
      <c r="C34" s="11"/>
      <c r="D34" s="11"/>
      <c r="E34" s="11"/>
      <c r="F34" s="11"/>
    </row>
  </sheetData>
  <mergeCells count="5">
    <mergeCell ref="A30:F30"/>
    <mergeCell ref="A31:F31"/>
    <mergeCell ref="A32:F32"/>
    <mergeCell ref="A33:F33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4"/>
    <col collapsed="false" customWidth="true" hidden="false" outlineLevel="0" max="14" min="14" style="0" width="24"/>
    <col collapsed="false" customWidth="true" hidden="false" outlineLevel="0" max="15" min="15" style="0" width="14"/>
    <col collapsed="false" customWidth="true" hidden="false" outlineLevel="0" max="16" min="16" style="0" width="24"/>
    <col collapsed="false" customWidth="true" hidden="false" outlineLevel="0" max="17" min="17" style="0" width="14"/>
    <col collapsed="false" customWidth="true" hidden="false" outlineLevel="0" max="18" min="18" style="0" width="24"/>
    <col collapsed="false" customWidth="true" hidden="false" outlineLevel="0" max="19" min="19" style="0" width="14"/>
  </cols>
  <sheetData>
    <row r="1" customFormat="false" ht="16.15" hidden="false" customHeight="false" outlineLevel="0" collapsed="false">
      <c r="A1" s="12" t="s">
        <v>39</v>
      </c>
    </row>
    <row r="2" customFormat="false" ht="15" hidden="false" customHeight="false" outlineLevel="0" collapsed="false">
      <c r="A2" s="2" t="s">
        <v>40</v>
      </c>
    </row>
    <row r="3" customFormat="false" ht="60" hidden="false" customHeight="true" outlineLevel="0" collapsed="false">
      <c r="A3" s="3" t="s">
        <v>41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42</v>
      </c>
      <c r="H3" s="3" t="s">
        <v>14</v>
      </c>
      <c r="I3" s="3" t="s">
        <v>15</v>
      </c>
      <c r="J3" s="3" t="s">
        <v>28</v>
      </c>
      <c r="K3" s="3" t="s">
        <v>29</v>
      </c>
      <c r="L3" s="3" t="s">
        <v>30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  <c r="S3" s="3" t="s">
        <v>49</v>
      </c>
    </row>
    <row r="4" customFormat="false" ht="15" hidden="false" customHeight="false" outlineLevel="0" collapsed="false">
      <c r="A4" s="4" t="str">
        <f aca="false">'Votos por partido'!A4</f>
        <v>Aguascalientes</v>
      </c>
      <c r="B4" s="5" t="n">
        <f aca="false">'Votos por partido'!F4+'Votos por partido'!G4+'Votos por partido'!I4+'Votos por partido'!N4+'Votos por partido'!O4+'Votos por partido'!P4+'Votos por partido'!Q4</f>
        <v>246771</v>
      </c>
      <c r="C4" s="5" t="n">
        <f aca="false">'Votos por partido'!C4+'Votos por partido'!D4+'Votos por partido'!E4+'Votos por partido'!J4+'Votos por partido'!K4+'Votos por partido'!L4+'Votos por partido'!M4</f>
        <v>355457</v>
      </c>
      <c r="D4" s="5" t="n">
        <f aca="false">'Votos por partido'!H4</f>
        <v>44686</v>
      </c>
      <c r="E4" s="5" t="n">
        <f aca="false">'Votos por partido'!R4</f>
        <v>506</v>
      </c>
      <c r="F4" s="5" t="n">
        <f aca="false">'Votos por partido'!S4</f>
        <v>17062</v>
      </c>
      <c r="G4" s="5" t="n">
        <f aca="false">'Votos por partido'!T4</f>
        <v>664482</v>
      </c>
      <c r="H4" s="5" t="n">
        <f aca="false">'Votos por partido'!U4</f>
        <v>1099895</v>
      </c>
      <c r="I4" s="9" t="n">
        <f aca="false">G4/H4</f>
        <v>0.604132212620296</v>
      </c>
      <c r="J4" s="9" t="n">
        <f aca="false">B4/G4</f>
        <v>0.371373490929777</v>
      </c>
      <c r="K4" s="9" t="n">
        <f aca="false">C4/G4</f>
        <v>0.534938493443013</v>
      </c>
      <c r="L4" s="9" t="n">
        <f aca="false">D4/G4</f>
        <v>0.0672493762058265</v>
      </c>
      <c r="M4" s="9" t="n">
        <f aca="false">F4/G4</f>
        <v>0.0256771440008909</v>
      </c>
      <c r="N4" s="4" t="str">
        <f aca="false">INDEX($B$3:$D$3,MATCH(MAX(B4:D4),B4:D4,0))</f>
        <v>Fuerza y Corazón por México (PAN-PRI-PRD)</v>
      </c>
      <c r="O4" s="13" t="n">
        <f aca="false">(MAX(B4:D4)-LARGE(B4:D4,2))/G4*100</f>
        <v>16.3565002513236</v>
      </c>
      <c r="P4" s="4" t="s">
        <v>22</v>
      </c>
      <c r="Q4" s="9" t="n">
        <v>0.534938493443013</v>
      </c>
      <c r="R4" s="4" t="s">
        <v>20</v>
      </c>
      <c r="S4" s="9" t="n">
        <v>0.371373490929777</v>
      </c>
    </row>
    <row r="5" customFormat="false" ht="15" hidden="false" customHeight="false" outlineLevel="0" collapsed="false">
      <c r="A5" s="4" t="str">
        <f aca="false">'Votos por partido'!A5</f>
        <v>Baja California</v>
      </c>
      <c r="B5" s="5" t="n">
        <f aca="false">'Votos por partido'!F5+'Votos por partido'!G5+'Votos por partido'!I5+'Votos por partido'!N5+'Votos por partido'!O5+'Votos por partido'!P5+'Votos por partido'!Q5</f>
        <v>1022877</v>
      </c>
      <c r="C5" s="5" t="n">
        <f aca="false">'Votos por partido'!C5+'Votos por partido'!D5+'Votos por partido'!E5+'Votos por partido'!J5+'Votos por partido'!K5+'Votos por partido'!L5+'Votos por partido'!M5</f>
        <v>319637</v>
      </c>
      <c r="D5" s="5" t="n">
        <f aca="false">'Votos por partido'!H5</f>
        <v>129202</v>
      </c>
      <c r="E5" s="5" t="n">
        <f aca="false">'Votos por partido'!R5</f>
        <v>1685</v>
      </c>
      <c r="F5" s="5" t="n">
        <f aca="false">'Votos por partido'!S5</f>
        <v>84366</v>
      </c>
      <c r="G5" s="5" t="n">
        <f aca="false">'Votos por partido'!T5</f>
        <v>1557767</v>
      </c>
      <c r="H5" s="5" t="n">
        <f aca="false">'Votos por partido'!U5</f>
        <v>3201669</v>
      </c>
      <c r="I5" s="9" t="n">
        <f aca="false">G5/H5</f>
        <v>0.486548422088604</v>
      </c>
      <c r="J5" s="9" t="n">
        <f aca="false">B5/G5</f>
        <v>0.656630291949952</v>
      </c>
      <c r="K5" s="9" t="n">
        <f aca="false">C5/G5</f>
        <v>0.205189222778503</v>
      </c>
      <c r="L5" s="9" t="n">
        <f aca="false">D5/G5</f>
        <v>0.0829405167781831</v>
      </c>
      <c r="M5" s="9" t="n">
        <f aca="false">F5/G5</f>
        <v>0.0541582919653581</v>
      </c>
      <c r="N5" s="4" t="str">
        <f aca="false">INDEX($B$3:$D$3,MATCH(MAX(B5:D5),B5:D5,0))</f>
        <v>Sigamos Haciendo Historia (PVEM-PT-Morena)</v>
      </c>
      <c r="O5" s="13" t="n">
        <f aca="false">(MAX(B5:D5)-LARGE(B5:D5,2))/G5*100</f>
        <v>45.1441069171449</v>
      </c>
      <c r="P5" s="4" t="s">
        <v>21</v>
      </c>
      <c r="Q5" s="9" t="n">
        <v>0.503635652828697</v>
      </c>
      <c r="R5" s="4" t="s">
        <v>22</v>
      </c>
      <c r="S5" s="9" t="n">
        <v>0.205189222778503</v>
      </c>
    </row>
    <row r="6" customFormat="false" ht="15" hidden="false" customHeight="false" outlineLevel="0" collapsed="false">
      <c r="A6" s="4" t="str">
        <f aca="false">'Votos por partido'!A6</f>
        <v>Baja California Sur</v>
      </c>
      <c r="B6" s="5" t="n">
        <f aca="false">'Votos por partido'!F6+'Votos por partido'!G6+'Votos por partido'!I6+'Votos por partido'!N6+'Votos por partido'!O6+'Votos por partido'!P6+'Votos por partido'!Q6</f>
        <v>183173</v>
      </c>
      <c r="C6" s="5" t="n">
        <f aca="false">'Votos por partido'!C6+'Votos por partido'!D6+'Votos por partido'!E6+'Votos por partido'!J6+'Votos por partido'!K6+'Votos por partido'!L6+'Votos por partido'!M6</f>
        <v>117565</v>
      </c>
      <c r="D6" s="5" t="n">
        <f aca="false">'Votos por partido'!H6</f>
        <v>28612</v>
      </c>
      <c r="E6" s="5" t="n">
        <f aca="false">'Votos por partido'!R6</f>
        <v>280</v>
      </c>
      <c r="F6" s="5" t="n">
        <f aca="false">'Votos por partido'!S6</f>
        <v>11087</v>
      </c>
      <c r="G6" s="5" t="n">
        <f aca="false">'Votos por partido'!T6</f>
        <v>340717</v>
      </c>
      <c r="H6" s="5" t="n">
        <f aca="false">'Votos por partido'!U6</f>
        <v>614054</v>
      </c>
      <c r="I6" s="9" t="n">
        <f aca="false">G6/H6</f>
        <v>0.554864881590218</v>
      </c>
      <c r="J6" s="9" t="n">
        <f aca="false">B6/G6</f>
        <v>0.537610392202326</v>
      </c>
      <c r="K6" s="9" t="n">
        <f aca="false">C6/G6</f>
        <v>0.345051758497521</v>
      </c>
      <c r="L6" s="9" t="n">
        <f aca="false">D6/G6</f>
        <v>0.0839758509261352</v>
      </c>
      <c r="M6" s="9" t="n">
        <f aca="false">F6/G6</f>
        <v>0.0325402019858123</v>
      </c>
      <c r="N6" s="4" t="str">
        <f aca="false">INDEX($B$3:$D$3,MATCH(MAX(B6:D6),B6:D6,0))</f>
        <v>Sigamos Haciendo Historia (PVEM-PT-Morena)</v>
      </c>
      <c r="O6" s="13" t="n">
        <f aca="false">(MAX(B6:D6)-LARGE(B6:D6,2))/G6*100</f>
        <v>19.2558633704805</v>
      </c>
      <c r="P6" s="4" t="s">
        <v>20</v>
      </c>
      <c r="Q6" s="9" t="n">
        <v>0.537610392202326</v>
      </c>
      <c r="R6" s="4" t="s">
        <v>22</v>
      </c>
      <c r="S6" s="9" t="n">
        <v>0.345051758497521</v>
      </c>
    </row>
    <row r="7" customFormat="false" ht="15" hidden="false" customHeight="false" outlineLevel="0" collapsed="false">
      <c r="A7" s="4" t="str">
        <f aca="false">'Votos por partido'!A7</f>
        <v>Campeche</v>
      </c>
      <c r="B7" s="5" t="n">
        <f aca="false">'Votos por partido'!F7+'Votos por partido'!G7+'Votos por partido'!I7+'Votos por partido'!N7+'Votos por partido'!O7+'Votos por partido'!P7+'Votos por partido'!Q7</f>
        <v>219109</v>
      </c>
      <c r="C7" s="5" t="n">
        <f aca="false">'Votos por partido'!C7+'Votos por partido'!D7+'Votos por partido'!E7+'Votos por partido'!J7+'Votos por partido'!K7+'Votos por partido'!L7+'Votos por partido'!M7</f>
        <v>65839</v>
      </c>
      <c r="D7" s="5" t="n">
        <f aca="false">'Votos por partido'!H7</f>
        <v>152483</v>
      </c>
      <c r="E7" s="5" t="n">
        <f aca="false">'Votos por partido'!R7</f>
        <v>237</v>
      </c>
      <c r="F7" s="5" t="n">
        <f aca="false">'Votos por partido'!S7</f>
        <v>13001</v>
      </c>
      <c r="G7" s="5" t="n">
        <f aca="false">'Votos por partido'!T7</f>
        <v>450669</v>
      </c>
      <c r="H7" s="5" t="n">
        <f aca="false">'Votos por partido'!U7</f>
        <v>695055</v>
      </c>
      <c r="I7" s="9" t="n">
        <f aca="false">G7/H7</f>
        <v>0.648393292617131</v>
      </c>
      <c r="J7" s="9" t="n">
        <f aca="false">B7/G7</f>
        <v>0.486186092231771</v>
      </c>
      <c r="K7" s="9" t="n">
        <f aca="false">C7/G7</f>
        <v>0.146091699229368</v>
      </c>
      <c r="L7" s="9" t="n">
        <f aca="false">D7/G7</f>
        <v>0.338348100268712</v>
      </c>
      <c r="M7" s="9" t="n">
        <f aca="false">F7/G7</f>
        <v>0.0288482234189616</v>
      </c>
      <c r="N7" s="4" t="str">
        <f aca="false">INDEX($B$3:$D$3,MATCH(MAX(B7:D7),B7:D7,0))</f>
        <v>Sigamos Haciendo Historia (PVEM-PT-Morena)</v>
      </c>
      <c r="O7" s="13" t="n">
        <f aca="false">(MAX(B7:D7)-LARGE(B7:D7,2))/G7*100</f>
        <v>14.7837991963059</v>
      </c>
      <c r="P7" s="4" t="s">
        <v>20</v>
      </c>
      <c r="Q7" s="9" t="n">
        <v>0.486186092231771</v>
      </c>
      <c r="R7" s="4" t="s">
        <v>10</v>
      </c>
      <c r="S7" s="9" t="n">
        <v>0.338348100268712</v>
      </c>
    </row>
    <row r="8" customFormat="false" ht="15" hidden="false" customHeight="false" outlineLevel="0" collapsed="false">
      <c r="A8" s="4" t="str">
        <f aca="false">'Votos por partido'!A8</f>
        <v>Coahuila</v>
      </c>
      <c r="B8" s="5" t="n">
        <f aca="false">'Votos por partido'!F8+'Votos por partido'!G8+'Votos por partido'!I8+'Votos por partido'!N8+'Votos por partido'!O8+'Votos por partido'!P8+'Votos por partido'!Q8</f>
        <v>755898</v>
      </c>
      <c r="C8" s="5" t="n">
        <f aca="false">'Votos por partido'!C8+'Votos por partido'!D8+'Votos por partido'!E8+'Votos por partido'!J8+'Votos por partido'!K8+'Votos por partido'!L8+'Votos por partido'!M8</f>
        <v>732096</v>
      </c>
      <c r="D8" s="5" t="n">
        <f aca="false">'Votos por partido'!H8</f>
        <v>64401</v>
      </c>
      <c r="E8" s="5" t="n">
        <f aca="false">'Votos por partido'!R8</f>
        <v>534</v>
      </c>
      <c r="F8" s="5" t="n">
        <f aca="false">'Votos por partido'!S8</f>
        <v>35281</v>
      </c>
      <c r="G8" s="5" t="n">
        <f aca="false">'Votos por partido'!T8</f>
        <v>1588210</v>
      </c>
      <c r="H8" s="5" t="n">
        <f aca="false">'Votos por partido'!U8</f>
        <v>2414779</v>
      </c>
      <c r="I8" s="9" t="n">
        <f aca="false">G8/H8</f>
        <v>0.657704079752226</v>
      </c>
      <c r="J8" s="9" t="n">
        <f aca="false">B8/G8</f>
        <v>0.475943357616436</v>
      </c>
      <c r="K8" s="9" t="n">
        <f aca="false">C8/G8</f>
        <v>0.460956674495186</v>
      </c>
      <c r="L8" s="9" t="n">
        <f aca="false">D8/G8</f>
        <v>0.0405494235648938</v>
      </c>
      <c r="M8" s="9" t="n">
        <f aca="false">F8/G8</f>
        <v>0.022214316746526</v>
      </c>
      <c r="N8" s="4" t="str">
        <f aca="false">INDEX($B$3:$D$3,MATCH(MAX(B8:D8),B8:D8,0))</f>
        <v>Sigamos Haciendo Historia (PVEM-PT-Morena)</v>
      </c>
      <c r="O8" s="13" t="n">
        <f aca="false">(MAX(B8:D8)-LARGE(B8:D8,2))/G8*100</f>
        <v>1.49866831212497</v>
      </c>
      <c r="P8" s="4" t="s">
        <v>20</v>
      </c>
      <c r="Q8" s="9" t="n">
        <v>0.475943357616436</v>
      </c>
      <c r="R8" s="4" t="s">
        <v>22</v>
      </c>
      <c r="S8" s="9" t="n">
        <v>0.460956674495186</v>
      </c>
    </row>
    <row r="9" customFormat="false" ht="15" hidden="false" customHeight="false" outlineLevel="0" collapsed="false">
      <c r="A9" s="4" t="str">
        <f aca="false">'Votos por partido'!A9</f>
        <v>Colima</v>
      </c>
      <c r="B9" s="5" t="n">
        <f aca="false">'Votos por partido'!F9+'Votos por partido'!G9+'Votos por partido'!I9+'Votos por partido'!N9+'Votos por partido'!O9+'Votos por partido'!P9+'Votos por partido'!Q9</f>
        <v>158437</v>
      </c>
      <c r="C9" s="5" t="n">
        <f aca="false">'Votos por partido'!C9+'Votos por partido'!D9+'Votos por partido'!E9+'Votos por partido'!J9+'Votos por partido'!K9+'Votos por partido'!L9+'Votos por partido'!M9</f>
        <v>113256</v>
      </c>
      <c r="D9" s="5" t="n">
        <f aca="false">'Votos por partido'!H9</f>
        <v>63904</v>
      </c>
      <c r="E9" s="5" t="n">
        <f aca="false">'Votos por partido'!R9</f>
        <v>250</v>
      </c>
      <c r="F9" s="5" t="n">
        <f aca="false">'Votos por partido'!S9</f>
        <v>10523</v>
      </c>
      <c r="G9" s="5" t="n">
        <f aca="false">'Votos por partido'!T9</f>
        <v>346370</v>
      </c>
      <c r="H9" s="5" t="n">
        <f aca="false">'Votos por partido'!U9</f>
        <v>585647</v>
      </c>
      <c r="I9" s="9" t="n">
        <f aca="false">G9/H9</f>
        <v>0.591431357114439</v>
      </c>
      <c r="J9" s="9" t="n">
        <f aca="false">B9/G9</f>
        <v>0.457421254727603</v>
      </c>
      <c r="K9" s="9" t="n">
        <f aca="false">C9/G9</f>
        <v>0.326979819268412</v>
      </c>
      <c r="L9" s="9" t="n">
        <f aca="false">D9/G9</f>
        <v>0.184496347836129</v>
      </c>
      <c r="M9" s="9" t="n">
        <f aca="false">F9/G9</f>
        <v>0.0303808066518463</v>
      </c>
      <c r="N9" s="4" t="str">
        <f aca="false">INDEX($B$3:$D$3,MATCH(MAX(B9:D9),B9:D9,0))</f>
        <v>Sigamos Haciendo Historia (PVEM-PT-Morena)</v>
      </c>
      <c r="O9" s="13" t="n">
        <f aca="false">(MAX(B9:D9)-LARGE(B9:D9,2))/G9*100</f>
        <v>13.0441435459191</v>
      </c>
      <c r="P9" s="4" t="s">
        <v>20</v>
      </c>
      <c r="Q9" s="9" t="n">
        <v>0.457421254727603</v>
      </c>
      <c r="R9" s="4" t="s">
        <v>22</v>
      </c>
      <c r="S9" s="9" t="n">
        <v>0.326979819268412</v>
      </c>
    </row>
    <row r="10" customFormat="false" ht="15" hidden="false" customHeight="false" outlineLevel="0" collapsed="false">
      <c r="A10" s="4" t="str">
        <f aca="false">'Votos por partido'!A10</f>
        <v>Chiapas</v>
      </c>
      <c r="B10" s="5" t="n">
        <f aca="false">'Votos por partido'!F10+'Votos por partido'!G10+'Votos por partido'!I10+'Votos por partido'!N10+'Votos por partido'!O10+'Votos por partido'!P10+'Votos por partido'!Q10</f>
        <v>1726730</v>
      </c>
      <c r="C10" s="5" t="n">
        <f aca="false">'Votos por partido'!C10+'Votos por partido'!D10+'Votos por partido'!E10+'Votos por partido'!J10+'Votos por partido'!K10+'Votos por partido'!L10+'Votos por partido'!M10</f>
        <v>399155</v>
      </c>
      <c r="D10" s="5" t="n">
        <f aca="false">'Votos por partido'!H10</f>
        <v>139562</v>
      </c>
      <c r="E10" s="5" t="n">
        <f aca="false">'Votos por partido'!R10</f>
        <v>1556</v>
      </c>
      <c r="F10" s="5" t="n">
        <f aca="false">'Votos por partido'!S10</f>
        <v>194358</v>
      </c>
      <c r="G10" s="5" t="n">
        <f aca="false">'Votos por partido'!T10</f>
        <v>2461361</v>
      </c>
      <c r="H10" s="5" t="n">
        <f aca="false">'Votos por partido'!U10</f>
        <v>3947162</v>
      </c>
      <c r="I10" s="9" t="n">
        <f aca="false">G10/H10</f>
        <v>0.623577395607274</v>
      </c>
      <c r="J10" s="9" t="n">
        <f aca="false">B10/G10</f>
        <v>0.701534638762863</v>
      </c>
      <c r="K10" s="9" t="n">
        <f aca="false">C10/G10</f>
        <v>0.162168410078814</v>
      </c>
      <c r="L10" s="9" t="n">
        <f aca="false">D10/G10</f>
        <v>0.0567011502985543</v>
      </c>
      <c r="M10" s="9" t="n">
        <f aca="false">F10/G10</f>
        <v>0.0789636302842208</v>
      </c>
      <c r="N10" s="4" t="str">
        <f aca="false">INDEX($B$3:$D$3,MATCH(MAX(B10:D10),B10:D10,0))</f>
        <v>Sigamos Haciendo Historia (PVEM-PT-Morena)</v>
      </c>
      <c r="O10" s="13" t="n">
        <f aca="false">(MAX(B10:D10)-LARGE(B10:D10,2))/G10*100</f>
        <v>53.9366228684049</v>
      </c>
      <c r="P10" s="4" t="s">
        <v>21</v>
      </c>
      <c r="Q10" s="9" t="n">
        <v>0.383069366907171</v>
      </c>
      <c r="R10" s="4" t="s">
        <v>23</v>
      </c>
      <c r="S10" s="9" t="n">
        <v>0.213056110013931</v>
      </c>
    </row>
    <row r="11" customFormat="false" ht="15" hidden="false" customHeight="false" outlineLevel="0" collapsed="false">
      <c r="A11" s="4" t="str">
        <f aca="false">'Votos por partido'!A11</f>
        <v>Chihuahua</v>
      </c>
      <c r="B11" s="5" t="n">
        <f aca="false">'Votos por partido'!F11+'Votos por partido'!G11+'Votos por partido'!I11+'Votos por partido'!N11+'Votos por partido'!O11+'Votos por partido'!P11+'Votos por partido'!Q11</f>
        <v>867555</v>
      </c>
      <c r="C11" s="5" t="n">
        <f aca="false">'Votos por partido'!C11+'Votos por partido'!D11+'Votos por partido'!E11+'Votos por partido'!J11+'Votos por partido'!K11+'Votos por partido'!L11+'Votos por partido'!M11</f>
        <v>600400</v>
      </c>
      <c r="D11" s="5" t="n">
        <f aca="false">'Votos por partido'!H11</f>
        <v>128583</v>
      </c>
      <c r="E11" s="5" t="n">
        <f aca="false">'Votos por partido'!R11</f>
        <v>995</v>
      </c>
      <c r="F11" s="5" t="n">
        <f aca="false">'Votos por partido'!S11</f>
        <v>47187</v>
      </c>
      <c r="G11" s="5" t="n">
        <f aca="false">'Votos por partido'!T11</f>
        <v>1644720</v>
      </c>
      <c r="H11" s="5" t="n">
        <f aca="false">'Votos por partido'!U11</f>
        <v>3089200</v>
      </c>
      <c r="I11" s="9" t="n">
        <f aca="false">G11/H11</f>
        <v>0.532409685355432</v>
      </c>
      <c r="J11" s="9" t="n">
        <f aca="false">B11/G11</f>
        <v>0.527478841383336</v>
      </c>
      <c r="K11" s="9" t="n">
        <f aca="false">C11/G11</f>
        <v>0.365046938080646</v>
      </c>
      <c r="L11" s="9" t="n">
        <f aca="false">D11/G11</f>
        <v>0.0781792645556691</v>
      </c>
      <c r="M11" s="9" t="n">
        <f aca="false">F11/G11</f>
        <v>0.0286899897854954</v>
      </c>
      <c r="N11" s="4" t="str">
        <f aca="false">INDEX($B$3:$D$3,MATCH(MAX(B11:D11),B11:D11,0))</f>
        <v>Sigamos Haciendo Historia (PVEM-PT-Morena)</v>
      </c>
      <c r="O11" s="13" t="n">
        <f aca="false">(MAX(B11:D11)-LARGE(B11:D11,2))/G11*100</f>
        <v>16.243190330269</v>
      </c>
      <c r="P11" s="4" t="s">
        <v>20</v>
      </c>
      <c r="Q11" s="9" t="n">
        <v>0.527478841383336</v>
      </c>
      <c r="R11" s="4" t="s">
        <v>22</v>
      </c>
      <c r="S11" s="9" t="n">
        <v>0.365046938080646</v>
      </c>
    </row>
    <row r="12" customFormat="false" ht="15" hidden="false" customHeight="false" outlineLevel="0" collapsed="false">
      <c r="A12" s="4" t="str">
        <f aca="false">'Votos por partido'!A12</f>
        <v>Ciudad de México</v>
      </c>
      <c r="B12" s="5" t="n">
        <f aca="false">'Votos por partido'!F12+'Votos por partido'!G12+'Votos por partido'!I12+'Votos por partido'!N12+'Votos por partido'!O12+'Votos por partido'!P12+'Votos por partido'!Q12</f>
        <v>3030981</v>
      </c>
      <c r="C12" s="5" t="n">
        <f aca="false">'Votos por partido'!C12+'Votos por partido'!D12+'Votos por partido'!E12+'Votos por partido'!J12+'Votos por partido'!K12+'Votos por partido'!L12+'Votos por partido'!M12</f>
        <v>2028924</v>
      </c>
      <c r="D12" s="5" t="n">
        <f aca="false">'Votos por partido'!H12</f>
        <v>402941</v>
      </c>
      <c r="E12" s="5" t="n">
        <f aca="false">'Votos por partido'!R12</f>
        <v>5561</v>
      </c>
      <c r="F12" s="5" t="n">
        <f aca="false">'Votos por partido'!S12</f>
        <v>121626</v>
      </c>
      <c r="G12" s="5" t="n">
        <f aca="false">'Votos por partido'!T12</f>
        <v>5590033</v>
      </c>
      <c r="H12" s="5" t="n">
        <f aca="false">'Votos por partido'!U12</f>
        <v>7969314</v>
      </c>
      <c r="I12" s="9" t="n">
        <f aca="false">G12/H12</f>
        <v>0.701444691475327</v>
      </c>
      <c r="J12" s="9" t="n">
        <f aca="false">B12/G12</f>
        <v>0.5422116470511</v>
      </c>
      <c r="K12" s="9" t="n">
        <f aca="false">C12/G12</f>
        <v>0.362953850182995</v>
      </c>
      <c r="L12" s="9" t="n">
        <f aca="false">D12/G12</f>
        <v>0.0720820431650404</v>
      </c>
      <c r="M12" s="9" t="n">
        <f aca="false">F12/G12</f>
        <v>0.0217576533090234</v>
      </c>
      <c r="N12" s="4" t="str">
        <f aca="false">INDEX($B$3:$D$3,MATCH(MAX(B12:D12),B12:D12,0))</f>
        <v>Sigamos Haciendo Historia (PVEM-PT-Morena)</v>
      </c>
      <c r="O12" s="13" t="n">
        <f aca="false">(MAX(B12:D12)-LARGE(B12:D12,2))/G12*100</f>
        <v>17.9257796868104</v>
      </c>
      <c r="P12" s="4" t="s">
        <v>20</v>
      </c>
      <c r="Q12" s="9" t="n">
        <v>0.5422116470511</v>
      </c>
      <c r="R12" s="4" t="s">
        <v>22</v>
      </c>
      <c r="S12" s="9" t="n">
        <v>0.362953850182995</v>
      </c>
    </row>
    <row r="13" customFormat="false" ht="15" hidden="false" customHeight="false" outlineLevel="0" collapsed="false">
      <c r="A13" s="4" t="str">
        <f aca="false">'Votos por partido'!A13</f>
        <v>Durango</v>
      </c>
      <c r="B13" s="5" t="n">
        <f aca="false">'Votos por partido'!F13+'Votos por partido'!G13+'Votos por partido'!I13+'Votos por partido'!N13+'Votos por partido'!O13+'Votos por partido'!P13+'Votos por partido'!Q13</f>
        <v>393859</v>
      </c>
      <c r="C13" s="5" t="n">
        <f aca="false">'Votos por partido'!C13+'Votos por partido'!D13+'Votos por partido'!E13+'Votos por partido'!J13+'Votos por partido'!K13+'Votos por partido'!L13+'Votos por partido'!M13</f>
        <v>313432</v>
      </c>
      <c r="D13" s="5" t="n">
        <f aca="false">'Votos por partido'!H13</f>
        <v>49477</v>
      </c>
      <c r="E13" s="5" t="n">
        <f aca="false">'Votos por partido'!R13</f>
        <v>365</v>
      </c>
      <c r="F13" s="5" t="n">
        <f aca="false">'Votos por partido'!S13</f>
        <v>20599</v>
      </c>
      <c r="G13" s="5" t="n">
        <f aca="false">'Votos por partido'!T13</f>
        <v>777732</v>
      </c>
      <c r="H13" s="5" t="n">
        <f aca="false">'Votos por partido'!U13</f>
        <v>1401054</v>
      </c>
      <c r="I13" s="9" t="n">
        <f aca="false">G13/H13</f>
        <v>0.55510494242192</v>
      </c>
      <c r="J13" s="9" t="n">
        <f aca="false">B13/G13</f>
        <v>0.506419949288444</v>
      </c>
      <c r="K13" s="9" t="n">
        <f aca="false">C13/G13</f>
        <v>0.403007719882942</v>
      </c>
      <c r="L13" s="9" t="n">
        <f aca="false">D13/G13</f>
        <v>0.0636170300309104</v>
      </c>
      <c r="M13" s="9" t="n">
        <f aca="false">F13/G13</f>
        <v>0.0264859874609763</v>
      </c>
      <c r="N13" s="4" t="str">
        <f aca="false">INDEX($B$3:$D$3,MATCH(MAX(B13:D13),B13:D13,0))</f>
        <v>Sigamos Haciendo Historia (PVEM-PT-Morena)</v>
      </c>
      <c r="O13" s="13" t="n">
        <f aca="false">(MAX(B13:D13)-LARGE(B13:D13,2))/G13*100</f>
        <v>10.3412229405502</v>
      </c>
      <c r="P13" s="4" t="s">
        <v>20</v>
      </c>
      <c r="Q13" s="9" t="n">
        <v>0.506419949288444</v>
      </c>
      <c r="R13" s="4" t="s">
        <v>22</v>
      </c>
      <c r="S13" s="9" t="n">
        <v>0.403007719882942</v>
      </c>
    </row>
    <row r="14" customFormat="false" ht="15" hidden="false" customHeight="false" outlineLevel="0" collapsed="false">
      <c r="A14" s="4" t="str">
        <f aca="false">'Votos por partido'!A14</f>
        <v>Guanajuato</v>
      </c>
      <c r="B14" s="5" t="n">
        <f aca="false">'Votos por partido'!F14+'Votos por partido'!G14+'Votos por partido'!I14+'Votos por partido'!N14+'Votos por partido'!O14+'Votos por partido'!P14+'Votos por partido'!Q14</f>
        <v>1190044</v>
      </c>
      <c r="C14" s="5" t="n">
        <f aca="false">'Votos por partido'!C14+'Votos por partido'!D14+'Votos por partido'!E14+'Votos por partido'!J14+'Votos por partido'!K14+'Votos por partido'!L14+'Votos por partido'!M14</f>
        <v>1274257</v>
      </c>
      <c r="D14" s="5" t="n">
        <f aca="false">'Votos por partido'!H14</f>
        <v>196448</v>
      </c>
      <c r="E14" s="5" t="n">
        <f aca="false">'Votos por partido'!R14</f>
        <v>1681</v>
      </c>
      <c r="F14" s="5" t="n">
        <f aca="false">'Votos por partido'!S14</f>
        <v>88410</v>
      </c>
      <c r="G14" s="5" t="n">
        <f aca="false">'Votos por partido'!T14</f>
        <v>2750840</v>
      </c>
      <c r="H14" s="5" t="n">
        <f aca="false">'Votos por partido'!U14</f>
        <v>4843368</v>
      </c>
      <c r="I14" s="9" t="n">
        <f aca="false">G14/H14</f>
        <v>0.567960146740863</v>
      </c>
      <c r="J14" s="9" t="n">
        <f aca="false">B14/G14</f>
        <v>0.432611129691294</v>
      </c>
      <c r="K14" s="9" t="n">
        <f aca="false">C14/G14</f>
        <v>0.463224687731747</v>
      </c>
      <c r="L14" s="9" t="n">
        <f aca="false">D14/G14</f>
        <v>0.0714138226868884</v>
      </c>
      <c r="M14" s="9" t="n">
        <f aca="false">F14/G14</f>
        <v>0.0321392738218144</v>
      </c>
      <c r="N14" s="4" t="str">
        <f aca="false">INDEX($B$3:$D$3,MATCH(MAX(B14:D14),B14:D14,0))</f>
        <v>Fuerza y Corazón por México (PAN-PRI-PRD)</v>
      </c>
      <c r="O14" s="13" t="n">
        <f aca="false">(MAX(B14:D14)-LARGE(B14:D14,2))/G14*100</f>
        <v>3.06135580404531</v>
      </c>
      <c r="P14" s="4" t="s">
        <v>20</v>
      </c>
      <c r="Q14" s="9" t="n">
        <v>0.432611129691294</v>
      </c>
      <c r="R14" s="4" t="s">
        <v>24</v>
      </c>
      <c r="S14" s="9" t="n">
        <v>0.393854604411743</v>
      </c>
    </row>
    <row r="15" customFormat="false" ht="15" hidden="false" customHeight="false" outlineLevel="0" collapsed="false">
      <c r="A15" s="4" t="str">
        <f aca="false">'Votos por partido'!A15</f>
        <v>Guerrero</v>
      </c>
      <c r="B15" s="5" t="n">
        <f aca="false">'Votos por partido'!F15+'Votos por partido'!G15+'Votos por partido'!I15+'Votos por partido'!N15+'Votos por partido'!O15+'Votos por partido'!P15+'Votos por partido'!Q15</f>
        <v>913366</v>
      </c>
      <c r="C15" s="5" t="n">
        <f aca="false">'Votos por partido'!C15+'Votos por partido'!D15+'Votos por partido'!E15+'Votos por partido'!J15+'Votos por partido'!K15+'Votos por partido'!L15+'Votos por partido'!M15</f>
        <v>318425</v>
      </c>
      <c r="D15" s="5" t="n">
        <f aca="false">'Votos por partido'!H15</f>
        <v>197363</v>
      </c>
      <c r="E15" s="5" t="n">
        <f aca="false">'Votos por partido'!R15</f>
        <v>3566</v>
      </c>
      <c r="F15" s="5" t="n">
        <f aca="false">'Votos por partido'!S15</f>
        <v>117758</v>
      </c>
      <c r="G15" s="5" t="n">
        <f aca="false">'Votos por partido'!T15</f>
        <v>1550478</v>
      </c>
      <c r="H15" s="5" t="n">
        <f aca="false">'Votos por partido'!U15</f>
        <v>2651380</v>
      </c>
      <c r="I15" s="9" t="n">
        <f aca="false">G15/H15</f>
        <v>0.58478151000611</v>
      </c>
      <c r="J15" s="9" t="n">
        <f aca="false">B15/G15</f>
        <v>0.589086720353336</v>
      </c>
      <c r="K15" s="9" t="n">
        <f aca="false">C15/G15</f>
        <v>0.205372149749948</v>
      </c>
      <c r="L15" s="9" t="n">
        <f aca="false">D15/G15</f>
        <v>0.127291712620237</v>
      </c>
      <c r="M15" s="9" t="n">
        <f aca="false">F15/G15</f>
        <v>0.0759494813857404</v>
      </c>
      <c r="N15" s="4" t="str">
        <f aca="false">INDEX($B$3:$D$3,MATCH(MAX(B15:D15),B15:D15,0))</f>
        <v>Sigamos Haciendo Historia (PVEM-PT-Morena)</v>
      </c>
      <c r="O15" s="13" t="n">
        <f aca="false">(MAX(B15:D15)-LARGE(B15:D15,2))/G15*100</f>
        <v>38.3714570603388</v>
      </c>
      <c r="P15" s="4" t="s">
        <v>21</v>
      </c>
      <c r="Q15" s="9" t="n">
        <v>0.435585026037132</v>
      </c>
      <c r="R15" s="4" t="s">
        <v>22</v>
      </c>
      <c r="S15" s="9" t="n">
        <v>0.205372149749948</v>
      </c>
    </row>
    <row r="16" customFormat="false" ht="15" hidden="false" customHeight="false" outlineLevel="0" collapsed="false">
      <c r="A16" s="4" t="str">
        <f aca="false">'Votos por partido'!A16</f>
        <v>Hidalgo</v>
      </c>
      <c r="B16" s="5" t="n">
        <f aca="false">'Votos por partido'!F16+'Votos por partido'!G16+'Votos por partido'!I16+'Votos por partido'!N16+'Votos por partido'!O16+'Votos por partido'!P16+'Votos por partido'!Q16</f>
        <v>1010437</v>
      </c>
      <c r="C16" s="5" t="n">
        <f aca="false">'Votos por partido'!C16+'Votos por partido'!D16+'Votos por partido'!E16+'Votos por partido'!J16+'Votos por partido'!K16+'Votos por partido'!L16+'Votos por partido'!M16</f>
        <v>317828</v>
      </c>
      <c r="D16" s="5" t="n">
        <f aca="false">'Votos por partido'!H16</f>
        <v>138000</v>
      </c>
      <c r="E16" s="5" t="n">
        <f aca="false">'Votos por partido'!R16</f>
        <v>964</v>
      </c>
      <c r="F16" s="5" t="n">
        <f aca="false">'Votos por partido'!S16</f>
        <v>79563</v>
      </c>
      <c r="G16" s="5" t="n">
        <f aca="false">'Votos por partido'!T16</f>
        <v>1546792</v>
      </c>
      <c r="H16" s="5" t="n">
        <f aca="false">'Votos por partido'!U16</f>
        <v>2390948</v>
      </c>
      <c r="I16" s="9" t="n">
        <f aca="false">G16/H16</f>
        <v>0.646936696239316</v>
      </c>
      <c r="J16" s="9" t="n">
        <f aca="false">B16/G16</f>
        <v>0.653246848962239</v>
      </c>
      <c r="K16" s="9" t="n">
        <f aca="false">C16/G16</f>
        <v>0.205475590771093</v>
      </c>
      <c r="L16" s="9" t="n">
        <f aca="false">D16/G16</f>
        <v>0.0892169082850183</v>
      </c>
      <c r="M16" s="9" t="n">
        <f aca="false">F16/G16</f>
        <v>0.0514374266223254</v>
      </c>
      <c r="N16" s="4" t="str">
        <f aca="false">INDEX($B$3:$D$3,MATCH(MAX(B16:D16),B16:D16,0))</f>
        <v>Sigamos Haciendo Historia (PVEM-PT-Morena)</v>
      </c>
      <c r="O16" s="13" t="n">
        <f aca="false">(MAX(B16:D16)-LARGE(B16:D16,2))/G16*100</f>
        <v>44.7771258191147</v>
      </c>
      <c r="P16" s="4" t="s">
        <v>21</v>
      </c>
      <c r="Q16" s="9" t="n">
        <v>0.467422251989925</v>
      </c>
      <c r="R16" s="4" t="s">
        <v>22</v>
      </c>
      <c r="S16" s="9" t="n">
        <v>0.205475590771093</v>
      </c>
    </row>
    <row r="17" customFormat="false" ht="15" hidden="false" customHeight="false" outlineLevel="0" collapsed="false">
      <c r="A17" s="4" t="str">
        <f aca="false">'Votos por partido'!A17</f>
        <v>Jalisco</v>
      </c>
      <c r="B17" s="5" t="n">
        <f aca="false">'Votos por partido'!F17+'Votos por partido'!G17+'Votos por partido'!I17+'Votos por partido'!N17+'Votos por partido'!O17+'Votos por partido'!P17+'Votos por partido'!Q17</f>
        <v>1558157</v>
      </c>
      <c r="C17" s="5" t="n">
        <f aca="false">'Votos por partido'!C17+'Votos por partido'!D17+'Votos por partido'!E17+'Votos por partido'!J17+'Votos por partido'!K17+'Votos por partido'!L17+'Votos por partido'!M17</f>
        <v>1142364</v>
      </c>
      <c r="D17" s="5" t="n">
        <f aca="false">'Votos por partido'!H17</f>
        <v>1052491</v>
      </c>
      <c r="E17" s="5" t="n">
        <f aca="false">'Votos por partido'!R17</f>
        <v>3408</v>
      </c>
      <c r="F17" s="5" t="n">
        <f aca="false">'Votos por partido'!S17</f>
        <v>104242</v>
      </c>
      <c r="G17" s="5" t="n">
        <f aca="false">'Votos por partido'!T17</f>
        <v>3860662</v>
      </c>
      <c r="H17" s="5" t="n">
        <f aca="false">'Votos por partido'!U17</f>
        <v>6640163</v>
      </c>
      <c r="I17" s="9" t="n">
        <f aca="false">G17/H17</f>
        <v>0.581410727417384</v>
      </c>
      <c r="J17" s="9" t="n">
        <f aca="false">B17/G17</f>
        <v>0.403598398409392</v>
      </c>
      <c r="K17" s="9" t="n">
        <f aca="false">C17/G17</f>
        <v>0.295898475442813</v>
      </c>
      <c r="L17" s="9" t="n">
        <f aca="false">D17/G17</f>
        <v>0.272619307258703</v>
      </c>
      <c r="M17" s="9" t="n">
        <f aca="false">F17/G17</f>
        <v>0.0270010687286274</v>
      </c>
      <c r="N17" s="4" t="str">
        <f aca="false">INDEX($B$3:$D$3,MATCH(MAX(B17:D17),B17:D17,0))</f>
        <v>Sigamos Haciendo Historia (PVEM-PT-Morena)</v>
      </c>
      <c r="O17" s="13" t="n">
        <f aca="false">(MAX(B17:D17)-LARGE(B17:D17,2))/G17*100</f>
        <v>10.7699922966579</v>
      </c>
      <c r="P17" s="4" t="s">
        <v>20</v>
      </c>
      <c r="Q17" s="9" t="n">
        <v>0.403598398409392</v>
      </c>
      <c r="R17" s="4" t="s">
        <v>22</v>
      </c>
      <c r="S17" s="9" t="n">
        <v>0.295898475442813</v>
      </c>
    </row>
    <row r="18" customFormat="false" ht="15" hidden="false" customHeight="false" outlineLevel="0" collapsed="false">
      <c r="A18" s="4" t="str">
        <f aca="false">'Votos por partido'!A18</f>
        <v>México</v>
      </c>
      <c r="B18" s="5" t="n">
        <f aca="false">'Votos por partido'!F18+'Votos por partido'!G18+'Votos por partido'!I18+'Votos por partido'!N18+'Votos por partido'!O18+'Votos por partido'!P18+'Votos por partido'!Q18</f>
        <v>4746823</v>
      </c>
      <c r="C18" s="5" t="n">
        <f aca="false">'Votos por partido'!C18+'Votos por partido'!D18+'Votos por partido'!E18+'Votos por partido'!J18+'Votos por partido'!K18+'Votos por partido'!L18+'Votos por partido'!M18</f>
        <v>2603731</v>
      </c>
      <c r="D18" s="5" t="n">
        <f aca="false">'Votos por partido'!H18</f>
        <v>840278</v>
      </c>
      <c r="E18" s="5" t="n">
        <f aca="false">'Votos por partido'!R18</f>
        <v>6700</v>
      </c>
      <c r="F18" s="5" t="n">
        <f aca="false">'Votos por partido'!S18</f>
        <v>232249</v>
      </c>
      <c r="G18" s="5" t="n">
        <f aca="false">'Votos por partido'!T18</f>
        <v>8429781</v>
      </c>
      <c r="H18" s="5" t="n">
        <f aca="false">'Votos por partido'!U18</f>
        <v>13042882</v>
      </c>
      <c r="I18" s="9" t="n">
        <f aca="false">G18/H18</f>
        <v>0.646312755110412</v>
      </c>
      <c r="J18" s="9" t="n">
        <f aca="false">B18/G18</f>
        <v>0.563101579981734</v>
      </c>
      <c r="K18" s="9" t="n">
        <f aca="false">C18/G18</f>
        <v>0.308872911407782</v>
      </c>
      <c r="L18" s="9" t="n">
        <f aca="false">D18/G18</f>
        <v>0.0996796951190073</v>
      </c>
      <c r="M18" s="9" t="n">
        <f aca="false">F18/G18</f>
        <v>0.027551012297947</v>
      </c>
      <c r="N18" s="4" t="str">
        <f aca="false">INDEX($B$3:$D$3,MATCH(MAX(B18:D18),B18:D18,0))</f>
        <v>Sigamos Haciendo Historia (PVEM-PT-Morena)</v>
      </c>
      <c r="O18" s="13" t="n">
        <f aca="false">(MAX(B18:D18)-LARGE(B18:D18,2))/G18*100</f>
        <v>25.4228668573952</v>
      </c>
      <c r="P18" s="4" t="s">
        <v>20</v>
      </c>
      <c r="Q18" s="9" t="n">
        <v>0.563101579981734</v>
      </c>
      <c r="R18" s="4" t="s">
        <v>22</v>
      </c>
      <c r="S18" s="9" t="n">
        <v>0.308872911407782</v>
      </c>
    </row>
    <row r="19" customFormat="false" ht="15" hidden="false" customHeight="false" outlineLevel="0" collapsed="false">
      <c r="A19" s="4" t="str">
        <f aca="false">'Votos por partido'!A19</f>
        <v>Michoacán</v>
      </c>
      <c r="B19" s="5" t="n">
        <f aca="false">'Votos por partido'!F19+'Votos por partido'!G19+'Votos por partido'!I19+'Votos por partido'!N19+'Votos por partido'!O19+'Votos por partido'!P19+'Votos por partido'!Q19</f>
        <v>1036566</v>
      </c>
      <c r="C19" s="5" t="n">
        <f aca="false">'Votos por partido'!C19+'Votos por partido'!D19+'Votos por partido'!E19+'Votos por partido'!J19+'Votos por partido'!K19+'Votos por partido'!L19+'Votos por partido'!M19</f>
        <v>663645</v>
      </c>
      <c r="D19" s="5" t="n">
        <f aca="false">'Votos por partido'!H19</f>
        <v>257578</v>
      </c>
      <c r="E19" s="5" t="n">
        <f aca="false">'Votos por partido'!R19</f>
        <v>2654</v>
      </c>
      <c r="F19" s="5" t="n">
        <f aca="false">'Votos por partido'!S19</f>
        <v>101644</v>
      </c>
      <c r="G19" s="5" t="n">
        <f aca="false">'Votos por partido'!T19</f>
        <v>2062087</v>
      </c>
      <c r="H19" s="5" t="n">
        <f aca="false">'Votos por partido'!U19</f>
        <v>3708926</v>
      </c>
      <c r="I19" s="9" t="n">
        <f aca="false">G19/H19</f>
        <v>0.555979547718127</v>
      </c>
      <c r="J19" s="9" t="n">
        <f aca="false">B19/G19</f>
        <v>0.502678112029221</v>
      </c>
      <c r="K19" s="9" t="n">
        <f aca="false">C19/G19</f>
        <v>0.321831717090501</v>
      </c>
      <c r="L19" s="9" t="n">
        <f aca="false">D19/G19</f>
        <v>0.124911315574949</v>
      </c>
      <c r="M19" s="9" t="n">
        <f aca="false">F19/G19</f>
        <v>0.0492918097054101</v>
      </c>
      <c r="N19" s="4" t="str">
        <f aca="false">INDEX($B$3:$D$3,MATCH(MAX(B19:D19),B19:D19,0))</f>
        <v>Sigamos Haciendo Historia (PVEM-PT-Morena)</v>
      </c>
      <c r="O19" s="13" t="n">
        <f aca="false">(MAX(B19:D19)-LARGE(B19:D19,2))/G19*100</f>
        <v>18.084639493872</v>
      </c>
      <c r="P19" s="4" t="s">
        <v>20</v>
      </c>
      <c r="Q19" s="9" t="n">
        <v>0.502678112029221</v>
      </c>
      <c r="R19" s="4" t="s">
        <v>22</v>
      </c>
      <c r="S19" s="9" t="n">
        <v>0.321831717090501</v>
      </c>
    </row>
    <row r="20" customFormat="false" ht="15" hidden="false" customHeight="false" outlineLevel="0" collapsed="false">
      <c r="A20" s="4" t="str">
        <f aca="false">'Votos por partido'!A20</f>
        <v>Morelos</v>
      </c>
      <c r="B20" s="5" t="n">
        <f aca="false">'Votos por partido'!F20+'Votos por partido'!G20+'Votos por partido'!I20+'Votos por partido'!N20+'Votos por partido'!O20+'Votos por partido'!P20+'Votos por partido'!Q20</f>
        <v>553011</v>
      </c>
      <c r="C20" s="5" t="n">
        <f aca="false">'Votos por partido'!C20+'Votos por partido'!D20+'Votos por partido'!E20+'Votos por partido'!J20+'Votos por partido'!K20+'Votos por partido'!L20+'Votos por partido'!M20</f>
        <v>260196</v>
      </c>
      <c r="D20" s="5" t="n">
        <f aca="false">'Votos por partido'!H20</f>
        <v>128974</v>
      </c>
      <c r="E20" s="5" t="n">
        <f aca="false">'Votos por partido'!R20</f>
        <v>924</v>
      </c>
      <c r="F20" s="5" t="n">
        <f aca="false">'Votos por partido'!S20</f>
        <v>43691</v>
      </c>
      <c r="G20" s="5" t="n">
        <f aca="false">'Votos por partido'!T20</f>
        <v>986796</v>
      </c>
      <c r="H20" s="5" t="n">
        <f aca="false">'Votos por partido'!U20</f>
        <v>1553630</v>
      </c>
      <c r="I20" s="9" t="n">
        <f aca="false">G20/H20</f>
        <v>0.635155088405862</v>
      </c>
      <c r="J20" s="9" t="n">
        <f aca="false">B20/G20</f>
        <v>0.560410662386147</v>
      </c>
      <c r="K20" s="9" t="n">
        <f aca="false">C20/G20</f>
        <v>0.263677599017426</v>
      </c>
      <c r="L20" s="9" t="n">
        <f aca="false">D20/G20</f>
        <v>0.130699759626103</v>
      </c>
      <c r="M20" s="9" t="n">
        <f aca="false">F20/G20</f>
        <v>0.0442756152234099</v>
      </c>
      <c r="N20" s="4" t="str">
        <f aca="false">INDEX($B$3:$D$3,MATCH(MAX(B20:D20),B20:D20,0))</f>
        <v>Sigamos Haciendo Historia (PVEM-PT-Morena)</v>
      </c>
      <c r="O20" s="13" t="n">
        <f aca="false">(MAX(B20:D20)-LARGE(B20:D20,2))/G20*100</f>
        <v>29.6733063368721</v>
      </c>
      <c r="P20" s="4" t="s">
        <v>20</v>
      </c>
      <c r="Q20" s="9" t="n">
        <v>0.560410662386147</v>
      </c>
      <c r="R20" s="4" t="s">
        <v>22</v>
      </c>
      <c r="S20" s="9" t="n">
        <v>0.263677599017426</v>
      </c>
    </row>
    <row r="21" customFormat="false" ht="15" hidden="false" customHeight="false" outlineLevel="0" collapsed="false">
      <c r="A21" s="4" t="str">
        <f aca="false">'Votos por partido'!A21</f>
        <v>Nayarit</v>
      </c>
      <c r="B21" s="5" t="n">
        <f aca="false">'Votos por partido'!F21+'Votos por partido'!G21+'Votos por partido'!I21+'Votos por partido'!N21+'Votos por partido'!O21+'Votos por partido'!P21+'Votos por partido'!Q21</f>
        <v>301302</v>
      </c>
      <c r="C21" s="5" t="n">
        <f aca="false">'Votos por partido'!C21+'Votos por partido'!D21+'Votos por partido'!E21+'Votos por partido'!J21+'Votos por partido'!K21+'Votos por partido'!L21+'Votos por partido'!M21</f>
        <v>122867</v>
      </c>
      <c r="D21" s="5" t="n">
        <f aca="false">'Votos por partido'!H21</f>
        <v>97514</v>
      </c>
      <c r="E21" s="5" t="n">
        <f aca="false">'Votos por partido'!R21</f>
        <v>492</v>
      </c>
      <c r="F21" s="5" t="n">
        <f aca="false">'Votos por partido'!S21</f>
        <v>21554</v>
      </c>
      <c r="G21" s="5" t="n">
        <f aca="false">'Votos por partido'!T21</f>
        <v>543729</v>
      </c>
      <c r="H21" s="5" t="n">
        <f aca="false">'Votos por partido'!U21</f>
        <v>952808</v>
      </c>
      <c r="I21" s="9" t="n">
        <f aca="false">G21/H21</f>
        <v>0.570659566250493</v>
      </c>
      <c r="J21" s="9" t="n">
        <f aca="false">B21/G21</f>
        <v>0.554140021959469</v>
      </c>
      <c r="K21" s="9" t="n">
        <f aca="false">C21/G21</f>
        <v>0.225971026007441</v>
      </c>
      <c r="L21" s="9" t="n">
        <f aca="false">D21/G21</f>
        <v>0.179343018305075</v>
      </c>
      <c r="M21" s="9" t="n">
        <f aca="false">F21/G21</f>
        <v>0.0396410711953933</v>
      </c>
      <c r="N21" s="4" t="str">
        <f aca="false">INDEX($B$3:$D$3,MATCH(MAX(B21:D21),B21:D21,0))</f>
        <v>Sigamos Haciendo Historia (PVEM-PT-Morena)</v>
      </c>
      <c r="O21" s="13" t="n">
        <f aca="false">(MAX(B21:D21)-LARGE(B21:D21,2))/G21*100</f>
        <v>32.8168995952028</v>
      </c>
      <c r="P21" s="4" t="s">
        <v>20</v>
      </c>
      <c r="Q21" s="9" t="n">
        <v>0.554140021959469</v>
      </c>
      <c r="R21" s="4" t="s">
        <v>22</v>
      </c>
      <c r="S21" s="9" t="n">
        <v>0.225971026007441</v>
      </c>
    </row>
    <row r="22" customFormat="false" ht="15" hidden="false" customHeight="false" outlineLevel="0" collapsed="false">
      <c r="A22" s="4" t="str">
        <f aca="false">'Votos por partido'!A22</f>
        <v>Nuevo León</v>
      </c>
      <c r="B22" s="5" t="n">
        <f aca="false">'Votos por partido'!F22+'Votos por partido'!G22+'Votos por partido'!I22+'Votos por partido'!N22+'Votos por partido'!O22+'Votos por partido'!P22+'Votos por partido'!Q22</f>
        <v>870050</v>
      </c>
      <c r="C22" s="5" t="n">
        <f aca="false">'Votos por partido'!C22+'Votos por partido'!D22+'Votos por partido'!E22+'Votos por partido'!J22+'Votos por partido'!K22+'Votos por partido'!L22+'Votos por partido'!M22</f>
        <v>810623</v>
      </c>
      <c r="D22" s="5" t="n">
        <f aca="false">'Votos por partido'!H22</f>
        <v>818838</v>
      </c>
      <c r="E22" s="5" t="n">
        <f aca="false">'Votos por partido'!R22</f>
        <v>1384</v>
      </c>
      <c r="F22" s="5" t="n">
        <f aca="false">'Votos por partido'!S22</f>
        <v>60330</v>
      </c>
      <c r="G22" s="5" t="n">
        <f aca="false">'Votos por partido'!T22</f>
        <v>2561225</v>
      </c>
      <c r="H22" s="5" t="n">
        <f aca="false">'Votos por partido'!U22</f>
        <v>4475131</v>
      </c>
      <c r="I22" s="9" t="n">
        <f aca="false">G22/H22</f>
        <v>0.572324028056385</v>
      </c>
      <c r="J22" s="9" t="n">
        <f aca="false">B22/G22</f>
        <v>0.339700729143281</v>
      </c>
      <c r="K22" s="9" t="n">
        <f aca="false">C22/G22</f>
        <v>0.316498160060128</v>
      </c>
      <c r="L22" s="9" t="n">
        <f aca="false">D22/G22</f>
        <v>0.319705609620397</v>
      </c>
      <c r="M22" s="9" t="n">
        <f aca="false">F22/G22</f>
        <v>0.0235551347499732</v>
      </c>
      <c r="N22" s="4" t="str">
        <f aca="false">INDEX($B$3:$D$3,MATCH(MAX(B22:D22),B22:D22,0))</f>
        <v>Sigamos Haciendo Historia (PVEM-PT-Morena)</v>
      </c>
      <c r="O22" s="13" t="n">
        <f aca="false">(MAX(B22:D22)-LARGE(B22:D22,2))/G22*100</f>
        <v>1.99951195228846</v>
      </c>
      <c r="P22" s="4" t="s">
        <v>20</v>
      </c>
      <c r="Q22" s="9" t="n">
        <v>0.339700729143281</v>
      </c>
      <c r="R22" s="4" t="s">
        <v>10</v>
      </c>
      <c r="S22" s="9" t="n">
        <v>0.319705609620397</v>
      </c>
    </row>
    <row r="23" customFormat="false" ht="15" hidden="false" customHeight="false" outlineLevel="0" collapsed="false">
      <c r="A23" s="4" t="str">
        <f aca="false">'Votos por partido'!A23</f>
        <v>Oaxaca</v>
      </c>
      <c r="B23" s="5" t="n">
        <f aca="false">'Votos por partido'!F23+'Votos por partido'!G23+'Votos por partido'!I23+'Votos por partido'!N23+'Votos por partido'!O23+'Votos por partido'!P23+'Votos por partido'!Q23</f>
        <v>1364716</v>
      </c>
      <c r="C23" s="5" t="n">
        <f aca="false">'Votos por partido'!C23+'Votos por partido'!D23+'Votos por partido'!E23+'Votos por partido'!J23+'Votos por partido'!K23+'Votos por partido'!L23+'Votos por partido'!M23</f>
        <v>284331</v>
      </c>
      <c r="D23" s="5" t="n">
        <f aca="false">'Votos por partido'!H23</f>
        <v>112010</v>
      </c>
      <c r="E23" s="5" t="n">
        <f aca="false">'Votos por partido'!R23</f>
        <v>1441</v>
      </c>
      <c r="F23" s="5" t="n">
        <f aca="false">'Votos por partido'!S23</f>
        <v>127231</v>
      </c>
      <c r="G23" s="5" t="n">
        <f aca="false">'Votos por partido'!T23</f>
        <v>1889729</v>
      </c>
      <c r="H23" s="5" t="n">
        <f aca="false">'Votos por partido'!U23</f>
        <v>3119594</v>
      </c>
      <c r="I23" s="9" t="n">
        <f aca="false">G23/H23</f>
        <v>0.605761198412358</v>
      </c>
      <c r="J23" s="9" t="n">
        <f aca="false">B23/G23</f>
        <v>0.722175507705073</v>
      </c>
      <c r="K23" s="9" t="n">
        <f aca="false">C23/G23</f>
        <v>0.150461256614044</v>
      </c>
      <c r="L23" s="9" t="n">
        <f aca="false">D23/G23</f>
        <v>0.0592730492044097</v>
      </c>
      <c r="M23" s="9" t="n">
        <f aca="false">F23/G23</f>
        <v>0.0673276432758348</v>
      </c>
      <c r="N23" s="4" t="str">
        <f aca="false">INDEX($B$3:$D$3,MATCH(MAX(B23:D23),B23:D23,0))</f>
        <v>Sigamos Haciendo Historia (PVEM-PT-Morena)</v>
      </c>
      <c r="O23" s="13" t="n">
        <f aca="false">(MAX(B23:D23)-LARGE(B23:D23,2))/G23*100</f>
        <v>57.171425109103</v>
      </c>
      <c r="P23" s="4" t="s">
        <v>21</v>
      </c>
      <c r="Q23" s="9" t="n">
        <v>0.478579203684761</v>
      </c>
      <c r="R23" s="4" t="s">
        <v>23</v>
      </c>
      <c r="S23" s="9" t="n">
        <v>0.128053281713939</v>
      </c>
    </row>
    <row r="24" customFormat="false" ht="15" hidden="false" customHeight="false" outlineLevel="0" collapsed="false">
      <c r="A24" s="4" t="str">
        <f aca="false">'Votos por partido'!A24</f>
        <v>Puebla</v>
      </c>
      <c r="B24" s="5" t="n">
        <f aca="false">'Votos por partido'!F24+'Votos por partido'!G24+'Votos por partido'!I24+'Votos por partido'!N24+'Votos por partido'!O24+'Votos por partido'!P24+'Votos por partido'!Q24</f>
        <v>1985272</v>
      </c>
      <c r="C24" s="5" t="n">
        <f aca="false">'Votos por partido'!C24+'Votos por partido'!D24+'Votos por partido'!E24+'Votos por partido'!J24+'Votos por partido'!K24+'Votos por partido'!L24+'Votos por partido'!M24</f>
        <v>870528</v>
      </c>
      <c r="D24" s="5" t="n">
        <f aca="false">'Votos por partido'!H24</f>
        <v>274448</v>
      </c>
      <c r="E24" s="5" t="n">
        <f aca="false">'Votos por partido'!R24</f>
        <v>2240</v>
      </c>
      <c r="F24" s="5" t="n">
        <f aca="false">'Votos por partido'!S24</f>
        <v>149189</v>
      </c>
      <c r="G24" s="5" t="n">
        <f aca="false">'Votos por partido'!T24</f>
        <v>3281677</v>
      </c>
      <c r="H24" s="5" t="n">
        <f aca="false">'Votos por partido'!U24</f>
        <v>4990849</v>
      </c>
      <c r="I24" s="9" t="n">
        <f aca="false">G24/H24</f>
        <v>0.657538827562204</v>
      </c>
      <c r="J24" s="9" t="n">
        <f aca="false">B24/G24</f>
        <v>0.60495655117795</v>
      </c>
      <c r="K24" s="9" t="n">
        <f aca="false">C24/G24</f>
        <v>0.265269251056701</v>
      </c>
      <c r="L24" s="9" t="n">
        <f aca="false">D24/G24</f>
        <v>0.0836304121337962</v>
      </c>
      <c r="M24" s="9" t="n">
        <f aca="false">F24/G24</f>
        <v>0.0454612077910166</v>
      </c>
      <c r="N24" s="4" t="str">
        <f aca="false">INDEX($B$3:$D$3,MATCH(MAX(B24:D24),B24:D24,0))</f>
        <v>Sigamos Haciendo Historia (PVEM-PT-Morena)</v>
      </c>
      <c r="O24" s="13" t="n">
        <f aca="false">(MAX(B24:D24)-LARGE(B24:D24,2))/G24*100</f>
        <v>33.9687300121249</v>
      </c>
      <c r="P24" s="4" t="s">
        <v>20</v>
      </c>
      <c r="Q24" s="9" t="n">
        <v>0.60495655117795</v>
      </c>
      <c r="R24" s="4" t="s">
        <v>22</v>
      </c>
      <c r="S24" s="9" t="n">
        <v>0.265269251056701</v>
      </c>
    </row>
    <row r="25" customFormat="false" ht="15" hidden="false" customHeight="false" outlineLevel="0" collapsed="false">
      <c r="A25" s="4" t="str">
        <f aca="false">'Votos por partido'!A25</f>
        <v>Querétaro</v>
      </c>
      <c r="B25" s="5" t="n">
        <f aca="false">'Votos por partido'!F25+'Votos por partido'!G25+'Votos por partido'!I25+'Votos por partido'!N25+'Votos por partido'!O25+'Votos por partido'!P25+'Votos por partido'!Q25</f>
        <v>532025</v>
      </c>
      <c r="C25" s="5" t="n">
        <f aca="false">'Votos por partido'!C25+'Votos por partido'!D25+'Votos por partido'!E25+'Votos por partido'!J25+'Votos por partido'!K25+'Votos por partido'!L25+'Votos por partido'!M25</f>
        <v>543799</v>
      </c>
      <c r="D25" s="5" t="n">
        <f aca="false">'Votos por partido'!H25</f>
        <v>77603</v>
      </c>
      <c r="E25" s="5" t="n">
        <f aca="false">'Votos por partido'!R25</f>
        <v>1071</v>
      </c>
      <c r="F25" s="5" t="n">
        <f aca="false">'Votos por partido'!S25</f>
        <v>61504</v>
      </c>
      <c r="G25" s="5" t="n">
        <f aca="false">'Votos por partido'!T25</f>
        <v>1216002</v>
      </c>
      <c r="H25" s="5" t="n">
        <f aca="false">'Votos por partido'!U25</f>
        <v>1904027</v>
      </c>
      <c r="I25" s="9" t="n">
        <f aca="false">G25/H25</f>
        <v>0.638647456154771</v>
      </c>
      <c r="J25" s="9" t="n">
        <f aca="false">B25/G25</f>
        <v>0.437519839605527</v>
      </c>
      <c r="K25" s="9" t="n">
        <f aca="false">C25/G25</f>
        <v>0.447202389469754</v>
      </c>
      <c r="L25" s="9" t="n">
        <f aca="false">D25/G25</f>
        <v>0.0638181516148822</v>
      </c>
      <c r="M25" s="9" t="n">
        <f aca="false">F25/G25</f>
        <v>0.0505788641794997</v>
      </c>
      <c r="N25" s="4" t="str">
        <f aca="false">INDEX($B$3:$D$3,MATCH(MAX(B25:D25),B25:D25,0))</f>
        <v>Fuerza y Corazón por México (PAN-PRI-PRD)</v>
      </c>
      <c r="O25" s="13" t="n">
        <f aca="false">(MAX(B25:D25)-LARGE(B25:D25,2))/G25*100</f>
        <v>0.96825498642272</v>
      </c>
      <c r="P25" s="4" t="s">
        <v>22</v>
      </c>
      <c r="Q25" s="9" t="n">
        <v>0.447202389469754</v>
      </c>
      <c r="R25" s="4" t="s">
        <v>21</v>
      </c>
      <c r="S25" s="9" t="n">
        <v>0.359484606110845</v>
      </c>
    </row>
    <row r="26" customFormat="false" ht="15" hidden="false" customHeight="false" outlineLevel="0" collapsed="false">
      <c r="A26" s="4" t="str">
        <f aca="false">'Votos por partido'!A26</f>
        <v>Quintana Roo</v>
      </c>
      <c r="B26" s="5" t="n">
        <f aca="false">'Votos por partido'!F26+'Votos por partido'!G26+'Votos por partido'!I26+'Votos por partido'!N26+'Votos por partido'!O26+'Votos por partido'!P26+'Votos por partido'!Q26</f>
        <v>561762</v>
      </c>
      <c r="C26" s="5" t="n">
        <f aca="false">'Votos por partido'!C26+'Votos por partido'!D26+'Votos por partido'!E26+'Votos por partido'!J26+'Votos por partido'!K26+'Votos por partido'!L26+'Votos por partido'!M26</f>
        <v>152553</v>
      </c>
      <c r="D26" s="5" t="n">
        <f aca="false">'Votos por partido'!H26</f>
        <v>83183</v>
      </c>
      <c r="E26" s="5" t="n">
        <f aca="false">'Votos por partido'!R26</f>
        <v>843</v>
      </c>
      <c r="F26" s="5" t="n">
        <f aca="false">'Votos por partido'!S26</f>
        <v>27920</v>
      </c>
      <c r="G26" s="5" t="n">
        <f aca="false">'Votos por partido'!T26</f>
        <v>826261</v>
      </c>
      <c r="H26" s="5" t="n">
        <f aca="false">'Votos por partido'!U26</f>
        <v>1461855</v>
      </c>
      <c r="I26" s="9" t="n">
        <f aca="false">G26/H26</f>
        <v>0.565214060218011</v>
      </c>
      <c r="J26" s="9" t="n">
        <f aca="false">B26/G26</f>
        <v>0.679884443293342</v>
      </c>
      <c r="K26" s="9" t="n">
        <f aca="false">C26/G26</f>
        <v>0.184630522316798</v>
      </c>
      <c r="L26" s="9" t="n">
        <f aca="false">D26/G26</f>
        <v>0.100674000104083</v>
      </c>
      <c r="M26" s="9" t="n">
        <f aca="false">F26/G26</f>
        <v>0.0337907755539715</v>
      </c>
      <c r="N26" s="4" t="str">
        <f aca="false">INDEX($B$3:$D$3,MATCH(MAX(B26:D26),B26:D26,0))</f>
        <v>Sigamos Haciendo Historia (PVEM-PT-Morena)</v>
      </c>
      <c r="O26" s="13" t="n">
        <f aca="false">(MAX(B26:D26)-LARGE(B26:D26,2))/G26*100</f>
        <v>49.5253920976544</v>
      </c>
      <c r="P26" s="4" t="s">
        <v>20</v>
      </c>
      <c r="Q26" s="9" t="n">
        <v>0.679884443293342</v>
      </c>
      <c r="R26" s="4" t="s">
        <v>22</v>
      </c>
      <c r="S26" s="9" t="n">
        <v>0.184630522316798</v>
      </c>
    </row>
    <row r="27" customFormat="false" ht="15" hidden="false" customHeight="false" outlineLevel="0" collapsed="false">
      <c r="A27" s="4" t="str">
        <f aca="false">'Votos por partido'!A27</f>
        <v>San Luis Potosí</v>
      </c>
      <c r="B27" s="5" t="n">
        <f aca="false">'Votos por partido'!F27+'Votos por partido'!G27+'Votos por partido'!I27+'Votos por partido'!N27+'Votos por partido'!O27+'Votos por partido'!P27+'Votos por partido'!Q27</f>
        <v>832522</v>
      </c>
      <c r="C27" s="5" t="n">
        <f aca="false">'Votos por partido'!C27+'Votos por partido'!D27+'Votos por partido'!E27+'Votos por partido'!J27+'Votos por partido'!K27+'Votos por partido'!L27+'Votos por partido'!M27</f>
        <v>340522</v>
      </c>
      <c r="D27" s="5" t="n">
        <f aca="false">'Votos por partido'!H27</f>
        <v>101286</v>
      </c>
      <c r="E27" s="5" t="n">
        <f aca="false">'Votos por partido'!R27</f>
        <v>1092</v>
      </c>
      <c r="F27" s="5" t="n">
        <f aca="false">'Votos por partido'!S27</f>
        <v>89281</v>
      </c>
      <c r="G27" s="5" t="n">
        <f aca="false">'Votos por partido'!T27</f>
        <v>1364703</v>
      </c>
      <c r="H27" s="5" t="n">
        <f aca="false">'Votos por partido'!U27</f>
        <v>2190293</v>
      </c>
      <c r="I27" s="9" t="n">
        <f aca="false">G27/H27</f>
        <v>0.623068694462339</v>
      </c>
      <c r="J27" s="9" t="n">
        <f aca="false">B27/G27</f>
        <v>0.61003896085815</v>
      </c>
      <c r="K27" s="9" t="n">
        <f aca="false">C27/G27</f>
        <v>0.249520958039954</v>
      </c>
      <c r="L27" s="9" t="n">
        <f aca="false">D27/G27</f>
        <v>0.0742183464094385</v>
      </c>
      <c r="M27" s="9" t="n">
        <f aca="false">F27/G27</f>
        <v>0.0654215605886409</v>
      </c>
      <c r="N27" s="4" t="str">
        <f aca="false">INDEX($B$3:$D$3,MATCH(MAX(B27:D27),B27:D27,0))</f>
        <v>Sigamos Haciendo Historia (PVEM-PT-Morena)</v>
      </c>
      <c r="O27" s="13" t="n">
        <f aca="false">(MAX(B27:D27)-LARGE(B27:D27,2))/G27*100</f>
        <v>36.0518002818196</v>
      </c>
      <c r="P27" s="4" t="s">
        <v>23</v>
      </c>
      <c r="Q27" s="9" t="n">
        <v>0.385949177220245</v>
      </c>
      <c r="R27" s="4" t="s">
        <v>22</v>
      </c>
      <c r="S27" s="9" t="n">
        <v>0.249520958039955</v>
      </c>
    </row>
    <row r="28" customFormat="false" ht="15" hidden="false" customHeight="false" outlineLevel="0" collapsed="false">
      <c r="A28" s="4" t="str">
        <f aca="false">'Votos por partido'!A28</f>
        <v>Sinaloa</v>
      </c>
      <c r="B28" s="5" t="n">
        <f aca="false">'Votos por partido'!F28+'Votos por partido'!G28+'Votos por partido'!I28+'Votos por partido'!N28+'Votos por partido'!O28+'Votos por partido'!P28+'Votos por partido'!Q28</f>
        <v>836514</v>
      </c>
      <c r="C28" s="5" t="n">
        <f aca="false">'Votos por partido'!C28+'Votos por partido'!D28+'Votos por partido'!E28+'Votos por partido'!J28+'Votos por partido'!K28+'Votos por partido'!L28+'Votos por partido'!M28</f>
        <v>335745</v>
      </c>
      <c r="D28" s="5" t="n">
        <f aca="false">'Votos por partido'!H28</f>
        <v>85853</v>
      </c>
      <c r="E28" s="5" t="n">
        <f aca="false">'Votos por partido'!R28</f>
        <v>652</v>
      </c>
      <c r="F28" s="5" t="n">
        <f aca="false">'Votos por partido'!S28</f>
        <v>71139</v>
      </c>
      <c r="G28" s="5" t="n">
        <f aca="false">'Votos por partido'!T28</f>
        <v>1329903</v>
      </c>
      <c r="H28" s="5" t="n">
        <f aca="false">'Votos por partido'!U28</f>
        <v>2364053</v>
      </c>
      <c r="I28" s="9" t="n">
        <f aca="false">G28/H28</f>
        <v>0.562552108603318</v>
      </c>
      <c r="J28" s="9" t="n">
        <f aca="false">B28/G28</f>
        <v>0.629003769447847</v>
      </c>
      <c r="K28" s="9" t="n">
        <f aca="false">C28/G28</f>
        <v>0.252458261993544</v>
      </c>
      <c r="L28" s="9" t="n">
        <f aca="false">D28/G28</f>
        <v>0.0645558360271388</v>
      </c>
      <c r="M28" s="9" t="n">
        <f aca="false">F28/G28</f>
        <v>0.0534918712116598</v>
      </c>
      <c r="N28" s="4" t="str">
        <f aca="false">INDEX($B$3:$D$3,MATCH(MAX(B28:D28),B28:D28,0))</f>
        <v>Sigamos Haciendo Historia (PVEM-PT-Morena)</v>
      </c>
      <c r="O28" s="13" t="n">
        <f aca="false">(MAX(B28:D28)-LARGE(B28:D28,2))/G28*100</f>
        <v>37.6545507454303</v>
      </c>
      <c r="P28" s="4" t="s">
        <v>21</v>
      </c>
      <c r="Q28" s="9" t="n">
        <v>0.490843317144183</v>
      </c>
      <c r="R28" s="4" t="s">
        <v>22</v>
      </c>
      <c r="S28" s="9" t="n">
        <v>0.252458261993544</v>
      </c>
    </row>
    <row r="29" customFormat="false" ht="15" hidden="false" customHeight="false" outlineLevel="0" collapsed="false">
      <c r="A29" s="4" t="str">
        <f aca="false">'Votos por partido'!A29</f>
        <v>Sonora</v>
      </c>
      <c r="B29" s="5" t="n">
        <f aca="false">'Votos por partido'!F29+'Votos por partido'!G29+'Votos por partido'!I29+'Votos por partido'!N29+'Votos por partido'!O29+'Votos por partido'!P29+'Votos por partido'!Q29</f>
        <v>672630</v>
      </c>
      <c r="C29" s="5" t="n">
        <f aca="false">'Votos por partido'!C29+'Votos por partido'!D29+'Votos por partido'!E29+'Votos por partido'!J29+'Votos por partido'!K29+'Votos por partido'!L29+'Votos por partido'!M29</f>
        <v>305963</v>
      </c>
      <c r="D29" s="5" t="n">
        <f aca="false">'Votos por partido'!H29</f>
        <v>127029</v>
      </c>
      <c r="E29" s="5" t="n">
        <f aca="false">'Votos por partido'!R29</f>
        <v>671</v>
      </c>
      <c r="F29" s="5" t="n">
        <f aca="false">'Votos por partido'!S29</f>
        <v>64112</v>
      </c>
      <c r="G29" s="5" t="n">
        <f aca="false">'Votos por partido'!T29</f>
        <v>1170405</v>
      </c>
      <c r="H29" s="5" t="n">
        <f aca="false">'Votos por partido'!U29</f>
        <v>2294040</v>
      </c>
      <c r="I29" s="9" t="n">
        <f aca="false">G29/H29</f>
        <v>0.510193806559607</v>
      </c>
      <c r="J29" s="9" t="n">
        <f aca="false">B29/G29</f>
        <v>0.574698501800659</v>
      </c>
      <c r="K29" s="9" t="n">
        <f aca="false">C29/G29</f>
        <v>0.261416347332761</v>
      </c>
      <c r="L29" s="9" t="n">
        <f aca="false">D29/G29</f>
        <v>0.108534225332257</v>
      </c>
      <c r="M29" s="9" t="n">
        <f aca="false">F29/G29</f>
        <v>0.0547776197128344</v>
      </c>
      <c r="N29" s="4" t="str">
        <f aca="false">INDEX($B$3:$D$3,MATCH(MAX(B29:D29),B29:D29,0))</f>
        <v>Sigamos Haciendo Historia (PVEM-PT-Morena)</v>
      </c>
      <c r="O29" s="13" t="n">
        <f aca="false">(MAX(B29:D29)-LARGE(B29:D29,2))/G29*100</f>
        <v>31.3282154467898</v>
      </c>
      <c r="P29" s="4" t="s">
        <v>21</v>
      </c>
      <c r="Q29" s="9" t="n">
        <v>0.438842110209714</v>
      </c>
      <c r="R29" s="4" t="s">
        <v>22</v>
      </c>
      <c r="S29" s="9" t="n">
        <v>0.261416347332761</v>
      </c>
    </row>
    <row r="30" customFormat="false" ht="15" hidden="false" customHeight="false" outlineLevel="0" collapsed="false">
      <c r="A30" s="4" t="str">
        <f aca="false">'Votos por partido'!A30</f>
        <v>Tabasco</v>
      </c>
      <c r="B30" s="5" t="n">
        <f aca="false">'Votos por partido'!F30+'Votos por partido'!G30+'Votos por partido'!I30+'Votos por partido'!N30+'Votos por partido'!O30+'Votos por partido'!P30+'Votos por partido'!Q30</f>
        <v>806164</v>
      </c>
      <c r="C30" s="5" t="n">
        <f aca="false">'Votos por partido'!C30+'Votos por partido'!D30+'Votos por partido'!E30+'Votos por partido'!J30+'Votos por partido'!K30+'Votos por partido'!L30+'Votos por partido'!M30</f>
        <v>152074</v>
      </c>
      <c r="D30" s="5" t="n">
        <f aca="false">'Votos por partido'!H30</f>
        <v>84537</v>
      </c>
      <c r="E30" s="5" t="n">
        <f aca="false">'Votos por partido'!R30</f>
        <v>683</v>
      </c>
      <c r="F30" s="5" t="n">
        <f aca="false">'Votos por partido'!S30</f>
        <v>69679</v>
      </c>
      <c r="G30" s="5" t="n">
        <f aca="false">'Votos por partido'!T30</f>
        <v>1113137</v>
      </c>
      <c r="H30" s="5" t="n">
        <f aca="false">'Votos por partido'!U30</f>
        <v>1812804</v>
      </c>
      <c r="I30" s="9" t="n">
        <f aca="false">G30/H30</f>
        <v>0.614041562132475</v>
      </c>
      <c r="J30" s="9" t="n">
        <f aca="false">B30/G30</f>
        <v>0.724227116698124</v>
      </c>
      <c r="K30" s="9" t="n">
        <f aca="false">C30/G30</f>
        <v>0.136617505302582</v>
      </c>
      <c r="L30" s="9" t="n">
        <f aca="false">D30/G30</f>
        <v>0.0759448297918405</v>
      </c>
      <c r="M30" s="9" t="n">
        <f aca="false">F30/G30</f>
        <v>0.0625969669501598</v>
      </c>
      <c r="N30" s="4" t="str">
        <f aca="false">INDEX($B$3:$D$3,MATCH(MAX(B30:D30),B30:D30,0))</f>
        <v>Sigamos Haciendo Historia (PVEM-PT-Morena)</v>
      </c>
      <c r="O30" s="13" t="n">
        <f aca="false">(MAX(B30:D30)-LARGE(B30:D30,2))/G30*100</f>
        <v>58.7609611395543</v>
      </c>
      <c r="P30" s="4" t="s">
        <v>21</v>
      </c>
      <c r="Q30" s="9" t="n">
        <v>0.596968746883807</v>
      </c>
      <c r="R30" s="4" t="s">
        <v>22</v>
      </c>
      <c r="S30" s="9" t="n">
        <v>0.136617505302582</v>
      </c>
    </row>
    <row r="31" customFormat="false" ht="15" hidden="false" customHeight="false" outlineLevel="0" collapsed="false">
      <c r="A31" s="4" t="str">
        <f aca="false">'Votos por partido'!A31</f>
        <v>Tamaulipas</v>
      </c>
      <c r="B31" s="5" t="n">
        <f aca="false">'Votos por partido'!F31+'Votos por partido'!G31+'Votos por partido'!I31+'Votos por partido'!N31+'Votos por partido'!O31+'Votos por partido'!P31+'Votos por partido'!Q31</f>
        <v>977218</v>
      </c>
      <c r="C31" s="5" t="n">
        <f aca="false">'Votos por partido'!C31+'Votos por partido'!D31+'Votos por partido'!E31+'Votos por partido'!J31+'Votos por partido'!K31+'Votos por partido'!L31+'Votos por partido'!M31</f>
        <v>456578</v>
      </c>
      <c r="D31" s="5" t="n">
        <f aca="false">'Votos por partido'!H31</f>
        <v>113027</v>
      </c>
      <c r="E31" s="5" t="n">
        <f aca="false">'Votos por partido'!R31</f>
        <v>910</v>
      </c>
      <c r="F31" s="5" t="n">
        <f aca="false">'Votos por partido'!S31</f>
        <v>78268</v>
      </c>
      <c r="G31" s="5" t="n">
        <f aca="false">'Votos por partido'!T31</f>
        <v>1626001</v>
      </c>
      <c r="H31" s="5" t="n">
        <f aca="false">'Votos por partido'!U31</f>
        <v>2853592</v>
      </c>
      <c r="I31" s="9" t="n">
        <f aca="false">G31/H31</f>
        <v>0.56980850801376</v>
      </c>
      <c r="J31" s="9" t="n">
        <f aca="false">B31/G31</f>
        <v>0.600994710335357</v>
      </c>
      <c r="K31" s="9" t="n">
        <f aca="false">C31/G31</f>
        <v>0.280798105290218</v>
      </c>
      <c r="L31" s="9" t="n">
        <f aca="false">D31/G31</f>
        <v>0.0695122573725354</v>
      </c>
      <c r="M31" s="9" t="n">
        <f aca="false">F31/G31</f>
        <v>0.0481352717495254</v>
      </c>
      <c r="N31" s="4" t="str">
        <f aca="false">INDEX($B$3:$D$3,MATCH(MAX(B31:D31),B31:D31,0))</f>
        <v>Sigamos Haciendo Historia (PVEM-PT-Morena)</v>
      </c>
      <c r="O31" s="13" t="n">
        <f aca="false">(MAX(B31:D31)-LARGE(B31:D31,2))/G31*100</f>
        <v>32.0196605045138</v>
      </c>
      <c r="P31" s="4" t="s">
        <v>21</v>
      </c>
      <c r="Q31" s="9" t="n">
        <v>0.456740801512422</v>
      </c>
      <c r="R31" s="4" t="s">
        <v>22</v>
      </c>
      <c r="S31" s="9" t="n">
        <v>0.280798105290218</v>
      </c>
    </row>
    <row r="32" customFormat="false" ht="15" hidden="false" customHeight="false" outlineLevel="0" collapsed="false">
      <c r="A32" s="4" t="str">
        <f aca="false">'Votos por partido'!A32</f>
        <v>Tlaxcala</v>
      </c>
      <c r="B32" s="5" t="n">
        <f aca="false">'Votos por partido'!F32+'Votos por partido'!G32+'Votos por partido'!I32+'Votos por partido'!N32+'Votos por partido'!O32+'Votos por partido'!P32+'Votos por partido'!Q32</f>
        <v>454498</v>
      </c>
      <c r="C32" s="5" t="n">
        <f aca="false">'Votos por partido'!C32+'Votos por partido'!D32+'Votos por partido'!E32+'Votos por partido'!J32+'Votos por partido'!K32+'Votos por partido'!L32+'Votos por partido'!M32</f>
        <v>158320</v>
      </c>
      <c r="D32" s="5" t="n">
        <f aca="false">'Votos por partido'!H32</f>
        <v>77904</v>
      </c>
      <c r="E32" s="5" t="n">
        <f aca="false">'Votos por partido'!R32</f>
        <v>436</v>
      </c>
      <c r="F32" s="5" t="n">
        <f aca="false">'Votos por partido'!S32</f>
        <v>48155</v>
      </c>
      <c r="G32" s="5" t="n">
        <f aca="false">'Votos por partido'!T32</f>
        <v>739313</v>
      </c>
      <c r="H32" s="5" t="n">
        <f aca="false">'Votos por partido'!U32</f>
        <v>1042685</v>
      </c>
      <c r="I32" s="9" t="n">
        <f aca="false">G32/H32</f>
        <v>0.709047315344519</v>
      </c>
      <c r="J32" s="9" t="n">
        <f aca="false">B32/G32</f>
        <v>0.614757213791723</v>
      </c>
      <c r="K32" s="9" t="n">
        <f aca="false">C32/G32</f>
        <v>0.214144753304757</v>
      </c>
      <c r="L32" s="9" t="n">
        <f aca="false">D32/G32</f>
        <v>0.105373502156732</v>
      </c>
      <c r="M32" s="9" t="n">
        <f aca="false">F32/G32</f>
        <v>0.0651347940588087</v>
      </c>
      <c r="N32" s="4" t="str">
        <f aca="false">INDEX($B$3:$D$3,MATCH(MAX(B32:D32),B32:D32,0))</f>
        <v>Sigamos Haciendo Historia (PVEM-PT-Morena)</v>
      </c>
      <c r="O32" s="13" t="n">
        <f aca="false">(MAX(B32:D32)-LARGE(B32:D32,2))/G32*100</f>
        <v>40.0612460486966</v>
      </c>
      <c r="P32" s="4" t="s">
        <v>21</v>
      </c>
      <c r="Q32" s="9" t="n">
        <v>0.404332129963899</v>
      </c>
      <c r="R32" s="4" t="s">
        <v>22</v>
      </c>
      <c r="S32" s="9" t="n">
        <v>0.214144753304757</v>
      </c>
    </row>
    <row r="33" customFormat="false" ht="15" hidden="false" customHeight="false" outlineLevel="0" collapsed="false">
      <c r="A33" s="4" t="str">
        <f aca="false">'Votos por partido'!A33</f>
        <v>Veracruz</v>
      </c>
      <c r="B33" s="5" t="n">
        <f aca="false">'Votos por partido'!F33+'Votos por partido'!G33+'Votos por partido'!I33+'Votos por partido'!N33+'Votos por partido'!O33+'Votos por partido'!P33+'Votos por partido'!Q33</f>
        <v>2229554</v>
      </c>
      <c r="C33" s="5" t="n">
        <f aca="false">'Votos por partido'!C33+'Votos por partido'!D33+'Votos por partido'!E33+'Votos por partido'!J33+'Votos por partido'!K33+'Votos por partido'!L33+'Votos por partido'!M33</f>
        <v>1054242</v>
      </c>
      <c r="D33" s="5" t="n">
        <f aca="false">'Votos por partido'!H33</f>
        <v>282822</v>
      </c>
      <c r="E33" s="5" t="n">
        <f aca="false">'Votos por partido'!R33</f>
        <v>1929</v>
      </c>
      <c r="F33" s="5" t="n">
        <f aca="false">'Votos por partido'!S33</f>
        <v>109977</v>
      </c>
      <c r="G33" s="5" t="n">
        <f aca="false">'Votos por partido'!T33</f>
        <v>3678524</v>
      </c>
      <c r="H33" s="5" t="n">
        <f aca="false">'Votos por partido'!U33</f>
        <v>6089181</v>
      </c>
      <c r="I33" s="9" t="n">
        <f aca="false">G33/H33</f>
        <v>0.604108171525859</v>
      </c>
      <c r="J33" s="9" t="n">
        <f aca="false">B33/G33</f>
        <v>0.606100164087553</v>
      </c>
      <c r="K33" s="9" t="n">
        <f aca="false">C33/G33</f>
        <v>0.286593753364121</v>
      </c>
      <c r="L33" s="9" t="n">
        <f aca="false">D33/G33</f>
        <v>0.0768846417747988</v>
      </c>
      <c r="M33" s="9" t="n">
        <f aca="false">F33/G33</f>
        <v>0.02989704566288</v>
      </c>
      <c r="N33" s="4" t="str">
        <f aca="false">INDEX($B$3:$D$3,MATCH(MAX(B33:D33),B33:D33,0))</f>
        <v>Sigamos Haciendo Historia (PVEM-PT-Morena)</v>
      </c>
      <c r="O33" s="13" t="n">
        <f aca="false">(MAX(B33:D33)-LARGE(B33:D33,2))/G33*100</f>
        <v>31.9506410723431</v>
      </c>
      <c r="P33" s="4" t="s">
        <v>20</v>
      </c>
      <c r="Q33" s="9" t="n">
        <v>0.606100164087553</v>
      </c>
      <c r="R33" s="4" t="s">
        <v>22</v>
      </c>
      <c r="S33" s="9" t="n">
        <v>0.286593753364121</v>
      </c>
    </row>
    <row r="34" customFormat="false" ht="15" hidden="false" customHeight="false" outlineLevel="0" collapsed="false">
      <c r="A34" s="4" t="str">
        <f aca="false">'Votos por partido'!A34</f>
        <v>Yucatán</v>
      </c>
      <c r="B34" s="5" t="n">
        <f aca="false">'Votos por partido'!F34+'Votos por partido'!G34+'Votos por partido'!I34+'Votos por partido'!N34+'Votos por partido'!O34+'Votos por partido'!P34+'Votos por partido'!Q34</f>
        <v>661714</v>
      </c>
      <c r="C34" s="5" t="n">
        <f aca="false">'Votos por partido'!C34+'Votos por partido'!D34+'Votos por partido'!E34+'Votos por partido'!J34+'Votos por partido'!K34+'Votos por partido'!L34+'Votos por partido'!M34</f>
        <v>511266</v>
      </c>
      <c r="D34" s="5" t="n">
        <f aca="false">'Votos por partido'!H34</f>
        <v>72043</v>
      </c>
      <c r="E34" s="5" t="n">
        <f aca="false">'Votos por partido'!R34</f>
        <v>605</v>
      </c>
      <c r="F34" s="5" t="n">
        <f aca="false">'Votos por partido'!S34</f>
        <v>37396</v>
      </c>
      <c r="G34" s="5" t="n">
        <f aca="false">'Votos por partido'!T34</f>
        <v>1283024</v>
      </c>
      <c r="H34" s="5" t="n">
        <f aca="false">'Votos por partido'!U34</f>
        <v>1768125</v>
      </c>
      <c r="I34" s="9" t="n">
        <f aca="false">G34/H34</f>
        <v>0.7256410038883</v>
      </c>
      <c r="J34" s="9" t="n">
        <f aca="false">B34/G34</f>
        <v>0.515745613488134</v>
      </c>
      <c r="K34" s="9" t="n">
        <f aca="false">C34/G34</f>
        <v>0.398485141353552</v>
      </c>
      <c r="L34" s="9" t="n">
        <f aca="false">D34/G34</f>
        <v>0.0561509371609572</v>
      </c>
      <c r="M34" s="9" t="n">
        <f aca="false">F34/G34</f>
        <v>0.0291467657658781</v>
      </c>
      <c r="N34" s="4" t="str">
        <f aca="false">INDEX($B$3:$D$3,MATCH(MAX(B34:D34),B34:D34,0))</f>
        <v>Sigamos Haciendo Historia (PVEM-PT-Morena)</v>
      </c>
      <c r="O34" s="13" t="n">
        <f aca="false">(MAX(B34:D34)-LARGE(B34:D34,2))/G34*100</f>
        <v>11.7260472134582</v>
      </c>
      <c r="P34" s="4" t="s">
        <v>20</v>
      </c>
      <c r="Q34" s="9" t="n">
        <v>0.515745613488134</v>
      </c>
      <c r="R34" s="4" t="s">
        <v>22</v>
      </c>
      <c r="S34" s="9" t="n">
        <v>0.398485141353552</v>
      </c>
    </row>
    <row r="35" customFormat="false" ht="15" hidden="false" customHeight="false" outlineLevel="0" collapsed="false">
      <c r="A35" s="4" t="str">
        <f aca="false">'Votos por partido'!A35</f>
        <v>Zacatecas</v>
      </c>
      <c r="B35" s="5" t="n">
        <f aca="false">'Votos por partido'!F35+'Votos por partido'!G35+'Votos por partido'!I35+'Votos por partido'!N35+'Votos por partido'!O35+'Votos por partido'!P35+'Votos por partido'!Q35</f>
        <v>357875</v>
      </c>
      <c r="C35" s="5" t="n">
        <f aca="false">'Votos por partido'!C35+'Votos por partido'!D35+'Votos por partido'!E35+'Votos por partido'!J35+'Votos por partido'!K35+'Votos por partido'!L35+'Votos por partido'!M35</f>
        <v>275236</v>
      </c>
      <c r="D35" s="5" t="n">
        <f aca="false">'Votos por partido'!H35</f>
        <v>105158</v>
      </c>
      <c r="E35" s="5" t="n">
        <f aca="false">'Votos por partido'!R35</f>
        <v>777</v>
      </c>
      <c r="F35" s="5" t="n">
        <f aca="false">'Votos por partido'!S35</f>
        <v>31550</v>
      </c>
      <c r="G35" s="5" t="n">
        <f aca="false">'Votos por partido'!T35</f>
        <v>770596</v>
      </c>
      <c r="H35" s="5" t="n">
        <f aca="false">'Votos por partido'!U35</f>
        <v>1270087</v>
      </c>
      <c r="I35" s="9" t="n">
        <f aca="false">G35/H35</f>
        <v>0.606726940752878</v>
      </c>
      <c r="J35" s="9" t="n">
        <f aca="false">B35/G35</f>
        <v>0.46441325934731</v>
      </c>
      <c r="K35" s="9" t="n">
        <f aca="false">C35/G35</f>
        <v>0.357172889555617</v>
      </c>
      <c r="L35" s="9" t="n">
        <f aca="false">D35/G35</f>
        <v>0.136463205103582</v>
      </c>
      <c r="M35" s="9" t="n">
        <f aca="false">F35/G35</f>
        <v>0.0409423355428785</v>
      </c>
      <c r="N35" s="4" t="str">
        <f aca="false">INDEX($B$3:$D$3,MATCH(MAX(B35:D35),B35:D35,0))</f>
        <v>Sigamos Haciendo Historia (PVEM-PT-Morena)</v>
      </c>
      <c r="O35" s="13" t="n">
        <f aca="false">(MAX(B35:D35)-LARGE(B35:D35,2))/G35*100</f>
        <v>10.7240369791694</v>
      </c>
      <c r="P35" s="4" t="s">
        <v>20</v>
      </c>
      <c r="Q35" s="9" t="n">
        <v>0.46441325934731</v>
      </c>
      <c r="R35" s="4" t="s">
        <v>22</v>
      </c>
      <c r="S35" s="9" t="n">
        <v>0.357172889555617</v>
      </c>
    </row>
    <row r="36" customFormat="false" ht="15" hidden="false" customHeight="false" outlineLevel="0" collapsed="false">
      <c r="A36" s="14" t="s">
        <v>50</v>
      </c>
      <c r="B36" s="15" t="n">
        <f aca="false">'Votos por partido'!F36+'Votos por partido'!G36+'Votos por partido'!I36+'Votos por partido'!N36+'Votos por partido'!O36+'Votos por partido'!P36+'Votos por partido'!Q36</f>
        <v>33057610</v>
      </c>
      <c r="C36" s="15" t="n">
        <f aca="false">'Votos por partido'!C36+'Votos por partido'!D36+'Votos por partido'!E36+'Votos por partido'!J36+'Votos por partido'!K36+'Votos por partido'!L36+'Votos por partido'!M36</f>
        <v>18000854</v>
      </c>
      <c r="D36" s="15" t="n">
        <f aca="false">'Votos por partido'!H36</f>
        <v>6528238</v>
      </c>
      <c r="E36" s="15" t="n">
        <f aca="false">'Votos por partido'!R36</f>
        <v>47092</v>
      </c>
      <c r="F36" s="15" t="n">
        <f aca="false">'Votos por partido'!S36</f>
        <v>2369932</v>
      </c>
      <c r="G36" s="15" t="n">
        <f aca="false">'Votos por partido'!T36</f>
        <v>60003726</v>
      </c>
      <c r="H36" s="15" t="n">
        <f aca="false">'Votos por partido'!U36</f>
        <v>98438250</v>
      </c>
      <c r="I36" s="16" t="n">
        <f aca="false">G36/H36</f>
        <v>0.609557016708444</v>
      </c>
      <c r="J36" s="16" t="n">
        <f aca="false">B36/G36</f>
        <v>0.550925954164913</v>
      </c>
      <c r="K36" s="16" t="n">
        <f aca="false">C36/G36</f>
        <v>0.299995603606349</v>
      </c>
      <c r="L36" s="16" t="n">
        <f aca="false">D36/G36</f>
        <v>0.108797210359903</v>
      </c>
      <c r="M36" s="16" t="n">
        <f aca="false">F36/G36</f>
        <v>0.039496413939361</v>
      </c>
      <c r="N36" s="14" t="str">
        <f aca="false">INDEX($B$3:$D$3,MATCH(MAX(B36:D36),B36:D36,0))</f>
        <v>Sigamos Haciendo Historia (PVEM-PT-Morena)</v>
      </c>
      <c r="O36" s="17" t="n">
        <f aca="false">(MAX(B36:D36)-LARGE(B36:D36,2))/G36*100</f>
        <v>25.0930350558564</v>
      </c>
      <c r="P36" s="14"/>
      <c r="Q36" s="16"/>
      <c r="R36" s="14"/>
      <c r="S36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5"/>
    <col collapsed="false" customWidth="true" hidden="false" outlineLevel="0" max="13" min="13" style="0" width="26"/>
    <col collapsed="false" customWidth="true" hidden="false" outlineLevel="0" max="14" min="14" style="0" width="15"/>
  </cols>
  <sheetData>
    <row r="1" customFormat="false" ht="16.15" hidden="false" customHeight="false" outlineLevel="0" collapsed="false">
      <c r="A1" s="12" t="s">
        <v>51</v>
      </c>
    </row>
    <row r="2" customFormat="false" ht="15" hidden="false" customHeight="false" outlineLevel="0" collapsed="false">
      <c r="A2" s="2" t="s">
        <v>52</v>
      </c>
    </row>
    <row r="3" customFormat="false" ht="48" hidden="false" customHeight="true" outlineLevel="0" collapsed="false">
      <c r="A3" s="3" t="s">
        <v>41</v>
      </c>
      <c r="B3" s="3" t="s">
        <v>53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42</v>
      </c>
      <c r="I3" s="3" t="s">
        <v>28</v>
      </c>
      <c r="J3" s="3" t="s">
        <v>29</v>
      </c>
      <c r="K3" s="3" t="s">
        <v>30</v>
      </c>
      <c r="L3" s="3" t="s">
        <v>43</v>
      </c>
      <c r="M3" s="3" t="s">
        <v>44</v>
      </c>
      <c r="N3" s="3" t="s">
        <v>45</v>
      </c>
    </row>
    <row r="4" customFormat="false" ht="15" hidden="false" customHeight="false" outlineLevel="0" collapsed="false">
      <c r="A4" s="4" t="s">
        <v>54</v>
      </c>
      <c r="B4" s="4" t="n">
        <v>1</v>
      </c>
      <c r="C4" s="5" t="n">
        <v>89755</v>
      </c>
      <c r="D4" s="5" t="n">
        <v>112632</v>
      </c>
      <c r="E4" s="5" t="n">
        <v>14108</v>
      </c>
      <c r="F4" s="5" t="n">
        <v>129</v>
      </c>
      <c r="G4" s="5" t="n">
        <v>7091</v>
      </c>
      <c r="H4" s="5" t="n">
        <v>223715</v>
      </c>
      <c r="I4" s="9" t="n">
        <f aca="false">IF(H4=0,0,C4/H4)</f>
        <v>0.401202422725343</v>
      </c>
      <c r="J4" s="9" t="n">
        <f aca="false">IF(H4=0,0,D4/H4)</f>
        <v>0.503461994054936</v>
      </c>
      <c r="K4" s="9" t="n">
        <f aca="false">IF(H4=0,0,E4/H4)</f>
        <v>0.0630623784726102</v>
      </c>
      <c r="L4" s="9" t="n">
        <f aca="false">IF(H4=0,0,G4/H4)</f>
        <v>0.0316965782357017</v>
      </c>
      <c r="M4" s="4" t="str">
        <f aca="false">INDEX($C$3:$E$3,MATCH(MAX(C4:E4),C4:E4,0))</f>
        <v>Fuerza y Corazón por México (PAN-PRI-PRD)</v>
      </c>
      <c r="N4" s="18" t="n">
        <f aca="false">IF(H4=0,0,(MAX(C4:E4)-LARGE(C4:E4,2))/H4*100)</f>
        <v>10.2259571329593</v>
      </c>
    </row>
    <row r="5" customFormat="false" ht="15" hidden="false" customHeight="false" outlineLevel="0" collapsed="false">
      <c r="A5" s="4" t="s">
        <v>54</v>
      </c>
      <c r="B5" s="4" t="n">
        <v>2</v>
      </c>
      <c r="C5" s="5" t="n">
        <v>79203</v>
      </c>
      <c r="D5" s="5" t="n">
        <v>95370</v>
      </c>
      <c r="E5" s="5" t="n">
        <v>14331</v>
      </c>
      <c r="F5" s="5" t="n">
        <v>171</v>
      </c>
      <c r="G5" s="5" t="n">
        <v>4749</v>
      </c>
      <c r="H5" s="5" t="n">
        <v>193824</v>
      </c>
      <c r="I5" s="9" t="n">
        <f aca="false">IF(H5=0,0,C5/H5)</f>
        <v>0.408633605745419</v>
      </c>
      <c r="J5" s="9" t="n">
        <f aca="false">IF(H5=0,0,D5/H5)</f>
        <v>0.492044328875681</v>
      </c>
      <c r="K5" s="9" t="n">
        <f aca="false">IF(H5=0,0,E5/H5)</f>
        <v>0.0739382119861318</v>
      </c>
      <c r="L5" s="9" t="n">
        <f aca="false">IF(H5=0,0,G5/H5)</f>
        <v>0.0245016097077761</v>
      </c>
      <c r="M5" s="4" t="str">
        <f aca="false">INDEX($C$3:$E$3,MATCH(MAX(C5:E5),C5:E5,0))</f>
        <v>Fuerza y Corazón por México (PAN-PRI-PRD)</v>
      </c>
      <c r="N5" s="18" t="n">
        <f aca="false">IF(H5=0,0,(MAX(C5:E5)-LARGE(C5:E5,2))/H5*100)</f>
        <v>8.34107231302625</v>
      </c>
    </row>
    <row r="6" customFormat="false" ht="15" hidden="false" customHeight="false" outlineLevel="0" collapsed="false">
      <c r="A6" s="4" t="s">
        <v>54</v>
      </c>
      <c r="B6" s="4" t="n">
        <v>3</v>
      </c>
      <c r="C6" s="5" t="n">
        <v>76993</v>
      </c>
      <c r="D6" s="5" t="n">
        <v>146287</v>
      </c>
      <c r="E6" s="5" t="n">
        <v>16167</v>
      </c>
      <c r="F6" s="5" t="n">
        <v>201</v>
      </c>
      <c r="G6" s="5" t="n">
        <v>5199</v>
      </c>
      <c r="H6" s="5" t="n">
        <v>244847</v>
      </c>
      <c r="I6" s="9" t="n">
        <f aca="false">IF(H6=0,0,C6/H6)</f>
        <v>0.314453515869094</v>
      </c>
      <c r="J6" s="9" t="n">
        <f aca="false">IF(H6=0,0,D6/H6)</f>
        <v>0.597462905406233</v>
      </c>
      <c r="K6" s="9" t="n">
        <f aca="false">IF(H6=0,0,E6/H6)</f>
        <v>0.0660289895322385</v>
      </c>
      <c r="L6" s="9" t="n">
        <f aca="false">IF(H6=0,0,G6/H6)</f>
        <v>0.0212336683724938</v>
      </c>
      <c r="M6" s="4" t="str">
        <f aca="false">INDEX($C$3:$E$3,MATCH(MAX(C6:E6),C6:E6,0))</f>
        <v>Fuerza y Corazón por México (PAN-PRI-PRD)</v>
      </c>
      <c r="N6" s="18" t="n">
        <f aca="false">IF(H6=0,0,(MAX(C6:E6)-LARGE(C6:E6,2))/H6*100)</f>
        <v>28.300938953714</v>
      </c>
    </row>
    <row r="7" customFormat="false" ht="15" hidden="false" customHeight="false" outlineLevel="0" collapsed="false">
      <c r="A7" s="4" t="s">
        <v>55</v>
      </c>
      <c r="B7" s="4" t="n">
        <v>1</v>
      </c>
      <c r="C7" s="5" t="n">
        <v>89666</v>
      </c>
      <c r="D7" s="5" t="n">
        <v>60213</v>
      </c>
      <c r="E7" s="5" t="n">
        <v>12427</v>
      </c>
      <c r="F7" s="5" t="n">
        <v>186</v>
      </c>
      <c r="G7" s="5" t="n">
        <v>7284</v>
      </c>
      <c r="H7" s="5" t="n">
        <v>169776</v>
      </c>
      <c r="I7" s="9" t="n">
        <f aca="false">IF(H7=0,0,C7/H7)</f>
        <v>0.528142964847799</v>
      </c>
      <c r="J7" s="9" t="n">
        <f aca="false">IF(H7=0,0,D7/H7)</f>
        <v>0.354661436245406</v>
      </c>
      <c r="K7" s="9" t="n">
        <f aca="false">IF(H7=0,0,E7/H7)</f>
        <v>0.0731964470832155</v>
      </c>
      <c r="L7" s="9" t="n">
        <f aca="false">IF(H7=0,0,G7/H7)</f>
        <v>0.0429035906135143</v>
      </c>
      <c r="M7" s="4" t="str">
        <f aca="false">INDEX($C$3:$E$3,MATCH(MAX(C7:E7),C7:E7,0))</f>
        <v>Sigamos Haciendo Historia (PVEM-PT-Morena)</v>
      </c>
      <c r="N7" s="18" t="n">
        <f aca="false">IF(H7=0,0,(MAX(C7:E7)-LARGE(C7:E7,2))/H7*100)</f>
        <v>17.3481528602394</v>
      </c>
    </row>
    <row r="8" customFormat="false" ht="15" hidden="false" customHeight="false" outlineLevel="0" collapsed="false">
      <c r="A8" s="4" t="s">
        <v>55</v>
      </c>
      <c r="B8" s="4" t="n">
        <v>2</v>
      </c>
      <c r="C8" s="5" t="n">
        <v>98728</v>
      </c>
      <c r="D8" s="5" t="n">
        <v>49142</v>
      </c>
      <c r="E8" s="5" t="n">
        <v>12071</v>
      </c>
      <c r="F8" s="5" t="n">
        <v>100</v>
      </c>
      <c r="G8" s="5" t="n">
        <v>8114</v>
      </c>
      <c r="H8" s="5" t="n">
        <v>168155</v>
      </c>
      <c r="I8" s="9" t="n">
        <f aca="false">IF(H8=0,0,C8/H8)</f>
        <v>0.587124973982338</v>
      </c>
      <c r="J8" s="9" t="n">
        <f aca="false">IF(H8=0,0,D8/H8)</f>
        <v>0.292242276471113</v>
      </c>
      <c r="K8" s="9" t="n">
        <f aca="false">IF(H8=0,0,E8/H8)</f>
        <v>0.071784960304481</v>
      </c>
      <c r="L8" s="9" t="n">
        <f aca="false">IF(H8=0,0,G8/H8)</f>
        <v>0.0482530998186197</v>
      </c>
      <c r="M8" s="4" t="str">
        <f aca="false">INDEX($C$3:$E$3,MATCH(MAX(C8:E8),C8:E8,0))</f>
        <v>Sigamos Haciendo Historia (PVEM-PT-Morena)</v>
      </c>
      <c r="N8" s="18" t="n">
        <f aca="false">IF(H8=0,0,(MAX(C8:E8)-LARGE(C8:E8,2))/H8*100)</f>
        <v>29.4882697511225</v>
      </c>
    </row>
    <row r="9" customFormat="false" ht="15" hidden="false" customHeight="false" outlineLevel="0" collapsed="false">
      <c r="A9" s="4" t="s">
        <v>55</v>
      </c>
      <c r="B9" s="4" t="n">
        <v>3</v>
      </c>
      <c r="C9" s="5" t="n">
        <v>108510</v>
      </c>
      <c r="D9" s="5" t="n">
        <v>35955</v>
      </c>
      <c r="E9" s="5" t="n">
        <v>15058</v>
      </c>
      <c r="F9" s="5" t="n">
        <v>360</v>
      </c>
      <c r="G9" s="5" t="n">
        <v>11034</v>
      </c>
      <c r="H9" s="5" t="n">
        <v>170917</v>
      </c>
      <c r="I9" s="9" t="n">
        <f aca="false">IF(H9=0,0,C9/H9)</f>
        <v>0.634869556568393</v>
      </c>
      <c r="J9" s="9" t="n">
        <f aca="false">IF(H9=0,0,D9/H9)</f>
        <v>0.210365265011672</v>
      </c>
      <c r="K9" s="9" t="n">
        <f aca="false">IF(H9=0,0,E9/H9)</f>
        <v>0.0881012421233698</v>
      </c>
      <c r="L9" s="9" t="n">
        <f aca="false">IF(H9=0,0,G9/H9)</f>
        <v>0.0645576507895645</v>
      </c>
      <c r="M9" s="4" t="str">
        <f aca="false">INDEX($C$3:$E$3,MATCH(MAX(C9:E9),C9:E9,0))</f>
        <v>Sigamos Haciendo Historia (PVEM-PT-Morena)</v>
      </c>
      <c r="N9" s="18" t="n">
        <f aca="false">IF(H9=0,0,(MAX(C9:E9)-LARGE(C9:E9,2))/H9*100)</f>
        <v>42.4504291556721</v>
      </c>
    </row>
    <row r="10" customFormat="false" ht="15" hidden="false" customHeight="false" outlineLevel="0" collapsed="false">
      <c r="A10" s="4" t="s">
        <v>55</v>
      </c>
      <c r="B10" s="4" t="n">
        <v>4</v>
      </c>
      <c r="C10" s="5" t="n">
        <v>136956</v>
      </c>
      <c r="D10" s="5" t="n">
        <v>14177</v>
      </c>
      <c r="E10" s="5" t="n">
        <v>14085</v>
      </c>
      <c r="F10" s="5" t="n">
        <v>146</v>
      </c>
      <c r="G10" s="5" t="n">
        <v>9819</v>
      </c>
      <c r="H10" s="5" t="n">
        <v>175183</v>
      </c>
      <c r="I10" s="9" t="n">
        <f aca="false">IF(H10=0,0,C10/H10)</f>
        <v>0.781788187209946</v>
      </c>
      <c r="J10" s="9" t="n">
        <f aca="false">IF(H10=0,0,D10/H10)</f>
        <v>0.08092680225821</v>
      </c>
      <c r="K10" s="9" t="n">
        <f aca="false">IF(H10=0,0,E10/H10)</f>
        <v>0.0804016371451568</v>
      </c>
      <c r="L10" s="9" t="n">
        <f aca="false">IF(H10=0,0,G10/H10)</f>
        <v>0.0560499591855374</v>
      </c>
      <c r="M10" s="4" t="str">
        <f aca="false">INDEX($C$3:$E$3,MATCH(MAX(C10:E10),C10:E10,0))</f>
        <v>Sigamos Haciendo Historia (PVEM-PT-Morena)</v>
      </c>
      <c r="N10" s="18" t="n">
        <f aca="false">IF(H10=0,0,(MAX(C10:E10)-LARGE(C10:E10,2))/H10*100)</f>
        <v>70.0861384951736</v>
      </c>
    </row>
    <row r="11" customFormat="false" ht="15" hidden="false" customHeight="false" outlineLevel="0" collapsed="false">
      <c r="A11" s="4" t="s">
        <v>55</v>
      </c>
      <c r="B11" s="4" t="n">
        <v>5</v>
      </c>
      <c r="C11" s="5" t="n">
        <v>125645</v>
      </c>
      <c r="D11" s="5" t="n">
        <v>47493</v>
      </c>
      <c r="E11" s="5" t="n">
        <v>18952</v>
      </c>
      <c r="F11" s="5" t="n">
        <v>227</v>
      </c>
      <c r="G11" s="5" t="n">
        <v>9880</v>
      </c>
      <c r="H11" s="5" t="n">
        <v>202197</v>
      </c>
      <c r="I11" s="9" t="n">
        <f aca="false">IF(H11=0,0,C11/H11)</f>
        <v>0.621398932724027</v>
      </c>
      <c r="J11" s="9" t="n">
        <f aca="false">IF(H11=0,0,D11/H11)</f>
        <v>0.234884790575528</v>
      </c>
      <c r="K11" s="9" t="n">
        <f aca="false">IF(H11=0,0,E11/H11)</f>
        <v>0.0937303718650623</v>
      </c>
      <c r="L11" s="9" t="n">
        <f aca="false">IF(H11=0,0,G11/H11)</f>
        <v>0.0488632373378438</v>
      </c>
      <c r="M11" s="4" t="str">
        <f aca="false">INDEX($C$3:$E$3,MATCH(MAX(C11:E11),C11:E11,0))</f>
        <v>Sigamos Haciendo Historia (PVEM-PT-Morena)</v>
      </c>
      <c r="N11" s="18" t="n">
        <f aca="false">IF(H11=0,0,(MAX(C11:E11)-LARGE(C11:E11,2))/H11*100)</f>
        <v>38.6514142148499</v>
      </c>
    </row>
    <row r="12" customFormat="false" ht="15" hidden="false" customHeight="false" outlineLevel="0" collapsed="false">
      <c r="A12" s="4" t="s">
        <v>55</v>
      </c>
      <c r="B12" s="4" t="n">
        <v>6</v>
      </c>
      <c r="C12" s="5" t="n">
        <v>122530</v>
      </c>
      <c r="D12" s="5" t="n">
        <v>37485</v>
      </c>
      <c r="E12" s="5" t="n">
        <v>17608</v>
      </c>
      <c r="F12" s="5" t="n">
        <v>170</v>
      </c>
      <c r="G12" s="5" t="n">
        <v>9735</v>
      </c>
      <c r="H12" s="5" t="n">
        <v>187528</v>
      </c>
      <c r="I12" s="9" t="n">
        <f aca="false">IF(H12=0,0,C12/H12)</f>
        <v>0.653395759566571</v>
      </c>
      <c r="J12" s="9" t="n">
        <f aca="false">IF(H12=0,0,D12/H12)</f>
        <v>0.199890149737639</v>
      </c>
      <c r="K12" s="9" t="n">
        <f aca="false">IF(H12=0,0,E12/H12)</f>
        <v>0.0938953116334627</v>
      </c>
      <c r="L12" s="9" t="n">
        <f aca="false">IF(H12=0,0,G12/H12)</f>
        <v>0.0519122477709995</v>
      </c>
      <c r="M12" s="4" t="str">
        <f aca="false">INDEX($C$3:$E$3,MATCH(MAX(C12:E12),C12:E12,0))</f>
        <v>Sigamos Haciendo Historia (PVEM-PT-Morena)</v>
      </c>
      <c r="N12" s="18" t="n">
        <f aca="false">IF(H12=0,0,(MAX(C12:E12)-LARGE(C12:E12,2))/H12*100)</f>
        <v>45.3505609828932</v>
      </c>
    </row>
    <row r="13" customFormat="false" ht="15" hidden="false" customHeight="false" outlineLevel="0" collapsed="false">
      <c r="A13" s="4" t="s">
        <v>55</v>
      </c>
      <c r="B13" s="4" t="n">
        <v>7</v>
      </c>
      <c r="C13" s="5" t="n">
        <v>100413</v>
      </c>
      <c r="D13" s="5" t="n">
        <v>32655</v>
      </c>
      <c r="E13" s="5" t="n">
        <v>12497</v>
      </c>
      <c r="F13" s="5" t="n">
        <v>194</v>
      </c>
      <c r="G13" s="5" t="n">
        <v>9661</v>
      </c>
      <c r="H13" s="5" t="n">
        <v>155420</v>
      </c>
      <c r="I13" s="9" t="n">
        <f aca="false">IF(H13=0,0,C13/H13)</f>
        <v>0.646075151203191</v>
      </c>
      <c r="J13" s="9" t="n">
        <f aca="false">IF(H13=0,0,D13/H13)</f>
        <v>0.210108094196371</v>
      </c>
      <c r="K13" s="9" t="n">
        <f aca="false">IF(H13=0,0,E13/H13)</f>
        <v>0.0804079269077339</v>
      </c>
      <c r="L13" s="9" t="n">
        <f aca="false">IF(H13=0,0,G13/H13)</f>
        <v>0.0621605970917514</v>
      </c>
      <c r="M13" s="4" t="str">
        <f aca="false">INDEX($C$3:$E$3,MATCH(MAX(C13:E13),C13:E13,0))</f>
        <v>Sigamos Haciendo Historia (PVEM-PT-Morena)</v>
      </c>
      <c r="N13" s="18" t="n">
        <f aca="false">IF(H13=0,0,(MAX(C13:E13)-LARGE(C13:E13,2))/H13*100)</f>
        <v>43.596705700682</v>
      </c>
    </row>
    <row r="14" customFormat="false" ht="15" hidden="false" customHeight="false" outlineLevel="0" collapsed="false">
      <c r="A14" s="4" t="s">
        <v>55</v>
      </c>
      <c r="B14" s="4" t="n">
        <v>8</v>
      </c>
      <c r="C14" s="5" t="n">
        <v>124210</v>
      </c>
      <c r="D14" s="5" t="n">
        <v>20274</v>
      </c>
      <c r="E14" s="5" t="n">
        <v>13390</v>
      </c>
      <c r="F14" s="5" t="n">
        <v>144</v>
      </c>
      <c r="G14" s="5" t="n">
        <v>9469</v>
      </c>
      <c r="H14" s="5" t="n">
        <v>167487</v>
      </c>
      <c r="I14" s="9" t="n">
        <f aca="false">IF(H14=0,0,C14/H14)</f>
        <v>0.741609796581227</v>
      </c>
      <c r="J14" s="9" t="n">
        <f aca="false">IF(H14=0,0,D14/H14)</f>
        <v>0.12104820075588</v>
      </c>
      <c r="K14" s="9" t="n">
        <f aca="false">IF(H14=0,0,E14/H14)</f>
        <v>0.0799465033107047</v>
      </c>
      <c r="L14" s="9" t="n">
        <f aca="false">IF(H14=0,0,G14/H14)</f>
        <v>0.0565357311313714</v>
      </c>
      <c r="M14" s="4" t="str">
        <f aca="false">INDEX($C$3:$E$3,MATCH(MAX(C14:E14),C14:E14,0))</f>
        <v>Sigamos Haciendo Historia (PVEM-PT-Morena)</v>
      </c>
      <c r="N14" s="18" t="n">
        <f aca="false">IF(H14=0,0,(MAX(C14:E14)-LARGE(C14:E14,2))/H14*100)</f>
        <v>62.0561595825348</v>
      </c>
    </row>
    <row r="15" customFormat="false" ht="15" hidden="false" customHeight="false" outlineLevel="0" collapsed="false">
      <c r="A15" s="4" t="s">
        <v>55</v>
      </c>
      <c r="B15" s="4" t="n">
        <v>9</v>
      </c>
      <c r="C15" s="5" t="n">
        <v>114485</v>
      </c>
      <c r="D15" s="5" t="n">
        <v>20952</v>
      </c>
      <c r="E15" s="5" t="n">
        <v>12959</v>
      </c>
      <c r="F15" s="5" t="n">
        <v>156</v>
      </c>
      <c r="G15" s="5" t="n">
        <v>9288</v>
      </c>
      <c r="H15" s="5" t="n">
        <v>157840</v>
      </c>
      <c r="I15" s="9" t="n">
        <f aca="false">IF(H15=0,0,C15/H15)</f>
        <v>0.725323112012164</v>
      </c>
      <c r="J15" s="9" t="n">
        <f aca="false">IF(H15=0,0,D15/H15)</f>
        <v>0.132742017232641</v>
      </c>
      <c r="K15" s="9" t="n">
        <f aca="false">IF(H15=0,0,E15/H15)</f>
        <v>0.0821021287379625</v>
      </c>
      <c r="L15" s="9" t="n">
        <f aca="false">IF(H15=0,0,G15/H15)</f>
        <v>0.0588443993917892</v>
      </c>
      <c r="M15" s="4" t="str">
        <f aca="false">INDEX($C$3:$E$3,MATCH(MAX(C15:E15),C15:E15,0))</f>
        <v>Sigamos Haciendo Historia (PVEM-PT-Morena)</v>
      </c>
      <c r="N15" s="18" t="n">
        <f aca="false">IF(H15=0,0,(MAX(C15:E15)-LARGE(C15:E15,2))/H15*100)</f>
        <v>59.2581094779524</v>
      </c>
    </row>
    <row r="16" customFormat="false" ht="15" hidden="false" customHeight="false" outlineLevel="0" collapsed="false">
      <c r="A16" s="4" t="s">
        <v>56</v>
      </c>
      <c r="B16" s="4" t="n">
        <v>1</v>
      </c>
      <c r="C16" s="5" t="n">
        <v>105234</v>
      </c>
      <c r="D16" s="5" t="n">
        <v>71337</v>
      </c>
      <c r="E16" s="5" t="n">
        <v>18464</v>
      </c>
      <c r="F16" s="5" t="n">
        <v>161</v>
      </c>
      <c r="G16" s="5" t="n">
        <v>6017</v>
      </c>
      <c r="H16" s="5" t="n">
        <v>201213</v>
      </c>
      <c r="I16" s="9" t="n">
        <f aca="false">IF(H16=0,0,C16/H16)</f>
        <v>0.522998017026733</v>
      </c>
      <c r="J16" s="9" t="n">
        <f aca="false">IF(H16=0,0,D16/H16)</f>
        <v>0.354534746760895</v>
      </c>
      <c r="K16" s="9" t="n">
        <f aca="false">IF(H16=0,0,E16/H16)</f>
        <v>0.0917634546475625</v>
      </c>
      <c r="L16" s="9" t="n">
        <f aca="false">IF(H16=0,0,G16/H16)</f>
        <v>0.0299036344570182</v>
      </c>
      <c r="M16" s="4" t="str">
        <f aca="false">INDEX($C$3:$E$3,MATCH(MAX(C16:E16),C16:E16,0))</f>
        <v>Sigamos Haciendo Historia (PVEM-PT-Morena)</v>
      </c>
      <c r="N16" s="18" t="n">
        <f aca="false">IF(H16=0,0,(MAX(C16:E16)-LARGE(C16:E16,2))/H16*100)</f>
        <v>16.8463270265838</v>
      </c>
    </row>
    <row r="17" customFormat="false" ht="15" hidden="false" customHeight="false" outlineLevel="0" collapsed="false">
      <c r="A17" s="4" t="s">
        <v>56</v>
      </c>
      <c r="B17" s="4" t="n">
        <v>2</v>
      </c>
      <c r="C17" s="5" t="n">
        <v>77790</v>
      </c>
      <c r="D17" s="5" t="n">
        <v>46036</v>
      </c>
      <c r="E17" s="5" t="n">
        <v>10123</v>
      </c>
      <c r="F17" s="5" t="n">
        <v>119</v>
      </c>
      <c r="G17" s="5" t="n">
        <v>5058</v>
      </c>
      <c r="H17" s="5" t="n">
        <v>139126</v>
      </c>
      <c r="I17" s="9" t="n">
        <f aca="false">IF(H17=0,0,C17/H17)</f>
        <v>0.559133447378635</v>
      </c>
      <c r="J17" s="9" t="n">
        <f aca="false">IF(H17=0,0,D17/H17)</f>
        <v>0.330894297255725</v>
      </c>
      <c r="K17" s="9" t="n">
        <f aca="false">IF(H17=0,0,E17/H17)</f>
        <v>0.0727613817690439</v>
      </c>
      <c r="L17" s="9" t="n">
        <f aca="false">IF(H17=0,0,G17/H17)</f>
        <v>0.0363555338326409</v>
      </c>
      <c r="M17" s="4" t="str">
        <f aca="false">INDEX($C$3:$E$3,MATCH(MAX(C17:E17),C17:E17,0))</f>
        <v>Sigamos Haciendo Historia (PVEM-PT-Morena)</v>
      </c>
      <c r="N17" s="18" t="n">
        <f aca="false">IF(H17=0,0,(MAX(C17:E17)-LARGE(C17:E17,2))/H17*100)</f>
        <v>22.823915012291</v>
      </c>
    </row>
    <row r="18" customFormat="false" ht="15" hidden="false" customHeight="false" outlineLevel="0" collapsed="false">
      <c r="A18" s="4" t="s">
        <v>57</v>
      </c>
      <c r="B18" s="4" t="n">
        <v>1</v>
      </c>
      <c r="C18" s="5" t="n">
        <v>97597</v>
      </c>
      <c r="D18" s="5" t="n">
        <v>42983</v>
      </c>
      <c r="E18" s="5" t="n">
        <v>95290</v>
      </c>
      <c r="F18" s="5" t="n">
        <v>124</v>
      </c>
      <c r="G18" s="5" t="n">
        <v>6524</v>
      </c>
      <c r="H18" s="5" t="n">
        <v>242518</v>
      </c>
      <c r="I18" s="9" t="n">
        <f aca="false">IF(H18=0,0,C18/H18)</f>
        <v>0.402431984430022</v>
      </c>
      <c r="J18" s="9" t="n">
        <f aca="false">IF(H18=0,0,D18/H18)</f>
        <v>0.177236328849817</v>
      </c>
      <c r="K18" s="9" t="n">
        <f aca="false">IF(H18=0,0,E18/H18)</f>
        <v>0.392919288465186</v>
      </c>
      <c r="L18" s="9" t="n">
        <f aca="false">IF(H18=0,0,G18/H18)</f>
        <v>0.0269010960011216</v>
      </c>
      <c r="M18" s="4" t="str">
        <f aca="false">INDEX($C$3:$E$3,MATCH(MAX(C18:E18),C18:E18,0))</f>
        <v>Sigamos Haciendo Historia (PVEM-PT-Morena)</v>
      </c>
      <c r="N18" s="18" t="n">
        <f aca="false">IF(H18=0,0,(MAX(C18:E18)-LARGE(C18:E18,2))/H18*100)</f>
        <v>0.95126959648356</v>
      </c>
    </row>
    <row r="19" customFormat="false" ht="15" hidden="false" customHeight="false" outlineLevel="0" collapsed="false">
      <c r="A19" s="4" t="s">
        <v>57</v>
      </c>
      <c r="B19" s="4" t="n">
        <v>2</v>
      </c>
      <c r="C19" s="5" t="n">
        <v>121352</v>
      </c>
      <c r="D19" s="5" t="n">
        <v>22728</v>
      </c>
      <c r="E19" s="5" t="n">
        <v>57143</v>
      </c>
      <c r="F19" s="5" t="n">
        <v>111</v>
      </c>
      <c r="G19" s="5" t="n">
        <v>6469</v>
      </c>
      <c r="H19" s="5" t="n">
        <v>207803</v>
      </c>
      <c r="I19" s="9" t="n">
        <f aca="false">IF(H19=0,0,C19/H19)</f>
        <v>0.583976169737684</v>
      </c>
      <c r="J19" s="9" t="n">
        <f aca="false">IF(H19=0,0,D19/H19)</f>
        <v>0.10937281944919</v>
      </c>
      <c r="K19" s="9" t="n">
        <f aca="false">IF(H19=0,0,E19/H19)</f>
        <v>0.27498640539357</v>
      </c>
      <c r="L19" s="9" t="n">
        <f aca="false">IF(H19=0,0,G19/H19)</f>
        <v>0.0311304456624784</v>
      </c>
      <c r="M19" s="4" t="str">
        <f aca="false">INDEX($C$3:$E$3,MATCH(MAX(C19:E19),C19:E19,0))</f>
        <v>Sigamos Haciendo Historia (PVEM-PT-Morena)</v>
      </c>
      <c r="N19" s="18" t="n">
        <f aca="false">IF(H19=0,0,(MAX(C19:E19)-LARGE(C19:E19,2))/H19*100)</f>
        <v>30.8989764344114</v>
      </c>
    </row>
    <row r="20" customFormat="false" ht="15" hidden="false" customHeight="false" outlineLevel="0" collapsed="false">
      <c r="A20" s="4" t="s">
        <v>58</v>
      </c>
      <c r="B20" s="4" t="n">
        <v>1</v>
      </c>
      <c r="C20" s="5" t="n">
        <v>96910</v>
      </c>
      <c r="D20" s="5" t="n">
        <v>87905</v>
      </c>
      <c r="E20" s="5" t="n">
        <v>6536</v>
      </c>
      <c r="F20" s="5" t="n">
        <v>51</v>
      </c>
      <c r="G20" s="5" t="n">
        <v>5060</v>
      </c>
      <c r="H20" s="5" t="n">
        <v>196462</v>
      </c>
      <c r="I20" s="9" t="n">
        <f aca="false">IF(H20=0,0,C20/H20)</f>
        <v>0.49327605338437</v>
      </c>
      <c r="J20" s="9" t="n">
        <f aca="false">IF(H20=0,0,D20/H20)</f>
        <v>0.447440217446631</v>
      </c>
      <c r="K20" s="9" t="n">
        <f aca="false">IF(H20=0,0,E20/H20)</f>
        <v>0.0332685201209394</v>
      </c>
      <c r="L20" s="9" t="n">
        <f aca="false">IF(H20=0,0,G20/H20)</f>
        <v>0.025755616862294</v>
      </c>
      <c r="M20" s="4" t="str">
        <f aca="false">INDEX($C$3:$E$3,MATCH(MAX(C20:E20),C20:E20,0))</f>
        <v>Sigamos Haciendo Historia (PVEM-PT-Morena)</v>
      </c>
      <c r="N20" s="18" t="n">
        <f aca="false">IF(H20=0,0,(MAX(C20:E20)-LARGE(C20:E20,2))/H20*100)</f>
        <v>4.58358359377386</v>
      </c>
    </row>
    <row r="21" customFormat="false" ht="15" hidden="false" customHeight="false" outlineLevel="0" collapsed="false">
      <c r="A21" s="4" t="s">
        <v>58</v>
      </c>
      <c r="B21" s="4" t="n">
        <v>2</v>
      </c>
      <c r="C21" s="5" t="n">
        <v>105525</v>
      </c>
      <c r="D21" s="5" t="n">
        <v>83392</v>
      </c>
      <c r="E21" s="5" t="n">
        <v>5108</v>
      </c>
      <c r="F21" s="5" t="n">
        <v>64</v>
      </c>
      <c r="G21" s="5" t="n">
        <v>5517</v>
      </c>
      <c r="H21" s="5" t="n">
        <v>199606</v>
      </c>
      <c r="I21" s="9" t="n">
        <f aca="false">IF(H21=0,0,C21/H21)</f>
        <v>0.528666472951715</v>
      </c>
      <c r="J21" s="9" t="n">
        <f aca="false">IF(H21=0,0,D21/H21)</f>
        <v>0.417783032574171</v>
      </c>
      <c r="K21" s="9" t="n">
        <f aca="false">IF(H21=0,0,E21/H21)</f>
        <v>0.0255904131138343</v>
      </c>
      <c r="L21" s="9" t="n">
        <f aca="false">IF(H21=0,0,G21/H21)</f>
        <v>0.0276394497159404</v>
      </c>
      <c r="M21" s="4" t="str">
        <f aca="false">INDEX($C$3:$E$3,MATCH(MAX(C21:E21),C21:E21,0))</f>
        <v>Sigamos Haciendo Historia (PVEM-PT-Morena)</v>
      </c>
      <c r="N21" s="18" t="n">
        <f aca="false">IF(H21=0,0,(MAX(C21:E21)-LARGE(C21:E21,2))/H21*100)</f>
        <v>11.0883440377544</v>
      </c>
    </row>
    <row r="22" customFormat="false" ht="15" hidden="false" customHeight="false" outlineLevel="0" collapsed="false">
      <c r="A22" s="4" t="s">
        <v>58</v>
      </c>
      <c r="B22" s="4" t="n">
        <v>3</v>
      </c>
      <c r="C22" s="5" t="n">
        <v>98011</v>
      </c>
      <c r="D22" s="5" t="n">
        <v>106364</v>
      </c>
      <c r="E22" s="5" t="n">
        <v>7379</v>
      </c>
      <c r="F22" s="5" t="n">
        <v>42</v>
      </c>
      <c r="G22" s="5" t="n">
        <v>4971</v>
      </c>
      <c r="H22" s="5" t="n">
        <v>216767</v>
      </c>
      <c r="I22" s="9" t="n">
        <f aca="false">IF(H22=0,0,C22/H22)</f>
        <v>0.452149081732921</v>
      </c>
      <c r="J22" s="9" t="n">
        <f aca="false">IF(H22=0,0,D22/H22)</f>
        <v>0.490683545004544</v>
      </c>
      <c r="K22" s="9" t="n">
        <f aca="false">IF(H22=0,0,E22/H22)</f>
        <v>0.0340411594015694</v>
      </c>
      <c r="L22" s="9" t="n">
        <f aca="false">IF(H22=0,0,G22/H22)</f>
        <v>0.0229324574312511</v>
      </c>
      <c r="M22" s="4" t="str">
        <f aca="false">INDEX($C$3:$E$3,MATCH(MAX(C22:E22),C22:E22,0))</f>
        <v>Fuerza y Corazón por México (PAN-PRI-PRD)</v>
      </c>
      <c r="N22" s="18" t="n">
        <f aca="false">IF(H22=0,0,(MAX(C22:E22)-LARGE(C22:E22,2))/H22*100)</f>
        <v>3.85344632716235</v>
      </c>
    </row>
    <row r="23" customFormat="false" ht="15" hidden="false" customHeight="false" outlineLevel="0" collapsed="false">
      <c r="A23" s="4" t="s">
        <v>58</v>
      </c>
      <c r="B23" s="4" t="n">
        <v>4</v>
      </c>
      <c r="C23" s="5" t="n">
        <v>87484</v>
      </c>
      <c r="D23" s="5" t="n">
        <v>109148</v>
      </c>
      <c r="E23" s="5" t="n">
        <v>13803</v>
      </c>
      <c r="F23" s="5" t="n">
        <v>95</v>
      </c>
      <c r="G23" s="5" t="n">
        <v>4067</v>
      </c>
      <c r="H23" s="5" t="n">
        <v>214597</v>
      </c>
      <c r="I23" s="9" t="n">
        <f aca="false">IF(H23=0,0,C23/H23)</f>
        <v>0.407666463184481</v>
      </c>
      <c r="J23" s="9" t="n">
        <f aca="false">IF(H23=0,0,D23/H23)</f>
        <v>0.508618480221066</v>
      </c>
      <c r="K23" s="9" t="n">
        <f aca="false">IF(H23=0,0,E23/H23)</f>
        <v>0.0643205636611882</v>
      </c>
      <c r="L23" s="9" t="n">
        <f aca="false">IF(H23=0,0,G23/H23)</f>
        <v>0.018951802681305</v>
      </c>
      <c r="M23" s="4" t="str">
        <f aca="false">INDEX($C$3:$E$3,MATCH(MAX(C23:E23),C23:E23,0))</f>
        <v>Fuerza y Corazón por México (PAN-PRI-PRD)</v>
      </c>
      <c r="N23" s="18" t="n">
        <f aca="false">IF(H23=0,0,(MAX(C23:E23)-LARGE(C23:E23,2))/H23*100)</f>
        <v>10.0952017036585</v>
      </c>
    </row>
    <row r="24" customFormat="false" ht="15" hidden="false" customHeight="false" outlineLevel="0" collapsed="false">
      <c r="A24" s="4" t="s">
        <v>58</v>
      </c>
      <c r="B24" s="4" t="n">
        <v>5</v>
      </c>
      <c r="C24" s="5" t="n">
        <v>87874</v>
      </c>
      <c r="D24" s="5" t="n">
        <v>97628</v>
      </c>
      <c r="E24" s="5" t="n">
        <v>6552</v>
      </c>
      <c r="F24" s="5" t="n">
        <v>72</v>
      </c>
      <c r="G24" s="5" t="n">
        <v>3503</v>
      </c>
      <c r="H24" s="5" t="n">
        <v>195629</v>
      </c>
      <c r="I24" s="9" t="n">
        <f aca="false">IF(H24=0,0,C24/H24)</f>
        <v>0.449186981480251</v>
      </c>
      <c r="J24" s="9" t="n">
        <f aca="false">IF(H24=0,0,D24/H24)</f>
        <v>0.499046664860527</v>
      </c>
      <c r="K24" s="9" t="n">
        <f aca="false">IF(H24=0,0,E24/H24)</f>
        <v>0.0334919669374173</v>
      </c>
      <c r="L24" s="9" t="n">
        <f aca="false">IF(H24=0,0,G24/H24)</f>
        <v>0.0179063431290862</v>
      </c>
      <c r="M24" s="4" t="str">
        <f aca="false">INDEX($C$3:$E$3,MATCH(MAX(C24:E24),C24:E24,0))</f>
        <v>Fuerza y Corazón por México (PAN-PRI-PRD)</v>
      </c>
      <c r="N24" s="18" t="n">
        <f aca="false">IF(H24=0,0,(MAX(C24:E24)-LARGE(C24:E24,2))/H24*100)</f>
        <v>4.98596833802759</v>
      </c>
    </row>
    <row r="25" customFormat="false" ht="15" hidden="false" customHeight="false" outlineLevel="0" collapsed="false">
      <c r="A25" s="4" t="s">
        <v>58</v>
      </c>
      <c r="B25" s="4" t="n">
        <v>6</v>
      </c>
      <c r="C25" s="5" t="n">
        <v>88172</v>
      </c>
      <c r="D25" s="5" t="n">
        <v>85938</v>
      </c>
      <c r="E25" s="5" t="n">
        <v>6822</v>
      </c>
      <c r="F25" s="5" t="n">
        <v>75</v>
      </c>
      <c r="G25" s="5" t="n">
        <v>3555</v>
      </c>
      <c r="H25" s="5" t="n">
        <v>184562</v>
      </c>
      <c r="I25" s="9" t="n">
        <f aca="false">IF(H25=0,0,C25/H25)</f>
        <v>0.477736478798453</v>
      </c>
      <c r="J25" s="9" t="n">
        <f aca="false">IF(H25=0,0,D25/H25)</f>
        <v>0.465632145295348</v>
      </c>
      <c r="K25" s="9" t="n">
        <f aca="false">IF(H25=0,0,E25/H25)</f>
        <v>0.0369631885220143</v>
      </c>
      <c r="L25" s="9" t="n">
        <f aca="false">IF(H25=0,0,G25/H25)</f>
        <v>0.0192618198762476</v>
      </c>
      <c r="M25" s="4" t="str">
        <f aca="false">INDEX($C$3:$E$3,MATCH(MAX(C25:E25),C25:E25,0))</f>
        <v>Sigamos Haciendo Historia (PVEM-PT-Morena)</v>
      </c>
      <c r="N25" s="18" t="n">
        <f aca="false">IF(H25=0,0,(MAX(C25:E25)-LARGE(C25:E25,2))/H25*100)</f>
        <v>1.21043335031046</v>
      </c>
    </row>
    <row r="26" customFormat="false" ht="15" hidden="false" customHeight="false" outlineLevel="0" collapsed="false">
      <c r="A26" s="4" t="s">
        <v>58</v>
      </c>
      <c r="B26" s="4" t="n">
        <v>7</v>
      </c>
      <c r="C26" s="5" t="n">
        <v>101546</v>
      </c>
      <c r="D26" s="5" t="n">
        <v>85282</v>
      </c>
      <c r="E26" s="5" t="n">
        <v>12727</v>
      </c>
      <c r="F26" s="5" t="n">
        <v>92</v>
      </c>
      <c r="G26" s="5" t="n">
        <v>4496</v>
      </c>
      <c r="H26" s="5" t="n">
        <v>204143</v>
      </c>
      <c r="I26" s="9" t="n">
        <f aca="false">IF(H26=0,0,C26/H26)</f>
        <v>0.497425824054707</v>
      </c>
      <c r="J26" s="9" t="n">
        <f aca="false">IF(H26=0,0,D26/H26)</f>
        <v>0.417756180716459</v>
      </c>
      <c r="K26" s="9" t="n">
        <f aca="false">IF(H26=0,0,E26/H26)</f>
        <v>0.0623435532935246</v>
      </c>
      <c r="L26" s="9" t="n">
        <f aca="false">IF(H26=0,0,G26/H26)</f>
        <v>0.0220237774501207</v>
      </c>
      <c r="M26" s="4" t="str">
        <f aca="false">INDEX($C$3:$E$3,MATCH(MAX(C26:E26),C26:E26,0))</f>
        <v>Sigamos Haciendo Historia (PVEM-PT-Morena)</v>
      </c>
      <c r="N26" s="18" t="n">
        <f aca="false">IF(H26=0,0,(MAX(C26:E26)-LARGE(C26:E26,2))/H26*100)</f>
        <v>7.96696433382482</v>
      </c>
    </row>
    <row r="27" customFormat="false" ht="15" hidden="false" customHeight="false" outlineLevel="0" collapsed="false">
      <c r="A27" s="4" t="s">
        <v>58</v>
      </c>
      <c r="B27" s="4" t="n">
        <v>8</v>
      </c>
      <c r="C27" s="5" t="n">
        <v>89077</v>
      </c>
      <c r="D27" s="5" t="n">
        <v>74597</v>
      </c>
      <c r="E27" s="5" t="n">
        <v>5338</v>
      </c>
      <c r="F27" s="5" t="n">
        <v>37</v>
      </c>
      <c r="G27" s="5" t="n">
        <v>4081</v>
      </c>
      <c r="H27" s="5" t="n">
        <v>173130</v>
      </c>
      <c r="I27" s="9" t="n">
        <f aca="false">IF(H27=0,0,C27/H27)</f>
        <v>0.514509328250448</v>
      </c>
      <c r="J27" s="9" t="n">
        <f aca="false">IF(H27=0,0,D27/H27)</f>
        <v>0.430872754577485</v>
      </c>
      <c r="K27" s="9" t="n">
        <f aca="false">IF(H27=0,0,E27/H27)</f>
        <v>0.0308323225322012</v>
      </c>
      <c r="L27" s="9" t="n">
        <f aca="false">IF(H27=0,0,G27/H27)</f>
        <v>0.0235718824005083</v>
      </c>
      <c r="M27" s="4" t="str">
        <f aca="false">INDEX($C$3:$E$3,MATCH(MAX(C27:E27),C27:E27,0))</f>
        <v>Sigamos Haciendo Historia (PVEM-PT-Morena)</v>
      </c>
      <c r="N27" s="18" t="n">
        <f aca="false">IF(H27=0,0,(MAX(C27:E27)-LARGE(C27:E27,2))/H27*100)</f>
        <v>8.36365736729625</v>
      </c>
    </row>
    <row r="28" customFormat="false" ht="15" hidden="false" customHeight="false" outlineLevel="0" collapsed="false">
      <c r="A28" s="4" t="s">
        <v>59</v>
      </c>
      <c r="B28" s="4" t="n">
        <v>1</v>
      </c>
      <c r="C28" s="5" t="n">
        <v>74770</v>
      </c>
      <c r="D28" s="5" t="n">
        <v>75288</v>
      </c>
      <c r="E28" s="5" t="n">
        <v>34654</v>
      </c>
      <c r="F28" s="5" t="n">
        <v>148</v>
      </c>
      <c r="G28" s="5" t="n">
        <v>5308</v>
      </c>
      <c r="H28" s="5" t="n">
        <v>190168</v>
      </c>
      <c r="I28" s="9" t="n">
        <f aca="false">IF(H28=0,0,C28/H28)</f>
        <v>0.393178663076858</v>
      </c>
      <c r="J28" s="9" t="n">
        <f aca="false">IF(H28=0,0,D28/H28)</f>
        <v>0.395902570358841</v>
      </c>
      <c r="K28" s="9" t="n">
        <f aca="false">IF(H28=0,0,E28/H28)</f>
        <v>0.182228345462959</v>
      </c>
      <c r="L28" s="9" t="n">
        <f aca="false">IF(H28=0,0,G28/H28)</f>
        <v>0.0279121618779185</v>
      </c>
      <c r="M28" s="4" t="str">
        <f aca="false">INDEX($C$3:$E$3,MATCH(MAX(C28:E28),C28:E28,0))</f>
        <v>Fuerza y Corazón por México (PAN-PRI-PRD)</v>
      </c>
      <c r="N28" s="18" t="n">
        <f aca="false">IF(H28=0,0,(MAX(C28:E28)-LARGE(C28:E28,2))/H28*100)</f>
        <v>0.272390728198225</v>
      </c>
    </row>
    <row r="29" customFormat="false" ht="15" hidden="false" customHeight="false" outlineLevel="0" collapsed="false">
      <c r="A29" s="4" t="s">
        <v>59</v>
      </c>
      <c r="B29" s="4" t="n">
        <v>2</v>
      </c>
      <c r="C29" s="5" t="n">
        <v>83089</v>
      </c>
      <c r="D29" s="5" t="n">
        <v>37585</v>
      </c>
      <c r="E29" s="5" t="n">
        <v>29153</v>
      </c>
      <c r="F29" s="5" t="n">
        <v>100</v>
      </c>
      <c r="G29" s="5" t="n">
        <v>5202</v>
      </c>
      <c r="H29" s="5" t="n">
        <v>155129</v>
      </c>
      <c r="I29" s="9" t="n">
        <f aca="false">IF(H29=0,0,C29/H29)</f>
        <v>0.535612296862611</v>
      </c>
      <c r="J29" s="9" t="n">
        <f aca="false">IF(H29=0,0,D29/H29)</f>
        <v>0.242282229628245</v>
      </c>
      <c r="K29" s="9" t="n">
        <f aca="false">IF(H29=0,0,E29/H29)</f>
        <v>0.187927466817939</v>
      </c>
      <c r="L29" s="9" t="n">
        <f aca="false">IF(H29=0,0,G29/H29)</f>
        <v>0.033533381895068</v>
      </c>
      <c r="M29" s="4" t="str">
        <f aca="false">INDEX($C$3:$E$3,MATCH(MAX(C29:E29),C29:E29,0))</f>
        <v>Sigamos Haciendo Historia (PVEM-PT-Morena)</v>
      </c>
      <c r="N29" s="18" t="n">
        <f aca="false">IF(H29=0,0,(MAX(C29:E29)-LARGE(C29:E29,2))/H29*100)</f>
        <v>29.3330067234366</v>
      </c>
    </row>
    <row r="30" customFormat="false" ht="15" hidden="false" customHeight="false" outlineLevel="0" collapsed="false">
      <c r="A30" s="4" t="s">
        <v>60</v>
      </c>
      <c r="B30" s="4" t="n">
        <v>1</v>
      </c>
      <c r="C30" s="5" t="n">
        <v>169452</v>
      </c>
      <c r="D30" s="5" t="n">
        <v>12645</v>
      </c>
      <c r="E30" s="5" t="n">
        <v>8148</v>
      </c>
      <c r="F30" s="5" t="n">
        <v>56</v>
      </c>
      <c r="G30" s="5" t="n">
        <v>15217</v>
      </c>
      <c r="H30" s="5" t="n">
        <v>205518</v>
      </c>
      <c r="I30" s="9" t="n">
        <f aca="false">IF(H30=0,0,C30/H30)</f>
        <v>0.824511721601028</v>
      </c>
      <c r="J30" s="9" t="n">
        <f aca="false">IF(H30=0,0,D30/H30)</f>
        <v>0.0615274574489826</v>
      </c>
      <c r="K30" s="9" t="n">
        <f aca="false">IF(H30=0,0,E30/H30)</f>
        <v>0.0396461623799375</v>
      </c>
      <c r="L30" s="9" t="n">
        <f aca="false">IF(H30=0,0,G30/H30)</f>
        <v>0.0740421763543826</v>
      </c>
      <c r="M30" s="4" t="str">
        <f aca="false">INDEX($C$3:$E$3,MATCH(MAX(C30:E30),C30:E30,0))</f>
        <v>Sigamos Haciendo Historia (PVEM-PT-Morena)</v>
      </c>
      <c r="N30" s="18" t="n">
        <f aca="false">IF(H30=0,0,(MAX(C30:E30)-LARGE(C30:E30,2))/H30*100)</f>
        <v>76.2984264152045</v>
      </c>
    </row>
    <row r="31" customFormat="false" ht="15" hidden="false" customHeight="false" outlineLevel="0" collapsed="false">
      <c r="A31" s="4" t="s">
        <v>60</v>
      </c>
      <c r="B31" s="4" t="n">
        <v>2</v>
      </c>
      <c r="C31" s="5" t="n">
        <v>116567</v>
      </c>
      <c r="D31" s="5" t="n">
        <v>41629</v>
      </c>
      <c r="E31" s="5" t="n">
        <v>5187</v>
      </c>
      <c r="F31" s="5" t="n">
        <v>112</v>
      </c>
      <c r="G31" s="5" t="n">
        <v>16685</v>
      </c>
      <c r="H31" s="5" t="n">
        <v>180180</v>
      </c>
      <c r="I31" s="9" t="n">
        <f aca="false">IF(H31=0,0,C31/H31)</f>
        <v>0.646947496947497</v>
      </c>
      <c r="J31" s="9" t="n">
        <f aca="false">IF(H31=0,0,D31/H31)</f>
        <v>0.231041181041181</v>
      </c>
      <c r="K31" s="9" t="n">
        <f aca="false">IF(H31=0,0,E31/H31)</f>
        <v>0.0287878787878788</v>
      </c>
      <c r="L31" s="9" t="n">
        <f aca="false">IF(H31=0,0,G31/H31)</f>
        <v>0.0926018426018426</v>
      </c>
      <c r="M31" s="4" t="str">
        <f aca="false">INDEX($C$3:$E$3,MATCH(MAX(C31:E31),C31:E31,0))</f>
        <v>Sigamos Haciendo Historia (PVEM-PT-Morena)</v>
      </c>
      <c r="N31" s="18" t="n">
        <f aca="false">IF(H31=0,0,(MAX(C31:E31)-LARGE(C31:E31,2))/H31*100)</f>
        <v>41.5906315906316</v>
      </c>
    </row>
    <row r="32" customFormat="false" ht="15" hidden="false" customHeight="false" outlineLevel="0" collapsed="false">
      <c r="A32" s="4" t="s">
        <v>60</v>
      </c>
      <c r="B32" s="4" t="n">
        <v>3</v>
      </c>
      <c r="C32" s="5" t="n">
        <v>171083</v>
      </c>
      <c r="D32" s="5" t="n">
        <v>10256</v>
      </c>
      <c r="E32" s="5" t="n">
        <v>4012</v>
      </c>
      <c r="F32" s="5" t="n">
        <v>97</v>
      </c>
      <c r="G32" s="5" t="n">
        <v>9584</v>
      </c>
      <c r="H32" s="5" t="n">
        <v>195032</v>
      </c>
      <c r="I32" s="9" t="n">
        <f aca="false">IF(H32=0,0,C32/H32)</f>
        <v>0.877204766397309</v>
      </c>
      <c r="J32" s="9" t="n">
        <f aca="false">IF(H32=0,0,D32/H32)</f>
        <v>0.0525862422576808</v>
      </c>
      <c r="K32" s="9" t="n">
        <f aca="false">IF(H32=0,0,E32/H32)</f>
        <v>0.0205709832232659</v>
      </c>
      <c r="L32" s="9" t="n">
        <f aca="false">IF(H32=0,0,G32/H32)</f>
        <v>0.0491406538414209</v>
      </c>
      <c r="M32" s="4" t="str">
        <f aca="false">INDEX($C$3:$E$3,MATCH(MAX(C32:E32),C32:E32,0))</f>
        <v>Sigamos Haciendo Historia (PVEM-PT-Morena)</v>
      </c>
      <c r="N32" s="18" t="n">
        <f aca="false">IF(H32=0,0,(MAX(C32:E32)-LARGE(C32:E32,2))/H32*100)</f>
        <v>82.4618524139628</v>
      </c>
    </row>
    <row r="33" customFormat="false" ht="15" hidden="false" customHeight="false" outlineLevel="0" collapsed="false">
      <c r="A33" s="4" t="s">
        <v>60</v>
      </c>
      <c r="B33" s="4" t="n">
        <v>4</v>
      </c>
      <c r="C33" s="5" t="n">
        <v>133081</v>
      </c>
      <c r="D33" s="5" t="n">
        <v>31298</v>
      </c>
      <c r="E33" s="5" t="n">
        <v>13888</v>
      </c>
      <c r="F33" s="5" t="n">
        <v>84</v>
      </c>
      <c r="G33" s="5" t="n">
        <v>21392</v>
      </c>
      <c r="H33" s="5" t="n">
        <v>199743</v>
      </c>
      <c r="I33" s="9" t="n">
        <f aca="false">IF(H33=0,0,C33/H33)</f>
        <v>0.66626114557206</v>
      </c>
      <c r="J33" s="9" t="n">
        <f aca="false">IF(H33=0,0,D33/H33)</f>
        <v>0.156691348382672</v>
      </c>
      <c r="K33" s="9" t="n">
        <f aca="false">IF(H33=0,0,E33/H33)</f>
        <v>0.069529345208593</v>
      </c>
      <c r="L33" s="9" t="n">
        <f aca="false">IF(H33=0,0,G33/H33)</f>
        <v>0.107097620442268</v>
      </c>
      <c r="M33" s="4" t="str">
        <f aca="false">INDEX($C$3:$E$3,MATCH(MAX(C33:E33),C33:E33,0))</f>
        <v>Sigamos Haciendo Historia (PVEM-PT-Morena)</v>
      </c>
      <c r="N33" s="18" t="n">
        <f aca="false">IF(H33=0,0,(MAX(C33:E33)-LARGE(C33:E33,2))/H33*100)</f>
        <v>50.9569797189388</v>
      </c>
    </row>
    <row r="34" customFormat="false" ht="15" hidden="false" customHeight="false" outlineLevel="0" collapsed="false">
      <c r="A34" s="4" t="s">
        <v>60</v>
      </c>
      <c r="B34" s="4" t="n">
        <v>5</v>
      </c>
      <c r="C34" s="5" t="n">
        <v>92154</v>
      </c>
      <c r="D34" s="5" t="n">
        <v>77549</v>
      </c>
      <c r="E34" s="5" t="n">
        <v>13647</v>
      </c>
      <c r="F34" s="5" t="n">
        <v>242</v>
      </c>
      <c r="G34" s="5" t="n">
        <v>15889</v>
      </c>
      <c r="H34" s="5" t="n">
        <v>199481</v>
      </c>
      <c r="I34" s="9" t="n">
        <f aca="false">IF(H34=0,0,C34/H34)</f>
        <v>0.461968809059509</v>
      </c>
      <c r="J34" s="9" t="n">
        <f aca="false">IF(H34=0,0,D34/H34)</f>
        <v>0.388753816152917</v>
      </c>
      <c r="K34" s="9" t="n">
        <f aca="false">IF(H34=0,0,E34/H34)</f>
        <v>0.0684125305166908</v>
      </c>
      <c r="L34" s="9" t="n">
        <f aca="false">IF(H34=0,0,G34/H34)</f>
        <v>0.0796516961515132</v>
      </c>
      <c r="M34" s="4" t="str">
        <f aca="false">INDEX($C$3:$E$3,MATCH(MAX(C34:E34),C34:E34,0))</f>
        <v>Sigamos Haciendo Historia (PVEM-PT-Morena)</v>
      </c>
      <c r="N34" s="18" t="n">
        <f aca="false">IF(H34=0,0,(MAX(C34:E34)-LARGE(C34:E34,2))/H34*100)</f>
        <v>7.32149929065926</v>
      </c>
    </row>
    <row r="35" customFormat="false" ht="15" hidden="false" customHeight="false" outlineLevel="0" collapsed="false">
      <c r="A35" s="4" t="s">
        <v>60</v>
      </c>
      <c r="B35" s="4" t="n">
        <v>6</v>
      </c>
      <c r="C35" s="5" t="n">
        <v>129674</v>
      </c>
      <c r="D35" s="5" t="n">
        <v>29572</v>
      </c>
      <c r="E35" s="5" t="n">
        <v>13932</v>
      </c>
      <c r="F35" s="5" t="n">
        <v>147</v>
      </c>
      <c r="G35" s="5" t="n">
        <v>14688</v>
      </c>
      <c r="H35" s="5" t="n">
        <v>188013</v>
      </c>
      <c r="I35" s="9" t="n">
        <f aca="false">IF(H35=0,0,C35/H35)</f>
        <v>0.689707626600288</v>
      </c>
      <c r="J35" s="9" t="n">
        <f aca="false">IF(H35=0,0,D35/H35)</f>
        <v>0.157286996111971</v>
      </c>
      <c r="K35" s="9" t="n">
        <f aca="false">IF(H35=0,0,E35/H35)</f>
        <v>0.0741012589554978</v>
      </c>
      <c r="L35" s="9" t="n">
        <f aca="false">IF(H35=0,0,G35/H35)</f>
        <v>0.0781222575034705</v>
      </c>
      <c r="M35" s="4" t="str">
        <f aca="false">INDEX($C$3:$E$3,MATCH(MAX(C35:E35),C35:E35,0))</f>
        <v>Sigamos Haciendo Historia (PVEM-PT-Morena)</v>
      </c>
      <c r="N35" s="18" t="n">
        <f aca="false">IF(H35=0,0,(MAX(C35:E35)-LARGE(C35:E35,2))/H35*100)</f>
        <v>53.2420630488317</v>
      </c>
    </row>
    <row r="36" customFormat="false" ht="15" hidden="false" customHeight="false" outlineLevel="0" collapsed="false">
      <c r="A36" s="4" t="s">
        <v>60</v>
      </c>
      <c r="B36" s="4" t="n">
        <v>7</v>
      </c>
      <c r="C36" s="5" t="n">
        <v>150420</v>
      </c>
      <c r="D36" s="5" t="n">
        <v>20885</v>
      </c>
      <c r="E36" s="5" t="n">
        <v>11309</v>
      </c>
      <c r="F36" s="5" t="n">
        <v>84</v>
      </c>
      <c r="G36" s="5" t="n">
        <v>12432</v>
      </c>
      <c r="H36" s="5" t="n">
        <v>195130</v>
      </c>
      <c r="I36" s="9" t="n">
        <f aca="false">IF(H36=0,0,C36/H36)</f>
        <v>0.77087070158356</v>
      </c>
      <c r="J36" s="9" t="n">
        <f aca="false">IF(H36=0,0,D36/H36)</f>
        <v>0.107031209962589</v>
      </c>
      <c r="K36" s="9" t="n">
        <f aca="false">IF(H36=0,0,E36/H36)</f>
        <v>0.0579562343053349</v>
      </c>
      <c r="L36" s="9" t="n">
        <f aca="false">IF(H36=0,0,G36/H36)</f>
        <v>0.0637113719059089</v>
      </c>
      <c r="M36" s="4" t="str">
        <f aca="false">INDEX($C$3:$E$3,MATCH(MAX(C36:E36),C36:E36,0))</f>
        <v>Sigamos Haciendo Historia (PVEM-PT-Morena)</v>
      </c>
      <c r="N36" s="18" t="n">
        <f aca="false">IF(H36=0,0,(MAX(C36:E36)-LARGE(C36:E36,2))/H36*100)</f>
        <v>66.3839491620971</v>
      </c>
    </row>
    <row r="37" customFormat="false" ht="15" hidden="false" customHeight="false" outlineLevel="0" collapsed="false">
      <c r="A37" s="4" t="s">
        <v>60</v>
      </c>
      <c r="B37" s="4" t="n">
        <v>8</v>
      </c>
      <c r="C37" s="5" t="n">
        <v>135564</v>
      </c>
      <c r="D37" s="5" t="n">
        <v>23375</v>
      </c>
      <c r="E37" s="5" t="n">
        <v>8374</v>
      </c>
      <c r="F37" s="5" t="n">
        <v>51</v>
      </c>
      <c r="G37" s="5" t="n">
        <v>13885</v>
      </c>
      <c r="H37" s="5" t="n">
        <v>181249</v>
      </c>
      <c r="I37" s="9" t="n">
        <f aca="false">IF(H37=0,0,C37/H37)</f>
        <v>0.747943436929307</v>
      </c>
      <c r="J37" s="9" t="n">
        <f aca="false">IF(H37=0,0,D37/H37)</f>
        <v>0.128966228779193</v>
      </c>
      <c r="K37" s="9" t="n">
        <f aca="false">IF(H37=0,0,E37/H37)</f>
        <v>0.0462016342159129</v>
      </c>
      <c r="L37" s="9" t="n">
        <f aca="false">IF(H37=0,0,G37/H37)</f>
        <v>0.0766073192127957</v>
      </c>
      <c r="M37" s="4" t="str">
        <f aca="false">INDEX($C$3:$E$3,MATCH(MAX(C37:E37),C37:E37,0))</f>
        <v>Sigamos Haciendo Historia (PVEM-PT-Morena)</v>
      </c>
      <c r="N37" s="18" t="n">
        <f aca="false">IF(H37=0,0,(MAX(C37:E37)-LARGE(C37:E37,2))/H37*100)</f>
        <v>61.8977208150114</v>
      </c>
    </row>
    <row r="38" customFormat="false" ht="15" hidden="false" customHeight="false" outlineLevel="0" collapsed="false">
      <c r="A38" s="4" t="s">
        <v>60</v>
      </c>
      <c r="B38" s="4" t="n">
        <v>9</v>
      </c>
      <c r="C38" s="5" t="n">
        <v>89591</v>
      </c>
      <c r="D38" s="5" t="n">
        <v>51056</v>
      </c>
      <c r="E38" s="5" t="n">
        <v>21275</v>
      </c>
      <c r="F38" s="5" t="n">
        <v>317</v>
      </c>
      <c r="G38" s="5" t="n">
        <v>11925</v>
      </c>
      <c r="H38" s="5" t="n">
        <v>174164</v>
      </c>
      <c r="I38" s="9" t="n">
        <f aca="false">IF(H38=0,0,C38/H38)</f>
        <v>0.51440596219655</v>
      </c>
      <c r="J38" s="9" t="n">
        <f aca="false">IF(H38=0,0,D38/H38)</f>
        <v>0.293148986013183</v>
      </c>
      <c r="K38" s="9" t="n">
        <f aca="false">IF(H38=0,0,E38/H38)</f>
        <v>0.122154980363336</v>
      </c>
      <c r="L38" s="9" t="n">
        <f aca="false">IF(H38=0,0,G38/H38)</f>
        <v>0.0684699478652305</v>
      </c>
      <c r="M38" s="4" t="str">
        <f aca="false">INDEX($C$3:$E$3,MATCH(MAX(C38:E38),C38:E38,0))</f>
        <v>Sigamos Haciendo Historia (PVEM-PT-Morena)</v>
      </c>
      <c r="N38" s="18" t="n">
        <f aca="false">IF(H38=0,0,(MAX(C38:E38)-LARGE(C38:E38,2))/H38*100)</f>
        <v>22.1256976183367</v>
      </c>
    </row>
    <row r="39" customFormat="false" ht="15" hidden="false" customHeight="false" outlineLevel="0" collapsed="false">
      <c r="A39" s="4" t="s">
        <v>60</v>
      </c>
      <c r="B39" s="4" t="n">
        <v>10</v>
      </c>
      <c r="C39" s="5" t="n">
        <v>132349</v>
      </c>
      <c r="D39" s="5" t="n">
        <v>25760</v>
      </c>
      <c r="E39" s="5" t="n">
        <v>11736</v>
      </c>
      <c r="F39" s="5" t="n">
        <v>125</v>
      </c>
      <c r="G39" s="5" t="n">
        <v>16544</v>
      </c>
      <c r="H39" s="5" t="n">
        <v>186514</v>
      </c>
      <c r="I39" s="9" t="n">
        <f aca="false">IF(H39=0,0,C39/H39)</f>
        <v>0.709592845577276</v>
      </c>
      <c r="J39" s="9" t="n">
        <f aca="false">IF(H39=0,0,D39/H39)</f>
        <v>0.138112956668132</v>
      </c>
      <c r="K39" s="9" t="n">
        <f aca="false">IF(H39=0,0,E39/H39)</f>
        <v>0.0629228905068788</v>
      </c>
      <c r="L39" s="9" t="n">
        <f aca="false">IF(H39=0,0,G39/H39)</f>
        <v>0.0887011162700923</v>
      </c>
      <c r="M39" s="4" t="str">
        <f aca="false">INDEX($C$3:$E$3,MATCH(MAX(C39:E39),C39:E39,0))</f>
        <v>Sigamos Haciendo Historia (PVEM-PT-Morena)</v>
      </c>
      <c r="N39" s="18" t="n">
        <f aca="false">IF(H39=0,0,(MAX(C39:E39)-LARGE(C39:E39,2))/H39*100)</f>
        <v>57.1479888909144</v>
      </c>
    </row>
    <row r="40" customFormat="false" ht="15" hidden="false" customHeight="false" outlineLevel="0" collapsed="false">
      <c r="A40" s="4" t="s">
        <v>60</v>
      </c>
      <c r="B40" s="4" t="n">
        <v>11</v>
      </c>
      <c r="C40" s="5" t="n">
        <v>147913</v>
      </c>
      <c r="D40" s="5" t="n">
        <v>14612</v>
      </c>
      <c r="E40" s="5" t="n">
        <v>5736</v>
      </c>
      <c r="F40" s="5" t="n">
        <v>65</v>
      </c>
      <c r="G40" s="5" t="n">
        <v>16001</v>
      </c>
      <c r="H40" s="5" t="n">
        <v>184327</v>
      </c>
      <c r="I40" s="9" t="n">
        <f aca="false">IF(H40=0,0,C40/H40)</f>
        <v>0.80244890873285</v>
      </c>
      <c r="J40" s="9" t="n">
        <f aca="false">IF(H40=0,0,D40/H40)</f>
        <v>0.0792721630580436</v>
      </c>
      <c r="K40" s="9" t="n">
        <f aca="false">IF(H40=0,0,E40/H40)</f>
        <v>0.0311186098618217</v>
      </c>
      <c r="L40" s="9" t="n">
        <f aca="false">IF(H40=0,0,G40/H40)</f>
        <v>0.0868076841699805</v>
      </c>
      <c r="M40" s="4" t="str">
        <f aca="false">INDEX($C$3:$E$3,MATCH(MAX(C40:E40),C40:E40,0))</f>
        <v>Sigamos Haciendo Historia (PVEM-PT-Morena)</v>
      </c>
      <c r="N40" s="18" t="n">
        <f aca="false">IF(H40=0,0,(MAX(C40:E40)-LARGE(C40:E40,2))/H40*100)</f>
        <v>72.3176745674806</v>
      </c>
    </row>
    <row r="41" customFormat="false" ht="15" hidden="false" customHeight="false" outlineLevel="0" collapsed="false">
      <c r="A41" s="4" t="s">
        <v>60</v>
      </c>
      <c r="B41" s="4" t="n">
        <v>12</v>
      </c>
      <c r="C41" s="5" t="n">
        <v>128278</v>
      </c>
      <c r="D41" s="5" t="n">
        <v>28215</v>
      </c>
      <c r="E41" s="5" t="n">
        <v>13276</v>
      </c>
      <c r="F41" s="5" t="n">
        <v>132</v>
      </c>
      <c r="G41" s="5" t="n">
        <v>13810</v>
      </c>
      <c r="H41" s="5" t="n">
        <v>183711</v>
      </c>
      <c r="I41" s="9" t="n">
        <f aca="false">IF(H41=0,0,C41/H41)</f>
        <v>0.698259766698782</v>
      </c>
      <c r="J41" s="9" t="n">
        <f aca="false">IF(H41=0,0,D41/H41)</f>
        <v>0.15358361774744</v>
      </c>
      <c r="K41" s="9" t="n">
        <f aca="false">IF(H41=0,0,E41/H41)</f>
        <v>0.0722656781575409</v>
      </c>
      <c r="L41" s="9" t="n">
        <f aca="false">IF(H41=0,0,G41/H41)</f>
        <v>0.0751724175471256</v>
      </c>
      <c r="M41" s="4" t="str">
        <f aca="false">INDEX($C$3:$E$3,MATCH(MAX(C41:E41),C41:E41,0))</f>
        <v>Sigamos Haciendo Historia (PVEM-PT-Morena)</v>
      </c>
      <c r="N41" s="18" t="n">
        <f aca="false">IF(H41=0,0,(MAX(C41:E41)-LARGE(C41:E41,2))/H41*100)</f>
        <v>54.4676148951342</v>
      </c>
    </row>
    <row r="42" customFormat="false" ht="15" hidden="false" customHeight="false" outlineLevel="0" collapsed="false">
      <c r="A42" s="4" t="s">
        <v>60</v>
      </c>
      <c r="B42" s="4" t="n">
        <v>13</v>
      </c>
      <c r="C42" s="5" t="n">
        <v>129564</v>
      </c>
      <c r="D42" s="5" t="n">
        <v>31891</v>
      </c>
      <c r="E42" s="5" t="n">
        <v>8971</v>
      </c>
      <c r="F42" s="5" t="n">
        <v>41</v>
      </c>
      <c r="G42" s="5" t="n">
        <v>16258</v>
      </c>
      <c r="H42" s="5" t="n">
        <v>186725</v>
      </c>
      <c r="I42" s="9" t="n">
        <f aca="false">IF(H42=0,0,C42/H42)</f>
        <v>0.69387602088633</v>
      </c>
      <c r="J42" s="9" t="n">
        <f aca="false">IF(H42=0,0,D42/H42)</f>
        <v>0.170791270585085</v>
      </c>
      <c r="K42" s="9" t="n">
        <f aca="false">IF(H42=0,0,E42/H42)</f>
        <v>0.0480439148480386</v>
      </c>
      <c r="L42" s="9" t="n">
        <f aca="false">IF(H42=0,0,G42/H42)</f>
        <v>0.0870692194403535</v>
      </c>
      <c r="M42" s="4" t="str">
        <f aca="false">INDEX($C$3:$E$3,MATCH(MAX(C42:E42),C42:E42,0))</f>
        <v>Sigamos Haciendo Historia (PVEM-PT-Morena)</v>
      </c>
      <c r="N42" s="18" t="n">
        <f aca="false">IF(H42=0,0,(MAX(C42:E42)-LARGE(C42:E42,2))/H42*100)</f>
        <v>52.3084750301245</v>
      </c>
    </row>
    <row r="43" customFormat="false" ht="15" hidden="false" customHeight="false" outlineLevel="0" collapsed="false">
      <c r="A43" s="4" t="s">
        <v>61</v>
      </c>
      <c r="B43" s="4" t="n">
        <v>1</v>
      </c>
      <c r="C43" s="5" t="n">
        <v>117577</v>
      </c>
      <c r="D43" s="5" t="n">
        <v>23064</v>
      </c>
      <c r="E43" s="5" t="n">
        <v>12987</v>
      </c>
      <c r="F43" s="5" t="n">
        <v>105</v>
      </c>
      <c r="G43" s="5" t="n">
        <v>3391</v>
      </c>
      <c r="H43" s="5" t="n">
        <v>157124</v>
      </c>
      <c r="I43" s="9" t="n">
        <f aca="false">IF(H43=0,0,C43/H43)</f>
        <v>0.748307069575622</v>
      </c>
      <c r="J43" s="9" t="n">
        <f aca="false">IF(H43=0,0,D43/H43)</f>
        <v>0.146788523713755</v>
      </c>
      <c r="K43" s="9" t="n">
        <f aca="false">IF(H43=0,0,E43/H43)</f>
        <v>0.0826544639902243</v>
      </c>
      <c r="L43" s="9" t="n">
        <f aca="false">IF(H43=0,0,G43/H43)</f>
        <v>0.0215816807107762</v>
      </c>
      <c r="M43" s="4" t="str">
        <f aca="false">INDEX($C$3:$E$3,MATCH(MAX(C43:E43),C43:E43,0))</f>
        <v>Sigamos Haciendo Historia (PVEM-PT-Morena)</v>
      </c>
      <c r="N43" s="18" t="n">
        <f aca="false">IF(H43=0,0,(MAX(C43:E43)-LARGE(C43:E43,2))/H43*100)</f>
        <v>60.1518545861867</v>
      </c>
    </row>
    <row r="44" customFormat="false" ht="15" hidden="false" customHeight="false" outlineLevel="0" collapsed="false">
      <c r="A44" s="4" t="s">
        <v>61</v>
      </c>
      <c r="B44" s="4" t="n">
        <v>2</v>
      </c>
      <c r="C44" s="5" t="n">
        <v>105085</v>
      </c>
      <c r="D44" s="5" t="n">
        <v>13473</v>
      </c>
      <c r="E44" s="5" t="n">
        <v>7658</v>
      </c>
      <c r="F44" s="5" t="n">
        <v>117</v>
      </c>
      <c r="G44" s="5" t="n">
        <v>2709</v>
      </c>
      <c r="H44" s="5" t="n">
        <v>129042</v>
      </c>
      <c r="I44" s="9" t="n">
        <f aca="false">IF(H44=0,0,C44/H44)</f>
        <v>0.814347266781358</v>
      </c>
      <c r="J44" s="9" t="n">
        <f aca="false">IF(H44=0,0,D44/H44)</f>
        <v>0.104407867206026</v>
      </c>
      <c r="K44" s="9" t="n">
        <f aca="false">IF(H44=0,0,E44/H44)</f>
        <v>0.0593450194510315</v>
      </c>
      <c r="L44" s="9" t="n">
        <f aca="false">IF(H44=0,0,G44/H44)</f>
        <v>0.0209931650160413</v>
      </c>
      <c r="M44" s="4" t="str">
        <f aca="false">INDEX($C$3:$E$3,MATCH(MAX(C44:E44),C44:E44,0))</f>
        <v>Sigamos Haciendo Historia (PVEM-PT-Morena)</v>
      </c>
      <c r="N44" s="18" t="n">
        <f aca="false">IF(H44=0,0,(MAX(C44:E44)-LARGE(C44:E44,2))/H44*100)</f>
        <v>70.9939399575332</v>
      </c>
    </row>
    <row r="45" customFormat="false" ht="15" hidden="false" customHeight="false" outlineLevel="0" collapsed="false">
      <c r="A45" s="4" t="s">
        <v>61</v>
      </c>
      <c r="B45" s="4" t="n">
        <v>3</v>
      </c>
      <c r="C45" s="5" t="n">
        <v>119413</v>
      </c>
      <c r="D45" s="5" t="n">
        <v>24121</v>
      </c>
      <c r="E45" s="5" t="n">
        <v>11160</v>
      </c>
      <c r="F45" s="5" t="n">
        <v>127</v>
      </c>
      <c r="G45" s="5" t="n">
        <v>5038</v>
      </c>
      <c r="H45" s="5" t="n">
        <v>159859</v>
      </c>
      <c r="I45" s="9" t="n">
        <f aca="false">IF(H45=0,0,C45/H45)</f>
        <v>0.746989534527302</v>
      </c>
      <c r="J45" s="9" t="n">
        <f aca="false">IF(H45=0,0,D45/H45)</f>
        <v>0.150889221126117</v>
      </c>
      <c r="K45" s="9" t="n">
        <f aca="false">IF(H45=0,0,E45/H45)</f>
        <v>0.0698115214032366</v>
      </c>
      <c r="L45" s="9" t="n">
        <f aca="false">IF(H45=0,0,G45/H45)</f>
        <v>0.0315152728341851</v>
      </c>
      <c r="M45" s="4" t="str">
        <f aca="false">INDEX($C$3:$E$3,MATCH(MAX(C45:E45),C45:E45,0))</f>
        <v>Sigamos Haciendo Historia (PVEM-PT-Morena)</v>
      </c>
      <c r="N45" s="18" t="n">
        <f aca="false">IF(H45=0,0,(MAX(C45:E45)-LARGE(C45:E45,2))/H45*100)</f>
        <v>59.6100313401185</v>
      </c>
    </row>
    <row r="46" customFormat="false" ht="15" hidden="false" customHeight="false" outlineLevel="0" collapsed="false">
      <c r="A46" s="4" t="s">
        <v>61</v>
      </c>
      <c r="B46" s="4" t="n">
        <v>4</v>
      </c>
      <c r="C46" s="5" t="n">
        <v>102513</v>
      </c>
      <c r="D46" s="5" t="n">
        <v>71215</v>
      </c>
      <c r="E46" s="5" t="n">
        <v>13745</v>
      </c>
      <c r="F46" s="5" t="n">
        <v>166</v>
      </c>
      <c r="G46" s="5" t="n">
        <v>4138</v>
      </c>
      <c r="H46" s="5" t="n">
        <v>191777</v>
      </c>
      <c r="I46" s="9" t="n">
        <f aca="false">IF(H46=0,0,C46/H46)</f>
        <v>0.53454272410143</v>
      </c>
      <c r="J46" s="9" t="n">
        <f aca="false">IF(H46=0,0,D46/H46)</f>
        <v>0.371342757473524</v>
      </c>
      <c r="K46" s="9" t="n">
        <f aca="false">IF(H46=0,0,E46/H46)</f>
        <v>0.0716717854591531</v>
      </c>
      <c r="L46" s="9" t="n">
        <f aca="false">IF(H46=0,0,G46/H46)</f>
        <v>0.0215771442873754</v>
      </c>
      <c r="M46" s="4" t="str">
        <f aca="false">INDEX($C$3:$E$3,MATCH(MAX(C46:E46),C46:E46,0))</f>
        <v>Sigamos Haciendo Historia (PVEM-PT-Morena)</v>
      </c>
      <c r="N46" s="18" t="n">
        <f aca="false">IF(H46=0,0,(MAX(C46:E46)-LARGE(C46:E46,2))/H46*100)</f>
        <v>16.3199966627906</v>
      </c>
    </row>
    <row r="47" customFormat="false" ht="15" hidden="false" customHeight="false" outlineLevel="0" collapsed="false">
      <c r="A47" s="4" t="s">
        <v>61</v>
      </c>
      <c r="B47" s="4" t="n">
        <v>5</v>
      </c>
      <c r="C47" s="5" t="n">
        <v>85731</v>
      </c>
      <c r="D47" s="5" t="n">
        <v>87987</v>
      </c>
      <c r="E47" s="5" t="n">
        <v>16869</v>
      </c>
      <c r="F47" s="5" t="n">
        <v>81</v>
      </c>
      <c r="G47" s="5" t="n">
        <v>5666</v>
      </c>
      <c r="H47" s="5" t="n">
        <v>196334</v>
      </c>
      <c r="I47" s="9" t="n">
        <f aca="false">IF(H47=0,0,C47/H47)</f>
        <v>0.436658958713213</v>
      </c>
      <c r="J47" s="9" t="n">
        <f aca="false">IF(H47=0,0,D47/H47)</f>
        <v>0.448149581835036</v>
      </c>
      <c r="K47" s="9" t="n">
        <f aca="false">IF(H47=0,0,E47/H47)</f>
        <v>0.0859199119867165</v>
      </c>
      <c r="L47" s="9" t="n">
        <f aca="false">IF(H47=0,0,G47/H47)</f>
        <v>0.028858985198692</v>
      </c>
      <c r="M47" s="4" t="str">
        <f aca="false">INDEX($C$3:$E$3,MATCH(MAX(C47:E47),C47:E47,0))</f>
        <v>Fuerza y Corazón por México (PAN-PRI-PRD)</v>
      </c>
      <c r="N47" s="18" t="n">
        <f aca="false">IF(H47=0,0,(MAX(C47:E47)-LARGE(C47:E47,2))/H47*100)</f>
        <v>1.1490623121823</v>
      </c>
    </row>
    <row r="48" customFormat="false" ht="15" hidden="false" customHeight="false" outlineLevel="0" collapsed="false">
      <c r="A48" s="4" t="s">
        <v>61</v>
      </c>
      <c r="B48" s="4" t="n">
        <v>6</v>
      </c>
      <c r="C48" s="5" t="n">
        <v>80568</v>
      </c>
      <c r="D48" s="5" t="n">
        <v>130211</v>
      </c>
      <c r="E48" s="5" t="n">
        <v>13836</v>
      </c>
      <c r="F48" s="5" t="n">
        <v>140</v>
      </c>
      <c r="G48" s="5" t="n">
        <v>3824</v>
      </c>
      <c r="H48" s="5" t="n">
        <v>228579</v>
      </c>
      <c r="I48" s="9" t="n">
        <f aca="false">IF(H48=0,0,C48/H48)</f>
        <v>0.352473324321132</v>
      </c>
      <c r="J48" s="9" t="n">
        <f aca="false">IF(H48=0,0,D48/H48)</f>
        <v>0.569654255202796</v>
      </c>
      <c r="K48" s="9" t="n">
        <f aca="false">IF(H48=0,0,E48/H48)</f>
        <v>0.0605304949273555</v>
      </c>
      <c r="L48" s="9" t="n">
        <f aca="false">IF(H48=0,0,G48/H48)</f>
        <v>0.0167294458371066</v>
      </c>
      <c r="M48" s="4" t="str">
        <f aca="false">INDEX($C$3:$E$3,MATCH(MAX(C48:E48),C48:E48,0))</f>
        <v>Fuerza y Corazón por México (PAN-PRI-PRD)</v>
      </c>
      <c r="N48" s="18" t="n">
        <f aca="false">IF(H48=0,0,(MAX(C48:E48)-LARGE(C48:E48,2))/H48*100)</f>
        <v>21.7180930881665</v>
      </c>
    </row>
    <row r="49" customFormat="false" ht="15" hidden="false" customHeight="false" outlineLevel="0" collapsed="false">
      <c r="A49" s="4" t="s">
        <v>61</v>
      </c>
      <c r="B49" s="4" t="n">
        <v>7</v>
      </c>
      <c r="C49" s="5" t="n">
        <v>85551</v>
      </c>
      <c r="D49" s="5" t="n">
        <v>77320</v>
      </c>
      <c r="E49" s="5" t="n">
        <v>15079</v>
      </c>
      <c r="F49" s="5" t="n">
        <v>65</v>
      </c>
      <c r="G49" s="5" t="n">
        <v>7711</v>
      </c>
      <c r="H49" s="5" t="n">
        <v>185726</v>
      </c>
      <c r="I49" s="9" t="n">
        <f aca="false">IF(H49=0,0,C49/H49)</f>
        <v>0.460630175635075</v>
      </c>
      <c r="J49" s="9" t="n">
        <f aca="false">IF(H49=0,0,D49/H49)</f>
        <v>0.41631220184573</v>
      </c>
      <c r="K49" s="9" t="n">
        <f aca="false">IF(H49=0,0,E49/H49)</f>
        <v>0.081189494201135</v>
      </c>
      <c r="L49" s="9" t="n">
        <f aca="false">IF(H49=0,0,G49/H49)</f>
        <v>0.0415181503935906</v>
      </c>
      <c r="M49" s="4" t="str">
        <f aca="false">INDEX($C$3:$E$3,MATCH(MAX(C49:E49),C49:E49,0))</f>
        <v>Sigamos Haciendo Historia (PVEM-PT-Morena)</v>
      </c>
      <c r="N49" s="18" t="n">
        <f aca="false">IF(H49=0,0,(MAX(C49:E49)-LARGE(C49:E49,2))/H49*100)</f>
        <v>4.43179737893456</v>
      </c>
    </row>
    <row r="50" customFormat="false" ht="15" hidden="false" customHeight="false" outlineLevel="0" collapsed="false">
      <c r="A50" s="4" t="s">
        <v>61</v>
      </c>
      <c r="B50" s="4" t="n">
        <v>8</v>
      </c>
      <c r="C50" s="5" t="n">
        <v>94233</v>
      </c>
      <c r="D50" s="5" t="n">
        <v>100108</v>
      </c>
      <c r="E50" s="5" t="n">
        <v>13489</v>
      </c>
      <c r="F50" s="5" t="n">
        <v>144</v>
      </c>
      <c r="G50" s="5" t="n">
        <v>4687</v>
      </c>
      <c r="H50" s="5" t="n">
        <v>212661</v>
      </c>
      <c r="I50" s="9" t="n">
        <f aca="false">IF(H50=0,0,C50/H50)</f>
        <v>0.443113687982282</v>
      </c>
      <c r="J50" s="9" t="n">
        <f aca="false">IF(H50=0,0,D50/H50)</f>
        <v>0.470739815951209</v>
      </c>
      <c r="K50" s="9" t="n">
        <f aca="false">IF(H50=0,0,E50/H50)</f>
        <v>0.0634295898166566</v>
      </c>
      <c r="L50" s="9" t="n">
        <f aca="false">IF(H50=0,0,G50/H50)</f>
        <v>0.0220397722196359</v>
      </c>
      <c r="M50" s="4" t="str">
        <f aca="false">INDEX($C$3:$E$3,MATCH(MAX(C50:E50),C50:E50,0))</f>
        <v>Fuerza y Corazón por México (PAN-PRI-PRD)</v>
      </c>
      <c r="N50" s="18" t="n">
        <f aca="false">IF(H50=0,0,(MAX(C50:E50)-LARGE(C50:E50,2))/H50*100)</f>
        <v>2.76261279689271</v>
      </c>
    </row>
    <row r="51" customFormat="false" ht="15" hidden="false" customHeight="false" outlineLevel="0" collapsed="false">
      <c r="A51" s="4" t="s">
        <v>61</v>
      </c>
      <c r="B51" s="4" t="n">
        <v>9</v>
      </c>
      <c r="C51" s="5" t="n">
        <v>74543</v>
      </c>
      <c r="D51" s="5" t="n">
        <v>70224</v>
      </c>
      <c r="E51" s="5" t="n">
        <v>23585</v>
      </c>
      <c r="F51" s="5" t="n">
        <v>47</v>
      </c>
      <c r="G51" s="5" t="n">
        <v>9963</v>
      </c>
      <c r="H51" s="5" t="n">
        <v>178362</v>
      </c>
      <c r="I51" s="9" t="n">
        <f aca="false">IF(H51=0,0,C51/H51)</f>
        <v>0.417930949417477</v>
      </c>
      <c r="J51" s="9" t="n">
        <f aca="false">IF(H51=0,0,D51/H51)</f>
        <v>0.393716150301073</v>
      </c>
      <c r="K51" s="9" t="n">
        <f aca="false">IF(H51=0,0,E51/H51)</f>
        <v>0.132231080611341</v>
      </c>
      <c r="L51" s="9" t="n">
        <f aca="false">IF(H51=0,0,G51/H51)</f>
        <v>0.055858310626703</v>
      </c>
      <c r="M51" s="4" t="str">
        <f aca="false">INDEX($C$3:$E$3,MATCH(MAX(C51:E51),C51:E51,0))</f>
        <v>Sigamos Haciendo Historia (PVEM-PT-Morena)</v>
      </c>
      <c r="N51" s="18" t="n">
        <f aca="false">IF(H51=0,0,(MAX(C51:E51)-LARGE(C51:E51,2))/H51*100)</f>
        <v>2.42147991164037</v>
      </c>
    </row>
    <row r="52" customFormat="false" ht="15" hidden="false" customHeight="false" outlineLevel="0" collapsed="false">
      <c r="A52" s="4" t="s">
        <v>62</v>
      </c>
      <c r="B52" s="4" t="n">
        <v>1</v>
      </c>
      <c r="C52" s="5" t="n">
        <v>156738</v>
      </c>
      <c r="D52" s="5" t="n">
        <v>53400</v>
      </c>
      <c r="E52" s="5" t="n">
        <v>17238</v>
      </c>
      <c r="F52" s="5" t="n">
        <v>173</v>
      </c>
      <c r="G52" s="5" t="n">
        <v>5554</v>
      </c>
      <c r="H52" s="5" t="n">
        <v>233103</v>
      </c>
      <c r="I52" s="9" t="n">
        <f aca="false">IF(H52=0,0,C52/H52)</f>
        <v>0.672398038635281</v>
      </c>
      <c r="J52" s="9" t="n">
        <f aca="false">IF(H52=0,0,D52/H52)</f>
        <v>0.229083280781457</v>
      </c>
      <c r="K52" s="9" t="n">
        <f aca="false">IF(H52=0,0,E52/H52)</f>
        <v>0.0739501422118119</v>
      </c>
      <c r="L52" s="9" t="n">
        <f aca="false">IF(H52=0,0,G52/H52)</f>
        <v>0.0238263771809029</v>
      </c>
      <c r="M52" s="4" t="str">
        <f aca="false">INDEX($C$3:$E$3,MATCH(MAX(C52:E52),C52:E52,0))</f>
        <v>Sigamos Haciendo Historia (PVEM-PT-Morena)</v>
      </c>
      <c r="N52" s="18" t="n">
        <f aca="false">IF(H52=0,0,(MAX(C52:E52)-LARGE(C52:E52,2))/H52*100)</f>
        <v>44.3314757853824</v>
      </c>
    </row>
    <row r="53" customFormat="false" ht="15" hidden="false" customHeight="false" outlineLevel="0" collapsed="false">
      <c r="A53" s="4" t="s">
        <v>62</v>
      </c>
      <c r="B53" s="4" t="n">
        <v>2</v>
      </c>
      <c r="C53" s="5" t="n">
        <v>148070</v>
      </c>
      <c r="D53" s="5" t="n">
        <v>114948</v>
      </c>
      <c r="E53" s="5" t="n">
        <v>22271</v>
      </c>
      <c r="F53" s="5" t="n">
        <v>342</v>
      </c>
      <c r="G53" s="5" t="n">
        <v>6588</v>
      </c>
      <c r="H53" s="5" t="n">
        <v>292219</v>
      </c>
      <c r="I53" s="9" t="n">
        <f aca="false">IF(H53=0,0,C53/H53)</f>
        <v>0.506709009338886</v>
      </c>
      <c r="J53" s="9" t="n">
        <f aca="false">IF(H53=0,0,D53/H53)</f>
        <v>0.393362512362304</v>
      </c>
      <c r="K53" s="9" t="n">
        <f aca="false">IF(H53=0,0,E53/H53)</f>
        <v>0.0762133879042773</v>
      </c>
      <c r="L53" s="9" t="n">
        <f aca="false">IF(H53=0,0,G53/H53)</f>
        <v>0.0225447352841533</v>
      </c>
      <c r="M53" s="4" t="str">
        <f aca="false">INDEX($C$3:$E$3,MATCH(MAX(C53:E53),C53:E53,0))</f>
        <v>Sigamos Haciendo Historia (PVEM-PT-Morena)</v>
      </c>
      <c r="N53" s="18" t="n">
        <f aca="false">IF(H53=0,0,(MAX(C53:E53)-LARGE(C53:E53,2))/H53*100)</f>
        <v>11.3346496976583</v>
      </c>
    </row>
    <row r="54" customFormat="false" ht="15" hidden="false" customHeight="false" outlineLevel="0" collapsed="false">
      <c r="A54" s="4" t="s">
        <v>62</v>
      </c>
      <c r="B54" s="4" t="n">
        <v>3</v>
      </c>
      <c r="C54" s="5" t="n">
        <v>151759</v>
      </c>
      <c r="D54" s="5" t="n">
        <v>100155</v>
      </c>
      <c r="E54" s="5" t="n">
        <v>22260</v>
      </c>
      <c r="F54" s="5" t="n">
        <v>215</v>
      </c>
      <c r="G54" s="5" t="n">
        <v>5380</v>
      </c>
      <c r="H54" s="5" t="n">
        <v>279769</v>
      </c>
      <c r="I54" s="9" t="n">
        <f aca="false">IF(H54=0,0,C54/H54)</f>
        <v>0.54244394482591</v>
      </c>
      <c r="J54" s="9" t="n">
        <f aca="false">IF(H54=0,0,D54/H54)</f>
        <v>0.35799177178315</v>
      </c>
      <c r="K54" s="9" t="n">
        <f aca="false">IF(H54=0,0,E54/H54)</f>
        <v>0.0795656416543649</v>
      </c>
      <c r="L54" s="9" t="n">
        <f aca="false">IF(H54=0,0,G54/H54)</f>
        <v>0.0192301505885212</v>
      </c>
      <c r="M54" s="4" t="str">
        <f aca="false">INDEX($C$3:$E$3,MATCH(MAX(C54:E54),C54:E54,0))</f>
        <v>Sigamos Haciendo Historia (PVEM-PT-Morena)</v>
      </c>
      <c r="N54" s="18" t="n">
        <f aca="false">IF(H54=0,0,(MAX(C54:E54)-LARGE(C54:E54,2))/H54*100)</f>
        <v>18.445217304276</v>
      </c>
    </row>
    <row r="55" customFormat="false" ht="15" hidden="false" customHeight="false" outlineLevel="0" collapsed="false">
      <c r="A55" s="4" t="s">
        <v>62</v>
      </c>
      <c r="B55" s="4" t="n">
        <v>4</v>
      </c>
      <c r="C55" s="5" t="n">
        <v>138002</v>
      </c>
      <c r="D55" s="5" t="n">
        <v>43981</v>
      </c>
      <c r="E55" s="5" t="n">
        <v>13841</v>
      </c>
      <c r="F55" s="5" t="n">
        <v>192</v>
      </c>
      <c r="G55" s="5" t="n">
        <v>4531</v>
      </c>
      <c r="H55" s="5" t="n">
        <v>200547</v>
      </c>
      <c r="I55" s="9" t="n">
        <f aca="false">IF(H55=0,0,C55/H55)</f>
        <v>0.688127970002044</v>
      </c>
      <c r="J55" s="9" t="n">
        <f aca="false">IF(H55=0,0,D55/H55)</f>
        <v>0.219305200277242</v>
      </c>
      <c r="K55" s="9" t="n">
        <f aca="false">IF(H55=0,0,E55/H55)</f>
        <v>0.0690162405820082</v>
      </c>
      <c r="L55" s="9" t="n">
        <f aca="false">IF(H55=0,0,G55/H55)</f>
        <v>0.0225932075772762</v>
      </c>
      <c r="M55" s="4" t="str">
        <f aca="false">INDEX($C$3:$E$3,MATCH(MAX(C55:E55),C55:E55,0))</f>
        <v>Sigamos Haciendo Historia (PVEM-PT-Morena)</v>
      </c>
      <c r="N55" s="18" t="n">
        <f aca="false">IF(H55=0,0,(MAX(C55:E55)-LARGE(C55:E55,2))/H55*100)</f>
        <v>46.8822769724803</v>
      </c>
    </row>
    <row r="56" customFormat="false" ht="15" hidden="false" customHeight="false" outlineLevel="0" collapsed="false">
      <c r="A56" s="4" t="s">
        <v>62</v>
      </c>
      <c r="B56" s="4" t="n">
        <v>5</v>
      </c>
      <c r="C56" s="5" t="n">
        <v>133293</v>
      </c>
      <c r="D56" s="5" t="n">
        <v>81030</v>
      </c>
      <c r="E56" s="5" t="n">
        <v>18684</v>
      </c>
      <c r="F56" s="5" t="n">
        <v>176</v>
      </c>
      <c r="G56" s="5" t="n">
        <v>5773</v>
      </c>
      <c r="H56" s="5" t="n">
        <v>238956</v>
      </c>
      <c r="I56" s="9" t="n">
        <f aca="false">IF(H56=0,0,C56/H56)</f>
        <v>0.557813990860242</v>
      </c>
      <c r="J56" s="9" t="n">
        <f aca="false">IF(H56=0,0,D56/H56)</f>
        <v>0.339100085371365</v>
      </c>
      <c r="K56" s="9" t="n">
        <f aca="false">IF(H56=0,0,E56/H56)</f>
        <v>0.0781901270526792</v>
      </c>
      <c r="L56" s="9" t="n">
        <f aca="false">IF(H56=0,0,G56/H56)</f>
        <v>0.0241592594452535</v>
      </c>
      <c r="M56" s="4" t="str">
        <f aca="false">INDEX($C$3:$E$3,MATCH(MAX(C56:E56),C56:E56,0))</f>
        <v>Sigamos Haciendo Historia (PVEM-PT-Morena)</v>
      </c>
      <c r="N56" s="18" t="n">
        <f aca="false">IF(H56=0,0,(MAX(C56:E56)-LARGE(C56:E56,2))/H56*100)</f>
        <v>21.8713905488877</v>
      </c>
    </row>
    <row r="57" customFormat="false" ht="15" hidden="false" customHeight="false" outlineLevel="0" collapsed="false">
      <c r="A57" s="4" t="s">
        <v>62</v>
      </c>
      <c r="B57" s="4" t="n">
        <v>6</v>
      </c>
      <c r="C57" s="5" t="n">
        <v>124112</v>
      </c>
      <c r="D57" s="5" t="n">
        <v>105633</v>
      </c>
      <c r="E57" s="5" t="n">
        <v>16073</v>
      </c>
      <c r="F57" s="5" t="n">
        <v>198</v>
      </c>
      <c r="G57" s="5" t="n">
        <v>5455</v>
      </c>
      <c r="H57" s="5" t="n">
        <v>251471</v>
      </c>
      <c r="I57" s="9" t="n">
        <f aca="false">IF(H57=0,0,C57/H57)</f>
        <v>0.493543987179436</v>
      </c>
      <c r="J57" s="9" t="n">
        <f aca="false">IF(H57=0,0,D57/H57)</f>
        <v>0.420060364813438</v>
      </c>
      <c r="K57" s="9" t="n">
        <f aca="false">IF(H57=0,0,E57/H57)</f>
        <v>0.0639159187341682</v>
      </c>
      <c r="L57" s="9" t="n">
        <f aca="false">IF(H57=0,0,G57/H57)</f>
        <v>0.0216923621411614</v>
      </c>
      <c r="M57" s="4" t="str">
        <f aca="false">INDEX($C$3:$E$3,MATCH(MAX(C57:E57),C57:E57,0))</f>
        <v>Sigamos Haciendo Historia (PVEM-PT-Morena)</v>
      </c>
      <c r="N57" s="18" t="n">
        <f aca="false">IF(H57=0,0,(MAX(C57:E57)-LARGE(C57:E57,2))/H57*100)</f>
        <v>7.34836223659985</v>
      </c>
    </row>
    <row r="58" customFormat="false" ht="15" hidden="false" customHeight="false" outlineLevel="0" collapsed="false">
      <c r="A58" s="4" t="s">
        <v>62</v>
      </c>
      <c r="B58" s="4" t="n">
        <v>7</v>
      </c>
      <c r="C58" s="5" t="n">
        <v>171453</v>
      </c>
      <c r="D58" s="5" t="n">
        <v>89378</v>
      </c>
      <c r="E58" s="5" t="n">
        <v>23308</v>
      </c>
      <c r="F58" s="5" t="n">
        <v>244</v>
      </c>
      <c r="G58" s="5" t="n">
        <v>6418</v>
      </c>
      <c r="H58" s="5" t="n">
        <v>290801</v>
      </c>
      <c r="I58" s="9" t="n">
        <f aca="false">IF(H58=0,0,C58/H58)</f>
        <v>0.589588756572364</v>
      </c>
      <c r="J58" s="9" t="n">
        <f aca="false">IF(H58=0,0,D58/H58)</f>
        <v>0.307351075133854</v>
      </c>
      <c r="K58" s="9" t="n">
        <f aca="false">IF(H58=0,0,E58/H58)</f>
        <v>0.0801510311174996</v>
      </c>
      <c r="L58" s="9" t="n">
        <f aca="false">IF(H58=0,0,G58/H58)</f>
        <v>0.0220700754123954</v>
      </c>
      <c r="M58" s="4" t="str">
        <f aca="false">INDEX($C$3:$E$3,MATCH(MAX(C58:E58),C58:E58,0))</f>
        <v>Sigamos Haciendo Historia (PVEM-PT-Morena)</v>
      </c>
      <c r="N58" s="18" t="n">
        <f aca="false">IF(H58=0,0,(MAX(C58:E58)-LARGE(C58:E58,2))/H58*100)</f>
        <v>28.2237681438509</v>
      </c>
    </row>
    <row r="59" customFormat="false" ht="15" hidden="false" customHeight="false" outlineLevel="0" collapsed="false">
      <c r="A59" s="4" t="s">
        <v>62</v>
      </c>
      <c r="B59" s="4" t="n">
        <v>8</v>
      </c>
      <c r="C59" s="5" t="n">
        <v>133198</v>
      </c>
      <c r="D59" s="5" t="n">
        <v>115681</v>
      </c>
      <c r="E59" s="5" t="n">
        <v>20610</v>
      </c>
      <c r="F59" s="5" t="n">
        <v>398</v>
      </c>
      <c r="G59" s="5" t="n">
        <v>6235</v>
      </c>
      <c r="H59" s="5" t="n">
        <v>276122</v>
      </c>
      <c r="I59" s="9" t="n">
        <f aca="false">IF(H59=0,0,C59/H59)</f>
        <v>0.482388219699988</v>
      </c>
      <c r="J59" s="9" t="n">
        <f aca="false">IF(H59=0,0,D59/H59)</f>
        <v>0.41894887042684</v>
      </c>
      <c r="K59" s="9" t="n">
        <f aca="false">IF(H59=0,0,E59/H59)</f>
        <v>0.074640919593513</v>
      </c>
      <c r="L59" s="9" t="n">
        <f aca="false">IF(H59=0,0,G59/H59)</f>
        <v>0.0225805984311283</v>
      </c>
      <c r="M59" s="4" t="str">
        <f aca="false">INDEX($C$3:$E$3,MATCH(MAX(C59:E59),C59:E59,0))</f>
        <v>Sigamos Haciendo Historia (PVEM-PT-Morena)</v>
      </c>
      <c r="N59" s="18" t="n">
        <f aca="false">IF(H59=0,0,(MAX(C59:E59)-LARGE(C59:E59,2))/H59*100)</f>
        <v>6.34393492731474</v>
      </c>
    </row>
    <row r="60" customFormat="false" ht="15" hidden="false" customHeight="false" outlineLevel="0" collapsed="false">
      <c r="A60" s="4" t="s">
        <v>62</v>
      </c>
      <c r="B60" s="4" t="n">
        <v>9</v>
      </c>
      <c r="C60" s="5" t="n">
        <v>134612</v>
      </c>
      <c r="D60" s="5" t="n">
        <v>50715</v>
      </c>
      <c r="E60" s="5" t="n">
        <v>18079</v>
      </c>
      <c r="F60" s="5" t="n">
        <v>159</v>
      </c>
      <c r="G60" s="5" t="n">
        <v>5190</v>
      </c>
      <c r="H60" s="5" t="n">
        <v>208755</v>
      </c>
      <c r="I60" s="9" t="n">
        <f aca="false">IF(H60=0,0,C60/H60)</f>
        <v>0.644832459102776</v>
      </c>
      <c r="J60" s="9" t="n">
        <f aca="false">IF(H60=0,0,D60/H60)</f>
        <v>0.242940288855357</v>
      </c>
      <c r="K60" s="9" t="n">
        <f aca="false">IF(H60=0,0,E60/H60)</f>
        <v>0.0866039136787143</v>
      </c>
      <c r="L60" s="9" t="n">
        <f aca="false">IF(H60=0,0,G60/H60)</f>
        <v>0.0248616799597614</v>
      </c>
      <c r="M60" s="4" t="str">
        <f aca="false">INDEX($C$3:$E$3,MATCH(MAX(C60:E60),C60:E60,0))</f>
        <v>Sigamos Haciendo Historia (PVEM-PT-Morena)</v>
      </c>
      <c r="N60" s="18" t="n">
        <f aca="false">IF(H60=0,0,(MAX(C60:E60)-LARGE(C60:E60,2))/H60*100)</f>
        <v>40.1892170247419</v>
      </c>
    </row>
    <row r="61" customFormat="false" ht="15" hidden="false" customHeight="false" outlineLevel="0" collapsed="false">
      <c r="A61" s="4" t="s">
        <v>62</v>
      </c>
      <c r="B61" s="4" t="n">
        <v>10</v>
      </c>
      <c r="C61" s="5" t="n">
        <v>98675</v>
      </c>
      <c r="D61" s="5" t="n">
        <v>123716</v>
      </c>
      <c r="E61" s="5" t="n">
        <v>15013</v>
      </c>
      <c r="F61" s="5" t="n">
        <v>257</v>
      </c>
      <c r="G61" s="5" t="n">
        <v>3894</v>
      </c>
      <c r="H61" s="5" t="n">
        <v>241555</v>
      </c>
      <c r="I61" s="9" t="n">
        <f aca="false">IF(H61=0,0,C61/H61)</f>
        <v>0.408499099583946</v>
      </c>
      <c r="J61" s="9" t="n">
        <f aca="false">IF(H61=0,0,D61/H61)</f>
        <v>0.512164931382087</v>
      </c>
      <c r="K61" s="9" t="n">
        <f aca="false">IF(H61=0,0,E61/H61)</f>
        <v>0.0621514768893213</v>
      </c>
      <c r="L61" s="9" t="n">
        <f aca="false">IF(H61=0,0,G61/H61)</f>
        <v>0.01612055225518</v>
      </c>
      <c r="M61" s="4" t="str">
        <f aca="false">INDEX($C$3:$E$3,MATCH(MAX(C61:E61),C61:E61,0))</f>
        <v>Fuerza y Corazón por México (PAN-PRI-PRD)</v>
      </c>
      <c r="N61" s="18" t="n">
        <f aca="false">IF(H61=0,0,(MAX(C61:E61)-LARGE(C61:E61,2))/H61*100)</f>
        <v>10.3665831798141</v>
      </c>
    </row>
    <row r="62" customFormat="false" ht="15" hidden="false" customHeight="false" outlineLevel="0" collapsed="false">
      <c r="A62" s="4" t="s">
        <v>62</v>
      </c>
      <c r="B62" s="4" t="n">
        <v>11</v>
      </c>
      <c r="C62" s="5" t="n">
        <v>156287</v>
      </c>
      <c r="D62" s="5" t="n">
        <v>99547</v>
      </c>
      <c r="E62" s="5" t="n">
        <v>22730</v>
      </c>
      <c r="F62" s="5" t="n">
        <v>278</v>
      </c>
      <c r="G62" s="5" t="n">
        <v>6055</v>
      </c>
      <c r="H62" s="5" t="n">
        <v>284897</v>
      </c>
      <c r="I62" s="9" t="n">
        <f aca="false">IF(H62=0,0,C62/H62)</f>
        <v>0.548573695054704</v>
      </c>
      <c r="J62" s="9" t="n">
        <f aca="false">IF(H62=0,0,D62/H62)</f>
        <v>0.349413998743406</v>
      </c>
      <c r="K62" s="9" t="n">
        <f aca="false">IF(H62=0,0,E62/H62)</f>
        <v>0.0797832199005255</v>
      </c>
      <c r="L62" s="9" t="n">
        <f aca="false">IF(H62=0,0,G62/H62)</f>
        <v>0.0212532950504919</v>
      </c>
      <c r="M62" s="4" t="str">
        <f aca="false">INDEX($C$3:$E$3,MATCH(MAX(C62:E62),C62:E62,0))</f>
        <v>Sigamos Haciendo Historia (PVEM-PT-Morena)</v>
      </c>
      <c r="N62" s="18" t="n">
        <f aca="false">IF(H62=0,0,(MAX(C62:E62)-LARGE(C62:E62,2))/H62*100)</f>
        <v>19.9159696311298</v>
      </c>
    </row>
    <row r="63" customFormat="false" ht="15" hidden="false" customHeight="false" outlineLevel="0" collapsed="false">
      <c r="A63" s="4" t="s">
        <v>62</v>
      </c>
      <c r="B63" s="4" t="n">
        <v>12</v>
      </c>
      <c r="C63" s="5" t="n">
        <v>123850</v>
      </c>
      <c r="D63" s="5" t="n">
        <v>112423</v>
      </c>
      <c r="E63" s="5" t="n">
        <v>19064</v>
      </c>
      <c r="F63" s="5" t="n">
        <v>475</v>
      </c>
      <c r="G63" s="5" t="n">
        <v>5747</v>
      </c>
      <c r="H63" s="5" t="n">
        <v>261559</v>
      </c>
      <c r="I63" s="9" t="n">
        <f aca="false">IF(H63=0,0,C63/H63)</f>
        <v>0.47350693342611</v>
      </c>
      <c r="J63" s="9" t="n">
        <f aca="false">IF(H63=0,0,D63/H63)</f>
        <v>0.429818893633941</v>
      </c>
      <c r="K63" s="9" t="n">
        <f aca="false">IF(H63=0,0,E63/H63)</f>
        <v>0.0728860410079561</v>
      </c>
      <c r="L63" s="9" t="n">
        <f aca="false">IF(H63=0,0,G63/H63)</f>
        <v>0.0219720980734748</v>
      </c>
      <c r="M63" s="4" t="str">
        <f aca="false">INDEX($C$3:$E$3,MATCH(MAX(C63:E63),C63:E63,0))</f>
        <v>Sigamos Haciendo Historia (PVEM-PT-Morena)</v>
      </c>
      <c r="N63" s="18" t="n">
        <f aca="false">IF(H63=0,0,(MAX(C63:E63)-LARGE(C63:E63,2))/H63*100)</f>
        <v>4.36880397921693</v>
      </c>
    </row>
    <row r="64" customFormat="false" ht="15" hidden="false" customHeight="false" outlineLevel="0" collapsed="false">
      <c r="A64" s="4" t="s">
        <v>62</v>
      </c>
      <c r="B64" s="4" t="n">
        <v>13</v>
      </c>
      <c r="C64" s="5" t="n">
        <v>141413</v>
      </c>
      <c r="D64" s="5" t="n">
        <v>88467</v>
      </c>
      <c r="E64" s="5" t="n">
        <v>20140</v>
      </c>
      <c r="F64" s="5" t="n">
        <v>236</v>
      </c>
      <c r="G64" s="5" t="n">
        <v>5419</v>
      </c>
      <c r="H64" s="5" t="n">
        <v>255675</v>
      </c>
      <c r="I64" s="9" t="n">
        <f aca="false">IF(H64=0,0,C64/H64)</f>
        <v>0.553096704801017</v>
      </c>
      <c r="J64" s="9" t="n">
        <f aca="false">IF(H64=0,0,D64/H64)</f>
        <v>0.346013493693165</v>
      </c>
      <c r="K64" s="9" t="n">
        <f aca="false">IF(H64=0,0,E64/H64)</f>
        <v>0.0787718783612007</v>
      </c>
      <c r="L64" s="9" t="n">
        <f aca="false">IF(H64=0,0,G64/H64)</f>
        <v>0.0211948763078127</v>
      </c>
      <c r="M64" s="4" t="str">
        <f aca="false">INDEX($C$3:$E$3,MATCH(MAX(C64:E64),C64:E64,0))</f>
        <v>Sigamos Haciendo Historia (PVEM-PT-Morena)</v>
      </c>
      <c r="N64" s="18" t="n">
        <f aca="false">IF(H64=0,0,(MAX(C64:E64)-LARGE(C64:E64,2))/H64*100)</f>
        <v>20.7083211107852</v>
      </c>
    </row>
    <row r="65" customFormat="false" ht="15" hidden="false" customHeight="false" outlineLevel="0" collapsed="false">
      <c r="A65" s="4" t="s">
        <v>62</v>
      </c>
      <c r="B65" s="4" t="n">
        <v>14</v>
      </c>
      <c r="C65" s="5" t="n">
        <v>130492</v>
      </c>
      <c r="D65" s="5" t="n">
        <v>109346</v>
      </c>
      <c r="E65" s="5" t="n">
        <v>18503</v>
      </c>
      <c r="F65" s="5" t="n">
        <v>289</v>
      </c>
      <c r="G65" s="5" t="n">
        <v>5627</v>
      </c>
      <c r="H65" s="5" t="n">
        <v>264257</v>
      </c>
      <c r="I65" s="9" t="n">
        <f aca="false">IF(H65=0,0,C65/H65)</f>
        <v>0.493807164994683</v>
      </c>
      <c r="J65" s="9" t="n">
        <f aca="false">IF(H65=0,0,D65/H65)</f>
        <v>0.413786578974256</v>
      </c>
      <c r="K65" s="9" t="n">
        <f aca="false">IF(H65=0,0,E65/H65)</f>
        <v>0.0700189588166066</v>
      </c>
      <c r="L65" s="9" t="n">
        <f aca="false">IF(H65=0,0,G65/H65)</f>
        <v>0.0212936648792653</v>
      </c>
      <c r="M65" s="4" t="str">
        <f aca="false">INDEX($C$3:$E$3,MATCH(MAX(C65:E65),C65:E65,0))</f>
        <v>Sigamos Haciendo Historia (PVEM-PT-Morena)</v>
      </c>
      <c r="N65" s="18" t="n">
        <f aca="false">IF(H65=0,0,(MAX(C65:E65)-LARGE(C65:E65,2))/H65*100)</f>
        <v>8.00205860204271</v>
      </c>
    </row>
    <row r="66" customFormat="false" ht="15" hidden="false" customHeight="false" outlineLevel="0" collapsed="false">
      <c r="A66" s="4" t="s">
        <v>62</v>
      </c>
      <c r="B66" s="4" t="n">
        <v>15</v>
      </c>
      <c r="C66" s="5" t="n">
        <v>83919</v>
      </c>
      <c r="D66" s="5" t="n">
        <v>191904</v>
      </c>
      <c r="E66" s="5" t="n">
        <v>15687</v>
      </c>
      <c r="F66" s="5" t="n">
        <v>442</v>
      </c>
      <c r="G66" s="5" t="n">
        <v>4771</v>
      </c>
      <c r="H66" s="5" t="n">
        <v>296723</v>
      </c>
      <c r="I66" s="9" t="n">
        <f aca="false">IF(H66=0,0,C66/H66)</f>
        <v>0.282819329812654</v>
      </c>
      <c r="J66" s="9" t="n">
        <f aca="false">IF(H66=0,0,D66/H66)</f>
        <v>0.646744606922955</v>
      </c>
      <c r="K66" s="9" t="n">
        <f aca="false">IF(H66=0,0,E66/H66)</f>
        <v>0.0528674892071056</v>
      </c>
      <c r="L66" s="9" t="n">
        <f aca="false">IF(H66=0,0,G66/H66)</f>
        <v>0.0160789692743737</v>
      </c>
      <c r="M66" s="4" t="str">
        <f aca="false">INDEX($C$3:$E$3,MATCH(MAX(C66:E66),C66:E66,0))</f>
        <v>Fuerza y Corazón por México (PAN-PRI-PRD)</v>
      </c>
      <c r="N66" s="18" t="n">
        <f aca="false">IF(H66=0,0,(MAX(C66:E66)-LARGE(C66:E66,2))/H66*100)</f>
        <v>36.3925277110302</v>
      </c>
    </row>
    <row r="67" customFormat="false" ht="15" hidden="false" customHeight="false" outlineLevel="0" collapsed="false">
      <c r="A67" s="4" t="s">
        <v>62</v>
      </c>
      <c r="B67" s="4" t="n">
        <v>16</v>
      </c>
      <c r="C67" s="5" t="n">
        <v>126958</v>
      </c>
      <c r="D67" s="5" t="n">
        <v>76811</v>
      </c>
      <c r="E67" s="5" t="n">
        <v>15733</v>
      </c>
      <c r="F67" s="5" t="n">
        <v>227</v>
      </c>
      <c r="G67" s="5" t="n">
        <v>4902</v>
      </c>
      <c r="H67" s="5" t="n">
        <v>224631</v>
      </c>
      <c r="I67" s="9" t="n">
        <f aca="false">IF(H67=0,0,C67/H67)</f>
        <v>0.565184680654051</v>
      </c>
      <c r="J67" s="9" t="n">
        <f aca="false">IF(H67=0,0,D67/H67)</f>
        <v>0.341943008756583</v>
      </c>
      <c r="K67" s="9" t="n">
        <f aca="false">IF(H67=0,0,E67/H67)</f>
        <v>0.0700393089110586</v>
      </c>
      <c r="L67" s="9" t="n">
        <f aca="false">IF(H67=0,0,G67/H67)</f>
        <v>0.0218224554936763</v>
      </c>
      <c r="M67" s="4" t="str">
        <f aca="false">INDEX($C$3:$E$3,MATCH(MAX(C67:E67),C67:E67,0))</f>
        <v>Sigamos Haciendo Historia (PVEM-PT-Morena)</v>
      </c>
      <c r="N67" s="18" t="n">
        <f aca="false">IF(H67=0,0,(MAX(C67:E67)-LARGE(C67:E67,2))/H67*100)</f>
        <v>22.3241671897467</v>
      </c>
    </row>
    <row r="68" customFormat="false" ht="15" hidden="false" customHeight="false" outlineLevel="0" collapsed="false">
      <c r="A68" s="4" t="s">
        <v>62</v>
      </c>
      <c r="B68" s="4" t="n">
        <v>17</v>
      </c>
      <c r="C68" s="5" t="n">
        <v>127072</v>
      </c>
      <c r="D68" s="5" t="n">
        <v>103939</v>
      </c>
      <c r="E68" s="5" t="n">
        <v>18542</v>
      </c>
      <c r="F68" s="5" t="n">
        <v>176</v>
      </c>
      <c r="G68" s="5" t="n">
        <v>5086</v>
      </c>
      <c r="H68" s="5" t="n">
        <v>254815</v>
      </c>
      <c r="I68" s="9" t="n">
        <f aca="false">IF(H68=0,0,C68/H68)</f>
        <v>0.498683358515001</v>
      </c>
      <c r="J68" s="9" t="n">
        <f aca="false">IF(H68=0,0,D68/H68)</f>
        <v>0.407899848909994</v>
      </c>
      <c r="K68" s="9" t="n">
        <f aca="false">IF(H68=0,0,E68/H68)</f>
        <v>0.0727665168847988</v>
      </c>
      <c r="L68" s="9" t="n">
        <f aca="false">IF(H68=0,0,G68/H68)</f>
        <v>0.0199595785177482</v>
      </c>
      <c r="M68" s="4" t="str">
        <f aca="false">INDEX($C$3:$E$3,MATCH(MAX(C68:E68),C68:E68,0))</f>
        <v>Sigamos Haciendo Historia (PVEM-PT-Morena)</v>
      </c>
      <c r="N68" s="18" t="n">
        <f aca="false">IF(H68=0,0,(MAX(C68:E68)-LARGE(C68:E68,2))/H68*100)</f>
        <v>9.07835096050076</v>
      </c>
    </row>
    <row r="69" customFormat="false" ht="15" hidden="false" customHeight="false" outlineLevel="0" collapsed="false">
      <c r="A69" s="4" t="s">
        <v>62</v>
      </c>
      <c r="B69" s="4" t="n">
        <v>18</v>
      </c>
      <c r="C69" s="5" t="n">
        <v>156689</v>
      </c>
      <c r="D69" s="5" t="n">
        <v>75614</v>
      </c>
      <c r="E69" s="5" t="n">
        <v>18956</v>
      </c>
      <c r="F69" s="5" t="n">
        <v>237</v>
      </c>
      <c r="G69" s="5" t="n">
        <v>5895</v>
      </c>
      <c r="H69" s="5" t="n">
        <v>257391</v>
      </c>
      <c r="I69" s="9" t="n">
        <f aca="false">IF(H69=0,0,C69/H69)</f>
        <v>0.608758659005171</v>
      </c>
      <c r="J69" s="9" t="n">
        <f aca="false">IF(H69=0,0,D69/H69)</f>
        <v>0.293770955472414</v>
      </c>
      <c r="K69" s="9" t="n">
        <f aca="false">IF(H69=0,0,E69/H69)</f>
        <v>0.0736467087038785</v>
      </c>
      <c r="L69" s="9" t="n">
        <f aca="false">IF(H69=0,0,G69/H69)</f>
        <v>0.0229028987027518</v>
      </c>
      <c r="M69" s="4" t="str">
        <f aca="false">INDEX($C$3:$E$3,MATCH(MAX(C69:E69),C69:E69,0))</f>
        <v>Sigamos Haciendo Historia (PVEM-PT-Morena)</v>
      </c>
      <c r="N69" s="18" t="n">
        <f aca="false">IF(H69=0,0,(MAX(C69:E69)-LARGE(C69:E69,2))/H69*100)</f>
        <v>31.4987703532758</v>
      </c>
    </row>
    <row r="70" customFormat="false" ht="15" hidden="false" customHeight="false" outlineLevel="0" collapsed="false">
      <c r="A70" s="4" t="s">
        <v>62</v>
      </c>
      <c r="B70" s="4" t="n">
        <v>19</v>
      </c>
      <c r="C70" s="5" t="n">
        <v>110486</v>
      </c>
      <c r="D70" s="5" t="n">
        <v>116872</v>
      </c>
      <c r="E70" s="5" t="n">
        <v>16530</v>
      </c>
      <c r="F70" s="5" t="n">
        <v>234</v>
      </c>
      <c r="G70" s="5" t="n">
        <v>4526</v>
      </c>
      <c r="H70" s="5" t="n">
        <v>248648</v>
      </c>
      <c r="I70" s="9" t="n">
        <f aca="false">IF(H70=0,0,C70/H70)</f>
        <v>0.444347028731379</v>
      </c>
      <c r="J70" s="9" t="n">
        <f aca="false">IF(H70=0,0,D70/H70)</f>
        <v>0.470029921817187</v>
      </c>
      <c r="K70" s="9" t="n">
        <f aca="false">IF(H70=0,0,E70/H70)</f>
        <v>0.066479521250925</v>
      </c>
      <c r="L70" s="9" t="n">
        <f aca="false">IF(H70=0,0,G70/H70)</f>
        <v>0.0182024387889708</v>
      </c>
      <c r="M70" s="4" t="str">
        <f aca="false">INDEX($C$3:$E$3,MATCH(MAX(C70:E70),C70:E70,0))</f>
        <v>Fuerza y Corazón por México (PAN-PRI-PRD)</v>
      </c>
      <c r="N70" s="18" t="n">
        <f aca="false">IF(H70=0,0,(MAX(C70:E70)-LARGE(C70:E70,2))/H70*100)</f>
        <v>2.56828930858081</v>
      </c>
    </row>
    <row r="71" customFormat="false" ht="15" hidden="false" customHeight="false" outlineLevel="0" collapsed="false">
      <c r="A71" s="4" t="s">
        <v>62</v>
      </c>
      <c r="B71" s="4" t="n">
        <v>20</v>
      </c>
      <c r="C71" s="5" t="n">
        <v>179771</v>
      </c>
      <c r="D71" s="5" t="n">
        <v>62682</v>
      </c>
      <c r="E71" s="5" t="n">
        <v>18170</v>
      </c>
      <c r="F71" s="5" t="n">
        <v>205</v>
      </c>
      <c r="G71" s="5" t="n">
        <v>6165</v>
      </c>
      <c r="H71" s="5" t="n">
        <v>266993</v>
      </c>
      <c r="I71" s="9" t="n">
        <f aca="false">IF(H71=0,0,C71/H71)</f>
        <v>0.673317277981071</v>
      </c>
      <c r="J71" s="9" t="n">
        <f aca="false">IF(H71=0,0,D71/H71)</f>
        <v>0.234770199967789</v>
      </c>
      <c r="K71" s="9" t="n">
        <f aca="false">IF(H71=0,0,E71/H71)</f>
        <v>0.0680542186499272</v>
      </c>
      <c r="L71" s="9" t="n">
        <f aca="false">IF(H71=0,0,G71/H71)</f>
        <v>0.02309049300918</v>
      </c>
      <c r="M71" s="4" t="str">
        <f aca="false">INDEX($C$3:$E$3,MATCH(MAX(C71:E71),C71:E71,0))</f>
        <v>Sigamos Haciendo Historia (PVEM-PT-Morena)</v>
      </c>
      <c r="N71" s="18" t="n">
        <f aca="false">IF(H71=0,0,(MAX(C71:E71)-LARGE(C71:E71,2))/H71*100)</f>
        <v>43.8547078013281</v>
      </c>
    </row>
    <row r="72" customFormat="false" ht="15" hidden="false" customHeight="false" outlineLevel="0" collapsed="false">
      <c r="A72" s="4" t="s">
        <v>62</v>
      </c>
      <c r="B72" s="4" t="n">
        <v>21</v>
      </c>
      <c r="C72" s="5" t="n">
        <v>146773</v>
      </c>
      <c r="D72" s="5" t="n">
        <v>55853</v>
      </c>
      <c r="E72" s="5" t="n">
        <v>18858</v>
      </c>
      <c r="F72" s="5" t="n">
        <v>186</v>
      </c>
      <c r="G72" s="5" t="n">
        <v>7008</v>
      </c>
      <c r="H72" s="5" t="n">
        <v>228678</v>
      </c>
      <c r="I72" s="9" t="n">
        <f aca="false">IF(H72=0,0,C72/H72)</f>
        <v>0.641832620540673</v>
      </c>
      <c r="J72" s="9" t="n">
        <f aca="false">IF(H72=0,0,D72/H72)</f>
        <v>0.244242996702787</v>
      </c>
      <c r="K72" s="9" t="n">
        <f aca="false">IF(H72=0,0,E72/H72)</f>
        <v>0.0824653005536169</v>
      </c>
      <c r="L72" s="9" t="n">
        <f aca="false">IF(H72=0,0,G72/H72)</f>
        <v>0.0306457114370425</v>
      </c>
      <c r="M72" s="4" t="str">
        <f aca="false">INDEX($C$3:$E$3,MATCH(MAX(C72:E72),C72:E72,0))</f>
        <v>Sigamos Haciendo Historia (PVEM-PT-Morena)</v>
      </c>
      <c r="N72" s="18" t="n">
        <f aca="false">IF(H72=0,0,(MAX(C72:E72)-LARGE(C72:E72,2))/H72*100)</f>
        <v>39.7589623837886</v>
      </c>
    </row>
    <row r="73" customFormat="false" ht="15" hidden="false" customHeight="false" outlineLevel="0" collapsed="false">
      <c r="A73" s="4" t="s">
        <v>62</v>
      </c>
      <c r="B73" s="4" t="n">
        <v>22</v>
      </c>
      <c r="C73" s="5" t="n">
        <v>143775</v>
      </c>
      <c r="D73" s="5" t="n">
        <v>27070</v>
      </c>
      <c r="E73" s="5" t="n">
        <v>10908</v>
      </c>
      <c r="F73" s="5" t="n">
        <v>127</v>
      </c>
      <c r="G73" s="5" t="n">
        <v>4811</v>
      </c>
      <c r="H73" s="5" t="n">
        <v>186691</v>
      </c>
      <c r="I73" s="9" t="n">
        <f aca="false">IF(H73=0,0,C73/H73)</f>
        <v>0.770122823274823</v>
      </c>
      <c r="J73" s="9" t="n">
        <f aca="false">IF(H73=0,0,D73/H73)</f>
        <v>0.144998955493302</v>
      </c>
      <c r="K73" s="9" t="n">
        <f aca="false">IF(H73=0,0,E73/H73)</f>
        <v>0.058428097765827</v>
      </c>
      <c r="L73" s="9" t="n">
        <f aca="false">IF(H73=0,0,G73/H73)</f>
        <v>0.0257698550010445</v>
      </c>
      <c r="M73" s="4" t="str">
        <f aca="false">INDEX($C$3:$E$3,MATCH(MAX(C73:E73),C73:E73,0))</f>
        <v>Sigamos Haciendo Historia (PVEM-PT-Morena)</v>
      </c>
      <c r="N73" s="18" t="n">
        <f aca="false">IF(H73=0,0,(MAX(C73:E73)-LARGE(C73:E73,2))/H73*100)</f>
        <v>62.5123867781521</v>
      </c>
    </row>
    <row r="74" customFormat="false" ht="15" hidden="false" customHeight="false" outlineLevel="0" collapsed="false">
      <c r="A74" s="4" t="s">
        <v>63</v>
      </c>
      <c r="B74" s="4" t="n">
        <v>1</v>
      </c>
      <c r="C74" s="5" t="n">
        <v>90341</v>
      </c>
      <c r="D74" s="5" t="n">
        <v>74051</v>
      </c>
      <c r="E74" s="5" t="n">
        <v>8778</v>
      </c>
      <c r="F74" s="5" t="n">
        <v>91</v>
      </c>
      <c r="G74" s="5" t="n">
        <v>5665</v>
      </c>
      <c r="H74" s="5" t="n">
        <v>178926</v>
      </c>
      <c r="I74" s="9" t="n">
        <f aca="false">IF(H74=0,0,C74/H74)</f>
        <v>0.504907056548517</v>
      </c>
      <c r="J74" s="9" t="n">
        <f aca="false">IF(H74=0,0,D74/H74)</f>
        <v>0.41386383197523</v>
      </c>
      <c r="K74" s="9" t="n">
        <f aca="false">IF(H74=0,0,E74/H74)</f>
        <v>0.0490593876798229</v>
      </c>
      <c r="L74" s="9" t="n">
        <f aca="false">IF(H74=0,0,G74/H74)</f>
        <v>0.0316611336530186</v>
      </c>
      <c r="M74" s="4" t="str">
        <f aca="false">INDEX($C$3:$E$3,MATCH(MAX(C74:E74),C74:E74,0))</f>
        <v>Sigamos Haciendo Historia (PVEM-PT-Morena)</v>
      </c>
      <c r="N74" s="18" t="n">
        <f aca="false">IF(H74=0,0,(MAX(C74:E74)-LARGE(C74:E74,2))/H74*100)</f>
        <v>9.10432245732873</v>
      </c>
    </row>
    <row r="75" customFormat="false" ht="15" hidden="false" customHeight="false" outlineLevel="0" collapsed="false">
      <c r="A75" s="4" t="s">
        <v>63</v>
      </c>
      <c r="B75" s="4" t="n">
        <v>2</v>
      </c>
      <c r="C75" s="5" t="n">
        <v>111305</v>
      </c>
      <c r="D75" s="5" t="n">
        <v>67845</v>
      </c>
      <c r="E75" s="5" t="n">
        <v>11768</v>
      </c>
      <c r="F75" s="5" t="n">
        <v>86</v>
      </c>
      <c r="G75" s="5" t="n">
        <v>4266</v>
      </c>
      <c r="H75" s="5" t="n">
        <v>195270</v>
      </c>
      <c r="I75" s="9" t="n">
        <f aca="false">IF(H75=0,0,C75/H75)</f>
        <v>0.57000563322579</v>
      </c>
      <c r="J75" s="9" t="n">
        <f aca="false">IF(H75=0,0,D75/H75)</f>
        <v>0.347442003379935</v>
      </c>
      <c r="K75" s="9" t="n">
        <f aca="false">IF(H75=0,0,E75/H75)</f>
        <v>0.0602652737235622</v>
      </c>
      <c r="L75" s="9" t="n">
        <f aca="false">IF(H75=0,0,G75/H75)</f>
        <v>0.0218466738362268</v>
      </c>
      <c r="M75" s="4" t="str">
        <f aca="false">INDEX($C$3:$E$3,MATCH(MAX(C75:E75),C75:E75,0))</f>
        <v>Sigamos Haciendo Historia (PVEM-PT-Morena)</v>
      </c>
      <c r="N75" s="18" t="n">
        <f aca="false">IF(H75=0,0,(MAX(C75:E75)-LARGE(C75:E75,2))/H75*100)</f>
        <v>22.2563629845854</v>
      </c>
    </row>
    <row r="76" customFormat="false" ht="15" hidden="false" customHeight="false" outlineLevel="0" collapsed="false">
      <c r="A76" s="4" t="s">
        <v>63</v>
      </c>
      <c r="B76" s="4" t="n">
        <v>3</v>
      </c>
      <c r="C76" s="5" t="n">
        <v>108354</v>
      </c>
      <c r="D76" s="5" t="n">
        <v>72516</v>
      </c>
      <c r="E76" s="5" t="n">
        <v>8972</v>
      </c>
      <c r="F76" s="5" t="n">
        <v>78</v>
      </c>
      <c r="G76" s="5" t="n">
        <v>5826</v>
      </c>
      <c r="H76" s="5" t="n">
        <v>195746</v>
      </c>
      <c r="I76" s="9" t="n">
        <f aca="false">IF(H76=0,0,C76/H76)</f>
        <v>0.553543878291255</v>
      </c>
      <c r="J76" s="9" t="n">
        <f aca="false">IF(H76=0,0,D76/H76)</f>
        <v>0.370459677336957</v>
      </c>
      <c r="K76" s="9" t="n">
        <f aca="false">IF(H76=0,0,E76/H76)</f>
        <v>0.0458349085038775</v>
      </c>
      <c r="L76" s="9" t="n">
        <f aca="false">IF(H76=0,0,G76/H76)</f>
        <v>0.0297630602924198</v>
      </c>
      <c r="M76" s="4" t="str">
        <f aca="false">INDEX($C$3:$E$3,MATCH(MAX(C76:E76),C76:E76,0))</f>
        <v>Sigamos Haciendo Historia (PVEM-PT-Morena)</v>
      </c>
      <c r="N76" s="18" t="n">
        <f aca="false">IF(H76=0,0,(MAX(C76:E76)-LARGE(C76:E76,2))/H76*100)</f>
        <v>18.3084200954298</v>
      </c>
    </row>
    <row r="77" customFormat="false" ht="15" hidden="false" customHeight="false" outlineLevel="0" collapsed="false">
      <c r="A77" s="4" t="s">
        <v>63</v>
      </c>
      <c r="B77" s="4" t="n">
        <v>4</v>
      </c>
      <c r="C77" s="5" t="n">
        <v>82249</v>
      </c>
      <c r="D77" s="5" t="n">
        <v>98321</v>
      </c>
      <c r="E77" s="5" t="n">
        <v>19888</v>
      </c>
      <c r="F77" s="5" t="n">
        <v>108</v>
      </c>
      <c r="G77" s="5" t="n">
        <v>4815</v>
      </c>
      <c r="H77" s="5" t="n">
        <v>205381</v>
      </c>
      <c r="I77" s="9" t="n">
        <f aca="false">IF(H77=0,0,C77/H77)</f>
        <v>0.400470345358139</v>
      </c>
      <c r="J77" s="9" t="n">
        <f aca="false">IF(H77=0,0,D77/H77)</f>
        <v>0.478724906393483</v>
      </c>
      <c r="K77" s="9" t="n">
        <f aca="false">IF(H77=0,0,E77/H77)</f>
        <v>0.096834663381715</v>
      </c>
      <c r="L77" s="9" t="n">
        <f aca="false">IF(H77=0,0,G77/H77)</f>
        <v>0.0234442329134633</v>
      </c>
      <c r="M77" s="4" t="str">
        <f aca="false">INDEX($C$3:$E$3,MATCH(MAX(C77:E77),C77:E77,0))</f>
        <v>Fuerza y Corazón por México (PAN-PRI-PRD)</v>
      </c>
      <c r="N77" s="18" t="n">
        <f aca="false">IF(H77=0,0,(MAX(C77:E77)-LARGE(C77:E77,2))/H77*100)</f>
        <v>7.82545610353441</v>
      </c>
    </row>
    <row r="78" customFormat="false" ht="15" hidden="false" customHeight="false" outlineLevel="0" collapsed="false">
      <c r="A78" s="4" t="s">
        <v>64</v>
      </c>
      <c r="B78" s="4" t="n">
        <v>1</v>
      </c>
      <c r="C78" s="5" t="n">
        <v>66923</v>
      </c>
      <c r="D78" s="5" t="n">
        <v>83972</v>
      </c>
      <c r="E78" s="5" t="n">
        <v>9877</v>
      </c>
      <c r="F78" s="5" t="n">
        <v>113</v>
      </c>
      <c r="G78" s="5" t="n">
        <v>7635</v>
      </c>
      <c r="H78" s="5" t="n">
        <v>168520</v>
      </c>
      <c r="I78" s="9" t="n">
        <f aca="false">IF(H78=0,0,C78/H78)</f>
        <v>0.397122003323048</v>
      </c>
      <c r="J78" s="9" t="n">
        <f aca="false">IF(H78=0,0,D78/H78)</f>
        <v>0.498291004035129</v>
      </c>
      <c r="K78" s="9" t="n">
        <f aca="false">IF(H78=0,0,E78/H78)</f>
        <v>0.0586102539757892</v>
      </c>
      <c r="L78" s="9" t="n">
        <f aca="false">IF(H78=0,0,G78/H78)</f>
        <v>0.0453061951103727</v>
      </c>
      <c r="M78" s="4" t="str">
        <f aca="false">INDEX($C$3:$E$3,MATCH(MAX(C78:E78),C78:E78,0))</f>
        <v>Fuerza y Corazón por México (PAN-PRI-PRD)</v>
      </c>
      <c r="N78" s="18" t="n">
        <f aca="false">IF(H78=0,0,(MAX(C78:E78)-LARGE(C78:E78,2))/H78*100)</f>
        <v>10.1169000712082</v>
      </c>
    </row>
    <row r="79" customFormat="false" ht="15" hidden="false" customHeight="false" outlineLevel="0" collapsed="false">
      <c r="A79" s="4" t="s">
        <v>64</v>
      </c>
      <c r="B79" s="4" t="n">
        <v>2</v>
      </c>
      <c r="C79" s="5" t="n">
        <v>90229</v>
      </c>
      <c r="D79" s="5" t="n">
        <v>74850</v>
      </c>
      <c r="E79" s="5" t="n">
        <v>14198</v>
      </c>
      <c r="F79" s="5" t="n">
        <v>102</v>
      </c>
      <c r="G79" s="5" t="n">
        <v>7277</v>
      </c>
      <c r="H79" s="5" t="n">
        <v>186656</v>
      </c>
      <c r="I79" s="9" t="n">
        <f aca="false">IF(H79=0,0,C79/H79)</f>
        <v>0.483397265558032</v>
      </c>
      <c r="J79" s="9" t="n">
        <f aca="false">IF(H79=0,0,D79/H79)</f>
        <v>0.401005057431853</v>
      </c>
      <c r="K79" s="9" t="n">
        <f aca="false">IF(H79=0,0,E79/H79)</f>
        <v>0.0760650608606206</v>
      </c>
      <c r="L79" s="9" t="n">
        <f aca="false">IF(H79=0,0,G79/H79)</f>
        <v>0.0389861563517915</v>
      </c>
      <c r="M79" s="4" t="str">
        <f aca="false">INDEX($C$3:$E$3,MATCH(MAX(C79:E79),C79:E79,0))</f>
        <v>Sigamos Haciendo Historia (PVEM-PT-Morena)</v>
      </c>
      <c r="N79" s="18" t="n">
        <f aca="false">IF(H79=0,0,(MAX(C79:E79)-LARGE(C79:E79,2))/H79*100)</f>
        <v>8.23922081261786</v>
      </c>
    </row>
    <row r="80" customFormat="false" ht="15" hidden="false" customHeight="false" outlineLevel="0" collapsed="false">
      <c r="A80" s="4" t="s">
        <v>64</v>
      </c>
      <c r="B80" s="4" t="n">
        <v>3</v>
      </c>
      <c r="C80" s="5" t="n">
        <v>61976</v>
      </c>
      <c r="D80" s="5" t="n">
        <v>135619</v>
      </c>
      <c r="E80" s="5" t="n">
        <v>14370</v>
      </c>
      <c r="F80" s="5" t="n">
        <v>160</v>
      </c>
      <c r="G80" s="5" t="n">
        <v>5860</v>
      </c>
      <c r="H80" s="5" t="n">
        <v>217985</v>
      </c>
      <c r="I80" s="9" t="n">
        <f aca="false">IF(H80=0,0,C80/H80)</f>
        <v>0.284313140812441</v>
      </c>
      <c r="J80" s="9" t="n">
        <f aca="false">IF(H80=0,0,D80/H80)</f>
        <v>0.622148312957314</v>
      </c>
      <c r="K80" s="9" t="n">
        <f aca="false">IF(H80=0,0,E80/H80)</f>
        <v>0.0659219671078285</v>
      </c>
      <c r="L80" s="9" t="n">
        <f aca="false">IF(H80=0,0,G80/H80)</f>
        <v>0.0268825836640136</v>
      </c>
      <c r="M80" s="4" t="str">
        <f aca="false">INDEX($C$3:$E$3,MATCH(MAX(C80:E80),C80:E80,0))</f>
        <v>Fuerza y Corazón por México (PAN-PRI-PRD)</v>
      </c>
      <c r="N80" s="18" t="n">
        <f aca="false">IF(H80=0,0,(MAX(C80:E80)-LARGE(C80:E80,2))/H80*100)</f>
        <v>33.7835172144872</v>
      </c>
    </row>
    <row r="81" customFormat="false" ht="15" hidden="false" customHeight="false" outlineLevel="0" collapsed="false">
      <c r="A81" s="4" t="s">
        <v>64</v>
      </c>
      <c r="B81" s="4" t="n">
        <v>4</v>
      </c>
      <c r="C81" s="5" t="n">
        <v>71816</v>
      </c>
      <c r="D81" s="5" t="n">
        <v>79606</v>
      </c>
      <c r="E81" s="5" t="n">
        <v>11005</v>
      </c>
      <c r="F81" s="5" t="n">
        <v>122</v>
      </c>
      <c r="G81" s="5" t="n">
        <v>5986</v>
      </c>
      <c r="H81" s="5" t="n">
        <v>168535</v>
      </c>
      <c r="I81" s="9" t="n">
        <f aca="false">IF(H81=0,0,C81/H81)</f>
        <v>0.426119203726229</v>
      </c>
      <c r="J81" s="9" t="n">
        <f aca="false">IF(H81=0,0,D81/H81)</f>
        <v>0.47234105675379</v>
      </c>
      <c r="K81" s="9" t="n">
        <f aca="false">IF(H81=0,0,E81/H81)</f>
        <v>0.0652980093155724</v>
      </c>
      <c r="L81" s="9" t="n">
        <f aca="false">IF(H81=0,0,G81/H81)</f>
        <v>0.0355178449580206</v>
      </c>
      <c r="M81" s="4" t="str">
        <f aca="false">INDEX($C$3:$E$3,MATCH(MAX(C81:E81),C81:E81,0))</f>
        <v>Fuerza y Corazón por México (PAN-PRI-PRD)</v>
      </c>
      <c r="N81" s="18" t="n">
        <f aca="false">IF(H81=0,0,(MAX(C81:E81)-LARGE(C81:E81,2))/H81*100)</f>
        <v>4.62218530275611</v>
      </c>
    </row>
    <row r="82" customFormat="false" ht="15" hidden="false" customHeight="false" outlineLevel="0" collapsed="false">
      <c r="A82" s="4" t="s">
        <v>64</v>
      </c>
      <c r="B82" s="4" t="n">
        <v>5</v>
      </c>
      <c r="C82" s="5" t="n">
        <v>63690</v>
      </c>
      <c r="D82" s="5" t="n">
        <v>94087</v>
      </c>
      <c r="E82" s="5" t="n">
        <v>12845</v>
      </c>
      <c r="F82" s="5" t="n">
        <v>135</v>
      </c>
      <c r="G82" s="5" t="n">
        <v>5271</v>
      </c>
      <c r="H82" s="5" t="n">
        <v>176028</v>
      </c>
      <c r="I82" s="9" t="n">
        <f aca="false">IF(H82=0,0,C82/H82)</f>
        <v>0.361817438134842</v>
      </c>
      <c r="J82" s="9" t="n">
        <f aca="false">IF(H82=0,0,D82/H82)</f>
        <v>0.53450019315109</v>
      </c>
      <c r="K82" s="9" t="n">
        <f aca="false">IF(H82=0,0,E82/H82)</f>
        <v>0.0729713454677665</v>
      </c>
      <c r="L82" s="9" t="n">
        <f aca="false">IF(H82=0,0,G82/H82)</f>
        <v>0.0299440998023042</v>
      </c>
      <c r="M82" s="4" t="str">
        <f aca="false">INDEX($C$3:$E$3,MATCH(MAX(C82:E82),C82:E82,0))</f>
        <v>Fuerza y Corazón por México (PAN-PRI-PRD)</v>
      </c>
      <c r="N82" s="18" t="n">
        <f aca="false">IF(H82=0,0,(MAX(C82:E82)-LARGE(C82:E82,2))/H82*100)</f>
        <v>17.2682755016247</v>
      </c>
    </row>
    <row r="83" customFormat="false" ht="15" hidden="false" customHeight="false" outlineLevel="0" collapsed="false">
      <c r="A83" s="4" t="s">
        <v>64</v>
      </c>
      <c r="B83" s="4" t="n">
        <v>6</v>
      </c>
      <c r="C83" s="5" t="n">
        <v>63270</v>
      </c>
      <c r="D83" s="5" t="n">
        <v>94485</v>
      </c>
      <c r="E83" s="5" t="n">
        <v>12809</v>
      </c>
      <c r="F83" s="5" t="n">
        <v>128</v>
      </c>
      <c r="G83" s="5" t="n">
        <v>5003</v>
      </c>
      <c r="H83" s="5" t="n">
        <v>175695</v>
      </c>
      <c r="I83" s="9" t="n">
        <f aca="false">IF(H83=0,0,C83/H83)</f>
        <v>0.360112695295825</v>
      </c>
      <c r="J83" s="9" t="n">
        <f aca="false">IF(H83=0,0,D83/H83)</f>
        <v>0.537778536668659</v>
      </c>
      <c r="K83" s="9" t="n">
        <f aca="false">IF(H83=0,0,E83/H83)</f>
        <v>0.0729047497083013</v>
      </c>
      <c r="L83" s="9" t="n">
        <f aca="false">IF(H83=0,0,G83/H83)</f>
        <v>0.0284754830814764</v>
      </c>
      <c r="M83" s="4" t="str">
        <f aca="false">INDEX($C$3:$E$3,MATCH(MAX(C83:E83),C83:E83,0))</f>
        <v>Fuerza y Corazón por México (PAN-PRI-PRD)</v>
      </c>
      <c r="N83" s="18" t="n">
        <f aca="false">IF(H83=0,0,(MAX(C83:E83)-LARGE(C83:E83,2))/H83*100)</f>
        <v>17.7665841372834</v>
      </c>
    </row>
    <row r="84" customFormat="false" ht="15" hidden="false" customHeight="false" outlineLevel="0" collapsed="false">
      <c r="A84" s="4" t="s">
        <v>64</v>
      </c>
      <c r="B84" s="4" t="n">
        <v>7</v>
      </c>
      <c r="C84" s="5" t="n">
        <v>49751</v>
      </c>
      <c r="D84" s="5" t="n">
        <v>95249</v>
      </c>
      <c r="E84" s="5" t="n">
        <v>5767</v>
      </c>
      <c r="F84" s="5" t="n">
        <v>53</v>
      </c>
      <c r="G84" s="5" t="n">
        <v>4697</v>
      </c>
      <c r="H84" s="5" t="n">
        <v>155517</v>
      </c>
      <c r="I84" s="9" t="n">
        <f aca="false">IF(H84=0,0,C84/H84)</f>
        <v>0.319907148414643</v>
      </c>
      <c r="J84" s="9" t="n">
        <f aca="false">IF(H84=0,0,D84/H84)</f>
        <v>0.612466804272202</v>
      </c>
      <c r="K84" s="9" t="n">
        <f aca="false">IF(H84=0,0,E84/H84)</f>
        <v>0.0370827626561726</v>
      </c>
      <c r="L84" s="9" t="n">
        <f aca="false">IF(H84=0,0,G84/H84)</f>
        <v>0.0302024859018628</v>
      </c>
      <c r="M84" s="4" t="str">
        <f aca="false">INDEX($C$3:$E$3,MATCH(MAX(C84:E84),C84:E84,0))</f>
        <v>Fuerza y Corazón por México (PAN-PRI-PRD)</v>
      </c>
      <c r="N84" s="18" t="n">
        <f aca="false">IF(H84=0,0,(MAX(C84:E84)-LARGE(C84:E84,2))/H84*100)</f>
        <v>29.2559655857559</v>
      </c>
    </row>
    <row r="85" customFormat="false" ht="15" hidden="false" customHeight="false" outlineLevel="0" collapsed="false">
      <c r="A85" s="4" t="s">
        <v>64</v>
      </c>
      <c r="B85" s="4" t="n">
        <v>8</v>
      </c>
      <c r="C85" s="5" t="n">
        <v>104986</v>
      </c>
      <c r="D85" s="5" t="n">
        <v>74337</v>
      </c>
      <c r="E85" s="5" t="n">
        <v>13843</v>
      </c>
      <c r="F85" s="5" t="n">
        <v>177</v>
      </c>
      <c r="G85" s="5" t="n">
        <v>6145</v>
      </c>
      <c r="H85" s="5" t="n">
        <v>199488</v>
      </c>
      <c r="I85" s="9" t="n">
        <f aca="false">IF(H85=0,0,C85/H85)</f>
        <v>0.526277269810715</v>
      </c>
      <c r="J85" s="9" t="n">
        <f aca="false">IF(H85=0,0,D85/H85)</f>
        <v>0.37263895572666</v>
      </c>
      <c r="K85" s="9" t="n">
        <f aca="false">IF(H85=0,0,E85/H85)</f>
        <v>0.0693926451716394</v>
      </c>
      <c r="L85" s="9" t="n">
        <f aca="false">IF(H85=0,0,G85/H85)</f>
        <v>0.030803857876163</v>
      </c>
      <c r="M85" s="4" t="str">
        <f aca="false">INDEX($C$3:$E$3,MATCH(MAX(C85:E85),C85:E85,0))</f>
        <v>Sigamos Haciendo Historia (PVEM-PT-Morena)</v>
      </c>
      <c r="N85" s="18" t="n">
        <f aca="false">IF(H85=0,0,(MAX(C85:E85)-LARGE(C85:E85,2))/H85*100)</f>
        <v>15.3638314084055</v>
      </c>
    </row>
    <row r="86" customFormat="false" ht="15" hidden="false" customHeight="false" outlineLevel="0" collapsed="false">
      <c r="A86" s="4" t="s">
        <v>64</v>
      </c>
      <c r="B86" s="4" t="n">
        <v>9</v>
      </c>
      <c r="C86" s="5" t="n">
        <v>72366</v>
      </c>
      <c r="D86" s="5" t="n">
        <v>77338</v>
      </c>
      <c r="E86" s="5" t="n">
        <v>13947</v>
      </c>
      <c r="F86" s="5" t="n">
        <v>80</v>
      </c>
      <c r="G86" s="5" t="n">
        <v>5046</v>
      </c>
      <c r="H86" s="5" t="n">
        <v>168777</v>
      </c>
      <c r="I86" s="9" t="n">
        <f aca="false">IF(H86=0,0,C86/H86)</f>
        <v>0.428766952843101</v>
      </c>
      <c r="J86" s="9" t="n">
        <f aca="false">IF(H86=0,0,D86/H86)</f>
        <v>0.458225943108362</v>
      </c>
      <c r="K86" s="9" t="n">
        <f aca="false">IF(H86=0,0,E86/H86)</f>
        <v>0.0826356671821397</v>
      </c>
      <c r="L86" s="9" t="n">
        <f aca="false">IF(H86=0,0,G86/H86)</f>
        <v>0.0298974386320411</v>
      </c>
      <c r="M86" s="4" t="str">
        <f aca="false">INDEX($C$3:$E$3,MATCH(MAX(C86:E86),C86:E86,0))</f>
        <v>Fuerza y Corazón por México (PAN-PRI-PRD)</v>
      </c>
      <c r="N86" s="18" t="n">
        <f aca="false">IF(H86=0,0,(MAX(C86:E86)-LARGE(C86:E86,2))/H86*100)</f>
        <v>2.94589902652613</v>
      </c>
    </row>
    <row r="87" customFormat="false" ht="15" hidden="false" customHeight="false" outlineLevel="0" collapsed="false">
      <c r="A87" s="4" t="s">
        <v>64</v>
      </c>
      <c r="B87" s="4" t="n">
        <v>10</v>
      </c>
      <c r="C87" s="5" t="n">
        <v>111176</v>
      </c>
      <c r="D87" s="5" t="n">
        <v>66214</v>
      </c>
      <c r="E87" s="5" t="n">
        <v>21607</v>
      </c>
      <c r="F87" s="5" t="n">
        <v>91</v>
      </c>
      <c r="G87" s="5" t="n">
        <v>6739</v>
      </c>
      <c r="H87" s="5" t="n">
        <v>205827</v>
      </c>
      <c r="I87" s="9" t="n">
        <f aca="false">IF(H87=0,0,C87/H87)</f>
        <v>0.540142935572107</v>
      </c>
      <c r="J87" s="9" t="n">
        <f aca="false">IF(H87=0,0,D87/H87)</f>
        <v>0.321697347772644</v>
      </c>
      <c r="K87" s="9" t="n">
        <f aca="false">IF(H87=0,0,E87/H87)</f>
        <v>0.10497650939867</v>
      </c>
      <c r="L87" s="9" t="n">
        <f aca="false">IF(H87=0,0,G87/H87)</f>
        <v>0.0327410883897642</v>
      </c>
      <c r="M87" s="4" t="str">
        <f aca="false">INDEX($C$3:$E$3,MATCH(MAX(C87:E87),C87:E87,0))</f>
        <v>Sigamos Haciendo Historia (PVEM-PT-Morena)</v>
      </c>
      <c r="N87" s="18" t="n">
        <f aca="false">IF(H87=0,0,(MAX(C87:E87)-LARGE(C87:E87,2))/H87*100)</f>
        <v>21.8445587799463</v>
      </c>
    </row>
    <row r="88" customFormat="false" ht="15" hidden="false" customHeight="false" outlineLevel="0" collapsed="false">
      <c r="A88" s="4" t="s">
        <v>64</v>
      </c>
      <c r="B88" s="4" t="n">
        <v>11</v>
      </c>
      <c r="C88" s="5" t="n">
        <v>71628</v>
      </c>
      <c r="D88" s="5" t="n">
        <v>106935</v>
      </c>
      <c r="E88" s="5" t="n">
        <v>14699</v>
      </c>
      <c r="F88" s="5" t="n">
        <v>109</v>
      </c>
      <c r="G88" s="5" t="n">
        <v>5544</v>
      </c>
      <c r="H88" s="5" t="n">
        <v>198915</v>
      </c>
      <c r="I88" s="9" t="n">
        <f aca="false">IF(H88=0,0,C88/H88)</f>
        <v>0.360093507276978</v>
      </c>
      <c r="J88" s="9" t="n">
        <f aca="false">IF(H88=0,0,D88/H88)</f>
        <v>0.537591433526883</v>
      </c>
      <c r="K88" s="9" t="n">
        <f aca="false">IF(H88=0,0,E88/H88)</f>
        <v>0.0738958851770857</v>
      </c>
      <c r="L88" s="9" t="n">
        <f aca="false">IF(H88=0,0,G88/H88)</f>
        <v>0.0278712012668728</v>
      </c>
      <c r="M88" s="4" t="str">
        <f aca="false">INDEX($C$3:$E$3,MATCH(MAX(C88:E88),C88:E88,0))</f>
        <v>Fuerza y Corazón por México (PAN-PRI-PRD)</v>
      </c>
      <c r="N88" s="18" t="n">
        <f aca="false">IF(H88=0,0,(MAX(C88:E88)-LARGE(C88:E88,2))/H88*100)</f>
        <v>17.7497926249906</v>
      </c>
    </row>
    <row r="89" customFormat="false" ht="15" hidden="false" customHeight="false" outlineLevel="0" collapsed="false">
      <c r="A89" s="4" t="s">
        <v>64</v>
      </c>
      <c r="B89" s="4" t="n">
        <v>12</v>
      </c>
      <c r="C89" s="5" t="n">
        <v>99285</v>
      </c>
      <c r="D89" s="5" t="n">
        <v>78721</v>
      </c>
      <c r="E89" s="5" t="n">
        <v>18886</v>
      </c>
      <c r="F89" s="5" t="n">
        <v>115</v>
      </c>
      <c r="G89" s="5" t="n">
        <v>5351</v>
      </c>
      <c r="H89" s="5" t="n">
        <v>202358</v>
      </c>
      <c r="I89" s="9" t="n">
        <f aca="false">IF(H89=0,0,C89/H89)</f>
        <v>0.490640350270313</v>
      </c>
      <c r="J89" s="9" t="n">
        <f aca="false">IF(H89=0,0,D89/H89)</f>
        <v>0.389018472212613</v>
      </c>
      <c r="K89" s="9" t="n">
        <f aca="false">IF(H89=0,0,E89/H89)</f>
        <v>0.0933296435030985</v>
      </c>
      <c r="L89" s="9" t="n">
        <f aca="false">IF(H89=0,0,G89/H89)</f>
        <v>0.0264432342679805</v>
      </c>
      <c r="M89" s="4" t="str">
        <f aca="false">INDEX($C$3:$E$3,MATCH(MAX(C89:E89),C89:E89,0))</f>
        <v>Sigamos Haciendo Historia (PVEM-PT-Morena)</v>
      </c>
      <c r="N89" s="18" t="n">
        <f aca="false">IF(H89=0,0,(MAX(C89:E89)-LARGE(C89:E89,2))/H89*100)</f>
        <v>10.16218780577</v>
      </c>
    </row>
    <row r="90" customFormat="false" ht="15" hidden="false" customHeight="false" outlineLevel="0" collapsed="false">
      <c r="A90" s="4" t="s">
        <v>64</v>
      </c>
      <c r="B90" s="4" t="n">
        <v>13</v>
      </c>
      <c r="C90" s="5" t="n">
        <v>92576</v>
      </c>
      <c r="D90" s="5" t="n">
        <v>75715</v>
      </c>
      <c r="E90" s="5" t="n">
        <v>9570</v>
      </c>
      <c r="F90" s="5" t="n">
        <v>68</v>
      </c>
      <c r="G90" s="5" t="n">
        <v>5959</v>
      </c>
      <c r="H90" s="5" t="n">
        <v>183888</v>
      </c>
      <c r="I90" s="9" t="n">
        <f aca="false">IF(H90=0,0,C90/H90)</f>
        <v>0.503436874619334</v>
      </c>
      <c r="J90" s="9" t="n">
        <f aca="false">IF(H90=0,0,D90/H90)</f>
        <v>0.411745192726007</v>
      </c>
      <c r="K90" s="9" t="n">
        <f aca="false">IF(H90=0,0,E90/H90)</f>
        <v>0.0520425476376925</v>
      </c>
      <c r="L90" s="9" t="n">
        <f aca="false">IF(H90=0,0,G90/H90)</f>
        <v>0.0324055947098234</v>
      </c>
      <c r="M90" s="4" t="str">
        <f aca="false">INDEX($C$3:$E$3,MATCH(MAX(C90:E90),C90:E90,0))</f>
        <v>Sigamos Haciendo Historia (PVEM-PT-Morena)</v>
      </c>
      <c r="N90" s="18" t="n">
        <f aca="false">IF(H90=0,0,(MAX(C90:E90)-LARGE(C90:E90,2))/H90*100)</f>
        <v>9.16916818933264</v>
      </c>
    </row>
    <row r="91" customFormat="false" ht="15" hidden="false" customHeight="false" outlineLevel="0" collapsed="false">
      <c r="A91" s="4" t="s">
        <v>64</v>
      </c>
      <c r="B91" s="4" t="n">
        <v>14</v>
      </c>
      <c r="C91" s="5" t="n">
        <v>83925</v>
      </c>
      <c r="D91" s="5" t="n">
        <v>68105</v>
      </c>
      <c r="E91" s="5" t="n">
        <v>9983</v>
      </c>
      <c r="F91" s="5" t="n">
        <v>125</v>
      </c>
      <c r="G91" s="5" t="n">
        <v>6946</v>
      </c>
      <c r="H91" s="5" t="n">
        <v>169084</v>
      </c>
      <c r="I91" s="9" t="n">
        <f aca="false">IF(H91=0,0,C91/H91)</f>
        <v>0.496350926166876</v>
      </c>
      <c r="J91" s="9" t="n">
        <f aca="false">IF(H91=0,0,D91/H91)</f>
        <v>0.402787963379149</v>
      </c>
      <c r="K91" s="9" t="n">
        <f aca="false">IF(H91=0,0,E91/H91)</f>
        <v>0.0590416597667432</v>
      </c>
      <c r="L91" s="9" t="n">
        <f aca="false">IF(H91=0,0,G91/H91)</f>
        <v>0.041080173168366</v>
      </c>
      <c r="M91" s="4" t="str">
        <f aca="false">INDEX($C$3:$E$3,MATCH(MAX(C91:E91),C91:E91,0))</f>
        <v>Sigamos Haciendo Historia (PVEM-PT-Morena)</v>
      </c>
      <c r="N91" s="18" t="n">
        <f aca="false">IF(H91=0,0,(MAX(C91:E91)-LARGE(C91:E91,2))/H91*100)</f>
        <v>9.35629627877268</v>
      </c>
    </row>
    <row r="92" customFormat="false" ht="15" hidden="false" customHeight="false" outlineLevel="0" collapsed="false">
      <c r="A92" s="4" t="s">
        <v>64</v>
      </c>
      <c r="B92" s="4" t="n">
        <v>15</v>
      </c>
      <c r="C92" s="5" t="n">
        <v>81130</v>
      </c>
      <c r="D92" s="5" t="n">
        <v>65544</v>
      </c>
      <c r="E92" s="5" t="n">
        <v>12725</v>
      </c>
      <c r="F92" s="5" t="n">
        <v>97</v>
      </c>
      <c r="G92" s="5" t="n">
        <v>4854</v>
      </c>
      <c r="H92" s="5" t="n">
        <v>164350</v>
      </c>
      <c r="I92" s="9" t="n">
        <f aca="false">IF(H92=0,0,C92/H92)</f>
        <v>0.49364161849711</v>
      </c>
      <c r="J92" s="9" t="n">
        <f aca="false">IF(H92=0,0,D92/H92)</f>
        <v>0.398807423182233</v>
      </c>
      <c r="K92" s="9" t="n">
        <f aca="false">IF(H92=0,0,E92/H92)</f>
        <v>0.0774262245208397</v>
      </c>
      <c r="L92" s="9" t="n">
        <f aca="false">IF(H92=0,0,G92/H92)</f>
        <v>0.0295345299665348</v>
      </c>
      <c r="M92" s="4" t="str">
        <f aca="false">INDEX($C$3:$E$3,MATCH(MAX(C92:E92),C92:E92,0))</f>
        <v>Sigamos Haciendo Historia (PVEM-PT-Morena)</v>
      </c>
      <c r="N92" s="18" t="n">
        <f aca="false">IF(H92=0,0,(MAX(C92:E92)-LARGE(C92:E92,2))/H92*100)</f>
        <v>9.48341953148768</v>
      </c>
    </row>
    <row r="93" customFormat="false" ht="15" hidden="false" customHeight="false" outlineLevel="0" collapsed="false">
      <c r="A93" s="4" t="s">
        <v>65</v>
      </c>
      <c r="B93" s="4" t="n">
        <v>1</v>
      </c>
      <c r="C93" s="5" t="n">
        <v>96915</v>
      </c>
      <c r="D93" s="5" t="n">
        <v>47616</v>
      </c>
      <c r="E93" s="5" t="n">
        <v>58028</v>
      </c>
      <c r="F93" s="5" t="n">
        <v>237</v>
      </c>
      <c r="G93" s="5" t="n">
        <v>13838</v>
      </c>
      <c r="H93" s="5" t="n">
        <v>216634</v>
      </c>
      <c r="I93" s="9" t="n">
        <f aca="false">IF(H93=0,0,C93/H93)</f>
        <v>0.447367449246194</v>
      </c>
      <c r="J93" s="9" t="n">
        <f aca="false">IF(H93=0,0,D93/H93)</f>
        <v>0.219799292816455</v>
      </c>
      <c r="K93" s="9" t="n">
        <f aca="false">IF(H93=0,0,E93/H93)</f>
        <v>0.267861923797742</v>
      </c>
      <c r="L93" s="9" t="n">
        <f aca="false">IF(H93=0,0,G93/H93)</f>
        <v>0.063877323042551</v>
      </c>
      <c r="M93" s="4" t="str">
        <f aca="false">INDEX($C$3:$E$3,MATCH(MAX(C93:E93),C93:E93,0))</f>
        <v>Sigamos Haciendo Historia (PVEM-PT-Morena)</v>
      </c>
      <c r="N93" s="18" t="n">
        <f aca="false">IF(H93=0,0,(MAX(C93:E93)-LARGE(C93:E93,2))/H93*100)</f>
        <v>17.9505525448452</v>
      </c>
    </row>
    <row r="94" customFormat="false" ht="15" hidden="false" customHeight="false" outlineLevel="0" collapsed="false">
      <c r="A94" s="4" t="s">
        <v>65</v>
      </c>
      <c r="B94" s="4" t="n">
        <v>2</v>
      </c>
      <c r="C94" s="5" t="n">
        <v>103727</v>
      </c>
      <c r="D94" s="5" t="n">
        <v>17997</v>
      </c>
      <c r="E94" s="5" t="n">
        <v>14030</v>
      </c>
      <c r="F94" s="5" t="n">
        <v>197</v>
      </c>
      <c r="G94" s="5" t="n">
        <v>13719</v>
      </c>
      <c r="H94" s="5" t="n">
        <v>149670</v>
      </c>
      <c r="I94" s="9" t="n">
        <f aca="false">IF(H94=0,0,C94/H94)</f>
        <v>0.693038016970669</v>
      </c>
      <c r="J94" s="9" t="n">
        <f aca="false">IF(H94=0,0,D94/H94)</f>
        <v>0.120244537983564</v>
      </c>
      <c r="K94" s="9" t="n">
        <f aca="false">IF(H94=0,0,E94/H94)</f>
        <v>0.0937395603661388</v>
      </c>
      <c r="L94" s="9" t="n">
        <f aca="false">IF(H94=0,0,G94/H94)</f>
        <v>0.0916616556424133</v>
      </c>
      <c r="M94" s="4" t="str">
        <f aca="false">INDEX($C$3:$E$3,MATCH(MAX(C94:E94),C94:E94,0))</f>
        <v>Sigamos Haciendo Historia (PVEM-PT-Morena)</v>
      </c>
      <c r="N94" s="18" t="n">
        <f aca="false">IF(H94=0,0,(MAX(C94:E94)-LARGE(C94:E94,2))/H94*100)</f>
        <v>57.2793478987105</v>
      </c>
    </row>
    <row r="95" customFormat="false" ht="15" hidden="false" customHeight="false" outlineLevel="0" collapsed="false">
      <c r="A95" s="4" t="s">
        <v>65</v>
      </c>
      <c r="B95" s="4" t="n">
        <v>3</v>
      </c>
      <c r="C95" s="5" t="n">
        <v>125583</v>
      </c>
      <c r="D95" s="5" t="n">
        <v>39280</v>
      </c>
      <c r="E95" s="5" t="n">
        <v>10159</v>
      </c>
      <c r="F95" s="5" t="n">
        <v>177</v>
      </c>
      <c r="G95" s="5" t="n">
        <v>13106</v>
      </c>
      <c r="H95" s="5" t="n">
        <v>188305</v>
      </c>
      <c r="I95" s="9" t="n">
        <f aca="false">IF(H95=0,0,C95/H95)</f>
        <v>0.666912721382863</v>
      </c>
      <c r="J95" s="9" t="n">
        <f aca="false">IF(H95=0,0,D95/H95)</f>
        <v>0.208597753644354</v>
      </c>
      <c r="K95" s="9" t="n">
        <f aca="false">IF(H95=0,0,E95/H95)</f>
        <v>0.053949709248294</v>
      </c>
      <c r="L95" s="9" t="n">
        <f aca="false">IF(H95=0,0,G95/H95)</f>
        <v>0.0695998513050636</v>
      </c>
      <c r="M95" s="4" t="str">
        <f aca="false">INDEX($C$3:$E$3,MATCH(MAX(C95:E95),C95:E95,0))</f>
        <v>Sigamos Haciendo Historia (PVEM-PT-Morena)</v>
      </c>
      <c r="N95" s="18" t="n">
        <f aca="false">IF(H95=0,0,(MAX(C95:E95)-LARGE(C95:E95,2))/H95*100)</f>
        <v>45.8314967738509</v>
      </c>
    </row>
    <row r="96" customFormat="false" ht="15" hidden="false" customHeight="false" outlineLevel="0" collapsed="false">
      <c r="A96" s="4" t="s">
        <v>65</v>
      </c>
      <c r="B96" s="4" t="n">
        <v>4</v>
      </c>
      <c r="C96" s="5" t="n">
        <v>116690</v>
      </c>
      <c r="D96" s="5" t="n">
        <v>19591</v>
      </c>
      <c r="E96" s="5" t="n">
        <v>18482</v>
      </c>
      <c r="F96" s="5" t="n">
        <v>326</v>
      </c>
      <c r="G96" s="5" t="n">
        <v>14656</v>
      </c>
      <c r="H96" s="5" t="n">
        <v>169745</v>
      </c>
      <c r="I96" s="9" t="n">
        <f aca="false">IF(H96=0,0,C96/H96)</f>
        <v>0.687442929099532</v>
      </c>
      <c r="J96" s="9" t="n">
        <f aca="false">IF(H96=0,0,D96/H96)</f>
        <v>0.115414297917464</v>
      </c>
      <c r="K96" s="9" t="n">
        <f aca="false">IF(H96=0,0,E96/H96)</f>
        <v>0.108880968511591</v>
      </c>
      <c r="L96" s="9" t="n">
        <f aca="false">IF(H96=0,0,G96/H96)</f>
        <v>0.0863412766208136</v>
      </c>
      <c r="M96" s="4" t="str">
        <f aca="false">INDEX($C$3:$E$3,MATCH(MAX(C96:E96),C96:E96,0))</f>
        <v>Sigamos Haciendo Historia (PVEM-PT-Morena)</v>
      </c>
      <c r="N96" s="18" t="n">
        <f aca="false">IF(H96=0,0,(MAX(C96:E96)-LARGE(C96:E96,2))/H96*100)</f>
        <v>57.2028631182067</v>
      </c>
    </row>
    <row r="97" customFormat="false" ht="15" hidden="false" customHeight="false" outlineLevel="0" collapsed="false">
      <c r="A97" s="4" t="s">
        <v>65</v>
      </c>
      <c r="B97" s="4" t="n">
        <v>5</v>
      </c>
      <c r="C97" s="5" t="n">
        <v>122383</v>
      </c>
      <c r="D97" s="5" t="n">
        <v>50879</v>
      </c>
      <c r="E97" s="5" t="n">
        <v>18746</v>
      </c>
      <c r="F97" s="5" t="n">
        <v>974</v>
      </c>
      <c r="G97" s="5" t="n">
        <v>17558</v>
      </c>
      <c r="H97" s="5" t="n">
        <v>210540</v>
      </c>
      <c r="I97" s="9" t="n">
        <f aca="false">IF(H97=0,0,C97/H97)</f>
        <v>0.581281466704664</v>
      </c>
      <c r="J97" s="9" t="n">
        <f aca="false">IF(H97=0,0,D97/H97)</f>
        <v>0.241659542129762</v>
      </c>
      <c r="K97" s="9" t="n">
        <f aca="false">IF(H97=0,0,E97/H97)</f>
        <v>0.0890377125486843</v>
      </c>
      <c r="L97" s="9" t="n">
        <f aca="false">IF(H97=0,0,G97/H97)</f>
        <v>0.0833950793198442</v>
      </c>
      <c r="M97" s="4" t="str">
        <f aca="false">INDEX($C$3:$E$3,MATCH(MAX(C97:E97),C97:E97,0))</f>
        <v>Sigamos Haciendo Historia (PVEM-PT-Morena)</v>
      </c>
      <c r="N97" s="18" t="n">
        <f aca="false">IF(H97=0,0,(MAX(C97:E97)-LARGE(C97:E97,2))/H97*100)</f>
        <v>33.9621924574903</v>
      </c>
    </row>
    <row r="98" customFormat="false" ht="15" hidden="false" customHeight="false" outlineLevel="0" collapsed="false">
      <c r="A98" s="4" t="s">
        <v>65</v>
      </c>
      <c r="B98" s="4" t="n">
        <v>6</v>
      </c>
      <c r="C98" s="5" t="n">
        <v>100420</v>
      </c>
      <c r="D98" s="5" t="n">
        <v>66234</v>
      </c>
      <c r="E98" s="5" t="n">
        <v>19336</v>
      </c>
      <c r="F98" s="5" t="n">
        <v>271</v>
      </c>
      <c r="G98" s="5" t="n">
        <v>14647</v>
      </c>
      <c r="H98" s="5" t="n">
        <v>200908</v>
      </c>
      <c r="I98" s="9" t="n">
        <f aca="false">IF(H98=0,0,C98/H98)</f>
        <v>0.499830768311864</v>
      </c>
      <c r="J98" s="9" t="n">
        <f aca="false">IF(H98=0,0,D98/H98)</f>
        <v>0.329673283293846</v>
      </c>
      <c r="K98" s="9" t="n">
        <f aca="false">IF(H98=0,0,E98/H98)</f>
        <v>0.0962430565233838</v>
      </c>
      <c r="L98" s="9" t="n">
        <f aca="false">IF(H98=0,0,G98/H98)</f>
        <v>0.0729040157684114</v>
      </c>
      <c r="M98" s="4" t="str">
        <f aca="false">INDEX($C$3:$E$3,MATCH(MAX(C98:E98),C98:E98,0))</f>
        <v>Sigamos Haciendo Historia (PVEM-PT-Morena)</v>
      </c>
      <c r="N98" s="18" t="n">
        <f aca="false">IF(H98=0,0,(MAX(C98:E98)-LARGE(C98:E98,2))/H98*100)</f>
        <v>17.0157485018018</v>
      </c>
    </row>
    <row r="99" customFormat="false" ht="15" hidden="false" customHeight="false" outlineLevel="0" collapsed="false">
      <c r="A99" s="4" t="s">
        <v>65</v>
      </c>
      <c r="B99" s="4" t="n">
        <v>7</v>
      </c>
      <c r="C99" s="5" t="n">
        <v>101070</v>
      </c>
      <c r="D99" s="5" t="n">
        <v>34049</v>
      </c>
      <c r="E99" s="5" t="n">
        <v>36835</v>
      </c>
      <c r="F99" s="5" t="n">
        <v>935</v>
      </c>
      <c r="G99" s="5" t="n">
        <v>14247</v>
      </c>
      <c r="H99" s="5" t="n">
        <v>187136</v>
      </c>
      <c r="I99" s="9" t="n">
        <f aca="false">IF(H99=0,0,C99/H99)</f>
        <v>0.540088491792066</v>
      </c>
      <c r="J99" s="9" t="n">
        <f aca="false">IF(H99=0,0,D99/H99)</f>
        <v>0.181947888166895</v>
      </c>
      <c r="K99" s="9" t="n">
        <f aca="false">IF(H99=0,0,E99/H99)</f>
        <v>0.196835456566347</v>
      </c>
      <c r="L99" s="9" t="n">
        <f aca="false">IF(H99=0,0,G99/H99)</f>
        <v>0.0761317971956224</v>
      </c>
      <c r="M99" s="4" t="str">
        <f aca="false">INDEX($C$3:$E$3,MATCH(MAX(C99:E99),C99:E99,0))</f>
        <v>Sigamos Haciendo Historia (PVEM-PT-Morena)</v>
      </c>
      <c r="N99" s="18" t="n">
        <f aca="false">IF(H99=0,0,(MAX(C99:E99)-LARGE(C99:E99,2))/H99*100)</f>
        <v>34.3253035225718</v>
      </c>
    </row>
    <row r="100" customFormat="false" ht="15" hidden="false" customHeight="false" outlineLevel="0" collapsed="false">
      <c r="A100" s="4" t="s">
        <v>65</v>
      </c>
      <c r="B100" s="4" t="n">
        <v>8</v>
      </c>
      <c r="C100" s="5" t="n">
        <v>142028</v>
      </c>
      <c r="D100" s="5" t="n">
        <v>42112</v>
      </c>
      <c r="E100" s="5" t="n">
        <v>21593</v>
      </c>
      <c r="F100" s="5" t="n">
        <v>429</v>
      </c>
      <c r="G100" s="5" t="n">
        <v>15744</v>
      </c>
      <c r="H100" s="5" t="n">
        <v>221906</v>
      </c>
      <c r="I100" s="9" t="n">
        <f aca="false">IF(H100=0,0,C100/H100)</f>
        <v>0.640036772327021</v>
      </c>
      <c r="J100" s="9" t="n">
        <f aca="false">IF(H100=0,0,D100/H100)</f>
        <v>0.189774048470974</v>
      </c>
      <c r="K100" s="9" t="n">
        <f aca="false">IF(H100=0,0,E100/H100)</f>
        <v>0.097306967815201</v>
      </c>
      <c r="L100" s="9" t="n">
        <f aca="false">IF(H100=0,0,G100/H100)</f>
        <v>0.0709489603706074</v>
      </c>
      <c r="M100" s="4" t="str">
        <f aca="false">INDEX($C$3:$E$3,MATCH(MAX(C100:E100),C100:E100,0))</f>
        <v>Sigamos Haciendo Historia (PVEM-PT-Morena)</v>
      </c>
      <c r="N100" s="18" t="n">
        <f aca="false">IF(H100=0,0,(MAX(C100:E100)-LARGE(C100:E100,2))/H100*100)</f>
        <v>45.0262723856047</v>
      </c>
    </row>
    <row r="101" customFormat="false" ht="15" hidden="false" customHeight="false" outlineLevel="0" collapsed="false">
      <c r="A101" s="4" t="s">
        <v>66</v>
      </c>
      <c r="B101" s="4" t="n">
        <v>1</v>
      </c>
      <c r="C101" s="5" t="n">
        <v>166918</v>
      </c>
      <c r="D101" s="5" t="n">
        <v>41799</v>
      </c>
      <c r="E101" s="5" t="n">
        <v>11493</v>
      </c>
      <c r="F101" s="5" t="n">
        <v>128</v>
      </c>
      <c r="G101" s="5" t="n">
        <v>13812</v>
      </c>
      <c r="H101" s="5" t="n">
        <v>234150</v>
      </c>
      <c r="I101" s="9" t="n">
        <f aca="false">IF(H101=0,0,C101/H101)</f>
        <v>0.712867819773649</v>
      </c>
      <c r="J101" s="9" t="n">
        <f aca="false">IF(H101=0,0,D101/H101)</f>
        <v>0.178513773222293</v>
      </c>
      <c r="K101" s="9" t="n">
        <f aca="false">IF(H101=0,0,E101/H101)</f>
        <v>0.0490839205637412</v>
      </c>
      <c r="L101" s="9" t="n">
        <f aca="false">IF(H101=0,0,G101/H101)</f>
        <v>0.0589878283151826</v>
      </c>
      <c r="M101" s="4" t="str">
        <f aca="false">INDEX($C$3:$E$3,MATCH(MAX(C101:E101),C101:E101,0))</f>
        <v>Sigamos Haciendo Historia (PVEM-PT-Morena)</v>
      </c>
      <c r="N101" s="18" t="n">
        <f aca="false">IF(H101=0,0,(MAX(C101:E101)-LARGE(C101:E101,2))/H101*100)</f>
        <v>53.4354046551356</v>
      </c>
    </row>
    <row r="102" customFormat="false" ht="15" hidden="false" customHeight="false" outlineLevel="0" collapsed="false">
      <c r="A102" s="4" t="s">
        <v>66</v>
      </c>
      <c r="B102" s="4" t="n">
        <v>2</v>
      </c>
      <c r="C102" s="5" t="n">
        <v>159374</v>
      </c>
      <c r="D102" s="5" t="n">
        <v>42748</v>
      </c>
      <c r="E102" s="5" t="n">
        <v>17012</v>
      </c>
      <c r="F102" s="5" t="n">
        <v>167</v>
      </c>
      <c r="G102" s="5" t="n">
        <v>14004</v>
      </c>
      <c r="H102" s="5" t="n">
        <v>233305</v>
      </c>
      <c r="I102" s="9" t="n">
        <f aca="false">IF(H102=0,0,C102/H102)</f>
        <v>0.683114378174493</v>
      </c>
      <c r="J102" s="9" t="n">
        <f aca="false">IF(H102=0,0,D102/H102)</f>
        <v>0.183227963395555</v>
      </c>
      <c r="K102" s="9" t="n">
        <f aca="false">IF(H102=0,0,E102/H102)</f>
        <v>0.0729174256874049</v>
      </c>
      <c r="L102" s="9" t="n">
        <f aca="false">IF(H102=0,0,G102/H102)</f>
        <v>0.0600244315381153</v>
      </c>
      <c r="M102" s="4" t="str">
        <f aca="false">INDEX($C$3:$E$3,MATCH(MAX(C102:E102),C102:E102,0))</f>
        <v>Sigamos Haciendo Historia (PVEM-PT-Morena)</v>
      </c>
      <c r="N102" s="18" t="n">
        <f aca="false">IF(H102=0,0,(MAX(C102:E102)-LARGE(C102:E102,2))/H102*100)</f>
        <v>49.9886414778937</v>
      </c>
    </row>
    <row r="103" customFormat="false" ht="15" hidden="false" customHeight="false" outlineLevel="0" collapsed="false">
      <c r="A103" s="4" t="s">
        <v>66</v>
      </c>
      <c r="B103" s="4" t="n">
        <v>3</v>
      </c>
      <c r="C103" s="5" t="n">
        <v>134406</v>
      </c>
      <c r="D103" s="5" t="n">
        <v>45929</v>
      </c>
      <c r="E103" s="5" t="n">
        <v>23759</v>
      </c>
      <c r="F103" s="5" t="n">
        <v>116</v>
      </c>
      <c r="G103" s="5" t="n">
        <v>10149</v>
      </c>
      <c r="H103" s="5" t="n">
        <v>214359</v>
      </c>
      <c r="I103" s="9" t="n">
        <f aca="false">IF(H103=0,0,C103/H103)</f>
        <v>0.627013561362014</v>
      </c>
      <c r="J103" s="9" t="n">
        <f aca="false">IF(H103=0,0,D103/H103)</f>
        <v>0.21426205571028</v>
      </c>
      <c r="K103" s="9" t="n">
        <f aca="false">IF(H103=0,0,E103/H103)</f>
        <v>0.110837426933322</v>
      </c>
      <c r="L103" s="9" t="n">
        <f aca="false">IF(H103=0,0,G103/H103)</f>
        <v>0.0473458077337551</v>
      </c>
      <c r="M103" s="4" t="str">
        <f aca="false">INDEX($C$3:$E$3,MATCH(MAX(C103:E103),C103:E103,0))</f>
        <v>Sigamos Haciendo Historia (PVEM-PT-Morena)</v>
      </c>
      <c r="N103" s="18" t="n">
        <f aca="false">IF(H103=0,0,(MAX(C103:E103)-LARGE(C103:E103,2))/H103*100)</f>
        <v>41.2751505651734</v>
      </c>
    </row>
    <row r="104" customFormat="false" ht="15" hidden="false" customHeight="false" outlineLevel="0" collapsed="false">
      <c r="A104" s="4" t="s">
        <v>66</v>
      </c>
      <c r="B104" s="4" t="n">
        <v>4</v>
      </c>
      <c r="C104" s="5" t="n">
        <v>116153</v>
      </c>
      <c r="D104" s="5" t="n">
        <v>41768</v>
      </c>
      <c r="E104" s="5" t="n">
        <v>19134</v>
      </c>
      <c r="F104" s="5" t="n">
        <v>152</v>
      </c>
      <c r="G104" s="5" t="n">
        <v>9857</v>
      </c>
      <c r="H104" s="5" t="n">
        <v>187064</v>
      </c>
      <c r="I104" s="9" t="n">
        <f aca="false">IF(H104=0,0,C104/H104)</f>
        <v>0.620926527819356</v>
      </c>
      <c r="J104" s="9" t="n">
        <f aca="false">IF(H104=0,0,D104/H104)</f>
        <v>0.223281871445067</v>
      </c>
      <c r="K104" s="9" t="n">
        <f aca="false">IF(H104=0,0,E104/H104)</f>
        <v>0.102285848693495</v>
      </c>
      <c r="L104" s="9" t="n">
        <f aca="false">IF(H104=0,0,G104/H104)</f>
        <v>0.0526931959115597</v>
      </c>
      <c r="M104" s="4" t="str">
        <f aca="false">INDEX($C$3:$E$3,MATCH(MAX(C104:E104),C104:E104,0))</f>
        <v>Sigamos Haciendo Historia (PVEM-PT-Morena)</v>
      </c>
      <c r="N104" s="18" t="n">
        <f aca="false">IF(H104=0,0,(MAX(C104:E104)-LARGE(C104:E104,2))/H104*100)</f>
        <v>39.7644656374289</v>
      </c>
    </row>
    <row r="105" customFormat="false" ht="15" hidden="false" customHeight="false" outlineLevel="0" collapsed="false">
      <c r="A105" s="4" t="s">
        <v>66</v>
      </c>
      <c r="B105" s="4" t="n">
        <v>5</v>
      </c>
      <c r="C105" s="5" t="n">
        <v>165394</v>
      </c>
      <c r="D105" s="5" t="n">
        <v>45819</v>
      </c>
      <c r="E105" s="5" t="n">
        <v>19535</v>
      </c>
      <c r="F105" s="5" t="n">
        <v>132</v>
      </c>
      <c r="G105" s="5" t="n">
        <v>11532</v>
      </c>
      <c r="H105" s="5" t="n">
        <v>242412</v>
      </c>
      <c r="I105" s="9" t="n">
        <f aca="false">IF(H105=0,0,C105/H105)</f>
        <v>0.682284705377622</v>
      </c>
      <c r="J105" s="9" t="n">
        <f aca="false">IF(H105=0,0,D105/H105)</f>
        <v>0.189012920152468</v>
      </c>
      <c r="K105" s="9" t="n">
        <f aca="false">IF(H105=0,0,E105/H105)</f>
        <v>0.0805859445902018</v>
      </c>
      <c r="L105" s="9" t="n">
        <f aca="false">IF(H105=0,0,G105/H105)</f>
        <v>0.0475719023810702</v>
      </c>
      <c r="M105" s="4" t="str">
        <f aca="false">INDEX($C$3:$E$3,MATCH(MAX(C105:E105),C105:E105,0))</f>
        <v>Sigamos Haciendo Historia (PVEM-PT-Morena)</v>
      </c>
      <c r="N105" s="18" t="n">
        <f aca="false">IF(H105=0,0,(MAX(C105:E105)-LARGE(C105:E105,2))/H105*100)</f>
        <v>49.3271785225154</v>
      </c>
    </row>
    <row r="106" customFormat="false" ht="15" hidden="false" customHeight="false" outlineLevel="0" collapsed="false">
      <c r="A106" s="4" t="s">
        <v>66</v>
      </c>
      <c r="B106" s="4" t="n">
        <v>6</v>
      </c>
      <c r="C106" s="5" t="n">
        <v>138574</v>
      </c>
      <c r="D106" s="5" t="n">
        <v>53472</v>
      </c>
      <c r="E106" s="5" t="n">
        <v>26196</v>
      </c>
      <c r="F106" s="5" t="n">
        <v>137</v>
      </c>
      <c r="G106" s="5" t="n">
        <v>10642</v>
      </c>
      <c r="H106" s="5" t="n">
        <v>229021</v>
      </c>
      <c r="I106" s="9" t="n">
        <f aca="false">IF(H106=0,0,C106/H106)</f>
        <v>0.605071150680505</v>
      </c>
      <c r="J106" s="9" t="n">
        <f aca="false">IF(H106=0,0,D106/H106)</f>
        <v>0.233480772505578</v>
      </c>
      <c r="K106" s="9" t="n">
        <f aca="false">IF(H106=0,0,E106/H106)</f>
        <v>0.114382523873357</v>
      </c>
      <c r="L106" s="9" t="n">
        <f aca="false">IF(H106=0,0,G106/H106)</f>
        <v>0.0464673545220744</v>
      </c>
      <c r="M106" s="4" t="str">
        <f aca="false">INDEX($C$3:$E$3,MATCH(MAX(C106:E106),C106:E106,0))</f>
        <v>Sigamos Haciendo Historia (PVEM-PT-Morena)</v>
      </c>
      <c r="N106" s="18" t="n">
        <f aca="false">IF(H106=0,0,(MAX(C106:E106)-LARGE(C106:E106,2))/H106*100)</f>
        <v>37.1590378174927</v>
      </c>
    </row>
    <row r="107" customFormat="false" ht="15" hidden="false" customHeight="false" outlineLevel="0" collapsed="false">
      <c r="A107" s="4" t="s">
        <v>66</v>
      </c>
      <c r="B107" s="4" t="n">
        <v>7</v>
      </c>
      <c r="C107" s="5" t="n">
        <v>127096</v>
      </c>
      <c r="D107" s="5" t="n">
        <v>45596</v>
      </c>
      <c r="E107" s="5" t="n">
        <v>20739</v>
      </c>
      <c r="F107" s="5" t="n">
        <v>127</v>
      </c>
      <c r="G107" s="5" t="n">
        <v>9442</v>
      </c>
      <c r="H107" s="5" t="n">
        <v>203000</v>
      </c>
      <c r="I107" s="9" t="n">
        <f aca="false">IF(H107=0,0,C107/H107)</f>
        <v>0.626088669950739</v>
      </c>
      <c r="J107" s="9" t="n">
        <f aca="false">IF(H107=0,0,D107/H107)</f>
        <v>0.224610837438424</v>
      </c>
      <c r="K107" s="9" t="n">
        <f aca="false">IF(H107=0,0,E107/H107)</f>
        <v>0.102162561576355</v>
      </c>
      <c r="L107" s="9" t="n">
        <f aca="false">IF(H107=0,0,G107/H107)</f>
        <v>0.046512315270936</v>
      </c>
      <c r="M107" s="4" t="str">
        <f aca="false">INDEX($C$3:$E$3,MATCH(MAX(C107:E107),C107:E107,0))</f>
        <v>Sigamos Haciendo Historia (PVEM-PT-Morena)</v>
      </c>
      <c r="N107" s="18" t="n">
        <f aca="false">IF(H107=0,0,(MAX(C107:E107)-LARGE(C107:E107,2))/H107*100)</f>
        <v>40.1477832512315</v>
      </c>
    </row>
    <row r="108" customFormat="false" ht="15" hidden="false" customHeight="false" outlineLevel="0" collapsed="false">
      <c r="A108" s="4" t="s">
        <v>67</v>
      </c>
      <c r="B108" s="4" t="n">
        <v>1</v>
      </c>
      <c r="C108" s="5" t="n">
        <v>90118</v>
      </c>
      <c r="D108" s="5" t="n">
        <v>52419</v>
      </c>
      <c r="E108" s="5" t="n">
        <v>59129</v>
      </c>
      <c r="F108" s="5" t="n">
        <v>111</v>
      </c>
      <c r="G108" s="5" t="n">
        <v>6646</v>
      </c>
      <c r="H108" s="5" t="n">
        <v>208423</v>
      </c>
      <c r="I108" s="9" t="n">
        <f aca="false">IF(H108=0,0,C108/H108)</f>
        <v>0.432380303517366</v>
      </c>
      <c r="J108" s="9" t="n">
        <f aca="false">IF(H108=0,0,D108/H108)</f>
        <v>0.251502953128973</v>
      </c>
      <c r="K108" s="9" t="n">
        <f aca="false">IF(H108=0,0,E108/H108)</f>
        <v>0.28369709676955</v>
      </c>
      <c r="L108" s="9" t="n">
        <f aca="false">IF(H108=0,0,G108/H108)</f>
        <v>0.0318870758025746</v>
      </c>
      <c r="M108" s="4" t="str">
        <f aca="false">INDEX($C$3:$E$3,MATCH(MAX(C108:E108),C108:E108,0))</f>
        <v>Sigamos Haciendo Historia (PVEM-PT-Morena)</v>
      </c>
      <c r="N108" s="18" t="n">
        <f aca="false">IF(H108=0,0,(MAX(C108:E108)-LARGE(C108:E108,2))/H108*100)</f>
        <v>14.8683206747816</v>
      </c>
    </row>
    <row r="109" customFormat="false" ht="15" hidden="false" customHeight="false" outlineLevel="0" collapsed="false">
      <c r="A109" s="4" t="s">
        <v>67</v>
      </c>
      <c r="B109" s="4" t="n">
        <v>2</v>
      </c>
      <c r="C109" s="5" t="n">
        <v>58996</v>
      </c>
      <c r="D109" s="5" t="n">
        <v>65563</v>
      </c>
      <c r="E109" s="5" t="n">
        <v>51322</v>
      </c>
      <c r="F109" s="5" t="n">
        <v>191</v>
      </c>
      <c r="G109" s="5" t="n">
        <v>7070</v>
      </c>
      <c r="H109" s="5" t="n">
        <v>183142</v>
      </c>
      <c r="I109" s="9" t="n">
        <f aca="false">IF(H109=0,0,C109/H109)</f>
        <v>0.322132552882463</v>
      </c>
      <c r="J109" s="9" t="n">
        <f aca="false">IF(H109=0,0,D109/H109)</f>
        <v>0.357989974992083</v>
      </c>
      <c r="K109" s="9" t="n">
        <f aca="false">IF(H109=0,0,E109/H109)</f>
        <v>0.280230640705027</v>
      </c>
      <c r="L109" s="9" t="n">
        <f aca="false">IF(H109=0,0,G109/H109)</f>
        <v>0.0386039248233611</v>
      </c>
      <c r="M109" s="4" t="str">
        <f aca="false">INDEX($C$3:$E$3,MATCH(MAX(C109:E109),C109:E109,0))</f>
        <v>Fuerza y Corazón por México (PAN-PRI-PRD)</v>
      </c>
      <c r="N109" s="18" t="n">
        <f aca="false">IF(H109=0,0,(MAX(C109:E109)-LARGE(C109:E109,2))/H109*100)</f>
        <v>3.58574221096199</v>
      </c>
    </row>
    <row r="110" customFormat="false" ht="15" hidden="false" customHeight="false" outlineLevel="0" collapsed="false">
      <c r="A110" s="4" t="s">
        <v>67</v>
      </c>
      <c r="B110" s="4" t="n">
        <v>3</v>
      </c>
      <c r="C110" s="5" t="n">
        <v>55716</v>
      </c>
      <c r="D110" s="5" t="n">
        <v>86106</v>
      </c>
      <c r="E110" s="5" t="n">
        <v>48931</v>
      </c>
      <c r="F110" s="5" t="n">
        <v>96</v>
      </c>
      <c r="G110" s="5" t="n">
        <v>6424</v>
      </c>
      <c r="H110" s="5" t="n">
        <v>197273</v>
      </c>
      <c r="I110" s="9" t="n">
        <f aca="false">IF(H110=0,0,C110/H110)</f>
        <v>0.282430945948001</v>
      </c>
      <c r="J110" s="9" t="n">
        <f aca="false">IF(H110=0,0,D110/H110)</f>
        <v>0.436481424219229</v>
      </c>
      <c r="K110" s="9" t="n">
        <f aca="false">IF(H110=0,0,E110/H110)</f>
        <v>0.248036984280667</v>
      </c>
      <c r="L110" s="9" t="n">
        <f aca="false">IF(H110=0,0,G110/H110)</f>
        <v>0.0325640102801701</v>
      </c>
      <c r="M110" s="4" t="str">
        <f aca="false">INDEX($C$3:$E$3,MATCH(MAX(C110:E110),C110:E110,0))</f>
        <v>Fuerza y Corazón por México (PAN-PRI-PRD)</v>
      </c>
      <c r="N110" s="18" t="n">
        <f aca="false">IF(H110=0,0,(MAX(C110:E110)-LARGE(C110:E110,2))/H110*100)</f>
        <v>15.4050478271228</v>
      </c>
    </row>
    <row r="111" customFormat="false" ht="15" hidden="false" customHeight="false" outlineLevel="0" collapsed="false">
      <c r="A111" s="4" t="s">
        <v>67</v>
      </c>
      <c r="B111" s="4" t="n">
        <v>4</v>
      </c>
      <c r="C111" s="5" t="n">
        <v>77649</v>
      </c>
      <c r="D111" s="5" t="n">
        <v>61030</v>
      </c>
      <c r="E111" s="5" t="n">
        <v>60764</v>
      </c>
      <c r="F111" s="5" t="n">
        <v>186</v>
      </c>
      <c r="G111" s="5" t="n">
        <v>5103</v>
      </c>
      <c r="H111" s="5" t="n">
        <v>204732</v>
      </c>
      <c r="I111" s="9" t="n">
        <f aca="false">IF(H111=0,0,C111/H111)</f>
        <v>0.379271437782076</v>
      </c>
      <c r="J111" s="9" t="n">
        <f aca="false">IF(H111=0,0,D111/H111)</f>
        <v>0.298097024402634</v>
      </c>
      <c r="K111" s="9" t="n">
        <f aca="false">IF(H111=0,0,E111/H111)</f>
        <v>0.296797764882871</v>
      </c>
      <c r="L111" s="9" t="n">
        <f aca="false">IF(H111=0,0,G111/H111)</f>
        <v>0.0249252681554422</v>
      </c>
      <c r="M111" s="4" t="str">
        <f aca="false">INDEX($C$3:$E$3,MATCH(MAX(C111:E111),C111:E111,0))</f>
        <v>Sigamos Haciendo Historia (PVEM-PT-Morena)</v>
      </c>
      <c r="N111" s="18" t="n">
        <f aca="false">IF(H111=0,0,(MAX(C111:E111)-LARGE(C111:E111,2))/H111*100)</f>
        <v>8.11744133794424</v>
      </c>
    </row>
    <row r="112" customFormat="false" ht="15" hidden="false" customHeight="false" outlineLevel="0" collapsed="false">
      <c r="A112" s="4" t="s">
        <v>67</v>
      </c>
      <c r="B112" s="4" t="n">
        <v>5</v>
      </c>
      <c r="C112" s="5" t="n">
        <v>109760</v>
      </c>
      <c r="D112" s="5" t="n">
        <v>28611</v>
      </c>
      <c r="E112" s="5" t="n">
        <v>45214</v>
      </c>
      <c r="F112" s="5" t="n">
        <v>159</v>
      </c>
      <c r="G112" s="5" t="n">
        <v>5649</v>
      </c>
      <c r="H112" s="5" t="n">
        <v>189393</v>
      </c>
      <c r="I112" s="9" t="n">
        <f aca="false">IF(H112=0,0,C112/H112)</f>
        <v>0.579535674496946</v>
      </c>
      <c r="J112" s="9" t="n">
        <f aca="false">IF(H112=0,0,D112/H112)</f>
        <v>0.151066829291473</v>
      </c>
      <c r="K112" s="9" t="n">
        <f aca="false">IF(H112=0,0,E112/H112)</f>
        <v>0.238731104106276</v>
      </c>
      <c r="L112" s="9" t="n">
        <f aca="false">IF(H112=0,0,G112/H112)</f>
        <v>0.029826867941265</v>
      </c>
      <c r="M112" s="4" t="str">
        <f aca="false">INDEX($C$3:$E$3,MATCH(MAX(C112:E112),C112:E112,0))</f>
        <v>Sigamos Haciendo Historia (PVEM-PT-Morena)</v>
      </c>
      <c r="N112" s="18" t="n">
        <f aca="false">IF(H112=0,0,(MAX(C112:E112)-LARGE(C112:E112,2))/H112*100)</f>
        <v>34.0804570390669</v>
      </c>
    </row>
    <row r="113" customFormat="false" ht="15" hidden="false" customHeight="false" outlineLevel="0" collapsed="false">
      <c r="A113" s="4" t="s">
        <v>67</v>
      </c>
      <c r="B113" s="4" t="n">
        <v>6</v>
      </c>
      <c r="C113" s="5" t="n">
        <v>59936</v>
      </c>
      <c r="D113" s="5" t="n">
        <v>55602</v>
      </c>
      <c r="E113" s="5" t="n">
        <v>55548</v>
      </c>
      <c r="F113" s="5" t="n">
        <v>198</v>
      </c>
      <c r="G113" s="5" t="n">
        <v>3725</v>
      </c>
      <c r="H113" s="5" t="n">
        <v>175009</v>
      </c>
      <c r="I113" s="9" t="n">
        <f aca="false">IF(H113=0,0,C113/H113)</f>
        <v>0.342473815632339</v>
      </c>
      <c r="J113" s="9" t="n">
        <f aca="false">IF(H113=0,0,D113/H113)</f>
        <v>0.317709374946431</v>
      </c>
      <c r="K113" s="9" t="n">
        <f aca="false">IF(H113=0,0,E113/H113)</f>
        <v>0.317400819386432</v>
      </c>
      <c r="L113" s="9" t="n">
        <f aca="false">IF(H113=0,0,G113/H113)</f>
        <v>0.0212846196481324</v>
      </c>
      <c r="M113" s="4" t="str">
        <f aca="false">INDEX($C$3:$E$3,MATCH(MAX(C113:E113),C113:E113,0))</f>
        <v>Sigamos Haciendo Historia (PVEM-PT-Morena)</v>
      </c>
      <c r="N113" s="18" t="n">
        <f aca="false">IF(H113=0,0,(MAX(C113:E113)-LARGE(C113:E113,2))/H113*100)</f>
        <v>2.47644406859076</v>
      </c>
    </row>
    <row r="114" customFormat="false" ht="15" hidden="false" customHeight="false" outlineLevel="0" collapsed="false">
      <c r="A114" s="4" t="s">
        <v>67</v>
      </c>
      <c r="B114" s="4" t="n">
        <v>7</v>
      </c>
      <c r="C114" s="5" t="n">
        <v>73732</v>
      </c>
      <c r="D114" s="5" t="n">
        <v>32513</v>
      </c>
      <c r="E114" s="5" t="n">
        <v>33445</v>
      </c>
      <c r="F114" s="5" t="n">
        <v>207</v>
      </c>
      <c r="G114" s="5" t="n">
        <v>3536</v>
      </c>
      <c r="H114" s="5" t="n">
        <v>143433</v>
      </c>
      <c r="I114" s="9" t="n">
        <f aca="false">IF(H114=0,0,C114/H114)</f>
        <v>0.514051856964576</v>
      </c>
      <c r="J114" s="9" t="n">
        <f aca="false">IF(H114=0,0,D114/H114)</f>
        <v>0.226677263949022</v>
      </c>
      <c r="K114" s="9" t="n">
        <f aca="false">IF(H114=0,0,E114/H114)</f>
        <v>0.23317507128764</v>
      </c>
      <c r="L114" s="9" t="n">
        <f aca="false">IF(H114=0,0,G114/H114)</f>
        <v>0.0246526252675465</v>
      </c>
      <c r="M114" s="4" t="str">
        <f aca="false">INDEX($C$3:$E$3,MATCH(MAX(C114:E114),C114:E114,0))</f>
        <v>Sigamos Haciendo Historia (PVEM-PT-Morena)</v>
      </c>
      <c r="N114" s="18" t="n">
        <f aca="false">IF(H114=0,0,(MAX(C114:E114)-LARGE(C114:E114,2))/H114*100)</f>
        <v>28.0876785676936</v>
      </c>
    </row>
    <row r="115" customFormat="false" ht="15" hidden="false" customHeight="false" outlineLevel="0" collapsed="false">
      <c r="A115" s="4" t="s">
        <v>67</v>
      </c>
      <c r="B115" s="4" t="n">
        <v>8</v>
      </c>
      <c r="C115" s="5" t="n">
        <v>79229</v>
      </c>
      <c r="D115" s="5" t="n">
        <v>109434</v>
      </c>
      <c r="E115" s="5" t="n">
        <v>75227</v>
      </c>
      <c r="F115" s="5" t="n">
        <v>337</v>
      </c>
      <c r="G115" s="5" t="n">
        <v>5772</v>
      </c>
      <c r="H115" s="5" t="n">
        <v>269999</v>
      </c>
      <c r="I115" s="9" t="n">
        <f aca="false">IF(H115=0,0,C115/H115)</f>
        <v>0.293441827562324</v>
      </c>
      <c r="J115" s="9" t="n">
        <f aca="false">IF(H115=0,0,D115/H115)</f>
        <v>0.405312612268934</v>
      </c>
      <c r="K115" s="9" t="n">
        <f aca="false">IF(H115=0,0,E115/H115)</f>
        <v>0.278619550442779</v>
      </c>
      <c r="L115" s="9" t="n">
        <f aca="false">IF(H115=0,0,G115/H115)</f>
        <v>0.0213778569550258</v>
      </c>
      <c r="M115" s="4" t="str">
        <f aca="false">INDEX($C$3:$E$3,MATCH(MAX(C115:E115),C115:E115,0))</f>
        <v>Fuerza y Corazón por México (PAN-PRI-PRD)</v>
      </c>
      <c r="N115" s="18" t="n">
        <f aca="false">IF(H115=0,0,(MAX(C115:E115)-LARGE(C115:E115,2))/H115*100)</f>
        <v>11.187078470661</v>
      </c>
    </row>
    <row r="116" customFormat="false" ht="15" hidden="false" customHeight="false" outlineLevel="0" collapsed="false">
      <c r="A116" s="4" t="s">
        <v>67</v>
      </c>
      <c r="B116" s="4" t="n">
        <v>9</v>
      </c>
      <c r="C116" s="5" t="n">
        <v>94829</v>
      </c>
      <c r="D116" s="5" t="n">
        <v>54965</v>
      </c>
      <c r="E116" s="5" t="n">
        <v>56484</v>
      </c>
      <c r="F116" s="5" t="n">
        <v>288</v>
      </c>
      <c r="G116" s="5" t="n">
        <v>5348</v>
      </c>
      <c r="H116" s="5" t="n">
        <v>211914</v>
      </c>
      <c r="I116" s="9" t="n">
        <f aca="false">IF(H116=0,0,C116/H116)</f>
        <v>0.447488131978067</v>
      </c>
      <c r="J116" s="9" t="n">
        <f aca="false">IF(H116=0,0,D116/H116)</f>
        <v>0.259374085714016</v>
      </c>
      <c r="K116" s="9" t="n">
        <f aca="false">IF(H116=0,0,E116/H116)</f>
        <v>0.266542087828081</v>
      </c>
      <c r="L116" s="9" t="n">
        <f aca="false">IF(H116=0,0,G116/H116)</f>
        <v>0.0252366526043584</v>
      </c>
      <c r="M116" s="4" t="str">
        <f aca="false">INDEX($C$3:$E$3,MATCH(MAX(C116:E116),C116:E116,0))</f>
        <v>Sigamos Haciendo Historia (PVEM-PT-Morena)</v>
      </c>
      <c r="N116" s="18" t="n">
        <f aca="false">IF(H116=0,0,(MAX(C116:E116)-LARGE(C116:E116,2))/H116*100)</f>
        <v>18.0946044149985</v>
      </c>
    </row>
    <row r="117" customFormat="false" ht="15" hidden="false" customHeight="false" outlineLevel="0" collapsed="false">
      <c r="A117" s="4" t="s">
        <v>67</v>
      </c>
      <c r="B117" s="4" t="n">
        <v>10</v>
      </c>
      <c r="C117" s="5" t="n">
        <v>57861</v>
      </c>
      <c r="D117" s="5" t="n">
        <v>108773</v>
      </c>
      <c r="E117" s="5" t="n">
        <v>70313</v>
      </c>
      <c r="F117" s="5" t="n">
        <v>248</v>
      </c>
      <c r="G117" s="5" t="n">
        <v>4425</v>
      </c>
      <c r="H117" s="5" t="n">
        <v>241620</v>
      </c>
      <c r="I117" s="9" t="n">
        <f aca="false">IF(H117=0,0,C117/H117)</f>
        <v>0.239471070275639</v>
      </c>
      <c r="J117" s="9" t="n">
        <f aca="false">IF(H117=0,0,D117/H117)</f>
        <v>0.450182104130453</v>
      </c>
      <c r="K117" s="9" t="n">
        <f aca="false">IF(H117=0,0,E117/H117)</f>
        <v>0.291006539193775</v>
      </c>
      <c r="L117" s="9" t="n">
        <f aca="false">IF(H117=0,0,G117/H117)</f>
        <v>0.0183138813012168</v>
      </c>
      <c r="M117" s="4" t="str">
        <f aca="false">INDEX($C$3:$E$3,MATCH(MAX(C117:E117),C117:E117,0))</f>
        <v>Fuerza y Corazón por México (PAN-PRI-PRD)</v>
      </c>
      <c r="N117" s="18" t="n">
        <f aca="false">IF(H117=0,0,(MAX(C117:E117)-LARGE(C117:E117,2))/H117*100)</f>
        <v>15.9175564936677</v>
      </c>
    </row>
    <row r="118" customFormat="false" ht="15" hidden="false" customHeight="false" outlineLevel="0" collapsed="false">
      <c r="A118" s="4" t="s">
        <v>67</v>
      </c>
      <c r="B118" s="4" t="n">
        <v>11</v>
      </c>
      <c r="C118" s="5" t="n">
        <v>99620</v>
      </c>
      <c r="D118" s="5" t="n">
        <v>68339</v>
      </c>
      <c r="E118" s="5" t="n">
        <v>62616</v>
      </c>
      <c r="F118" s="5" t="n">
        <v>281</v>
      </c>
      <c r="G118" s="5" t="n">
        <v>6087</v>
      </c>
      <c r="H118" s="5" t="n">
        <v>236943</v>
      </c>
      <c r="I118" s="9" t="n">
        <f aca="false">IF(H118=0,0,C118/H118)</f>
        <v>0.420438670903973</v>
      </c>
      <c r="J118" s="9" t="n">
        <f aca="false">IF(H118=0,0,D118/H118)</f>
        <v>0.288419577704342</v>
      </c>
      <c r="K118" s="9" t="n">
        <f aca="false">IF(H118=0,0,E118/H118)</f>
        <v>0.264266089312619</v>
      </c>
      <c r="L118" s="9" t="n">
        <f aca="false">IF(H118=0,0,G118/H118)</f>
        <v>0.0256897228447348</v>
      </c>
      <c r="M118" s="4" t="str">
        <f aca="false">INDEX($C$3:$E$3,MATCH(MAX(C118:E118),C118:E118,0))</f>
        <v>Sigamos Haciendo Historia (PVEM-PT-Morena)</v>
      </c>
      <c r="N118" s="18" t="n">
        <f aca="false">IF(H118=0,0,(MAX(C118:E118)-LARGE(C118:E118,2))/H118*100)</f>
        <v>13.201909319963</v>
      </c>
    </row>
    <row r="119" customFormat="false" ht="15" hidden="false" customHeight="false" outlineLevel="0" collapsed="false">
      <c r="A119" s="4" t="s">
        <v>67</v>
      </c>
      <c r="B119" s="4" t="n">
        <v>12</v>
      </c>
      <c r="C119" s="5" t="n">
        <v>62794</v>
      </c>
      <c r="D119" s="5" t="n">
        <v>59436</v>
      </c>
      <c r="E119" s="5" t="n">
        <v>55110</v>
      </c>
      <c r="F119" s="5" t="n">
        <v>182</v>
      </c>
      <c r="G119" s="5" t="n">
        <v>3592</v>
      </c>
      <c r="H119" s="5" t="n">
        <v>181114</v>
      </c>
      <c r="I119" s="9" t="n">
        <f aca="false">IF(H119=0,0,C119/H119)</f>
        <v>0.346709807082832</v>
      </c>
      <c r="J119" s="9" t="n">
        <f aca="false">IF(H119=0,0,D119/H119)</f>
        <v>0.328168998531312</v>
      </c>
      <c r="K119" s="9" t="n">
        <f aca="false">IF(H119=0,0,E119/H119)</f>
        <v>0.304283489956602</v>
      </c>
      <c r="L119" s="9" t="n">
        <f aca="false">IF(H119=0,0,G119/H119)</f>
        <v>0.0198328124827457</v>
      </c>
      <c r="M119" s="4" t="str">
        <f aca="false">INDEX($C$3:$E$3,MATCH(MAX(C119:E119),C119:E119,0))</f>
        <v>Sigamos Haciendo Historia (PVEM-PT-Morena)</v>
      </c>
      <c r="N119" s="18" t="n">
        <f aca="false">IF(H119=0,0,(MAX(C119:E119)-LARGE(C119:E119,2))/H119*100)</f>
        <v>1.854080855152</v>
      </c>
    </row>
    <row r="120" customFormat="false" ht="15" hidden="false" customHeight="false" outlineLevel="0" collapsed="false">
      <c r="A120" s="4" t="s">
        <v>67</v>
      </c>
      <c r="B120" s="4" t="n">
        <v>13</v>
      </c>
      <c r="C120" s="5" t="n">
        <v>81956</v>
      </c>
      <c r="D120" s="5" t="n">
        <v>47261</v>
      </c>
      <c r="E120" s="5" t="n">
        <v>49444</v>
      </c>
      <c r="F120" s="5" t="n">
        <v>155</v>
      </c>
      <c r="G120" s="5" t="n">
        <v>4383</v>
      </c>
      <c r="H120" s="5" t="n">
        <v>183199</v>
      </c>
      <c r="I120" s="9" t="n">
        <f aca="false">IF(H120=0,0,C120/H120)</f>
        <v>0.447360520526859</v>
      </c>
      <c r="J120" s="9" t="n">
        <f aca="false">IF(H120=0,0,D120/H120)</f>
        <v>0.257976298997265</v>
      </c>
      <c r="K120" s="9" t="n">
        <f aca="false">IF(H120=0,0,E120/H120)</f>
        <v>0.269892302905584</v>
      </c>
      <c r="L120" s="9" t="n">
        <f aca="false">IF(H120=0,0,G120/H120)</f>
        <v>0.0239248030829863</v>
      </c>
      <c r="M120" s="4" t="str">
        <f aca="false">INDEX($C$3:$E$3,MATCH(MAX(C120:E120),C120:E120,0))</f>
        <v>Sigamos Haciendo Historia (PVEM-PT-Morena)</v>
      </c>
      <c r="N120" s="18" t="n">
        <f aca="false">IF(H120=0,0,(MAX(C120:E120)-LARGE(C120:E120,2))/H120*100)</f>
        <v>17.7468217621275</v>
      </c>
    </row>
    <row r="121" customFormat="false" ht="15" hidden="false" customHeight="false" outlineLevel="0" collapsed="false">
      <c r="A121" s="4" t="s">
        <v>67</v>
      </c>
      <c r="B121" s="4" t="n">
        <v>14</v>
      </c>
      <c r="C121" s="5" t="n">
        <v>61089</v>
      </c>
      <c r="D121" s="5" t="n">
        <v>16528</v>
      </c>
      <c r="E121" s="5" t="n">
        <v>35549</v>
      </c>
      <c r="F121" s="5" t="n">
        <v>128</v>
      </c>
      <c r="G121" s="5" t="n">
        <v>2683</v>
      </c>
      <c r="H121" s="5" t="n">
        <v>115977</v>
      </c>
      <c r="I121" s="9" t="n">
        <f aca="false">IF(H121=0,0,C121/H121)</f>
        <v>0.526733748932978</v>
      </c>
      <c r="J121" s="9" t="n">
        <f aca="false">IF(H121=0,0,D121/H121)</f>
        <v>0.142511015115066</v>
      </c>
      <c r="K121" s="9" t="n">
        <f aca="false">IF(H121=0,0,E121/H121)</f>
        <v>0.306517671607301</v>
      </c>
      <c r="L121" s="9" t="n">
        <f aca="false">IF(H121=0,0,G121/H121)</f>
        <v>0.0231338972382455</v>
      </c>
      <c r="M121" s="4" t="str">
        <f aca="false">INDEX($C$3:$E$3,MATCH(MAX(C121:E121),C121:E121,0))</f>
        <v>Sigamos Haciendo Historia (PVEM-PT-Morena)</v>
      </c>
      <c r="N121" s="18" t="n">
        <f aca="false">IF(H121=0,0,(MAX(C121:E121)-LARGE(C121:E121,2))/H121*100)</f>
        <v>22.0216077325677</v>
      </c>
    </row>
    <row r="122" customFormat="false" ht="15" hidden="false" customHeight="false" outlineLevel="0" collapsed="false">
      <c r="A122" s="4" t="s">
        <v>67</v>
      </c>
      <c r="B122" s="4" t="n">
        <v>15</v>
      </c>
      <c r="C122" s="5" t="n">
        <v>57603</v>
      </c>
      <c r="D122" s="5" t="n">
        <v>80494</v>
      </c>
      <c r="E122" s="5" t="n">
        <v>44645</v>
      </c>
      <c r="F122" s="5" t="n">
        <v>91</v>
      </c>
      <c r="G122" s="5" t="n">
        <v>6781</v>
      </c>
      <c r="H122" s="5" t="n">
        <v>189614</v>
      </c>
      <c r="I122" s="9" t="n">
        <f aca="false">IF(H122=0,0,C122/H122)</f>
        <v>0.303790859324733</v>
      </c>
      <c r="J122" s="9" t="n">
        <f aca="false">IF(H122=0,0,D122/H122)</f>
        <v>0.424515067452825</v>
      </c>
      <c r="K122" s="9" t="n">
        <f aca="false">IF(H122=0,0,E122/H122)</f>
        <v>0.235452023584756</v>
      </c>
      <c r="L122" s="9" t="n">
        <f aca="false">IF(H122=0,0,G122/H122)</f>
        <v>0.0357621272690835</v>
      </c>
      <c r="M122" s="4" t="str">
        <f aca="false">INDEX($C$3:$E$3,MATCH(MAX(C122:E122),C122:E122,0))</f>
        <v>Fuerza y Corazón por México (PAN-PRI-PRD)</v>
      </c>
      <c r="N122" s="18" t="n">
        <f aca="false">IF(H122=0,0,(MAX(C122:E122)-LARGE(C122:E122,2))/H122*100)</f>
        <v>12.0724208128092</v>
      </c>
    </row>
    <row r="123" customFormat="false" ht="15" hidden="false" customHeight="false" outlineLevel="0" collapsed="false">
      <c r="A123" s="4" t="s">
        <v>67</v>
      </c>
      <c r="B123" s="4" t="n">
        <v>16</v>
      </c>
      <c r="C123" s="5" t="n">
        <v>84208</v>
      </c>
      <c r="D123" s="5" t="n">
        <v>41968</v>
      </c>
      <c r="E123" s="5" t="n">
        <v>47374</v>
      </c>
      <c r="F123" s="5" t="n">
        <v>139</v>
      </c>
      <c r="G123" s="5" t="n">
        <v>4282</v>
      </c>
      <c r="H123" s="5" t="n">
        <v>177971</v>
      </c>
      <c r="I123" s="9" t="n">
        <f aca="false">IF(H123=0,0,C123/H123)</f>
        <v>0.473155738856331</v>
      </c>
      <c r="J123" s="9" t="n">
        <f aca="false">IF(H123=0,0,D123/H123)</f>
        <v>0.235813699984829</v>
      </c>
      <c r="K123" s="9" t="n">
        <f aca="false">IF(H123=0,0,E123/H123)</f>
        <v>0.266189435357446</v>
      </c>
      <c r="L123" s="9" t="n">
        <f aca="false">IF(H123=0,0,G123/H123)</f>
        <v>0.0240600996791612</v>
      </c>
      <c r="M123" s="4" t="str">
        <f aca="false">INDEX($C$3:$E$3,MATCH(MAX(C123:E123),C123:E123,0))</f>
        <v>Sigamos Haciendo Historia (PVEM-PT-Morena)</v>
      </c>
      <c r="N123" s="18" t="n">
        <f aca="false">IF(H123=0,0,(MAX(C123:E123)-LARGE(C123:E123,2))/H123*100)</f>
        <v>20.6966303498885</v>
      </c>
    </row>
    <row r="124" customFormat="false" ht="15" hidden="false" customHeight="false" outlineLevel="0" collapsed="false">
      <c r="A124" s="4" t="s">
        <v>67</v>
      </c>
      <c r="B124" s="4" t="n">
        <v>17</v>
      </c>
      <c r="C124" s="5" t="n">
        <v>91428</v>
      </c>
      <c r="D124" s="5" t="n">
        <v>43741</v>
      </c>
      <c r="E124" s="5" t="n">
        <v>42383</v>
      </c>
      <c r="F124" s="5" t="n">
        <v>133</v>
      </c>
      <c r="G124" s="5" t="n">
        <v>4986</v>
      </c>
      <c r="H124" s="5" t="n">
        <v>182671</v>
      </c>
      <c r="I124" s="9" t="n">
        <f aca="false">IF(H124=0,0,C124/H124)</f>
        <v>0.500506374848772</v>
      </c>
      <c r="J124" s="9" t="n">
        <f aca="false">IF(H124=0,0,D124/H124)</f>
        <v>0.23945234875815</v>
      </c>
      <c r="K124" s="9" t="n">
        <f aca="false">IF(H124=0,0,E124/H124)</f>
        <v>0.23201821854591</v>
      </c>
      <c r="L124" s="9" t="n">
        <f aca="false">IF(H124=0,0,G124/H124)</f>
        <v>0.0272949729294743</v>
      </c>
      <c r="M124" s="4" t="str">
        <f aca="false">INDEX($C$3:$E$3,MATCH(MAX(C124:E124),C124:E124,0))</f>
        <v>Sigamos Haciendo Historia (PVEM-PT-Morena)</v>
      </c>
      <c r="N124" s="18" t="n">
        <f aca="false">IF(H124=0,0,(MAX(C124:E124)-LARGE(C124:E124,2))/H124*100)</f>
        <v>26.1054026090622</v>
      </c>
    </row>
    <row r="125" customFormat="false" ht="15" hidden="false" customHeight="false" outlineLevel="0" collapsed="false">
      <c r="A125" s="4" t="s">
        <v>67</v>
      </c>
      <c r="B125" s="4" t="n">
        <v>18</v>
      </c>
      <c r="C125" s="5" t="n">
        <v>89969</v>
      </c>
      <c r="D125" s="5" t="n">
        <v>54182</v>
      </c>
      <c r="E125" s="5" t="n">
        <v>56824</v>
      </c>
      <c r="F125" s="5" t="n">
        <v>51</v>
      </c>
      <c r="G125" s="5" t="n">
        <v>7478</v>
      </c>
      <c r="H125" s="5" t="n">
        <v>208504</v>
      </c>
      <c r="I125" s="9" t="n">
        <f aca="false">IF(H125=0,0,C125/H125)</f>
        <v>0.431497717070176</v>
      </c>
      <c r="J125" s="9" t="n">
        <f aca="false">IF(H125=0,0,D125/H125)</f>
        <v>0.259860722096459</v>
      </c>
      <c r="K125" s="9" t="n">
        <f aca="false">IF(H125=0,0,E125/H125)</f>
        <v>0.27253194183325</v>
      </c>
      <c r="L125" s="9" t="n">
        <f aca="false">IF(H125=0,0,G125/H125)</f>
        <v>0.0358650193761271</v>
      </c>
      <c r="M125" s="4" t="str">
        <f aca="false">INDEX($C$3:$E$3,MATCH(MAX(C125:E125),C125:E125,0))</f>
        <v>Sigamos Haciendo Historia (PVEM-PT-Morena)</v>
      </c>
      <c r="N125" s="18" t="n">
        <f aca="false">IF(H125=0,0,(MAX(C125:E125)-LARGE(C125:E125,2))/H125*100)</f>
        <v>15.8965775236926</v>
      </c>
    </row>
    <row r="126" customFormat="false" ht="15" hidden="false" customHeight="false" outlineLevel="0" collapsed="false">
      <c r="A126" s="4" t="s">
        <v>67</v>
      </c>
      <c r="B126" s="4" t="n">
        <v>19</v>
      </c>
      <c r="C126" s="5" t="n">
        <v>96243</v>
      </c>
      <c r="D126" s="5" t="n">
        <v>42745</v>
      </c>
      <c r="E126" s="5" t="n">
        <v>62936</v>
      </c>
      <c r="F126" s="5" t="n">
        <v>76</v>
      </c>
      <c r="G126" s="5" t="n">
        <v>6715</v>
      </c>
      <c r="H126" s="5" t="n">
        <v>208715</v>
      </c>
      <c r="I126" s="9" t="n">
        <f aca="false">IF(H126=0,0,C126/H126)</f>
        <v>0.461121625182665</v>
      </c>
      <c r="J126" s="9" t="n">
        <f aca="false">IF(H126=0,0,D126/H126)</f>
        <v>0.204800804925377</v>
      </c>
      <c r="K126" s="9" t="n">
        <f aca="false">IF(H126=0,0,E126/H126)</f>
        <v>0.301540378027454</v>
      </c>
      <c r="L126" s="9" t="n">
        <f aca="false">IF(H126=0,0,G126/H126)</f>
        <v>0.0321730589559926</v>
      </c>
      <c r="M126" s="4" t="str">
        <f aca="false">INDEX($C$3:$E$3,MATCH(MAX(C126:E126),C126:E126,0))</f>
        <v>Sigamos Haciendo Historia (PVEM-PT-Morena)</v>
      </c>
      <c r="N126" s="18" t="n">
        <f aca="false">IF(H126=0,0,(MAX(C126:E126)-LARGE(C126:E126,2))/H126*100)</f>
        <v>15.9581247155212</v>
      </c>
    </row>
    <row r="127" customFormat="false" ht="15" hidden="false" customHeight="false" outlineLevel="0" collapsed="false">
      <c r="A127" s="4" t="s">
        <v>67</v>
      </c>
      <c r="B127" s="4" t="n">
        <v>20</v>
      </c>
      <c r="C127" s="5" t="n">
        <v>67760</v>
      </c>
      <c r="D127" s="5" t="n">
        <v>26692</v>
      </c>
      <c r="E127" s="5" t="n">
        <v>36284</v>
      </c>
      <c r="F127" s="5" t="n">
        <v>120</v>
      </c>
      <c r="G127" s="5" t="n">
        <v>3399</v>
      </c>
      <c r="H127" s="5" t="n">
        <v>134255</v>
      </c>
      <c r="I127" s="9" t="n">
        <f aca="false">IF(H127=0,0,C127/H127)</f>
        <v>0.504711183941008</v>
      </c>
      <c r="J127" s="9" t="n">
        <f aca="false">IF(H127=0,0,D127/H127)</f>
        <v>0.198815686566608</v>
      </c>
      <c r="K127" s="9" t="n">
        <f aca="false">IF(H127=0,0,E127/H127)</f>
        <v>0.270261815202413</v>
      </c>
      <c r="L127" s="9" t="n">
        <f aca="false">IF(H127=0,0,G127/H127)</f>
        <v>0.025317492830807</v>
      </c>
      <c r="M127" s="4" t="str">
        <f aca="false">INDEX($C$3:$E$3,MATCH(MAX(C127:E127),C127:E127,0))</f>
        <v>Sigamos Haciendo Historia (PVEM-PT-Morena)</v>
      </c>
      <c r="N127" s="18" t="n">
        <f aca="false">IF(H127=0,0,(MAX(C127:E127)-LARGE(C127:E127,2))/H127*100)</f>
        <v>23.4449368738594</v>
      </c>
    </row>
    <row r="128" customFormat="false" ht="15" hidden="false" customHeight="false" outlineLevel="0" collapsed="false">
      <c r="A128" s="4" t="s">
        <v>68</v>
      </c>
      <c r="B128" s="4" t="n">
        <v>1</v>
      </c>
      <c r="C128" s="5" t="n">
        <v>135644</v>
      </c>
      <c r="D128" s="5" t="n">
        <v>75590</v>
      </c>
      <c r="E128" s="5" t="n">
        <v>16117</v>
      </c>
      <c r="F128" s="5" t="n">
        <v>98</v>
      </c>
      <c r="G128" s="5" t="n">
        <v>7298</v>
      </c>
      <c r="H128" s="5" t="n">
        <v>234747</v>
      </c>
      <c r="I128" s="9" t="n">
        <f aca="false">IF(H128=0,0,C128/H128)</f>
        <v>0.577830600604055</v>
      </c>
      <c r="J128" s="9" t="n">
        <f aca="false">IF(H128=0,0,D128/H128)</f>
        <v>0.322006245021236</v>
      </c>
      <c r="K128" s="9" t="n">
        <f aca="false">IF(H128=0,0,E128/H128)</f>
        <v>0.0686568944438055</v>
      </c>
      <c r="L128" s="9" t="n">
        <f aca="false">IF(H128=0,0,G128/H128)</f>
        <v>0.0310887892071038</v>
      </c>
      <c r="M128" s="4" t="str">
        <f aca="false">INDEX($C$3:$E$3,MATCH(MAX(C128:E128),C128:E128,0))</f>
        <v>Sigamos Haciendo Historia (PVEM-PT-Morena)</v>
      </c>
      <c r="N128" s="18" t="n">
        <f aca="false">IF(H128=0,0,(MAX(C128:E128)-LARGE(C128:E128,2))/H128*100)</f>
        <v>25.5824355582819</v>
      </c>
    </row>
    <row r="129" customFormat="false" ht="15" hidden="false" customHeight="false" outlineLevel="0" collapsed="false">
      <c r="A129" s="4" t="s">
        <v>68</v>
      </c>
      <c r="B129" s="4" t="n">
        <v>2</v>
      </c>
      <c r="C129" s="5" t="n">
        <v>114828</v>
      </c>
      <c r="D129" s="5" t="n">
        <v>51673</v>
      </c>
      <c r="E129" s="5" t="n">
        <v>18886</v>
      </c>
      <c r="F129" s="5" t="n">
        <v>179</v>
      </c>
      <c r="G129" s="5" t="n">
        <v>4457</v>
      </c>
      <c r="H129" s="5" t="n">
        <v>190023</v>
      </c>
      <c r="I129" s="9" t="n">
        <f aca="false">IF(H129=0,0,C129/H129)</f>
        <v>0.6042847444783</v>
      </c>
      <c r="J129" s="9" t="n">
        <f aca="false">IF(H129=0,0,D129/H129)</f>
        <v>0.271930240023576</v>
      </c>
      <c r="K129" s="9" t="n">
        <f aca="false">IF(H129=0,0,E129/H129)</f>
        <v>0.0993879688248265</v>
      </c>
      <c r="L129" s="9" t="n">
        <f aca="false">IF(H129=0,0,G129/H129)</f>
        <v>0.0234550554406572</v>
      </c>
      <c r="M129" s="4" t="str">
        <f aca="false">INDEX($C$3:$E$3,MATCH(MAX(C129:E129),C129:E129,0))</f>
        <v>Sigamos Haciendo Historia (PVEM-PT-Morena)</v>
      </c>
      <c r="N129" s="18" t="n">
        <f aca="false">IF(H129=0,0,(MAX(C129:E129)-LARGE(C129:E129,2))/H129*100)</f>
        <v>33.2354504454724</v>
      </c>
    </row>
    <row r="130" customFormat="false" ht="15" hidden="false" customHeight="false" outlineLevel="0" collapsed="false">
      <c r="A130" s="4" t="s">
        <v>68</v>
      </c>
      <c r="B130" s="4" t="n">
        <v>3</v>
      </c>
      <c r="C130" s="5" t="n">
        <v>125451</v>
      </c>
      <c r="D130" s="5" t="n">
        <v>69866</v>
      </c>
      <c r="E130" s="5" t="n">
        <v>21069</v>
      </c>
      <c r="F130" s="5" t="n">
        <v>236</v>
      </c>
      <c r="G130" s="5" t="n">
        <v>6498</v>
      </c>
      <c r="H130" s="5" t="n">
        <v>223120</v>
      </c>
      <c r="I130" s="9" t="n">
        <f aca="false">IF(H130=0,0,C130/H130)</f>
        <v>0.56225797776981</v>
      </c>
      <c r="J130" s="9" t="n">
        <f aca="false">IF(H130=0,0,D130/H130)</f>
        <v>0.313131946934385</v>
      </c>
      <c r="K130" s="9" t="n">
        <f aca="false">IF(H130=0,0,E130/H130)</f>
        <v>0.0944290068124776</v>
      </c>
      <c r="L130" s="9" t="n">
        <f aca="false">IF(H130=0,0,G130/H130)</f>
        <v>0.0291233416995339</v>
      </c>
      <c r="M130" s="4" t="str">
        <f aca="false">INDEX($C$3:$E$3,MATCH(MAX(C130:E130),C130:E130,0))</f>
        <v>Sigamos Haciendo Historia (PVEM-PT-Morena)</v>
      </c>
      <c r="N130" s="18" t="n">
        <f aca="false">IF(H130=0,0,(MAX(C130:E130)-LARGE(C130:E130,2))/H130*100)</f>
        <v>24.9126030835425</v>
      </c>
    </row>
    <row r="131" customFormat="false" ht="15" hidden="false" customHeight="false" outlineLevel="0" collapsed="false">
      <c r="A131" s="4" t="s">
        <v>68</v>
      </c>
      <c r="B131" s="4" t="n">
        <v>4</v>
      </c>
      <c r="C131" s="5" t="n">
        <v>104465</v>
      </c>
      <c r="D131" s="5" t="n">
        <v>56330</v>
      </c>
      <c r="E131" s="5" t="n">
        <v>21660</v>
      </c>
      <c r="F131" s="5" t="n">
        <v>151</v>
      </c>
      <c r="G131" s="5" t="n">
        <v>5511</v>
      </c>
      <c r="H131" s="5" t="n">
        <v>188117</v>
      </c>
      <c r="I131" s="9" t="n">
        <f aca="false">IF(H131=0,0,C131/H131)</f>
        <v>0.555319295970061</v>
      </c>
      <c r="J131" s="9" t="n">
        <f aca="false">IF(H131=0,0,D131/H131)</f>
        <v>0.299441305145202</v>
      </c>
      <c r="K131" s="9" t="n">
        <f aca="false">IF(H131=0,0,E131/H131)</f>
        <v>0.115141108990681</v>
      </c>
      <c r="L131" s="9" t="n">
        <f aca="false">IF(H131=0,0,G131/H131)</f>
        <v>0.0292955979523382</v>
      </c>
      <c r="M131" s="4" t="str">
        <f aca="false">INDEX($C$3:$E$3,MATCH(MAX(C131:E131),C131:E131,0))</f>
        <v>Sigamos Haciendo Historia (PVEM-PT-Morena)</v>
      </c>
      <c r="N131" s="18" t="n">
        <f aca="false">IF(H131=0,0,(MAX(C131:E131)-LARGE(C131:E131,2))/H131*100)</f>
        <v>25.5877990824859</v>
      </c>
    </row>
    <row r="132" customFormat="false" ht="15" hidden="false" customHeight="false" outlineLevel="0" collapsed="false">
      <c r="A132" s="4" t="s">
        <v>68</v>
      </c>
      <c r="B132" s="4" t="n">
        <v>5</v>
      </c>
      <c r="C132" s="5" t="n">
        <v>112969</v>
      </c>
      <c r="D132" s="5" t="n">
        <v>63665</v>
      </c>
      <c r="E132" s="5" t="n">
        <v>14233</v>
      </c>
      <c r="F132" s="5" t="n">
        <v>154</v>
      </c>
      <c r="G132" s="5" t="n">
        <v>4884</v>
      </c>
      <c r="H132" s="5" t="n">
        <v>195905</v>
      </c>
      <c r="I132" s="9" t="n">
        <f aca="false">IF(H132=0,0,C132/H132)</f>
        <v>0.57665194864858</v>
      </c>
      <c r="J132" s="9" t="n">
        <f aca="false">IF(H132=0,0,D132/H132)</f>
        <v>0.324978943875858</v>
      </c>
      <c r="K132" s="9" t="n">
        <f aca="false">IF(H132=0,0,E132/H132)</f>
        <v>0.0726525611903729</v>
      </c>
      <c r="L132" s="9" t="n">
        <f aca="false">IF(H132=0,0,G132/H132)</f>
        <v>0.0249304509838953</v>
      </c>
      <c r="M132" s="4" t="str">
        <f aca="false">INDEX($C$3:$E$3,MATCH(MAX(C132:E132),C132:E132,0))</f>
        <v>Sigamos Haciendo Historia (PVEM-PT-Morena)</v>
      </c>
      <c r="N132" s="18" t="n">
        <f aca="false">IF(H132=0,0,(MAX(C132:E132)-LARGE(C132:E132,2))/H132*100)</f>
        <v>25.1673004772721</v>
      </c>
    </row>
    <row r="133" customFormat="false" ht="15" hidden="false" customHeight="false" outlineLevel="0" collapsed="false">
      <c r="A133" s="4" t="s">
        <v>68</v>
      </c>
      <c r="B133" s="4" t="n">
        <v>6</v>
      </c>
      <c r="C133" s="5" t="n">
        <v>130354</v>
      </c>
      <c r="D133" s="5" t="n">
        <v>71004</v>
      </c>
      <c r="E133" s="5" t="n">
        <v>26117</v>
      </c>
      <c r="F133" s="5" t="n">
        <v>184</v>
      </c>
      <c r="G133" s="5" t="n">
        <v>4823</v>
      </c>
      <c r="H133" s="5" t="n">
        <v>232482</v>
      </c>
      <c r="I133" s="9" t="n">
        <f aca="false">IF(H133=0,0,C133/H133)</f>
        <v>0.560705775070758</v>
      </c>
      <c r="J133" s="9" t="n">
        <f aca="false">IF(H133=0,0,D133/H133)</f>
        <v>0.305417193589181</v>
      </c>
      <c r="K133" s="9" t="n">
        <f aca="false">IF(H133=0,0,E133/H133)</f>
        <v>0.112339880076737</v>
      </c>
      <c r="L133" s="9" t="n">
        <f aca="false">IF(H133=0,0,G133/H133)</f>
        <v>0.0207456921396065</v>
      </c>
      <c r="M133" s="4" t="str">
        <f aca="false">INDEX($C$3:$E$3,MATCH(MAX(C133:E133),C133:E133,0))</f>
        <v>Sigamos Haciendo Historia (PVEM-PT-Morena)</v>
      </c>
      <c r="N133" s="18" t="n">
        <f aca="false">IF(H133=0,0,(MAX(C133:E133)-LARGE(C133:E133,2))/H133*100)</f>
        <v>25.5288581481577</v>
      </c>
    </row>
    <row r="134" customFormat="false" ht="15" hidden="false" customHeight="false" outlineLevel="0" collapsed="false">
      <c r="A134" s="4" t="s">
        <v>68</v>
      </c>
      <c r="B134" s="4" t="n">
        <v>7</v>
      </c>
      <c r="C134" s="5" t="n">
        <v>131007</v>
      </c>
      <c r="D134" s="5" t="n">
        <v>83861</v>
      </c>
      <c r="E134" s="5" t="n">
        <v>23203</v>
      </c>
      <c r="F134" s="5" t="n">
        <v>217</v>
      </c>
      <c r="G134" s="5" t="n">
        <v>5605</v>
      </c>
      <c r="H134" s="5" t="n">
        <v>243893</v>
      </c>
      <c r="I134" s="9" t="n">
        <f aca="false">IF(H134=0,0,C134/H134)</f>
        <v>0.537149487685174</v>
      </c>
      <c r="J134" s="9" t="n">
        <f aca="false">IF(H134=0,0,D134/H134)</f>
        <v>0.343843406739841</v>
      </c>
      <c r="K134" s="9" t="n">
        <f aca="false">IF(H134=0,0,E134/H134)</f>
        <v>0.0951359817624942</v>
      </c>
      <c r="L134" s="9" t="n">
        <f aca="false">IF(H134=0,0,G134/H134)</f>
        <v>0.022981389379769</v>
      </c>
      <c r="M134" s="4" t="str">
        <f aca="false">INDEX($C$3:$E$3,MATCH(MAX(C134:E134),C134:E134,0))</f>
        <v>Sigamos Haciendo Historia (PVEM-PT-Morena)</v>
      </c>
      <c r="N134" s="18" t="n">
        <f aca="false">IF(H134=0,0,(MAX(C134:E134)-LARGE(C134:E134,2))/H134*100)</f>
        <v>19.3306080945333</v>
      </c>
    </row>
    <row r="135" customFormat="false" ht="15" hidden="false" customHeight="false" outlineLevel="0" collapsed="false">
      <c r="A135" s="4" t="s">
        <v>68</v>
      </c>
      <c r="B135" s="4" t="n">
        <v>8</v>
      </c>
      <c r="C135" s="5" t="n">
        <v>135060</v>
      </c>
      <c r="D135" s="5" t="n">
        <v>59269</v>
      </c>
      <c r="E135" s="5" t="n">
        <v>24029</v>
      </c>
      <c r="F135" s="5" t="n">
        <v>141</v>
      </c>
      <c r="G135" s="5" t="n">
        <v>4887</v>
      </c>
      <c r="H135" s="5" t="n">
        <v>223386</v>
      </c>
      <c r="I135" s="9" t="n">
        <f aca="false">IF(H135=0,0,C135/H135)</f>
        <v>0.604603690472993</v>
      </c>
      <c r="J135" s="9" t="n">
        <f aca="false">IF(H135=0,0,D135/H135)</f>
        <v>0.265321013850465</v>
      </c>
      <c r="K135" s="9" t="n">
        <f aca="false">IF(H135=0,0,E135/H135)</f>
        <v>0.107567170726903</v>
      </c>
      <c r="L135" s="9" t="n">
        <f aca="false">IF(H135=0,0,G135/H135)</f>
        <v>0.0218769305148935</v>
      </c>
      <c r="M135" s="4" t="str">
        <f aca="false">INDEX($C$3:$E$3,MATCH(MAX(C135:E135),C135:E135,0))</f>
        <v>Sigamos Haciendo Historia (PVEM-PT-Morena)</v>
      </c>
      <c r="N135" s="18" t="n">
        <f aca="false">IF(H135=0,0,(MAX(C135:E135)-LARGE(C135:E135,2))/H135*100)</f>
        <v>33.9282676622528</v>
      </c>
    </row>
    <row r="136" customFormat="false" ht="15" hidden="false" customHeight="false" outlineLevel="0" collapsed="false">
      <c r="A136" s="4" t="s">
        <v>68</v>
      </c>
      <c r="B136" s="4" t="n">
        <v>9</v>
      </c>
      <c r="C136" s="5" t="n">
        <v>112482</v>
      </c>
      <c r="D136" s="5" t="n">
        <v>72832</v>
      </c>
      <c r="E136" s="5" t="n">
        <v>11221</v>
      </c>
      <c r="F136" s="5" t="n">
        <v>41</v>
      </c>
      <c r="G136" s="5" t="n">
        <v>8701</v>
      </c>
      <c r="H136" s="5" t="n">
        <v>205277</v>
      </c>
      <c r="I136" s="9" t="n">
        <f aca="false">IF(H136=0,0,C136/H136)</f>
        <v>0.547952279115537</v>
      </c>
      <c r="J136" s="9" t="n">
        <f aca="false">IF(H136=0,0,D136/H136)</f>
        <v>0.354798637938006</v>
      </c>
      <c r="K136" s="9" t="n">
        <f aca="false">IF(H136=0,0,E136/H136)</f>
        <v>0.0546627240265592</v>
      </c>
      <c r="L136" s="9" t="n">
        <f aca="false">IF(H136=0,0,G136/H136)</f>
        <v>0.0423866287991348</v>
      </c>
      <c r="M136" s="4" t="str">
        <f aca="false">INDEX($C$3:$E$3,MATCH(MAX(C136:E136),C136:E136,0))</f>
        <v>Sigamos Haciendo Historia (PVEM-PT-Morena)</v>
      </c>
      <c r="N136" s="18" t="n">
        <f aca="false">IF(H136=0,0,(MAX(C136:E136)-LARGE(C136:E136,2))/H136*100)</f>
        <v>19.3153641177531</v>
      </c>
    </row>
    <row r="137" customFormat="false" ht="15" hidden="false" customHeight="false" outlineLevel="0" collapsed="false">
      <c r="A137" s="4" t="s">
        <v>68</v>
      </c>
      <c r="B137" s="4" t="n">
        <v>10</v>
      </c>
      <c r="C137" s="5" t="n">
        <v>115057</v>
      </c>
      <c r="D137" s="5" t="n">
        <v>46322</v>
      </c>
      <c r="E137" s="5" t="n">
        <v>20508</v>
      </c>
      <c r="F137" s="5" t="n">
        <v>196</v>
      </c>
      <c r="G137" s="5" t="n">
        <v>4772</v>
      </c>
      <c r="H137" s="5" t="n">
        <v>186855</v>
      </c>
      <c r="I137" s="9" t="n">
        <f aca="false">IF(H137=0,0,C137/H137)</f>
        <v>0.615755532364668</v>
      </c>
      <c r="J137" s="9" t="n">
        <f aca="false">IF(H137=0,0,D137/H137)</f>
        <v>0.24790345455032</v>
      </c>
      <c r="K137" s="9" t="n">
        <f aca="false">IF(H137=0,0,E137/H137)</f>
        <v>0.109753552219636</v>
      </c>
      <c r="L137" s="9" t="n">
        <f aca="false">IF(H137=0,0,G137/H137)</f>
        <v>0.0255385191726205</v>
      </c>
      <c r="M137" s="4" t="str">
        <f aca="false">INDEX($C$3:$E$3,MATCH(MAX(C137:E137),C137:E137,0))</f>
        <v>Sigamos Haciendo Historia (PVEM-PT-Morena)</v>
      </c>
      <c r="N137" s="18" t="n">
        <f aca="false">IF(H137=0,0,(MAX(C137:E137)-LARGE(C137:E137,2))/H137*100)</f>
        <v>36.7852077814348</v>
      </c>
    </row>
    <row r="138" customFormat="false" ht="15" hidden="false" customHeight="false" outlineLevel="0" collapsed="false">
      <c r="A138" s="4" t="s">
        <v>68</v>
      </c>
      <c r="B138" s="4" t="n">
        <v>11</v>
      </c>
      <c r="C138" s="5" t="n">
        <v>126170</v>
      </c>
      <c r="D138" s="5" t="n">
        <v>46433</v>
      </c>
      <c r="E138" s="5" t="n">
        <v>19820</v>
      </c>
      <c r="F138" s="5" t="n">
        <v>135</v>
      </c>
      <c r="G138" s="5" t="n">
        <v>5754</v>
      </c>
      <c r="H138" s="5" t="n">
        <v>198312</v>
      </c>
      <c r="I138" s="9" t="n">
        <f aca="false">IF(H138=0,0,C138/H138)</f>
        <v>0.63621969421921</v>
      </c>
      <c r="J138" s="9" t="n">
        <f aca="false">IF(H138=0,0,D138/H138)</f>
        <v>0.234141151317116</v>
      </c>
      <c r="K138" s="9" t="n">
        <f aca="false">IF(H138=0,0,E138/H138)</f>
        <v>0.099943523336964</v>
      </c>
      <c r="L138" s="9" t="n">
        <f aca="false">IF(H138=0,0,G138/H138)</f>
        <v>0.0290148856347574</v>
      </c>
      <c r="M138" s="4" t="str">
        <f aca="false">INDEX($C$3:$E$3,MATCH(MAX(C138:E138),C138:E138,0))</f>
        <v>Sigamos Haciendo Historia (PVEM-PT-Morena)</v>
      </c>
      <c r="N138" s="18" t="n">
        <f aca="false">IF(H138=0,0,(MAX(C138:E138)-LARGE(C138:E138,2))/H138*100)</f>
        <v>40.2078542902094</v>
      </c>
    </row>
    <row r="139" customFormat="false" ht="15" hidden="false" customHeight="false" outlineLevel="0" collapsed="false">
      <c r="A139" s="4" t="s">
        <v>68</v>
      </c>
      <c r="B139" s="4" t="n">
        <v>12</v>
      </c>
      <c r="C139" s="5" t="n">
        <v>107878</v>
      </c>
      <c r="D139" s="5" t="n">
        <v>41611</v>
      </c>
      <c r="E139" s="5" t="n">
        <v>17536</v>
      </c>
      <c r="F139" s="5" t="n">
        <v>111</v>
      </c>
      <c r="G139" s="5" t="n">
        <v>4828</v>
      </c>
      <c r="H139" s="5" t="n">
        <v>171964</v>
      </c>
      <c r="I139" s="9" t="n">
        <f aca="false">IF(H139=0,0,C139/H139)</f>
        <v>0.627328975832151</v>
      </c>
      <c r="J139" s="9" t="n">
        <f aca="false">IF(H139=0,0,D139/H139)</f>
        <v>0.241975064548394</v>
      </c>
      <c r="K139" s="9" t="n">
        <f aca="false">IF(H139=0,0,E139/H139)</f>
        <v>0.101974831941569</v>
      </c>
      <c r="L139" s="9" t="n">
        <f aca="false">IF(H139=0,0,G139/H139)</f>
        <v>0.0280756437393873</v>
      </c>
      <c r="M139" s="4" t="str">
        <f aca="false">INDEX($C$3:$E$3,MATCH(MAX(C139:E139),C139:E139,0))</f>
        <v>Sigamos Haciendo Historia (PVEM-PT-Morena)</v>
      </c>
      <c r="N139" s="18" t="n">
        <f aca="false">IF(H139=0,0,(MAX(C139:E139)-LARGE(C139:E139,2))/H139*100)</f>
        <v>38.5353911283757</v>
      </c>
    </row>
    <row r="140" customFormat="false" ht="15" hidden="false" customHeight="false" outlineLevel="0" collapsed="false">
      <c r="A140" s="4" t="s">
        <v>68</v>
      </c>
      <c r="B140" s="4" t="n">
        <v>13</v>
      </c>
      <c r="C140" s="5" t="n">
        <v>143896</v>
      </c>
      <c r="D140" s="5" t="n">
        <v>71678</v>
      </c>
      <c r="E140" s="5" t="n">
        <v>25625</v>
      </c>
      <c r="F140" s="5" t="n">
        <v>221</v>
      </c>
      <c r="G140" s="5" t="n">
        <v>6714</v>
      </c>
      <c r="H140" s="5" t="n">
        <v>248134</v>
      </c>
      <c r="I140" s="9" t="n">
        <f aca="false">IF(H140=0,0,C140/H140)</f>
        <v>0.579912466651084</v>
      </c>
      <c r="J140" s="9" t="n">
        <f aca="false">IF(H140=0,0,D140/H140)</f>
        <v>0.288868111584869</v>
      </c>
      <c r="K140" s="9" t="n">
        <f aca="false">IF(H140=0,0,E140/H140)</f>
        <v>0.103270813350851</v>
      </c>
      <c r="L140" s="9" t="n">
        <f aca="false">IF(H140=0,0,G140/H140)</f>
        <v>0.0270579606180532</v>
      </c>
      <c r="M140" s="4" t="str">
        <f aca="false">INDEX($C$3:$E$3,MATCH(MAX(C140:E140),C140:E140,0))</f>
        <v>Sigamos Haciendo Historia (PVEM-PT-Morena)</v>
      </c>
      <c r="N140" s="18" t="n">
        <f aca="false">IF(H140=0,0,(MAX(C140:E140)-LARGE(C140:E140,2))/H140*100)</f>
        <v>29.1044355066214</v>
      </c>
    </row>
    <row r="141" customFormat="false" ht="15" hidden="false" customHeight="false" outlineLevel="0" collapsed="false">
      <c r="A141" s="4" t="s">
        <v>68</v>
      </c>
      <c r="B141" s="4" t="n">
        <v>14</v>
      </c>
      <c r="C141" s="5" t="n">
        <v>104154</v>
      </c>
      <c r="D141" s="5" t="n">
        <v>52806</v>
      </c>
      <c r="E141" s="5" t="n">
        <v>18772</v>
      </c>
      <c r="F141" s="5" t="n">
        <v>150</v>
      </c>
      <c r="G141" s="5" t="n">
        <v>5392</v>
      </c>
      <c r="H141" s="5" t="n">
        <v>181274</v>
      </c>
      <c r="I141" s="9" t="n">
        <f aca="false">IF(H141=0,0,C141/H141)</f>
        <v>0.574566678067456</v>
      </c>
      <c r="J141" s="9" t="n">
        <f aca="false">IF(H141=0,0,D141/H141)</f>
        <v>0.291304875492349</v>
      </c>
      <c r="K141" s="9" t="n">
        <f aca="false">IF(H141=0,0,E141/H141)</f>
        <v>0.103555942937211</v>
      </c>
      <c r="L141" s="9" t="n">
        <f aca="false">IF(H141=0,0,G141/H141)</f>
        <v>0.0297450268654082</v>
      </c>
      <c r="M141" s="4" t="str">
        <f aca="false">INDEX($C$3:$E$3,MATCH(MAX(C141:E141),C141:E141,0))</f>
        <v>Sigamos Haciendo Historia (PVEM-PT-Morena)</v>
      </c>
      <c r="N141" s="18" t="n">
        <f aca="false">IF(H141=0,0,(MAX(C141:E141)-LARGE(C141:E141,2))/H141*100)</f>
        <v>28.3261802575107</v>
      </c>
    </row>
    <row r="142" customFormat="false" ht="15" hidden="false" customHeight="false" outlineLevel="0" collapsed="false">
      <c r="A142" s="4" t="s">
        <v>68</v>
      </c>
      <c r="B142" s="4" t="n">
        <v>15</v>
      </c>
      <c r="C142" s="5" t="n">
        <v>114834</v>
      </c>
      <c r="D142" s="5" t="n">
        <v>95569</v>
      </c>
      <c r="E142" s="5" t="n">
        <v>19450</v>
      </c>
      <c r="F142" s="5" t="n">
        <v>242</v>
      </c>
      <c r="G142" s="5" t="n">
        <v>5576</v>
      </c>
      <c r="H142" s="5" t="n">
        <v>235671</v>
      </c>
      <c r="I142" s="9" t="n">
        <f aca="false">IF(H142=0,0,C142/H142)</f>
        <v>0.487264024848199</v>
      </c>
      <c r="J142" s="9" t="n">
        <f aca="false">IF(H142=0,0,D142/H142)</f>
        <v>0.405518710405608</v>
      </c>
      <c r="K142" s="9" t="n">
        <f aca="false">IF(H142=0,0,E142/H142)</f>
        <v>0.0825303070806336</v>
      </c>
      <c r="L142" s="9" t="n">
        <f aca="false">IF(H142=0,0,G142/H142)</f>
        <v>0.0236601024309313</v>
      </c>
      <c r="M142" s="4" t="str">
        <f aca="false">INDEX($C$3:$E$3,MATCH(MAX(C142:E142),C142:E142,0))</f>
        <v>Sigamos Haciendo Historia (PVEM-PT-Morena)</v>
      </c>
      <c r="N142" s="18" t="n">
        <f aca="false">IF(H142=0,0,(MAX(C142:E142)-LARGE(C142:E142,2))/H142*100)</f>
        <v>8.17453144425916</v>
      </c>
    </row>
    <row r="143" customFormat="false" ht="15" hidden="false" customHeight="false" outlineLevel="0" collapsed="false">
      <c r="A143" s="4" t="s">
        <v>68</v>
      </c>
      <c r="B143" s="4" t="n">
        <v>16</v>
      </c>
      <c r="C143" s="5" t="n">
        <v>123951</v>
      </c>
      <c r="D143" s="5" t="n">
        <v>49684</v>
      </c>
      <c r="E143" s="5" t="n">
        <v>17049</v>
      </c>
      <c r="F143" s="5" t="n">
        <v>122</v>
      </c>
      <c r="G143" s="5" t="n">
        <v>5084</v>
      </c>
      <c r="H143" s="5" t="n">
        <v>195890</v>
      </c>
      <c r="I143" s="9" t="n">
        <f aca="false">IF(H143=0,0,C143/H143)</f>
        <v>0.632758180611568</v>
      </c>
      <c r="J143" s="9" t="n">
        <f aca="false">IF(H143=0,0,D143/H143)</f>
        <v>0.253632140487008</v>
      </c>
      <c r="K143" s="9" t="n">
        <f aca="false">IF(H143=0,0,E143/H143)</f>
        <v>0.0870335392312012</v>
      </c>
      <c r="L143" s="9" t="n">
        <f aca="false">IF(H143=0,0,G143/H143)</f>
        <v>0.0259533411608556</v>
      </c>
      <c r="M143" s="4" t="str">
        <f aca="false">INDEX($C$3:$E$3,MATCH(MAX(C143:E143),C143:E143,0))</f>
        <v>Sigamos Haciendo Historia (PVEM-PT-Morena)</v>
      </c>
      <c r="N143" s="18" t="n">
        <f aca="false">IF(H143=0,0,(MAX(C143:E143)-LARGE(C143:E143,2))/H143*100)</f>
        <v>37.912604012456</v>
      </c>
    </row>
    <row r="144" customFormat="false" ht="15" hidden="false" customHeight="false" outlineLevel="0" collapsed="false">
      <c r="A144" s="4" t="s">
        <v>68</v>
      </c>
      <c r="B144" s="4" t="n">
        <v>17</v>
      </c>
      <c r="C144" s="5" t="n">
        <v>100965</v>
      </c>
      <c r="D144" s="5" t="n">
        <v>57325</v>
      </c>
      <c r="E144" s="5" t="n">
        <v>18972</v>
      </c>
      <c r="F144" s="5" t="n">
        <v>156</v>
      </c>
      <c r="G144" s="5" t="n">
        <v>4154</v>
      </c>
      <c r="H144" s="5" t="n">
        <v>181572</v>
      </c>
      <c r="I144" s="9" t="n">
        <f aca="false">IF(H144=0,0,C144/H144)</f>
        <v>0.556060405789439</v>
      </c>
      <c r="J144" s="9" t="n">
        <f aca="false">IF(H144=0,0,D144/H144)</f>
        <v>0.315714978080321</v>
      </c>
      <c r="K144" s="9" t="n">
        <f aca="false">IF(H144=0,0,E144/H144)</f>
        <v>0.104487476042562</v>
      </c>
      <c r="L144" s="9" t="n">
        <f aca="false">IF(H144=0,0,G144/H144)</f>
        <v>0.0228779767805609</v>
      </c>
      <c r="M144" s="4" t="str">
        <f aca="false">INDEX($C$3:$E$3,MATCH(MAX(C144:E144),C144:E144,0))</f>
        <v>Sigamos Haciendo Historia (PVEM-PT-Morena)</v>
      </c>
      <c r="N144" s="18" t="n">
        <f aca="false">IF(H144=0,0,(MAX(C144:E144)-LARGE(C144:E144,2))/H144*100)</f>
        <v>24.0345427709118</v>
      </c>
    </row>
    <row r="145" customFormat="false" ht="15" hidden="false" customHeight="false" outlineLevel="0" collapsed="false">
      <c r="A145" s="4" t="s">
        <v>68</v>
      </c>
      <c r="B145" s="4" t="n">
        <v>18</v>
      </c>
      <c r="C145" s="5" t="n">
        <v>109872</v>
      </c>
      <c r="D145" s="5" t="n">
        <v>109776</v>
      </c>
      <c r="E145" s="5" t="n">
        <v>22893</v>
      </c>
      <c r="F145" s="5" t="n">
        <v>189</v>
      </c>
      <c r="G145" s="5" t="n">
        <v>6193</v>
      </c>
      <c r="H145" s="5" t="n">
        <v>248923</v>
      </c>
      <c r="I145" s="9" t="n">
        <f aca="false">IF(H145=0,0,C145/H145)</f>
        <v>0.441389505991813</v>
      </c>
      <c r="J145" s="9" t="n">
        <f aca="false">IF(H145=0,0,D145/H145)</f>
        <v>0.441003844562375</v>
      </c>
      <c r="K145" s="9" t="n">
        <f aca="false">IF(H145=0,0,E145/H145)</f>
        <v>0.0919681990012976</v>
      </c>
      <c r="L145" s="9" t="n">
        <f aca="false">IF(H145=0,0,G145/H145)</f>
        <v>0.0248791795053089</v>
      </c>
      <c r="M145" s="4" t="str">
        <f aca="false">INDEX($C$3:$E$3,MATCH(MAX(C145:E145),C145:E145,0))</f>
        <v>Sigamos Haciendo Historia (PVEM-PT-Morena)</v>
      </c>
      <c r="N145" s="18" t="n">
        <f aca="false">IF(H145=0,0,(MAX(C145:E145)-LARGE(C145:E145,2))/H145*100)</f>
        <v>0.0385661429438019</v>
      </c>
    </row>
    <row r="146" customFormat="false" ht="15" hidden="false" customHeight="false" outlineLevel="0" collapsed="false">
      <c r="A146" s="4" t="s">
        <v>68</v>
      </c>
      <c r="B146" s="4" t="n">
        <v>19</v>
      </c>
      <c r="C146" s="5" t="n">
        <v>134156</v>
      </c>
      <c r="D146" s="5" t="n">
        <v>128013</v>
      </c>
      <c r="E146" s="5" t="n">
        <v>24025</v>
      </c>
      <c r="F146" s="5" t="n">
        <v>237</v>
      </c>
      <c r="G146" s="5" t="n">
        <v>6113</v>
      </c>
      <c r="H146" s="5" t="n">
        <v>292544</v>
      </c>
      <c r="I146" s="9" t="n">
        <f aca="false">IF(H146=0,0,C146/H146)</f>
        <v>0.458584007875738</v>
      </c>
      <c r="J146" s="9" t="n">
        <f aca="false">IF(H146=0,0,D146/H146)</f>
        <v>0.437585457230365</v>
      </c>
      <c r="K146" s="9" t="n">
        <f aca="false">IF(H146=0,0,E146/H146)</f>
        <v>0.0821243983810982</v>
      </c>
      <c r="L146" s="9" t="n">
        <f aca="false">IF(H146=0,0,G146/H146)</f>
        <v>0.0208960019689346</v>
      </c>
      <c r="M146" s="4" t="str">
        <f aca="false">INDEX($C$3:$E$3,MATCH(MAX(C146:E146),C146:E146,0))</f>
        <v>Sigamos Haciendo Historia (PVEM-PT-Morena)</v>
      </c>
      <c r="N146" s="18" t="n">
        <f aca="false">IF(H146=0,0,(MAX(C146:E146)-LARGE(C146:E146,2))/H146*100)</f>
        <v>2.0998550645373</v>
      </c>
    </row>
    <row r="147" customFormat="false" ht="15" hidden="false" customHeight="false" outlineLevel="0" collapsed="false">
      <c r="A147" s="4" t="s">
        <v>68</v>
      </c>
      <c r="B147" s="4" t="n">
        <v>20</v>
      </c>
      <c r="C147" s="5" t="n">
        <v>94651</v>
      </c>
      <c r="D147" s="5" t="n">
        <v>46233</v>
      </c>
      <c r="E147" s="5" t="n">
        <v>16971</v>
      </c>
      <c r="F147" s="5" t="n">
        <v>75</v>
      </c>
      <c r="G147" s="5" t="n">
        <v>3828</v>
      </c>
      <c r="H147" s="5" t="n">
        <v>161758</v>
      </c>
      <c r="I147" s="9" t="n">
        <f aca="false">IF(H147=0,0,C147/H147)</f>
        <v>0.585139529420492</v>
      </c>
      <c r="J147" s="9" t="n">
        <f aca="false">IF(H147=0,0,D147/H147)</f>
        <v>0.285815848366078</v>
      </c>
      <c r="K147" s="9" t="n">
        <f aca="false">IF(H147=0,0,E147/H147)</f>
        <v>0.104915985608131</v>
      </c>
      <c r="L147" s="9" t="n">
        <f aca="false">IF(H147=0,0,G147/H147)</f>
        <v>0.0236649810210314</v>
      </c>
      <c r="M147" s="4" t="str">
        <f aca="false">INDEX($C$3:$E$3,MATCH(MAX(C147:E147),C147:E147,0))</f>
        <v>Sigamos Haciendo Historia (PVEM-PT-Morena)</v>
      </c>
      <c r="N147" s="18" t="n">
        <f aca="false">IF(H147=0,0,(MAX(C147:E147)-LARGE(C147:E147,2))/H147*100)</f>
        <v>29.9323681054415</v>
      </c>
    </row>
    <row r="148" customFormat="false" ht="15" hidden="false" customHeight="false" outlineLevel="0" collapsed="false">
      <c r="A148" s="4" t="s">
        <v>68</v>
      </c>
      <c r="B148" s="4" t="n">
        <v>21</v>
      </c>
      <c r="C148" s="5" t="n">
        <v>131711</v>
      </c>
      <c r="D148" s="5" t="n">
        <v>43356</v>
      </c>
      <c r="E148" s="5" t="n">
        <v>22213</v>
      </c>
      <c r="F148" s="5" t="n">
        <v>157</v>
      </c>
      <c r="G148" s="5" t="n">
        <v>6872</v>
      </c>
      <c r="H148" s="5" t="n">
        <v>204309</v>
      </c>
      <c r="I148" s="9" t="n">
        <f aca="false">IF(H148=0,0,C148/H148)</f>
        <v>0.644665677968176</v>
      </c>
      <c r="J148" s="9" t="n">
        <f aca="false">IF(H148=0,0,D148/H148)</f>
        <v>0.212207979090495</v>
      </c>
      <c r="K148" s="9" t="n">
        <f aca="false">IF(H148=0,0,E148/H148)</f>
        <v>0.108722572182332</v>
      </c>
      <c r="L148" s="9" t="n">
        <f aca="false">IF(H148=0,0,G148/H148)</f>
        <v>0.0336353268823204</v>
      </c>
      <c r="M148" s="4" t="str">
        <f aca="false">INDEX($C$3:$E$3,MATCH(MAX(C148:E148),C148:E148,0))</f>
        <v>Sigamos Haciendo Historia (PVEM-PT-Morena)</v>
      </c>
      <c r="N148" s="18" t="n">
        <f aca="false">IF(H148=0,0,(MAX(C148:E148)-LARGE(C148:E148,2))/H148*100)</f>
        <v>43.245769887768</v>
      </c>
    </row>
    <row r="149" customFormat="false" ht="15" hidden="false" customHeight="false" outlineLevel="0" collapsed="false">
      <c r="A149" s="4" t="s">
        <v>68</v>
      </c>
      <c r="B149" s="4" t="n">
        <v>22</v>
      </c>
      <c r="C149" s="5" t="n">
        <v>93536</v>
      </c>
      <c r="D149" s="5" t="n">
        <v>131398</v>
      </c>
      <c r="E149" s="5" t="n">
        <v>17685</v>
      </c>
      <c r="F149" s="5" t="n">
        <v>136</v>
      </c>
      <c r="G149" s="5" t="n">
        <v>4590</v>
      </c>
      <c r="H149" s="5" t="n">
        <v>247345</v>
      </c>
      <c r="I149" s="9" t="n">
        <f aca="false">IF(H149=0,0,C149/H149)</f>
        <v>0.378160059835453</v>
      </c>
      <c r="J149" s="9" t="n">
        <f aca="false">IF(H149=0,0,D149/H149)</f>
        <v>0.53123370191433</v>
      </c>
      <c r="K149" s="9" t="n">
        <f aca="false">IF(H149=0,0,E149/H149)</f>
        <v>0.0714993228082233</v>
      </c>
      <c r="L149" s="9" t="n">
        <f aca="false">IF(H149=0,0,G149/H149)</f>
        <v>0.0185570761486992</v>
      </c>
      <c r="M149" s="4" t="str">
        <f aca="false">INDEX($C$3:$E$3,MATCH(MAX(C149:E149),C149:E149,0))</f>
        <v>Fuerza y Corazón por México (PAN-PRI-PRD)</v>
      </c>
      <c r="N149" s="18" t="n">
        <f aca="false">IF(H149=0,0,(MAX(C149:E149)-LARGE(C149:E149,2))/H149*100)</f>
        <v>15.3073642078878</v>
      </c>
    </row>
    <row r="150" customFormat="false" ht="15" hidden="false" customHeight="false" outlineLevel="0" collapsed="false">
      <c r="A150" s="4" t="s">
        <v>68</v>
      </c>
      <c r="B150" s="4" t="n">
        <v>23</v>
      </c>
      <c r="C150" s="5" t="n">
        <v>124436</v>
      </c>
      <c r="D150" s="5" t="n">
        <v>63152</v>
      </c>
      <c r="E150" s="5" t="n">
        <v>20322</v>
      </c>
      <c r="F150" s="5" t="n">
        <v>201</v>
      </c>
      <c r="G150" s="5" t="n">
        <v>6535</v>
      </c>
      <c r="H150" s="5" t="n">
        <v>214646</v>
      </c>
      <c r="I150" s="9" t="n">
        <f aca="false">IF(H150=0,0,C150/H150)</f>
        <v>0.579726619643506</v>
      </c>
      <c r="J150" s="9" t="n">
        <f aca="false">IF(H150=0,0,D150/H150)</f>
        <v>0.294214660417618</v>
      </c>
      <c r="K150" s="9" t="n">
        <f aca="false">IF(H150=0,0,E150/H150)</f>
        <v>0.094676816712168</v>
      </c>
      <c r="L150" s="9" t="n">
        <f aca="false">IF(H150=0,0,G150/H150)</f>
        <v>0.0304454776702105</v>
      </c>
      <c r="M150" s="4" t="str">
        <f aca="false">INDEX($C$3:$E$3,MATCH(MAX(C150:E150),C150:E150,0))</f>
        <v>Sigamos Haciendo Historia (PVEM-PT-Morena)</v>
      </c>
      <c r="N150" s="18" t="n">
        <f aca="false">IF(H150=0,0,(MAX(C150:E150)-LARGE(C150:E150,2))/H150*100)</f>
        <v>28.5511959225888</v>
      </c>
    </row>
    <row r="151" customFormat="false" ht="15" hidden="false" customHeight="false" outlineLevel="0" collapsed="false">
      <c r="A151" s="4" t="s">
        <v>68</v>
      </c>
      <c r="B151" s="4" t="n">
        <v>24</v>
      </c>
      <c r="C151" s="5" t="n">
        <v>148660</v>
      </c>
      <c r="D151" s="5" t="n">
        <v>76346</v>
      </c>
      <c r="E151" s="5" t="n">
        <v>22236</v>
      </c>
      <c r="F151" s="5" t="n">
        <v>171</v>
      </c>
      <c r="G151" s="5" t="n">
        <v>6159</v>
      </c>
      <c r="H151" s="5" t="n">
        <v>253572</v>
      </c>
      <c r="I151" s="9" t="n">
        <f aca="false">IF(H151=0,0,C151/H151)</f>
        <v>0.586263467575284</v>
      </c>
      <c r="J151" s="9" t="n">
        <f aca="false">IF(H151=0,0,D151/H151)</f>
        <v>0.301082138406449</v>
      </c>
      <c r="K151" s="9" t="n">
        <f aca="false">IF(H151=0,0,E151/H151)</f>
        <v>0.087691069991955</v>
      </c>
      <c r="L151" s="9" t="n">
        <f aca="false">IF(H151=0,0,G151/H151)</f>
        <v>0.024288959348824</v>
      </c>
      <c r="M151" s="4" t="str">
        <f aca="false">INDEX($C$3:$E$3,MATCH(MAX(C151:E151),C151:E151,0))</f>
        <v>Sigamos Haciendo Historia (PVEM-PT-Morena)</v>
      </c>
      <c r="N151" s="18" t="n">
        <f aca="false">IF(H151=0,0,(MAX(C151:E151)-LARGE(C151:E151,2))/H151*100)</f>
        <v>28.5181329168836</v>
      </c>
    </row>
    <row r="152" customFormat="false" ht="15" hidden="false" customHeight="false" outlineLevel="0" collapsed="false">
      <c r="A152" s="4" t="s">
        <v>68</v>
      </c>
      <c r="B152" s="4" t="n">
        <v>25</v>
      </c>
      <c r="C152" s="5" t="n">
        <v>99832</v>
      </c>
      <c r="D152" s="5" t="n">
        <v>44789</v>
      </c>
      <c r="E152" s="5" t="n">
        <v>13288</v>
      </c>
      <c r="F152" s="5" t="n">
        <v>123</v>
      </c>
      <c r="G152" s="5" t="n">
        <v>4550</v>
      </c>
      <c r="H152" s="5" t="n">
        <v>162582</v>
      </c>
      <c r="I152" s="9" t="n">
        <f aca="false">IF(H152=0,0,C152/H152)</f>
        <v>0.614040914738409</v>
      </c>
      <c r="J152" s="9" t="n">
        <f aca="false">IF(H152=0,0,D152/H152)</f>
        <v>0.275485601112054</v>
      </c>
      <c r="K152" s="9" t="n">
        <f aca="false">IF(H152=0,0,E152/H152)</f>
        <v>0.0817310649395382</v>
      </c>
      <c r="L152" s="9" t="n">
        <f aca="false">IF(H152=0,0,G152/H152)</f>
        <v>0.027985877895462</v>
      </c>
      <c r="M152" s="4" t="str">
        <f aca="false">INDEX($C$3:$E$3,MATCH(MAX(C152:E152),C152:E152,0))</f>
        <v>Sigamos Haciendo Historia (PVEM-PT-Morena)</v>
      </c>
      <c r="N152" s="18" t="n">
        <f aca="false">IF(H152=0,0,(MAX(C152:E152)-LARGE(C152:E152,2))/H152*100)</f>
        <v>33.8555313626355</v>
      </c>
    </row>
    <row r="153" customFormat="false" ht="15" hidden="false" customHeight="false" outlineLevel="0" collapsed="false">
      <c r="A153" s="4" t="s">
        <v>68</v>
      </c>
      <c r="B153" s="4" t="n">
        <v>26</v>
      </c>
      <c r="C153" s="5" t="n">
        <v>116798</v>
      </c>
      <c r="D153" s="5" t="n">
        <v>71884</v>
      </c>
      <c r="E153" s="5" t="n">
        <v>23483</v>
      </c>
      <c r="F153" s="5" t="n">
        <v>179</v>
      </c>
      <c r="G153" s="5" t="n">
        <v>5311</v>
      </c>
      <c r="H153" s="5" t="n">
        <v>217655</v>
      </c>
      <c r="I153" s="9" t="n">
        <f aca="false">IF(H153=0,0,C153/H153)</f>
        <v>0.536619880085456</v>
      </c>
      <c r="J153" s="9" t="n">
        <f aca="false">IF(H153=0,0,D153/H153)</f>
        <v>0.330265787599642</v>
      </c>
      <c r="K153" s="9" t="n">
        <f aca="false">IF(H153=0,0,E153/H153)</f>
        <v>0.107890928303967</v>
      </c>
      <c r="L153" s="9" t="n">
        <f aca="false">IF(H153=0,0,G153/H153)</f>
        <v>0.0244010015850773</v>
      </c>
      <c r="M153" s="4" t="str">
        <f aca="false">INDEX($C$3:$E$3,MATCH(MAX(C153:E153),C153:E153,0))</f>
        <v>Sigamos Haciendo Historia (PVEM-PT-Morena)</v>
      </c>
      <c r="N153" s="18" t="n">
        <f aca="false">IF(H153=0,0,(MAX(C153:E153)-LARGE(C153:E153,2))/H153*100)</f>
        <v>20.6354092485815</v>
      </c>
    </row>
    <row r="154" customFormat="false" ht="15" hidden="false" customHeight="false" outlineLevel="0" collapsed="false">
      <c r="A154" s="4" t="s">
        <v>68</v>
      </c>
      <c r="B154" s="4" t="n">
        <v>27</v>
      </c>
      <c r="C154" s="5" t="n">
        <v>121317</v>
      </c>
      <c r="D154" s="5" t="n">
        <v>110303</v>
      </c>
      <c r="E154" s="5" t="n">
        <v>24315</v>
      </c>
      <c r="F154" s="5" t="n">
        <v>179</v>
      </c>
      <c r="G154" s="5" t="n">
        <v>5429</v>
      </c>
      <c r="H154" s="5" t="n">
        <v>261543</v>
      </c>
      <c r="I154" s="9" t="n">
        <f aca="false">IF(H154=0,0,C154/H154)</f>
        <v>0.463851068466753</v>
      </c>
      <c r="J154" s="9" t="n">
        <f aca="false">IF(H154=0,0,D154/H154)</f>
        <v>0.421739446286079</v>
      </c>
      <c r="K154" s="9" t="n">
        <f aca="false">IF(H154=0,0,E154/H154)</f>
        <v>0.0929675043874239</v>
      </c>
      <c r="L154" s="9" t="n">
        <f aca="false">IF(H154=0,0,G154/H154)</f>
        <v>0.020757580971389</v>
      </c>
      <c r="M154" s="4" t="str">
        <f aca="false">INDEX($C$3:$E$3,MATCH(MAX(C154:E154),C154:E154,0))</f>
        <v>Sigamos Haciendo Historia (PVEM-PT-Morena)</v>
      </c>
      <c r="N154" s="18" t="n">
        <f aca="false">IF(H154=0,0,(MAX(C154:E154)-LARGE(C154:E154,2))/H154*100)</f>
        <v>4.21116221806739</v>
      </c>
    </row>
    <row r="155" customFormat="false" ht="15" hidden="false" customHeight="false" outlineLevel="0" collapsed="false">
      <c r="A155" s="4" t="s">
        <v>68</v>
      </c>
      <c r="B155" s="4" t="n">
        <v>28</v>
      </c>
      <c r="C155" s="5" t="n">
        <v>98936</v>
      </c>
      <c r="D155" s="5" t="n">
        <v>39411</v>
      </c>
      <c r="E155" s="5" t="n">
        <v>19916</v>
      </c>
      <c r="F155" s="5" t="n">
        <v>133</v>
      </c>
      <c r="G155" s="5" t="n">
        <v>5512</v>
      </c>
      <c r="H155" s="5" t="n">
        <v>163908</v>
      </c>
      <c r="I155" s="9" t="n">
        <f aca="false">IF(H155=0,0,C155/H155)</f>
        <v>0.603606901432511</v>
      </c>
      <c r="J155" s="9" t="n">
        <f aca="false">IF(H155=0,0,D155/H155)</f>
        <v>0.240445859872611</v>
      </c>
      <c r="K155" s="9" t="n">
        <f aca="false">IF(H155=0,0,E155/H155)</f>
        <v>0.121507186958538</v>
      </c>
      <c r="L155" s="9" t="n">
        <f aca="false">IF(H155=0,0,G155/H155)</f>
        <v>0.0336286209336945</v>
      </c>
      <c r="M155" s="4" t="str">
        <f aca="false">INDEX($C$3:$E$3,MATCH(MAX(C155:E155),C155:E155,0))</f>
        <v>Sigamos Haciendo Historia (PVEM-PT-Morena)</v>
      </c>
      <c r="N155" s="18" t="n">
        <f aca="false">IF(H155=0,0,(MAX(C155:E155)-LARGE(C155:E155,2))/H155*100)</f>
        <v>36.31610415599</v>
      </c>
    </row>
    <row r="156" customFormat="false" ht="15" hidden="false" customHeight="false" outlineLevel="0" collapsed="false">
      <c r="A156" s="4" t="s">
        <v>68</v>
      </c>
      <c r="B156" s="4" t="n">
        <v>29</v>
      </c>
      <c r="C156" s="5" t="n">
        <v>138724</v>
      </c>
      <c r="D156" s="5" t="n">
        <v>53947</v>
      </c>
      <c r="E156" s="5" t="n">
        <v>29488</v>
      </c>
      <c r="F156" s="5" t="n">
        <v>179</v>
      </c>
      <c r="G156" s="5" t="n">
        <v>5765</v>
      </c>
      <c r="H156" s="5" t="n">
        <v>228103</v>
      </c>
      <c r="I156" s="9" t="n">
        <f aca="false">IF(H156=0,0,C156/H156)</f>
        <v>0.608163855801984</v>
      </c>
      <c r="J156" s="9" t="n">
        <f aca="false">IF(H156=0,0,D156/H156)</f>
        <v>0.236502807942026</v>
      </c>
      <c r="K156" s="9" t="n">
        <f aca="false">IF(H156=0,0,E156/H156)</f>
        <v>0.129274932815439</v>
      </c>
      <c r="L156" s="9" t="n">
        <f aca="false">IF(H156=0,0,G156/H156)</f>
        <v>0.0252736702279234</v>
      </c>
      <c r="M156" s="4" t="str">
        <f aca="false">INDEX($C$3:$E$3,MATCH(MAX(C156:E156),C156:E156,0))</f>
        <v>Sigamos Haciendo Historia (PVEM-PT-Morena)</v>
      </c>
      <c r="N156" s="18" t="n">
        <f aca="false">IF(H156=0,0,(MAX(C156:E156)-LARGE(C156:E156,2))/H156*100)</f>
        <v>37.1661047859958</v>
      </c>
    </row>
    <row r="157" customFormat="false" ht="15" hidden="false" customHeight="false" outlineLevel="0" collapsed="false">
      <c r="A157" s="4" t="s">
        <v>68</v>
      </c>
      <c r="B157" s="4" t="n">
        <v>30</v>
      </c>
      <c r="C157" s="5" t="n">
        <v>95007</v>
      </c>
      <c r="D157" s="5" t="n">
        <v>44603</v>
      </c>
      <c r="E157" s="5" t="n">
        <v>13932</v>
      </c>
      <c r="F157" s="5" t="n">
        <v>104</v>
      </c>
      <c r="G157" s="5" t="n">
        <v>4636</v>
      </c>
      <c r="H157" s="5" t="n">
        <v>158282</v>
      </c>
      <c r="I157" s="9" t="n">
        <f aca="false">IF(H157=0,0,C157/H157)</f>
        <v>0.600238814268205</v>
      </c>
      <c r="J157" s="9" t="n">
        <f aca="false">IF(H157=0,0,D157/H157)</f>
        <v>0.281794518643939</v>
      </c>
      <c r="K157" s="9" t="n">
        <f aca="false">IF(H157=0,0,E157/H157)</f>
        <v>0.0880201159955017</v>
      </c>
      <c r="L157" s="9" t="n">
        <f aca="false">IF(H157=0,0,G157/H157)</f>
        <v>0.0292894959629017</v>
      </c>
      <c r="M157" s="4" t="str">
        <f aca="false">INDEX($C$3:$E$3,MATCH(MAX(C157:E157),C157:E157,0))</f>
        <v>Sigamos Haciendo Historia (PVEM-PT-Morena)</v>
      </c>
      <c r="N157" s="18" t="n">
        <f aca="false">IF(H157=0,0,(MAX(C157:E157)-LARGE(C157:E157,2))/H157*100)</f>
        <v>31.8444295624266</v>
      </c>
    </row>
    <row r="158" customFormat="false" ht="15" hidden="false" customHeight="false" outlineLevel="0" collapsed="false">
      <c r="A158" s="4" t="s">
        <v>68</v>
      </c>
      <c r="B158" s="4" t="n">
        <v>31</v>
      </c>
      <c r="C158" s="5" t="n">
        <v>143660</v>
      </c>
      <c r="D158" s="5" t="n">
        <v>50844</v>
      </c>
      <c r="E158" s="5" t="n">
        <v>29666</v>
      </c>
      <c r="F158" s="5" t="n">
        <v>172</v>
      </c>
      <c r="G158" s="5" t="n">
        <v>5648</v>
      </c>
      <c r="H158" s="5" t="n">
        <v>229990</v>
      </c>
      <c r="I158" s="9" t="n">
        <f aca="false">IF(H158=0,0,C158/H158)</f>
        <v>0.624635853732771</v>
      </c>
      <c r="J158" s="9" t="n">
        <f aca="false">IF(H158=0,0,D158/H158)</f>
        <v>0.221070481325275</v>
      </c>
      <c r="K158" s="9" t="n">
        <f aca="false">IF(H158=0,0,E158/H158)</f>
        <v>0.128988216878995</v>
      </c>
      <c r="L158" s="9" t="n">
        <f aca="false">IF(H158=0,0,G158/H158)</f>
        <v>0.0245575894604113</v>
      </c>
      <c r="M158" s="4" t="str">
        <f aca="false">INDEX($C$3:$E$3,MATCH(MAX(C158:E158),C158:E158,0))</f>
        <v>Sigamos Haciendo Historia (PVEM-PT-Morena)</v>
      </c>
      <c r="N158" s="18" t="n">
        <f aca="false">IF(H158=0,0,(MAX(C158:E158)-LARGE(C158:E158,2))/H158*100)</f>
        <v>40.3565372407496</v>
      </c>
    </row>
    <row r="159" customFormat="false" ht="15" hidden="false" customHeight="false" outlineLevel="0" collapsed="false">
      <c r="A159" s="4" t="s">
        <v>68</v>
      </c>
      <c r="B159" s="4" t="n">
        <v>32</v>
      </c>
      <c r="C159" s="5" t="n">
        <v>114042</v>
      </c>
      <c r="D159" s="5" t="n">
        <v>31726</v>
      </c>
      <c r="E159" s="5" t="n">
        <v>14600</v>
      </c>
      <c r="F159" s="5" t="n">
        <v>106</v>
      </c>
      <c r="G159" s="5" t="n">
        <v>5939</v>
      </c>
      <c r="H159" s="5" t="n">
        <v>166413</v>
      </c>
      <c r="I159" s="9" t="n">
        <f aca="false">IF(H159=0,0,C159/H159)</f>
        <v>0.685295019018947</v>
      </c>
      <c r="J159" s="9" t="n">
        <f aca="false">IF(H159=0,0,D159/H159)</f>
        <v>0.190646163460787</v>
      </c>
      <c r="K159" s="9" t="n">
        <f aca="false">IF(H159=0,0,E159/H159)</f>
        <v>0.0877335304333195</v>
      </c>
      <c r="L159" s="9" t="n">
        <f aca="false">IF(H159=0,0,G159/H159)</f>
        <v>0.0356883176194168</v>
      </c>
      <c r="M159" s="4" t="str">
        <f aca="false">INDEX($C$3:$E$3,MATCH(MAX(C159:E159),C159:E159,0))</f>
        <v>Sigamos Haciendo Historia (PVEM-PT-Morena)</v>
      </c>
      <c r="N159" s="18" t="n">
        <f aca="false">IF(H159=0,0,(MAX(C159:E159)-LARGE(C159:E159,2))/H159*100)</f>
        <v>49.464885555816</v>
      </c>
    </row>
    <row r="160" customFormat="false" ht="15" hidden="false" customHeight="false" outlineLevel="0" collapsed="false">
      <c r="A160" s="4" t="s">
        <v>68</v>
      </c>
      <c r="B160" s="4" t="n">
        <v>33</v>
      </c>
      <c r="C160" s="5" t="n">
        <v>119989</v>
      </c>
      <c r="D160" s="5" t="n">
        <v>29825</v>
      </c>
      <c r="E160" s="5" t="n">
        <v>14172</v>
      </c>
      <c r="F160" s="5" t="n">
        <v>108</v>
      </c>
      <c r="G160" s="5" t="n">
        <v>5057</v>
      </c>
      <c r="H160" s="5" t="n">
        <v>169151</v>
      </c>
      <c r="I160" s="9" t="n">
        <f aca="false">IF(H160=0,0,C160/H160)</f>
        <v>0.709360275729969</v>
      </c>
      <c r="J160" s="9" t="n">
        <f aca="false">IF(H160=0,0,D160/H160)</f>
        <v>0.176321748023955</v>
      </c>
      <c r="K160" s="9" t="n">
        <f aca="false">IF(H160=0,0,E160/H160)</f>
        <v>0.0837831286838387</v>
      </c>
      <c r="L160" s="9" t="n">
        <f aca="false">IF(H160=0,0,G160/H160)</f>
        <v>0.0298963647864925</v>
      </c>
      <c r="M160" s="4" t="str">
        <f aca="false">INDEX($C$3:$E$3,MATCH(MAX(C160:E160),C160:E160,0))</f>
        <v>Sigamos Haciendo Historia (PVEM-PT-Morena)</v>
      </c>
      <c r="N160" s="18" t="n">
        <f aca="false">IF(H160=0,0,(MAX(C160:E160)-LARGE(C160:E160,2))/H160*100)</f>
        <v>53.3038527706014</v>
      </c>
    </row>
    <row r="161" customFormat="false" ht="15" hidden="false" customHeight="false" outlineLevel="0" collapsed="false">
      <c r="A161" s="4" t="s">
        <v>68</v>
      </c>
      <c r="B161" s="4" t="n">
        <v>34</v>
      </c>
      <c r="C161" s="5" t="n">
        <v>118916</v>
      </c>
      <c r="D161" s="5" t="n">
        <v>108647</v>
      </c>
      <c r="E161" s="5" t="n">
        <v>30269</v>
      </c>
      <c r="F161" s="5" t="n">
        <v>174</v>
      </c>
      <c r="G161" s="5" t="n">
        <v>5662</v>
      </c>
      <c r="H161" s="5" t="n">
        <v>263668</v>
      </c>
      <c r="I161" s="9" t="n">
        <f aca="false">IF(H161=0,0,C161/H161)</f>
        <v>0.451006568866908</v>
      </c>
      <c r="J161" s="9" t="n">
        <f aca="false">IF(H161=0,0,D161/H161)</f>
        <v>0.412059863161248</v>
      </c>
      <c r="K161" s="9" t="n">
        <f aca="false">IF(H161=0,0,E161/H161)</f>
        <v>0.114799672315184</v>
      </c>
      <c r="L161" s="9" t="n">
        <f aca="false">IF(H161=0,0,G161/H161)</f>
        <v>0.0214739748471563</v>
      </c>
      <c r="M161" s="4" t="str">
        <f aca="false">INDEX($C$3:$E$3,MATCH(MAX(C161:E161),C161:E161,0))</f>
        <v>Sigamos Haciendo Historia (PVEM-PT-Morena)</v>
      </c>
      <c r="N161" s="18" t="n">
        <f aca="false">IF(H161=0,0,(MAX(C161:E161)-LARGE(C161:E161,2))/H161*100)</f>
        <v>3.89467057056601</v>
      </c>
    </row>
    <row r="162" customFormat="false" ht="15" hidden="false" customHeight="false" outlineLevel="0" collapsed="false">
      <c r="A162" s="4" t="s">
        <v>68</v>
      </c>
      <c r="B162" s="4" t="n">
        <v>35</v>
      </c>
      <c r="C162" s="5" t="n">
        <v>121733</v>
      </c>
      <c r="D162" s="5" t="n">
        <v>54403</v>
      </c>
      <c r="E162" s="5" t="n">
        <v>33065</v>
      </c>
      <c r="F162" s="5" t="n">
        <v>160</v>
      </c>
      <c r="G162" s="5" t="n">
        <v>9027</v>
      </c>
      <c r="H162" s="5" t="n">
        <v>218388</v>
      </c>
      <c r="I162" s="9" t="n">
        <f aca="false">IF(H162=0,0,C162/H162)</f>
        <v>0.557416158396982</v>
      </c>
      <c r="J162" s="9" t="n">
        <f aca="false">IF(H162=0,0,D162/H162)</f>
        <v>0.249111672802535</v>
      </c>
      <c r="K162" s="9" t="n">
        <f aca="false">IF(H162=0,0,E162/H162)</f>
        <v>0.151404839093723</v>
      </c>
      <c r="L162" s="9" t="n">
        <f aca="false">IF(H162=0,0,G162/H162)</f>
        <v>0.0413346887191604</v>
      </c>
      <c r="M162" s="4" t="str">
        <f aca="false">INDEX($C$3:$E$3,MATCH(MAX(C162:E162),C162:E162,0))</f>
        <v>Sigamos Haciendo Historia (PVEM-PT-Morena)</v>
      </c>
      <c r="N162" s="18" t="n">
        <f aca="false">IF(H162=0,0,(MAX(C162:E162)-LARGE(C162:E162,2))/H162*100)</f>
        <v>30.8304485594447</v>
      </c>
    </row>
    <row r="163" customFormat="false" ht="15" hidden="false" customHeight="false" outlineLevel="0" collapsed="false">
      <c r="A163" s="4" t="s">
        <v>68</v>
      </c>
      <c r="B163" s="4" t="n">
        <v>36</v>
      </c>
      <c r="C163" s="5" t="n">
        <v>122950</v>
      </c>
      <c r="D163" s="5" t="n">
        <v>63552</v>
      </c>
      <c r="E163" s="5" t="n">
        <v>19328</v>
      </c>
      <c r="F163" s="5" t="n">
        <v>267</v>
      </c>
      <c r="G163" s="5" t="n">
        <v>9646</v>
      </c>
      <c r="H163" s="5" t="n">
        <v>215743</v>
      </c>
      <c r="I163" s="9" t="n">
        <f aca="false">IF(H163=0,0,C163/H163)</f>
        <v>0.569891027750611</v>
      </c>
      <c r="J163" s="9" t="n">
        <f aca="false">IF(H163=0,0,D163/H163)</f>
        <v>0.294572709195663</v>
      </c>
      <c r="K163" s="9" t="n">
        <f aca="false">IF(H163=0,0,E163/H163)</f>
        <v>0.0895880746999903</v>
      </c>
      <c r="L163" s="9" t="n">
        <f aca="false">IF(H163=0,0,G163/H163)</f>
        <v>0.0447106047473151</v>
      </c>
      <c r="M163" s="4" t="str">
        <f aca="false">INDEX($C$3:$E$3,MATCH(MAX(C163:E163),C163:E163,0))</f>
        <v>Sigamos Haciendo Historia (PVEM-PT-Morena)</v>
      </c>
      <c r="N163" s="18" t="n">
        <f aca="false">IF(H163=0,0,(MAX(C163:E163)-LARGE(C163:E163,2))/H163*100)</f>
        <v>27.5318318554947</v>
      </c>
    </row>
    <row r="164" customFormat="false" ht="15" hidden="false" customHeight="false" outlineLevel="0" collapsed="false">
      <c r="A164" s="4" t="s">
        <v>68</v>
      </c>
      <c r="B164" s="4" t="n">
        <v>37</v>
      </c>
      <c r="C164" s="5" t="n">
        <v>129600</v>
      </c>
      <c r="D164" s="5" t="n">
        <v>50259</v>
      </c>
      <c r="E164" s="5" t="n">
        <v>24721</v>
      </c>
      <c r="F164" s="5" t="n">
        <v>429</v>
      </c>
      <c r="G164" s="5" t="n">
        <v>6643</v>
      </c>
      <c r="H164" s="5" t="n">
        <v>211652</v>
      </c>
      <c r="I164" s="9" t="n">
        <f aca="false">IF(H164=0,0,C164/H164)</f>
        <v>0.612325893447735</v>
      </c>
      <c r="J164" s="9" t="n">
        <f aca="false">IF(H164=0,0,D164/H164)</f>
        <v>0.237460548447451</v>
      </c>
      <c r="K164" s="9" t="n">
        <f aca="false">IF(H164=0,0,E164/H164)</f>
        <v>0.116800219227789</v>
      </c>
      <c r="L164" s="9" t="n">
        <f aca="false">IF(H164=0,0,G164/H164)</f>
        <v>0.0313864267760286</v>
      </c>
      <c r="M164" s="4" t="str">
        <f aca="false">INDEX($C$3:$E$3,MATCH(MAX(C164:E164),C164:E164,0))</f>
        <v>Sigamos Haciendo Historia (PVEM-PT-Morena)</v>
      </c>
      <c r="N164" s="18" t="n">
        <f aca="false">IF(H164=0,0,(MAX(C164:E164)-LARGE(C164:E164,2))/H164*100)</f>
        <v>37.4865345000284</v>
      </c>
    </row>
    <row r="165" customFormat="false" ht="15" hidden="false" customHeight="false" outlineLevel="0" collapsed="false">
      <c r="A165" s="4" t="s">
        <v>68</v>
      </c>
      <c r="B165" s="4" t="n">
        <v>38</v>
      </c>
      <c r="C165" s="5" t="n">
        <v>102462</v>
      </c>
      <c r="D165" s="5" t="n">
        <v>48968</v>
      </c>
      <c r="E165" s="5" t="n">
        <v>24729</v>
      </c>
      <c r="F165" s="5" t="n">
        <v>196</v>
      </c>
      <c r="G165" s="5" t="n">
        <v>5246</v>
      </c>
      <c r="H165" s="5" t="n">
        <v>181601</v>
      </c>
      <c r="I165" s="9" t="n">
        <f aca="false">IF(H165=0,0,C165/H165)</f>
        <v>0.564214954763465</v>
      </c>
      <c r="J165" s="9" t="n">
        <f aca="false">IF(H165=0,0,D165/H165)</f>
        <v>0.269646092257201</v>
      </c>
      <c r="K165" s="9" t="n">
        <f aca="false">IF(H165=0,0,E165/H165)</f>
        <v>0.136172157642304</v>
      </c>
      <c r="L165" s="9" t="n">
        <f aca="false">IF(H165=0,0,G165/H165)</f>
        <v>0.0288875061260676</v>
      </c>
      <c r="M165" s="4" t="str">
        <f aca="false">INDEX($C$3:$E$3,MATCH(MAX(C165:E165),C165:E165,0))</f>
        <v>Sigamos Haciendo Historia (PVEM-PT-Morena)</v>
      </c>
      <c r="N165" s="18" t="n">
        <f aca="false">IF(H165=0,0,(MAX(C165:E165)-LARGE(C165:E165,2))/H165*100)</f>
        <v>29.4568862506264</v>
      </c>
    </row>
    <row r="166" customFormat="false" ht="15" hidden="false" customHeight="false" outlineLevel="0" collapsed="false">
      <c r="A166" s="4" t="s">
        <v>68</v>
      </c>
      <c r="B166" s="4" t="n">
        <v>39</v>
      </c>
      <c r="C166" s="5" t="n">
        <v>103040</v>
      </c>
      <c r="D166" s="5" t="n">
        <v>49230</v>
      </c>
      <c r="E166" s="5" t="n">
        <v>13304</v>
      </c>
      <c r="F166" s="5" t="n">
        <v>91</v>
      </c>
      <c r="G166" s="5" t="n">
        <v>4851</v>
      </c>
      <c r="H166" s="5" t="n">
        <v>170516</v>
      </c>
      <c r="I166" s="9" t="n">
        <f aca="false">IF(H166=0,0,C166/H166)</f>
        <v>0.604283468999977</v>
      </c>
      <c r="J166" s="9" t="n">
        <f aca="false">IF(H166=0,0,D166/H166)</f>
        <v>0.288711909732811</v>
      </c>
      <c r="K166" s="9" t="n">
        <f aca="false">IF(H166=0,0,E166/H166)</f>
        <v>0.0780220038002299</v>
      </c>
      <c r="L166" s="9" t="n">
        <f aca="false">IF(H166=0,0,G166/H166)</f>
        <v>0.0284489432076755</v>
      </c>
      <c r="M166" s="4" t="str">
        <f aca="false">INDEX($C$3:$E$3,MATCH(MAX(C166:E166),C166:E166,0))</f>
        <v>Sigamos Haciendo Historia (PVEM-PT-Morena)</v>
      </c>
      <c r="N166" s="18" t="n">
        <f aca="false">IF(H166=0,0,(MAX(C166:E166)-LARGE(C166:E166,2))/H166*100)</f>
        <v>31.5571559267166</v>
      </c>
    </row>
    <row r="167" customFormat="false" ht="15" hidden="false" customHeight="false" outlineLevel="0" collapsed="false">
      <c r="A167" s="4" t="s">
        <v>68</v>
      </c>
      <c r="B167" s="4" t="n">
        <v>40</v>
      </c>
      <c r="C167" s="5" t="n">
        <v>118180</v>
      </c>
      <c r="D167" s="5" t="n">
        <v>79655</v>
      </c>
      <c r="E167" s="5" t="n">
        <v>30718</v>
      </c>
      <c r="F167" s="5" t="n">
        <v>168</v>
      </c>
      <c r="G167" s="5" t="n">
        <v>7953</v>
      </c>
      <c r="H167" s="5" t="n">
        <v>236674</v>
      </c>
      <c r="I167" s="9" t="n">
        <f aca="false">IF(H167=0,0,C167/H167)</f>
        <v>0.499336640273118</v>
      </c>
      <c r="J167" s="9" t="n">
        <f aca="false">IF(H167=0,0,D167/H167)</f>
        <v>0.336559993915682</v>
      </c>
      <c r="K167" s="9" t="n">
        <f aca="false">IF(H167=0,0,E167/H167)</f>
        <v>0.129790344524536</v>
      </c>
      <c r="L167" s="9" t="n">
        <f aca="false">IF(H167=0,0,G167/H167)</f>
        <v>0.033603184126689</v>
      </c>
      <c r="M167" s="4" t="str">
        <f aca="false">INDEX($C$3:$E$3,MATCH(MAX(C167:E167),C167:E167,0))</f>
        <v>Sigamos Haciendo Historia (PVEM-PT-Morena)</v>
      </c>
      <c r="N167" s="18" t="n">
        <f aca="false">IF(H167=0,0,(MAX(C167:E167)-LARGE(C167:E167,2))/H167*100)</f>
        <v>16.2776646357437</v>
      </c>
    </row>
    <row r="168" customFormat="false" ht="15" hidden="false" customHeight="false" outlineLevel="0" collapsed="false">
      <c r="A168" s="4" t="s">
        <v>69</v>
      </c>
      <c r="B168" s="4" t="n">
        <v>1</v>
      </c>
      <c r="C168" s="5" t="n">
        <v>117508</v>
      </c>
      <c r="D168" s="5" t="n">
        <v>32093</v>
      </c>
      <c r="E168" s="5" t="n">
        <v>13384</v>
      </c>
      <c r="F168" s="5" t="n">
        <v>66</v>
      </c>
      <c r="G168" s="5" t="n">
        <v>6912</v>
      </c>
      <c r="H168" s="5" t="n">
        <v>169963</v>
      </c>
      <c r="I168" s="9" t="n">
        <f aca="false">IF(H168=0,0,C168/H168)</f>
        <v>0.691374004930485</v>
      </c>
      <c r="J168" s="9" t="n">
        <f aca="false">IF(H168=0,0,D168/H168)</f>
        <v>0.188823449809664</v>
      </c>
      <c r="K168" s="9" t="n">
        <f aca="false">IF(H168=0,0,E168/H168)</f>
        <v>0.0787465507198626</v>
      </c>
      <c r="L168" s="9" t="n">
        <f aca="false">IF(H168=0,0,G168/H168)</f>
        <v>0.0406676747292058</v>
      </c>
      <c r="M168" s="4" t="str">
        <f aca="false">INDEX($C$3:$E$3,MATCH(MAX(C168:E168),C168:E168,0))</f>
        <v>Sigamos Haciendo Historia (PVEM-PT-Morena)</v>
      </c>
      <c r="N168" s="18" t="n">
        <f aca="false">IF(H168=0,0,(MAX(C168:E168)-LARGE(C168:E168,2))/H168*100)</f>
        <v>50.255055512082</v>
      </c>
    </row>
    <row r="169" customFormat="false" ht="15" hidden="false" customHeight="false" outlineLevel="0" collapsed="false">
      <c r="A169" s="4" t="s">
        <v>69</v>
      </c>
      <c r="B169" s="4" t="n">
        <v>2</v>
      </c>
      <c r="C169" s="5" t="n">
        <v>73837</v>
      </c>
      <c r="D169" s="5" t="n">
        <v>53477</v>
      </c>
      <c r="E169" s="5" t="n">
        <v>17246</v>
      </c>
      <c r="F169" s="5" t="n">
        <v>151</v>
      </c>
      <c r="G169" s="5" t="n">
        <v>7422</v>
      </c>
      <c r="H169" s="5" t="n">
        <v>152133</v>
      </c>
      <c r="I169" s="9" t="n">
        <f aca="false">IF(H169=0,0,C169/H169)</f>
        <v>0.48534505991468</v>
      </c>
      <c r="J169" s="9" t="n">
        <f aca="false">IF(H169=0,0,D169/H169)</f>
        <v>0.351514792977198</v>
      </c>
      <c r="K169" s="9" t="n">
        <f aca="false">IF(H169=0,0,E169/H169)</f>
        <v>0.113361335147535</v>
      </c>
      <c r="L169" s="9" t="n">
        <f aca="false">IF(H169=0,0,G169/H169)</f>
        <v>0.0487862593914535</v>
      </c>
      <c r="M169" s="4" t="str">
        <f aca="false">INDEX($C$3:$E$3,MATCH(MAX(C169:E169),C169:E169,0))</f>
        <v>Sigamos Haciendo Historia (PVEM-PT-Morena)</v>
      </c>
      <c r="N169" s="18" t="n">
        <f aca="false">IF(H169=0,0,(MAX(C169:E169)-LARGE(C169:E169,2))/H169*100)</f>
        <v>13.3830266937482</v>
      </c>
    </row>
    <row r="170" customFormat="false" ht="15" hidden="false" customHeight="false" outlineLevel="0" collapsed="false">
      <c r="A170" s="4" t="s">
        <v>69</v>
      </c>
      <c r="B170" s="4" t="n">
        <v>3</v>
      </c>
      <c r="C170" s="5" t="n">
        <v>105815</v>
      </c>
      <c r="D170" s="5" t="n">
        <v>56883</v>
      </c>
      <c r="E170" s="5" t="n">
        <v>28368</v>
      </c>
      <c r="F170" s="5" t="n">
        <v>172</v>
      </c>
      <c r="G170" s="5" t="n">
        <v>12323</v>
      </c>
      <c r="H170" s="5" t="n">
        <v>203561</v>
      </c>
      <c r="I170" s="9" t="n">
        <f aca="false">IF(H170=0,0,C170/H170)</f>
        <v>0.519819611811693</v>
      </c>
      <c r="J170" s="9" t="n">
        <f aca="false">IF(H170=0,0,D170/H170)</f>
        <v>0.279439578308222</v>
      </c>
      <c r="K170" s="9" t="n">
        <f aca="false">IF(H170=0,0,E170/H170)</f>
        <v>0.139358718025555</v>
      </c>
      <c r="L170" s="9" t="n">
        <f aca="false">IF(H170=0,0,G170/H170)</f>
        <v>0.0605371362883853</v>
      </c>
      <c r="M170" s="4" t="str">
        <f aca="false">INDEX($C$3:$E$3,MATCH(MAX(C170:E170),C170:E170,0))</f>
        <v>Sigamos Haciendo Historia (PVEM-PT-Morena)</v>
      </c>
      <c r="N170" s="18" t="n">
        <f aca="false">IF(H170=0,0,(MAX(C170:E170)-LARGE(C170:E170,2))/H170*100)</f>
        <v>24.0380033503471</v>
      </c>
    </row>
    <row r="171" customFormat="false" ht="15" hidden="false" customHeight="false" outlineLevel="0" collapsed="false">
      <c r="A171" s="4" t="s">
        <v>69</v>
      </c>
      <c r="B171" s="4" t="n">
        <v>4</v>
      </c>
      <c r="C171" s="5" t="n">
        <v>80434</v>
      </c>
      <c r="D171" s="5" t="n">
        <v>63369</v>
      </c>
      <c r="E171" s="5" t="n">
        <v>21414</v>
      </c>
      <c r="F171" s="5" t="n">
        <v>78</v>
      </c>
      <c r="G171" s="5" t="n">
        <v>7025</v>
      </c>
      <c r="H171" s="5" t="n">
        <v>172320</v>
      </c>
      <c r="I171" s="9" t="n">
        <f aca="false">IF(H171=0,0,C171/H171)</f>
        <v>0.466771123491179</v>
      </c>
      <c r="J171" s="9" t="n">
        <f aca="false">IF(H171=0,0,D171/H171)</f>
        <v>0.367740250696379</v>
      </c>
      <c r="K171" s="9" t="n">
        <f aca="false">IF(H171=0,0,E171/H171)</f>
        <v>0.124268802228412</v>
      </c>
      <c r="L171" s="9" t="n">
        <f aca="false">IF(H171=0,0,G171/H171)</f>
        <v>0.0407671773444754</v>
      </c>
      <c r="M171" s="4" t="str">
        <f aca="false">INDEX($C$3:$E$3,MATCH(MAX(C171:E171),C171:E171,0))</f>
        <v>Sigamos Haciendo Historia (PVEM-PT-Morena)</v>
      </c>
      <c r="N171" s="18" t="n">
        <f aca="false">IF(H171=0,0,(MAX(C171:E171)-LARGE(C171:E171,2))/H171*100)</f>
        <v>9.90308727948004</v>
      </c>
    </row>
    <row r="172" customFormat="false" ht="15" hidden="false" customHeight="false" outlineLevel="0" collapsed="false">
      <c r="A172" s="4" t="s">
        <v>69</v>
      </c>
      <c r="B172" s="4" t="n">
        <v>5</v>
      </c>
      <c r="C172" s="5" t="n">
        <v>88576</v>
      </c>
      <c r="D172" s="5" t="n">
        <v>69987</v>
      </c>
      <c r="E172" s="5" t="n">
        <v>17070</v>
      </c>
      <c r="F172" s="5" t="n">
        <v>131</v>
      </c>
      <c r="G172" s="5" t="n">
        <v>6748</v>
      </c>
      <c r="H172" s="5" t="n">
        <v>182512</v>
      </c>
      <c r="I172" s="9" t="n">
        <f aca="false">IF(H172=0,0,C172/H172)</f>
        <v>0.485316034014202</v>
      </c>
      <c r="J172" s="9" t="n">
        <f aca="false">IF(H172=0,0,D172/H172)</f>
        <v>0.383465196808977</v>
      </c>
      <c r="K172" s="9" t="n">
        <f aca="false">IF(H172=0,0,E172/H172)</f>
        <v>0.0935280967826773</v>
      </c>
      <c r="L172" s="9" t="n">
        <f aca="false">IF(H172=0,0,G172/H172)</f>
        <v>0.0369729113702113</v>
      </c>
      <c r="M172" s="4" t="str">
        <f aca="false">INDEX($C$3:$E$3,MATCH(MAX(C172:E172),C172:E172,0))</f>
        <v>Sigamos Haciendo Historia (PVEM-PT-Morena)</v>
      </c>
      <c r="N172" s="18" t="n">
        <f aca="false">IF(H172=0,0,(MAX(C172:E172)-LARGE(C172:E172,2))/H172*100)</f>
        <v>10.1850837205225</v>
      </c>
    </row>
    <row r="173" customFormat="false" ht="15" hidden="false" customHeight="false" outlineLevel="0" collapsed="false">
      <c r="A173" s="4" t="s">
        <v>69</v>
      </c>
      <c r="B173" s="4" t="n">
        <v>6</v>
      </c>
      <c r="C173" s="5" t="n">
        <v>97449</v>
      </c>
      <c r="D173" s="5" t="n">
        <v>67280</v>
      </c>
      <c r="E173" s="5" t="n">
        <v>29737</v>
      </c>
      <c r="F173" s="5" t="n">
        <v>149</v>
      </c>
      <c r="G173" s="5" t="n">
        <v>10734</v>
      </c>
      <c r="H173" s="5" t="n">
        <v>205349</v>
      </c>
      <c r="I173" s="9" t="n">
        <f aca="false">IF(H173=0,0,C173/H173)</f>
        <v>0.474553077930742</v>
      </c>
      <c r="J173" s="9" t="n">
        <f aca="false">IF(H173=0,0,D173/H173)</f>
        <v>0.327637339358848</v>
      </c>
      <c r="K173" s="9" t="n">
        <f aca="false">IF(H173=0,0,E173/H173)</f>
        <v>0.144812002980292</v>
      </c>
      <c r="L173" s="9" t="n">
        <f aca="false">IF(H173=0,0,G173/H173)</f>
        <v>0.0522719857413477</v>
      </c>
      <c r="M173" s="4" t="str">
        <f aca="false">INDEX($C$3:$E$3,MATCH(MAX(C173:E173),C173:E173,0))</f>
        <v>Sigamos Haciendo Historia (PVEM-PT-Morena)</v>
      </c>
      <c r="N173" s="18" t="n">
        <f aca="false">IF(H173=0,0,(MAX(C173:E173)-LARGE(C173:E173,2))/H173*100)</f>
        <v>14.6915738571895</v>
      </c>
    </row>
    <row r="174" customFormat="false" ht="15" hidden="false" customHeight="false" outlineLevel="0" collapsed="false">
      <c r="A174" s="4" t="s">
        <v>69</v>
      </c>
      <c r="B174" s="4" t="n">
        <v>7</v>
      </c>
      <c r="C174" s="5" t="n">
        <v>107240</v>
      </c>
      <c r="D174" s="5" t="n">
        <v>50987</v>
      </c>
      <c r="E174" s="5" t="n">
        <v>30884</v>
      </c>
      <c r="F174" s="5" t="n">
        <v>168</v>
      </c>
      <c r="G174" s="5" t="n">
        <v>12596</v>
      </c>
      <c r="H174" s="5" t="n">
        <v>201875</v>
      </c>
      <c r="I174" s="9" t="n">
        <f aca="false">IF(H174=0,0,C174/H174)</f>
        <v>0.531219814241486</v>
      </c>
      <c r="J174" s="9" t="n">
        <f aca="false">IF(H174=0,0,D174/H174)</f>
        <v>0.252567182662539</v>
      </c>
      <c r="K174" s="9" t="n">
        <f aca="false">IF(H174=0,0,E174/H174)</f>
        <v>0.152985758513932</v>
      </c>
      <c r="L174" s="9" t="n">
        <f aca="false">IF(H174=0,0,G174/H174)</f>
        <v>0.0623950464396285</v>
      </c>
      <c r="M174" s="4" t="str">
        <f aca="false">INDEX($C$3:$E$3,MATCH(MAX(C174:E174),C174:E174,0))</f>
        <v>Sigamos Haciendo Historia (PVEM-PT-Morena)</v>
      </c>
      <c r="N174" s="18" t="n">
        <f aca="false">IF(H174=0,0,(MAX(C174:E174)-LARGE(C174:E174,2))/H174*100)</f>
        <v>27.8652631578947</v>
      </c>
    </row>
    <row r="175" customFormat="false" ht="15" hidden="false" customHeight="false" outlineLevel="0" collapsed="false">
      <c r="A175" s="4" t="s">
        <v>69</v>
      </c>
      <c r="B175" s="4" t="n">
        <v>8</v>
      </c>
      <c r="C175" s="5" t="n">
        <v>88901</v>
      </c>
      <c r="D175" s="5" t="n">
        <v>65033</v>
      </c>
      <c r="E175" s="5" t="n">
        <v>23166</v>
      </c>
      <c r="F175" s="5" t="n">
        <v>203</v>
      </c>
      <c r="G175" s="5" t="n">
        <v>7902</v>
      </c>
      <c r="H175" s="5" t="n">
        <v>185205</v>
      </c>
      <c r="I175" s="9" t="n">
        <f aca="false">IF(H175=0,0,C175/H175)</f>
        <v>0.480014038497881</v>
      </c>
      <c r="J175" s="9" t="n">
        <f aca="false">IF(H175=0,0,D175/H175)</f>
        <v>0.351140627952809</v>
      </c>
      <c r="K175" s="9" t="n">
        <f aca="false">IF(H175=0,0,E175/H175)</f>
        <v>0.125083016117275</v>
      </c>
      <c r="L175" s="9" t="n">
        <f aca="false">IF(H175=0,0,G175/H175)</f>
        <v>0.0426662347128857</v>
      </c>
      <c r="M175" s="4" t="str">
        <f aca="false">INDEX($C$3:$E$3,MATCH(MAX(C175:E175),C175:E175,0))</f>
        <v>Sigamos Haciendo Historia (PVEM-PT-Morena)</v>
      </c>
      <c r="N175" s="18" t="n">
        <f aca="false">IF(H175=0,0,(MAX(C175:E175)-LARGE(C175:E175,2))/H175*100)</f>
        <v>12.8873410545072</v>
      </c>
    </row>
    <row r="176" customFormat="false" ht="15" hidden="false" customHeight="false" outlineLevel="0" collapsed="false">
      <c r="A176" s="4" t="s">
        <v>69</v>
      </c>
      <c r="B176" s="4" t="n">
        <v>9</v>
      </c>
      <c r="C176" s="5" t="n">
        <v>90790</v>
      </c>
      <c r="D176" s="5" t="n">
        <v>48672</v>
      </c>
      <c r="E176" s="5" t="n">
        <v>28572</v>
      </c>
      <c r="F176" s="5" t="n">
        <v>1194</v>
      </c>
      <c r="G176" s="5" t="n">
        <v>9800</v>
      </c>
      <c r="H176" s="5" t="n">
        <v>179028</v>
      </c>
      <c r="I176" s="9" t="n">
        <f aca="false">IF(H176=0,0,C176/H176)</f>
        <v>0.507127376723194</v>
      </c>
      <c r="J176" s="9" t="n">
        <f aca="false">IF(H176=0,0,D176/H176)</f>
        <v>0.271868087673437</v>
      </c>
      <c r="K176" s="9" t="n">
        <f aca="false">IF(H176=0,0,E176/H176)</f>
        <v>0.159595147127824</v>
      </c>
      <c r="L176" s="9" t="n">
        <f aca="false">IF(H176=0,0,G176/H176)</f>
        <v>0.0547400406640302</v>
      </c>
      <c r="M176" s="4" t="str">
        <f aca="false">INDEX($C$3:$E$3,MATCH(MAX(C176:E176),C176:E176,0))</f>
        <v>Sigamos Haciendo Historia (PVEM-PT-Morena)</v>
      </c>
      <c r="N176" s="18" t="n">
        <f aca="false">IF(H176=0,0,(MAX(C176:E176)-LARGE(C176:E176,2))/H176*100)</f>
        <v>23.5259289049758</v>
      </c>
    </row>
    <row r="177" customFormat="false" ht="15" hidden="false" customHeight="false" outlineLevel="0" collapsed="false">
      <c r="A177" s="4" t="s">
        <v>69</v>
      </c>
      <c r="B177" s="4" t="n">
        <v>10</v>
      </c>
      <c r="C177" s="5" t="n">
        <v>78392</v>
      </c>
      <c r="D177" s="5" t="n">
        <v>95272</v>
      </c>
      <c r="E177" s="5" t="n">
        <v>24855</v>
      </c>
      <c r="F177" s="5" t="n">
        <v>178</v>
      </c>
      <c r="G177" s="5" t="n">
        <v>7624</v>
      </c>
      <c r="H177" s="5" t="n">
        <v>206321</v>
      </c>
      <c r="I177" s="9" t="n">
        <f aca="false">IF(H177=0,0,C177/H177)</f>
        <v>0.379951628772641</v>
      </c>
      <c r="J177" s="9" t="n">
        <f aca="false">IF(H177=0,0,D177/H177)</f>
        <v>0.461765889075761</v>
      </c>
      <c r="K177" s="9" t="n">
        <f aca="false">IF(H177=0,0,E177/H177)</f>
        <v>0.120467620843249</v>
      </c>
      <c r="L177" s="9" t="n">
        <f aca="false">IF(H177=0,0,G177/H177)</f>
        <v>0.0369521279947267</v>
      </c>
      <c r="M177" s="4" t="str">
        <f aca="false">INDEX($C$3:$E$3,MATCH(MAX(C177:E177),C177:E177,0))</f>
        <v>Fuerza y Corazón por México (PAN-PRI-PRD)</v>
      </c>
      <c r="N177" s="18" t="n">
        <f aca="false">IF(H177=0,0,(MAX(C177:E177)-LARGE(C177:E177,2))/H177*100)</f>
        <v>8.18142603031199</v>
      </c>
    </row>
    <row r="178" customFormat="false" ht="15" hidden="false" customHeight="false" outlineLevel="0" collapsed="false">
      <c r="A178" s="4" t="s">
        <v>69</v>
      </c>
      <c r="B178" s="4" t="n">
        <v>11</v>
      </c>
      <c r="C178" s="5" t="n">
        <v>100753</v>
      </c>
      <c r="D178" s="5" t="n">
        <v>58565</v>
      </c>
      <c r="E178" s="5" t="n">
        <v>22609</v>
      </c>
      <c r="F178" s="5" t="n">
        <v>140</v>
      </c>
      <c r="G178" s="5" t="n">
        <v>12477</v>
      </c>
      <c r="H178" s="5" t="n">
        <v>194544</v>
      </c>
      <c r="I178" s="9" t="n">
        <f aca="false">IF(H178=0,0,C178/H178)</f>
        <v>0.517893124434575</v>
      </c>
      <c r="J178" s="9" t="n">
        <f aca="false">IF(H178=0,0,D178/H178)</f>
        <v>0.301037297475121</v>
      </c>
      <c r="K178" s="9" t="n">
        <f aca="false">IF(H178=0,0,E178/H178)</f>
        <v>0.116215354881158</v>
      </c>
      <c r="L178" s="9" t="n">
        <f aca="false">IF(H178=0,0,G178/H178)</f>
        <v>0.0641345916604984</v>
      </c>
      <c r="M178" s="4" t="str">
        <f aca="false">INDEX($C$3:$E$3,MATCH(MAX(C178:E178),C178:E178,0))</f>
        <v>Sigamos Haciendo Historia (PVEM-PT-Morena)</v>
      </c>
      <c r="N178" s="18" t="n">
        <f aca="false">IF(H178=0,0,(MAX(C178:E178)-LARGE(C178:E178,2))/H178*100)</f>
        <v>21.6855826959454</v>
      </c>
    </row>
    <row r="179" customFormat="false" ht="15" hidden="false" customHeight="false" outlineLevel="0" collapsed="false">
      <c r="A179" s="4" t="s">
        <v>70</v>
      </c>
      <c r="B179" s="4" t="n">
        <v>1</v>
      </c>
      <c r="C179" s="5" t="n">
        <v>93301</v>
      </c>
      <c r="D179" s="5" t="n">
        <v>78753</v>
      </c>
      <c r="E179" s="5" t="n">
        <v>31267</v>
      </c>
      <c r="F179" s="5" t="n">
        <v>324</v>
      </c>
      <c r="G179" s="5" t="n">
        <v>6874</v>
      </c>
      <c r="H179" s="5" t="n">
        <v>210519</v>
      </c>
      <c r="I179" s="9" t="n">
        <f aca="false">IF(H179=0,0,C179/H179)</f>
        <v>0.443195151031498</v>
      </c>
      <c r="J179" s="9" t="n">
        <f aca="false">IF(H179=0,0,D179/H179)</f>
        <v>0.374089749618799</v>
      </c>
      <c r="K179" s="9" t="n">
        <f aca="false">IF(H179=0,0,E179/H179)</f>
        <v>0.148523411188539</v>
      </c>
      <c r="L179" s="9" t="n">
        <f aca="false">IF(H179=0,0,G179/H179)</f>
        <v>0.0326526346790551</v>
      </c>
      <c r="M179" s="4" t="str">
        <f aca="false">INDEX($C$3:$E$3,MATCH(MAX(C179:E179),C179:E179,0))</f>
        <v>Sigamos Haciendo Historia (PVEM-PT-Morena)</v>
      </c>
      <c r="N179" s="18" t="n">
        <f aca="false">IF(H179=0,0,(MAX(C179:E179)-LARGE(C179:E179,2))/H179*100)</f>
        <v>6.91054014126991</v>
      </c>
    </row>
    <row r="180" customFormat="false" ht="15" hidden="false" customHeight="false" outlineLevel="0" collapsed="false">
      <c r="A180" s="4" t="s">
        <v>70</v>
      </c>
      <c r="B180" s="4" t="n">
        <v>2</v>
      </c>
      <c r="C180" s="5" t="n">
        <v>115910</v>
      </c>
      <c r="D180" s="5" t="n">
        <v>57402</v>
      </c>
      <c r="E180" s="5" t="n">
        <v>27546</v>
      </c>
      <c r="F180" s="5" t="n">
        <v>171</v>
      </c>
      <c r="G180" s="5" t="n">
        <v>8671</v>
      </c>
      <c r="H180" s="5" t="n">
        <v>209700</v>
      </c>
      <c r="I180" s="9" t="n">
        <f aca="false">IF(H180=0,0,C180/H180)</f>
        <v>0.552742012398665</v>
      </c>
      <c r="J180" s="9" t="n">
        <f aca="false">IF(H180=0,0,D180/H180)</f>
        <v>0.273733905579399</v>
      </c>
      <c r="K180" s="9" t="n">
        <f aca="false">IF(H180=0,0,E180/H180)</f>
        <v>0.131359084406295</v>
      </c>
      <c r="L180" s="9" t="n">
        <f aca="false">IF(H180=0,0,G180/H180)</f>
        <v>0.0413495469718646</v>
      </c>
      <c r="M180" s="4" t="str">
        <f aca="false">INDEX($C$3:$E$3,MATCH(MAX(C180:E180),C180:E180,0))</f>
        <v>Sigamos Haciendo Historia (PVEM-PT-Morena)</v>
      </c>
      <c r="N180" s="18" t="n">
        <f aca="false">IF(H180=0,0,(MAX(C180:E180)-LARGE(C180:E180,2))/H180*100)</f>
        <v>27.9008106819266</v>
      </c>
    </row>
    <row r="181" customFormat="false" ht="15" hidden="false" customHeight="false" outlineLevel="0" collapsed="false">
      <c r="A181" s="4" t="s">
        <v>70</v>
      </c>
      <c r="B181" s="4" t="n">
        <v>3</v>
      </c>
      <c r="C181" s="5" t="n">
        <v>110551</v>
      </c>
      <c r="D181" s="5" t="n">
        <v>44611</v>
      </c>
      <c r="E181" s="5" t="n">
        <v>26197</v>
      </c>
      <c r="F181" s="5" t="n">
        <v>121</v>
      </c>
      <c r="G181" s="5" t="n">
        <v>8814</v>
      </c>
      <c r="H181" s="5" t="n">
        <v>190294</v>
      </c>
      <c r="I181" s="9" t="n">
        <f aca="false">IF(H181=0,0,C181/H181)</f>
        <v>0.580948427170589</v>
      </c>
      <c r="J181" s="9" t="n">
        <f aca="false">IF(H181=0,0,D181/H181)</f>
        <v>0.234431984192881</v>
      </c>
      <c r="K181" s="9" t="n">
        <f aca="false">IF(H181=0,0,E181/H181)</f>
        <v>0.137665927459615</v>
      </c>
      <c r="L181" s="9" t="n">
        <f aca="false">IF(H181=0,0,G181/H181)</f>
        <v>0.046317802978549</v>
      </c>
      <c r="M181" s="4" t="str">
        <f aca="false">INDEX($C$3:$E$3,MATCH(MAX(C181:E181),C181:E181,0))</f>
        <v>Sigamos Haciendo Historia (PVEM-PT-Morena)</v>
      </c>
      <c r="N181" s="18" t="n">
        <f aca="false">IF(H181=0,0,(MAX(C181:E181)-LARGE(C181:E181,2))/H181*100)</f>
        <v>34.6516442977708</v>
      </c>
    </row>
    <row r="182" customFormat="false" ht="15" hidden="false" customHeight="false" outlineLevel="0" collapsed="false">
      <c r="A182" s="4" t="s">
        <v>70</v>
      </c>
      <c r="B182" s="4" t="n">
        <v>4</v>
      </c>
      <c r="C182" s="5" t="n">
        <v>130454</v>
      </c>
      <c r="D182" s="5" t="n">
        <v>37152</v>
      </c>
      <c r="E182" s="5" t="n">
        <v>20195</v>
      </c>
      <c r="F182" s="5" t="n">
        <v>168</v>
      </c>
      <c r="G182" s="5" t="n">
        <v>9713</v>
      </c>
      <c r="H182" s="5" t="n">
        <v>197682</v>
      </c>
      <c r="I182" s="9" t="n">
        <f aca="false">IF(H182=0,0,C182/H182)</f>
        <v>0.659918454892201</v>
      </c>
      <c r="J182" s="9" t="n">
        <f aca="false">IF(H182=0,0,D182/H182)</f>
        <v>0.187938203781831</v>
      </c>
      <c r="K182" s="9" t="n">
        <f aca="false">IF(H182=0,0,E182/H182)</f>
        <v>0.102159023077468</v>
      </c>
      <c r="L182" s="9" t="n">
        <f aca="false">IF(H182=0,0,G182/H182)</f>
        <v>0.0491344684897967</v>
      </c>
      <c r="M182" s="4" t="str">
        <f aca="false">INDEX($C$3:$E$3,MATCH(MAX(C182:E182),C182:E182,0))</f>
        <v>Sigamos Haciendo Historia (PVEM-PT-Morena)</v>
      </c>
      <c r="N182" s="18" t="n">
        <f aca="false">IF(H182=0,0,(MAX(C182:E182)-LARGE(C182:E182,2))/H182*100)</f>
        <v>47.1980251110369</v>
      </c>
    </row>
    <row r="183" customFormat="false" ht="15" hidden="false" customHeight="false" outlineLevel="0" collapsed="false">
      <c r="A183" s="4" t="s">
        <v>70</v>
      </c>
      <c r="B183" s="4" t="n">
        <v>5</v>
      </c>
      <c r="C183" s="5" t="n">
        <v>100985</v>
      </c>
      <c r="D183" s="5" t="n">
        <v>41065</v>
      </c>
      <c r="E183" s="5" t="n">
        <v>23558</v>
      </c>
      <c r="F183" s="5" t="n">
        <v>138</v>
      </c>
      <c r="G183" s="5" t="n">
        <v>9574</v>
      </c>
      <c r="H183" s="5" t="n">
        <v>175320</v>
      </c>
      <c r="I183" s="9" t="n">
        <f aca="false">IF(H183=0,0,C183/H183)</f>
        <v>0.576003878621949</v>
      </c>
      <c r="J183" s="9" t="n">
        <f aca="false">IF(H183=0,0,D183/H183)</f>
        <v>0.234228838694958</v>
      </c>
      <c r="K183" s="9" t="n">
        <f aca="false">IF(H183=0,0,E183/H183)</f>
        <v>0.134371435090121</v>
      </c>
      <c r="L183" s="9" t="n">
        <f aca="false">IF(H183=0,0,G183/H183)</f>
        <v>0.0546087154916724</v>
      </c>
      <c r="M183" s="4" t="str">
        <f aca="false">INDEX($C$3:$E$3,MATCH(MAX(C183:E183),C183:E183,0))</f>
        <v>Sigamos Haciendo Historia (PVEM-PT-Morena)</v>
      </c>
      <c r="N183" s="18" t="n">
        <f aca="false">IF(H183=0,0,(MAX(C183:E183)-LARGE(C183:E183,2))/H183*100)</f>
        <v>34.1775039926991</v>
      </c>
    </row>
    <row r="184" customFormat="false" ht="15" hidden="false" customHeight="false" outlineLevel="0" collapsed="false">
      <c r="A184" s="4" t="s">
        <v>71</v>
      </c>
      <c r="B184" s="4" t="n">
        <v>1</v>
      </c>
      <c r="C184" s="5" t="n">
        <v>98805</v>
      </c>
      <c r="D184" s="5" t="n">
        <v>28898</v>
      </c>
      <c r="E184" s="5" t="n">
        <v>34326</v>
      </c>
      <c r="F184" s="5" t="n">
        <v>236</v>
      </c>
      <c r="G184" s="5" t="n">
        <v>8110</v>
      </c>
      <c r="H184" s="5" t="n">
        <v>170375</v>
      </c>
      <c r="I184" s="9" t="n">
        <f aca="false">IF(H184=0,0,C184/H184)</f>
        <v>0.579926632428467</v>
      </c>
      <c r="J184" s="9" t="n">
        <f aca="false">IF(H184=0,0,D184/H184)</f>
        <v>0.169614086573734</v>
      </c>
      <c r="K184" s="9" t="n">
        <f aca="false">IF(H184=0,0,E184/H184)</f>
        <v>0.20147322083639</v>
      </c>
      <c r="L184" s="9" t="n">
        <f aca="false">IF(H184=0,0,G184/H184)</f>
        <v>0.0476008804108584</v>
      </c>
      <c r="M184" s="4" t="str">
        <f aca="false">INDEX($C$3:$E$3,MATCH(MAX(C184:E184),C184:E184,0))</f>
        <v>Sigamos Haciendo Historia (PVEM-PT-Morena)</v>
      </c>
      <c r="N184" s="18" t="n">
        <f aca="false">IF(H184=0,0,(MAX(C184:E184)-LARGE(C184:E184,2))/H184*100)</f>
        <v>37.8453411592076</v>
      </c>
    </row>
    <row r="185" customFormat="false" ht="15" hidden="false" customHeight="false" outlineLevel="0" collapsed="false">
      <c r="A185" s="4" t="s">
        <v>71</v>
      </c>
      <c r="B185" s="4" t="n">
        <v>2</v>
      </c>
      <c r="C185" s="5" t="n">
        <v>94212</v>
      </c>
      <c r="D185" s="5" t="n">
        <v>47720</v>
      </c>
      <c r="E185" s="5" t="n">
        <v>35452</v>
      </c>
      <c r="F185" s="5" t="n">
        <v>153</v>
      </c>
      <c r="G185" s="5" t="n">
        <v>5713</v>
      </c>
      <c r="H185" s="5" t="n">
        <v>183250</v>
      </c>
      <c r="I185" s="9" t="n">
        <f aca="false">IF(H185=0,0,C185/H185)</f>
        <v>0.514117326057299</v>
      </c>
      <c r="J185" s="9" t="n">
        <f aca="false">IF(H185=0,0,D185/H185)</f>
        <v>0.260409276944065</v>
      </c>
      <c r="K185" s="9" t="n">
        <f aca="false">IF(H185=0,0,E185/H185)</f>
        <v>0.193462482946794</v>
      </c>
      <c r="L185" s="9" t="n">
        <f aca="false">IF(H185=0,0,G185/H185)</f>
        <v>0.0311759890859482</v>
      </c>
      <c r="M185" s="4" t="str">
        <f aca="false">INDEX($C$3:$E$3,MATCH(MAX(C185:E185),C185:E185,0))</f>
        <v>Sigamos Haciendo Historia (PVEM-PT-Morena)</v>
      </c>
      <c r="N185" s="18" t="n">
        <f aca="false">IF(H185=0,0,(MAX(C185:E185)-LARGE(C185:E185,2))/H185*100)</f>
        <v>25.3708049113233</v>
      </c>
    </row>
    <row r="186" customFormat="false" ht="15" hidden="false" customHeight="false" outlineLevel="0" collapsed="false">
      <c r="A186" s="4" t="s">
        <v>71</v>
      </c>
      <c r="B186" s="4" t="n">
        <v>3</v>
      </c>
      <c r="C186" s="5" t="n">
        <v>107171</v>
      </c>
      <c r="D186" s="5" t="n">
        <v>45920</v>
      </c>
      <c r="E186" s="5" t="n">
        <v>27644</v>
      </c>
      <c r="F186" s="5" t="n">
        <v>100</v>
      </c>
      <c r="G186" s="5" t="n">
        <v>7714</v>
      </c>
      <c r="H186" s="5" t="n">
        <v>188549</v>
      </c>
      <c r="I186" s="9" t="n">
        <f aca="false">IF(H186=0,0,C186/H186)</f>
        <v>0.568398665598863</v>
      </c>
      <c r="J186" s="9" t="n">
        <f aca="false">IF(H186=0,0,D186/H186)</f>
        <v>0.243544118505004</v>
      </c>
      <c r="K186" s="9" t="n">
        <f aca="false">IF(H186=0,0,E186/H186)</f>
        <v>0.146614407925791</v>
      </c>
      <c r="L186" s="9" t="n">
        <f aca="false">IF(H186=0,0,G186/H186)</f>
        <v>0.040912441858615</v>
      </c>
      <c r="M186" s="4" t="str">
        <f aca="false">INDEX($C$3:$E$3,MATCH(MAX(C186:E186),C186:E186,0))</f>
        <v>Sigamos Haciendo Historia (PVEM-PT-Morena)</v>
      </c>
      <c r="N186" s="18" t="n">
        <f aca="false">IF(H186=0,0,(MAX(C186:E186)-LARGE(C186:E186,2))/H186*100)</f>
        <v>32.4854547093859</v>
      </c>
    </row>
    <row r="187" customFormat="false" ht="15" hidden="false" customHeight="false" outlineLevel="0" collapsed="false">
      <c r="A187" s="4" t="s">
        <v>72</v>
      </c>
      <c r="B187" s="4" t="n">
        <v>1</v>
      </c>
      <c r="C187" s="5" t="n">
        <v>51487</v>
      </c>
      <c r="D187" s="5" t="n">
        <v>91673</v>
      </c>
      <c r="E187" s="5" t="n">
        <v>69972</v>
      </c>
      <c r="F187" s="5" t="n">
        <v>90</v>
      </c>
      <c r="G187" s="5" t="n">
        <v>4216</v>
      </c>
      <c r="H187" s="5" t="n">
        <v>217438</v>
      </c>
      <c r="I187" s="9" t="n">
        <f aca="false">IF(H187=0,0,C187/H187)</f>
        <v>0.236789337650273</v>
      </c>
      <c r="J187" s="9" t="n">
        <f aca="false">IF(H187=0,0,D187/H187)</f>
        <v>0.421605239194621</v>
      </c>
      <c r="K187" s="9" t="n">
        <f aca="false">IF(H187=0,0,E187/H187)</f>
        <v>0.321802076913879</v>
      </c>
      <c r="L187" s="9" t="n">
        <f aca="false">IF(H187=0,0,G187/H187)</f>
        <v>0.0193894351493299</v>
      </c>
      <c r="M187" s="4" t="str">
        <f aca="false">INDEX($C$3:$E$3,MATCH(MAX(C187:E187),C187:E187,0))</f>
        <v>Fuerza y Corazón por México (PAN-PRI-PRD)</v>
      </c>
      <c r="N187" s="18" t="n">
        <f aca="false">IF(H187=0,0,(MAX(C187:E187)-LARGE(C187:E187,2))/H187*100)</f>
        <v>9.98031622807421</v>
      </c>
    </row>
    <row r="188" customFormat="false" ht="15" hidden="false" customHeight="false" outlineLevel="0" collapsed="false">
      <c r="A188" s="4" t="s">
        <v>72</v>
      </c>
      <c r="B188" s="4" t="n">
        <v>2</v>
      </c>
      <c r="C188" s="5" t="n">
        <v>67630</v>
      </c>
      <c r="D188" s="5" t="n">
        <v>61334</v>
      </c>
      <c r="E188" s="5" t="n">
        <v>60573</v>
      </c>
      <c r="F188" s="5" t="n">
        <v>114</v>
      </c>
      <c r="G188" s="5" t="n">
        <v>3694</v>
      </c>
      <c r="H188" s="5" t="n">
        <v>193345</v>
      </c>
      <c r="I188" s="9" t="n">
        <f aca="false">IF(H188=0,0,C188/H188)</f>
        <v>0.349789236856397</v>
      </c>
      <c r="J188" s="9" t="n">
        <f aca="false">IF(H188=0,0,D188/H188)</f>
        <v>0.31722568465696</v>
      </c>
      <c r="K188" s="9" t="n">
        <f aca="false">IF(H188=0,0,E188/H188)</f>
        <v>0.313289715275802</v>
      </c>
      <c r="L188" s="9" t="n">
        <f aca="false">IF(H188=0,0,G188/H188)</f>
        <v>0.0191057436189196</v>
      </c>
      <c r="M188" s="4" t="str">
        <f aca="false">INDEX($C$3:$E$3,MATCH(MAX(C188:E188),C188:E188,0))</f>
        <v>Sigamos Haciendo Historia (PVEM-PT-Morena)</v>
      </c>
      <c r="N188" s="18" t="n">
        <f aca="false">IF(H188=0,0,(MAX(C188:E188)-LARGE(C188:E188,2))/H188*100)</f>
        <v>3.25635521994362</v>
      </c>
    </row>
    <row r="189" customFormat="false" ht="15" hidden="false" customHeight="false" outlineLevel="0" collapsed="false">
      <c r="A189" s="4" t="s">
        <v>72</v>
      </c>
      <c r="B189" s="4" t="n">
        <v>3</v>
      </c>
      <c r="C189" s="5" t="n">
        <v>74275</v>
      </c>
      <c r="D189" s="5" t="n">
        <v>34918</v>
      </c>
      <c r="E189" s="5" t="n">
        <v>54219</v>
      </c>
      <c r="F189" s="5" t="n">
        <v>137</v>
      </c>
      <c r="G189" s="5" t="n">
        <v>3734</v>
      </c>
      <c r="H189" s="5" t="n">
        <v>167283</v>
      </c>
      <c r="I189" s="9" t="n">
        <f aca="false">IF(H189=0,0,C189/H189)</f>
        <v>0.444008058200774</v>
      </c>
      <c r="J189" s="9" t="n">
        <f aca="false">IF(H189=0,0,D189/H189)</f>
        <v>0.208736093924667</v>
      </c>
      <c r="K189" s="9" t="n">
        <f aca="false">IF(H189=0,0,E189/H189)</f>
        <v>0.324115421172504</v>
      </c>
      <c r="L189" s="9" t="n">
        <f aca="false">IF(H189=0,0,G189/H189)</f>
        <v>0.0223214552584542</v>
      </c>
      <c r="M189" s="4" t="str">
        <f aca="false">INDEX($C$3:$E$3,MATCH(MAX(C189:E189),C189:E189,0))</f>
        <v>Sigamos Haciendo Historia (PVEM-PT-Morena)</v>
      </c>
      <c r="N189" s="18" t="n">
        <f aca="false">IF(H189=0,0,(MAX(C189:E189)-LARGE(C189:E189,2))/H189*100)</f>
        <v>11.9892637028269</v>
      </c>
    </row>
    <row r="190" customFormat="false" ht="15" hidden="false" customHeight="false" outlineLevel="0" collapsed="false">
      <c r="A190" s="4" t="s">
        <v>72</v>
      </c>
      <c r="B190" s="4" t="n">
        <v>4</v>
      </c>
      <c r="C190" s="5" t="n">
        <v>67425</v>
      </c>
      <c r="D190" s="5" t="n">
        <v>91293</v>
      </c>
      <c r="E190" s="5" t="n">
        <v>73929</v>
      </c>
      <c r="F190" s="5" t="n">
        <v>132</v>
      </c>
      <c r="G190" s="5" t="n">
        <v>4292</v>
      </c>
      <c r="H190" s="5" t="n">
        <v>237071</v>
      </c>
      <c r="I190" s="9" t="n">
        <f aca="false">IF(H190=0,0,C190/H190)</f>
        <v>0.284408468349144</v>
      </c>
      <c r="J190" s="9" t="n">
        <f aca="false">IF(H190=0,0,D190/H190)</f>
        <v>0.385087167979213</v>
      </c>
      <c r="K190" s="9" t="n">
        <f aca="false">IF(H190=0,0,E190/H190)</f>
        <v>0.31184328745397</v>
      </c>
      <c r="L190" s="9" t="n">
        <f aca="false">IF(H190=0,0,G190/H190)</f>
        <v>0.0181042809959885</v>
      </c>
      <c r="M190" s="4" t="str">
        <f aca="false">INDEX($C$3:$E$3,MATCH(MAX(C190:E190),C190:E190,0))</f>
        <v>Fuerza y Corazón por México (PAN-PRI-PRD)</v>
      </c>
      <c r="N190" s="18" t="n">
        <f aca="false">IF(H190=0,0,(MAX(C190:E190)-LARGE(C190:E190,2))/H190*100)</f>
        <v>7.32438805252435</v>
      </c>
    </row>
    <row r="191" customFormat="false" ht="15" hidden="false" customHeight="false" outlineLevel="0" collapsed="false">
      <c r="A191" s="4" t="s">
        <v>72</v>
      </c>
      <c r="B191" s="4" t="n">
        <v>5</v>
      </c>
      <c r="C191" s="5" t="n">
        <v>68073</v>
      </c>
      <c r="D191" s="5" t="n">
        <v>41888</v>
      </c>
      <c r="E191" s="5" t="n">
        <v>52284</v>
      </c>
      <c r="F191" s="5" t="n">
        <v>116</v>
      </c>
      <c r="G191" s="5" t="n">
        <v>5403</v>
      </c>
      <c r="H191" s="5" t="n">
        <v>167764</v>
      </c>
      <c r="I191" s="9" t="n">
        <f aca="false">IF(H191=0,0,C191/H191)</f>
        <v>0.405766433799862</v>
      </c>
      <c r="J191" s="9" t="n">
        <f aca="false">IF(H191=0,0,D191/H191)</f>
        <v>0.249684080017167</v>
      </c>
      <c r="K191" s="9" t="n">
        <f aca="false">IF(H191=0,0,E191/H191)</f>
        <v>0.311652082687585</v>
      </c>
      <c r="L191" s="9" t="n">
        <f aca="false">IF(H191=0,0,G191/H191)</f>
        <v>0.0322059559857896</v>
      </c>
      <c r="M191" s="4" t="str">
        <f aca="false">INDEX($C$3:$E$3,MATCH(MAX(C191:E191),C191:E191,0))</f>
        <v>Sigamos Haciendo Historia (PVEM-PT-Morena)</v>
      </c>
      <c r="N191" s="18" t="n">
        <f aca="false">IF(H191=0,0,(MAX(C191:E191)-LARGE(C191:E191,2))/H191*100)</f>
        <v>9.41143511122768</v>
      </c>
    </row>
    <row r="192" customFormat="false" ht="15" hidden="false" customHeight="false" outlineLevel="0" collapsed="false">
      <c r="A192" s="4" t="s">
        <v>72</v>
      </c>
      <c r="B192" s="4" t="n">
        <v>6</v>
      </c>
      <c r="C192" s="5" t="n">
        <v>49390</v>
      </c>
      <c r="D192" s="5" t="n">
        <v>99578</v>
      </c>
      <c r="E192" s="5" t="n">
        <v>66448</v>
      </c>
      <c r="F192" s="5" t="n">
        <v>131</v>
      </c>
      <c r="G192" s="5" t="n">
        <v>3754</v>
      </c>
      <c r="H192" s="5" t="n">
        <v>219301</v>
      </c>
      <c r="I192" s="9" t="n">
        <f aca="false">IF(H192=0,0,C192/H192)</f>
        <v>0.225215571292425</v>
      </c>
      <c r="J192" s="9" t="n">
        <f aca="false">IF(H192=0,0,D192/H192)</f>
        <v>0.45406997688109</v>
      </c>
      <c r="K192" s="9" t="n">
        <f aca="false">IF(H192=0,0,E192/H192)</f>
        <v>0.302999074331626</v>
      </c>
      <c r="L192" s="9" t="n">
        <f aca="false">IF(H192=0,0,G192/H192)</f>
        <v>0.017118024997606</v>
      </c>
      <c r="M192" s="4" t="str">
        <f aca="false">INDEX($C$3:$E$3,MATCH(MAX(C192:E192),C192:E192,0))</f>
        <v>Fuerza y Corazón por México (PAN-PRI-PRD)</v>
      </c>
      <c r="N192" s="18" t="n">
        <f aca="false">IF(H192=0,0,(MAX(C192:E192)-LARGE(C192:E192,2))/H192*100)</f>
        <v>15.1070902549464</v>
      </c>
    </row>
    <row r="193" customFormat="false" ht="15" hidden="false" customHeight="false" outlineLevel="0" collapsed="false">
      <c r="A193" s="4" t="s">
        <v>72</v>
      </c>
      <c r="B193" s="4" t="n">
        <v>7</v>
      </c>
      <c r="C193" s="5" t="n">
        <v>63610</v>
      </c>
      <c r="D193" s="5" t="n">
        <v>16865</v>
      </c>
      <c r="E193" s="5" t="n">
        <v>36356</v>
      </c>
      <c r="F193" s="5" t="n">
        <v>71</v>
      </c>
      <c r="G193" s="5" t="n">
        <v>2274</v>
      </c>
      <c r="H193" s="5" t="n">
        <v>119176</v>
      </c>
      <c r="I193" s="9" t="n">
        <f aca="false">IF(H193=0,0,C193/H193)</f>
        <v>0.533748405719272</v>
      </c>
      <c r="J193" s="9" t="n">
        <f aca="false">IF(H193=0,0,D193/H193)</f>
        <v>0.141513391958112</v>
      </c>
      <c r="K193" s="9" t="n">
        <f aca="false">IF(H193=0,0,E193/H193)</f>
        <v>0.305061421762771</v>
      </c>
      <c r="L193" s="9" t="n">
        <f aca="false">IF(H193=0,0,G193/H193)</f>
        <v>0.0190810230247701</v>
      </c>
      <c r="M193" s="4" t="str">
        <f aca="false">INDEX($C$3:$E$3,MATCH(MAX(C193:E193),C193:E193,0))</f>
        <v>Sigamos Haciendo Historia (PVEM-PT-Morena)</v>
      </c>
      <c r="N193" s="18" t="n">
        <f aca="false">IF(H193=0,0,(MAX(C193:E193)-LARGE(C193:E193,2))/H193*100)</f>
        <v>22.8686983956501</v>
      </c>
    </row>
    <row r="194" customFormat="false" ht="15" hidden="false" customHeight="false" outlineLevel="0" collapsed="false">
      <c r="A194" s="4" t="s">
        <v>72</v>
      </c>
      <c r="B194" s="4" t="n">
        <v>8</v>
      </c>
      <c r="C194" s="5" t="n">
        <v>73212</v>
      </c>
      <c r="D194" s="5" t="n">
        <v>45461</v>
      </c>
      <c r="E194" s="5" t="n">
        <v>62895</v>
      </c>
      <c r="F194" s="5" t="n">
        <v>116</v>
      </c>
      <c r="G194" s="5" t="n">
        <v>4056</v>
      </c>
      <c r="H194" s="5" t="n">
        <v>185740</v>
      </c>
      <c r="I194" s="9" t="n">
        <f aca="false">IF(H194=0,0,C194/H194)</f>
        <v>0.394163885000538</v>
      </c>
      <c r="J194" s="9" t="n">
        <f aca="false">IF(H194=0,0,D194/H194)</f>
        <v>0.244756110692366</v>
      </c>
      <c r="K194" s="9" t="n">
        <f aca="false">IF(H194=0,0,E194/H194)</f>
        <v>0.338618498977065</v>
      </c>
      <c r="L194" s="9" t="n">
        <f aca="false">IF(H194=0,0,G194/H194)</f>
        <v>0.0218369764186497</v>
      </c>
      <c r="M194" s="4" t="str">
        <f aca="false">INDEX($C$3:$E$3,MATCH(MAX(C194:E194),C194:E194,0))</f>
        <v>Sigamos Haciendo Historia (PVEM-PT-Morena)</v>
      </c>
      <c r="N194" s="18" t="n">
        <f aca="false">IF(H194=0,0,(MAX(C194:E194)-LARGE(C194:E194,2))/H194*100)</f>
        <v>5.55453860234737</v>
      </c>
    </row>
    <row r="195" customFormat="false" ht="15" hidden="false" customHeight="false" outlineLevel="0" collapsed="false">
      <c r="A195" s="4" t="s">
        <v>72</v>
      </c>
      <c r="B195" s="4" t="n">
        <v>9</v>
      </c>
      <c r="C195" s="5" t="n">
        <v>58823</v>
      </c>
      <c r="D195" s="5" t="n">
        <v>74244</v>
      </c>
      <c r="E195" s="5" t="n">
        <v>50522</v>
      </c>
      <c r="F195" s="5" t="n">
        <v>61</v>
      </c>
      <c r="G195" s="5" t="n">
        <v>7278</v>
      </c>
      <c r="H195" s="5" t="n">
        <v>190928</v>
      </c>
      <c r="I195" s="9" t="n">
        <f aca="false">IF(H195=0,0,C195/H195)</f>
        <v>0.308089960613425</v>
      </c>
      <c r="J195" s="9" t="n">
        <f aca="false">IF(H195=0,0,D195/H195)</f>
        <v>0.388858627335959</v>
      </c>
      <c r="K195" s="9" t="n">
        <f aca="false">IF(H195=0,0,E195/H195)</f>
        <v>0.26461283834744</v>
      </c>
      <c r="L195" s="9" t="n">
        <f aca="false">IF(H195=0,0,G195/H195)</f>
        <v>0.0381190815385905</v>
      </c>
      <c r="M195" s="4" t="str">
        <f aca="false">INDEX($C$3:$E$3,MATCH(MAX(C195:E195),C195:E195,0))</f>
        <v>Fuerza y Corazón por México (PAN-PRI-PRD)</v>
      </c>
      <c r="N195" s="18" t="n">
        <f aca="false">IF(H195=0,0,(MAX(C195:E195)-LARGE(C195:E195,2))/H195*100)</f>
        <v>8.07686667225342</v>
      </c>
    </row>
    <row r="196" customFormat="false" ht="15" hidden="false" customHeight="false" outlineLevel="0" collapsed="false">
      <c r="A196" s="4" t="s">
        <v>72</v>
      </c>
      <c r="B196" s="4" t="n">
        <v>10</v>
      </c>
      <c r="C196" s="5" t="n">
        <v>44967</v>
      </c>
      <c r="D196" s="5" t="n">
        <v>92953</v>
      </c>
      <c r="E196" s="5" t="n">
        <v>64034</v>
      </c>
      <c r="F196" s="5" t="n">
        <v>112</v>
      </c>
      <c r="G196" s="5" t="n">
        <v>4150</v>
      </c>
      <c r="H196" s="5" t="n">
        <v>206216</v>
      </c>
      <c r="I196" s="9" t="n">
        <f aca="false">IF(H196=0,0,C196/H196)</f>
        <v>0.218057764673934</v>
      </c>
      <c r="J196" s="9" t="n">
        <f aca="false">IF(H196=0,0,D196/H196)</f>
        <v>0.450755518485472</v>
      </c>
      <c r="K196" s="9" t="n">
        <f aca="false">IF(H196=0,0,E196/H196)</f>
        <v>0.310519067385654</v>
      </c>
      <c r="L196" s="9" t="n">
        <f aca="false">IF(H196=0,0,G196/H196)</f>
        <v>0.0201245296194282</v>
      </c>
      <c r="M196" s="4" t="str">
        <f aca="false">INDEX($C$3:$E$3,MATCH(MAX(C196:E196),C196:E196,0))</f>
        <v>Fuerza y Corazón por México (PAN-PRI-PRD)</v>
      </c>
      <c r="N196" s="18" t="n">
        <f aca="false">IF(H196=0,0,(MAX(C196:E196)-LARGE(C196:E196,2))/H196*100)</f>
        <v>14.0236451099818</v>
      </c>
    </row>
    <row r="197" customFormat="false" ht="15" hidden="false" customHeight="false" outlineLevel="0" collapsed="false">
      <c r="A197" s="4" t="s">
        <v>72</v>
      </c>
      <c r="B197" s="4" t="n">
        <v>11</v>
      </c>
      <c r="C197" s="5" t="n">
        <v>77368</v>
      </c>
      <c r="D197" s="5" t="n">
        <v>65773</v>
      </c>
      <c r="E197" s="5" t="n">
        <v>75849</v>
      </c>
      <c r="F197" s="5" t="n">
        <v>140</v>
      </c>
      <c r="G197" s="5" t="n">
        <v>4961</v>
      </c>
      <c r="H197" s="5" t="n">
        <v>224091</v>
      </c>
      <c r="I197" s="9" t="n">
        <f aca="false">IF(H197=0,0,C197/H197)</f>
        <v>0.345252598274808</v>
      </c>
      <c r="J197" s="9" t="n">
        <f aca="false">IF(H197=0,0,D197/H197)</f>
        <v>0.293510225756501</v>
      </c>
      <c r="K197" s="9" t="n">
        <f aca="false">IF(H197=0,0,E197/H197)</f>
        <v>0.338474102038904</v>
      </c>
      <c r="L197" s="9" t="n">
        <f aca="false">IF(H197=0,0,G197/H197)</f>
        <v>0.0221383277329299</v>
      </c>
      <c r="M197" s="4" t="str">
        <f aca="false">INDEX($C$3:$E$3,MATCH(MAX(C197:E197),C197:E197,0))</f>
        <v>Sigamos Haciendo Historia (PVEM-PT-Morena)</v>
      </c>
      <c r="N197" s="18" t="n">
        <f aca="false">IF(H197=0,0,(MAX(C197:E197)-LARGE(C197:E197,2))/H197*100)</f>
        <v>0.677849623590416</v>
      </c>
    </row>
    <row r="198" customFormat="false" ht="15" hidden="false" customHeight="false" outlineLevel="0" collapsed="false">
      <c r="A198" s="4" t="s">
        <v>72</v>
      </c>
      <c r="B198" s="4" t="n">
        <v>12</v>
      </c>
      <c r="C198" s="5" t="n">
        <v>56414</v>
      </c>
      <c r="D198" s="5" t="n">
        <v>29124</v>
      </c>
      <c r="E198" s="5" t="n">
        <v>54881</v>
      </c>
      <c r="F198" s="5" t="n">
        <v>45</v>
      </c>
      <c r="G198" s="5" t="n">
        <v>3427</v>
      </c>
      <c r="H198" s="5" t="n">
        <v>143891</v>
      </c>
      <c r="I198" s="9" t="n">
        <f aca="false">IF(H198=0,0,C198/H198)</f>
        <v>0.392060657025109</v>
      </c>
      <c r="J198" s="9" t="n">
        <f aca="false">IF(H198=0,0,D198/H198)</f>
        <v>0.202403207983821</v>
      </c>
      <c r="K198" s="9" t="n">
        <f aca="false">IF(H198=0,0,E198/H198)</f>
        <v>0.381406759283068</v>
      </c>
      <c r="L198" s="9" t="n">
        <f aca="false">IF(H198=0,0,G198/H198)</f>
        <v>0.0238166389836751</v>
      </c>
      <c r="M198" s="4" t="str">
        <f aca="false">INDEX($C$3:$E$3,MATCH(MAX(C198:E198),C198:E198,0))</f>
        <v>Sigamos Haciendo Historia (PVEM-PT-Morena)</v>
      </c>
      <c r="N198" s="18" t="n">
        <f aca="false">IF(H198=0,0,(MAX(C198:E198)-LARGE(C198:E198,2))/H198*100)</f>
        <v>1.06538977420409</v>
      </c>
    </row>
    <row r="199" customFormat="false" ht="15" hidden="false" customHeight="false" outlineLevel="0" collapsed="false">
      <c r="A199" s="4" t="s">
        <v>72</v>
      </c>
      <c r="B199" s="4" t="n">
        <v>13</v>
      </c>
      <c r="C199" s="5" t="n">
        <v>49520</v>
      </c>
      <c r="D199" s="5" t="n">
        <v>27197</v>
      </c>
      <c r="E199" s="5" t="n">
        <v>49503</v>
      </c>
      <c r="F199" s="5" t="n">
        <v>39</v>
      </c>
      <c r="G199" s="5" t="n">
        <v>4050</v>
      </c>
      <c r="H199" s="5" t="n">
        <v>130309</v>
      </c>
      <c r="I199" s="9" t="n">
        <f aca="false">IF(H199=0,0,C199/H199)</f>
        <v>0.380019799092925</v>
      </c>
      <c r="J199" s="9" t="n">
        <f aca="false">IF(H199=0,0,D199/H199)</f>
        <v>0.208711600887122</v>
      </c>
      <c r="K199" s="9" t="n">
        <f aca="false">IF(H199=0,0,E199/H199)</f>
        <v>0.379889339953495</v>
      </c>
      <c r="L199" s="9" t="n">
        <f aca="false">IF(H199=0,0,G199/H199)</f>
        <v>0.0310799714524707</v>
      </c>
      <c r="M199" s="4" t="str">
        <f aca="false">INDEX($C$3:$E$3,MATCH(MAX(C199:E199),C199:E199,0))</f>
        <v>Sigamos Haciendo Historia (PVEM-PT-Morena)</v>
      </c>
      <c r="N199" s="18" t="n">
        <f aca="false">IF(H199=0,0,(MAX(C199:E199)-LARGE(C199:E199,2))/H199*100)</f>
        <v>0.0130459139430124</v>
      </c>
    </row>
    <row r="200" customFormat="false" ht="15" hidden="false" customHeight="false" outlineLevel="0" collapsed="false">
      <c r="A200" s="4" t="s">
        <v>72</v>
      </c>
      <c r="B200" s="4" t="n">
        <v>14</v>
      </c>
      <c r="C200" s="5" t="n">
        <v>66453</v>
      </c>
      <c r="D200" s="5" t="n">
        <v>33665</v>
      </c>
      <c r="E200" s="5" t="n">
        <v>45027</v>
      </c>
      <c r="F200" s="5" t="n">
        <v>71</v>
      </c>
      <c r="G200" s="5" t="n">
        <v>4975</v>
      </c>
      <c r="H200" s="5" t="n">
        <v>150191</v>
      </c>
      <c r="I200" s="9" t="n">
        <f aca="false">IF(H200=0,0,C200/H200)</f>
        <v>0.442456605255974</v>
      </c>
      <c r="J200" s="9" t="n">
        <f aca="false">IF(H200=0,0,D200/H200)</f>
        <v>0.224147918317343</v>
      </c>
      <c r="K200" s="9" t="n">
        <f aca="false">IF(H200=0,0,E200/H200)</f>
        <v>0.299798256886232</v>
      </c>
      <c r="L200" s="9" t="n">
        <f aca="false">IF(H200=0,0,G200/H200)</f>
        <v>0.0331244881517534</v>
      </c>
      <c r="M200" s="4" t="str">
        <f aca="false">INDEX($C$3:$E$3,MATCH(MAX(C200:E200),C200:E200,0))</f>
        <v>Sigamos Haciendo Historia (PVEM-PT-Morena)</v>
      </c>
      <c r="N200" s="18" t="n">
        <f aca="false">IF(H200=0,0,(MAX(C200:E200)-LARGE(C200:E200,2))/H200*100)</f>
        <v>14.2658348369743</v>
      </c>
    </row>
    <row r="201" customFormat="false" ht="15" hidden="false" customHeight="false" outlineLevel="0" collapsed="false">
      <c r="A201" s="4" t="s">
        <v>73</v>
      </c>
      <c r="B201" s="4" t="n">
        <v>1</v>
      </c>
      <c r="C201" s="5" t="n">
        <v>156253</v>
      </c>
      <c r="D201" s="5" t="n">
        <v>30907</v>
      </c>
      <c r="E201" s="5" t="n">
        <v>8948</v>
      </c>
      <c r="F201" s="5" t="n">
        <v>90</v>
      </c>
      <c r="G201" s="5" t="n">
        <v>12347</v>
      </c>
      <c r="H201" s="5" t="n">
        <v>208545</v>
      </c>
      <c r="I201" s="9" t="n">
        <f aca="false">IF(H201=0,0,C201/H201)</f>
        <v>0.749253158790669</v>
      </c>
      <c r="J201" s="9" t="n">
        <f aca="false">IF(H201=0,0,D201/H201)</f>
        <v>0.148203025725863</v>
      </c>
      <c r="K201" s="9" t="n">
        <f aca="false">IF(H201=0,0,E201/H201)</f>
        <v>0.0429068066844086</v>
      </c>
      <c r="L201" s="9" t="n">
        <f aca="false">IF(H201=0,0,G201/H201)</f>
        <v>0.0592054472655782</v>
      </c>
      <c r="M201" s="4" t="str">
        <f aca="false">INDEX($C$3:$E$3,MATCH(MAX(C201:E201),C201:E201,0))</f>
        <v>Sigamos Haciendo Historia (PVEM-PT-Morena)</v>
      </c>
      <c r="N201" s="18" t="n">
        <f aca="false">IF(H201=0,0,(MAX(C201:E201)-LARGE(C201:E201,2))/H201*100)</f>
        <v>60.1050133064806</v>
      </c>
    </row>
    <row r="202" customFormat="false" ht="15" hidden="false" customHeight="false" outlineLevel="0" collapsed="false">
      <c r="A202" s="4" t="s">
        <v>73</v>
      </c>
      <c r="B202" s="4" t="n">
        <v>2</v>
      </c>
      <c r="C202" s="5" t="n">
        <v>123623</v>
      </c>
      <c r="D202" s="5" t="n">
        <v>35281</v>
      </c>
      <c r="E202" s="5" t="n">
        <v>15173</v>
      </c>
      <c r="F202" s="5" t="n">
        <v>227</v>
      </c>
      <c r="G202" s="5" t="n">
        <v>13373</v>
      </c>
      <c r="H202" s="5" t="n">
        <v>187677</v>
      </c>
      <c r="I202" s="9" t="n">
        <f aca="false">IF(H202=0,0,C202/H202)</f>
        <v>0.658700853061377</v>
      </c>
      <c r="J202" s="9" t="n">
        <f aca="false">IF(H202=0,0,D202/H202)</f>
        <v>0.187987872781428</v>
      </c>
      <c r="K202" s="9" t="n">
        <f aca="false">IF(H202=0,0,E202/H202)</f>
        <v>0.0808463477144243</v>
      </c>
      <c r="L202" s="9" t="n">
        <f aca="false">IF(H202=0,0,G202/H202)</f>
        <v>0.0712554015675869</v>
      </c>
      <c r="M202" s="4" t="str">
        <f aca="false">INDEX($C$3:$E$3,MATCH(MAX(C202:E202),C202:E202,0))</f>
        <v>Sigamos Haciendo Historia (PVEM-PT-Morena)</v>
      </c>
      <c r="N202" s="18" t="n">
        <f aca="false">IF(H202=0,0,(MAX(C202:E202)-LARGE(C202:E202,2))/H202*100)</f>
        <v>47.0712980279949</v>
      </c>
    </row>
    <row r="203" customFormat="false" ht="15" hidden="false" customHeight="false" outlineLevel="0" collapsed="false">
      <c r="A203" s="4" t="s">
        <v>73</v>
      </c>
      <c r="B203" s="4" t="n">
        <v>3</v>
      </c>
      <c r="C203" s="5" t="n">
        <v>144191</v>
      </c>
      <c r="D203" s="5" t="n">
        <v>37712</v>
      </c>
      <c r="E203" s="5" t="n">
        <v>16082</v>
      </c>
      <c r="F203" s="5" t="n">
        <v>146</v>
      </c>
      <c r="G203" s="5" t="n">
        <v>14759</v>
      </c>
      <c r="H203" s="5" t="n">
        <v>212890</v>
      </c>
      <c r="I203" s="9" t="n">
        <f aca="false">IF(H203=0,0,C203/H203)</f>
        <v>0.677302832448682</v>
      </c>
      <c r="J203" s="9" t="n">
        <f aca="false">IF(H203=0,0,D203/H203)</f>
        <v>0.1771431255578</v>
      </c>
      <c r="K203" s="9" t="n">
        <f aca="false">IF(H203=0,0,E203/H203)</f>
        <v>0.0755413593874771</v>
      </c>
      <c r="L203" s="9" t="n">
        <f aca="false">IF(H203=0,0,G203/H203)</f>
        <v>0.0693268824275447</v>
      </c>
      <c r="M203" s="4" t="str">
        <f aca="false">INDEX($C$3:$E$3,MATCH(MAX(C203:E203),C203:E203,0))</f>
        <v>Sigamos Haciendo Historia (PVEM-PT-Morena)</v>
      </c>
      <c r="N203" s="18" t="n">
        <f aca="false">IF(H203=0,0,(MAX(C203:E203)-LARGE(C203:E203,2))/H203*100)</f>
        <v>50.0159706890883</v>
      </c>
    </row>
    <row r="204" customFormat="false" ht="15" hidden="false" customHeight="false" outlineLevel="0" collapsed="false">
      <c r="A204" s="4" t="s">
        <v>73</v>
      </c>
      <c r="B204" s="4" t="n">
        <v>4</v>
      </c>
      <c r="C204" s="5" t="n">
        <v>133075</v>
      </c>
      <c r="D204" s="5" t="n">
        <v>21483</v>
      </c>
      <c r="E204" s="5" t="n">
        <v>10011</v>
      </c>
      <c r="F204" s="5" t="n">
        <v>156</v>
      </c>
      <c r="G204" s="5" t="n">
        <v>14830</v>
      </c>
      <c r="H204" s="5" t="n">
        <v>179555</v>
      </c>
      <c r="I204" s="9" t="n">
        <f aca="false">IF(H204=0,0,C204/H204)</f>
        <v>0.741137812926401</v>
      </c>
      <c r="J204" s="9" t="n">
        <f aca="false">IF(H204=0,0,D204/H204)</f>
        <v>0.119645790983264</v>
      </c>
      <c r="K204" s="9" t="n">
        <f aca="false">IF(H204=0,0,E204/H204)</f>
        <v>0.0557545041909164</v>
      </c>
      <c r="L204" s="9" t="n">
        <f aca="false">IF(H204=0,0,G204/H204)</f>
        <v>0.082593077330066</v>
      </c>
      <c r="M204" s="4" t="str">
        <f aca="false">INDEX($C$3:$E$3,MATCH(MAX(C204:E204),C204:E204,0))</f>
        <v>Sigamos Haciendo Historia (PVEM-PT-Morena)</v>
      </c>
      <c r="N204" s="18" t="n">
        <f aca="false">IF(H204=0,0,(MAX(C204:E204)-LARGE(C204:E204,2))/H204*100)</f>
        <v>62.1492021943137</v>
      </c>
    </row>
    <row r="205" customFormat="false" ht="15" hidden="false" customHeight="false" outlineLevel="0" collapsed="false">
      <c r="A205" s="4" t="s">
        <v>73</v>
      </c>
      <c r="B205" s="4" t="n">
        <v>5</v>
      </c>
      <c r="C205" s="5" t="n">
        <v>144482</v>
      </c>
      <c r="D205" s="5" t="n">
        <v>14348</v>
      </c>
      <c r="E205" s="5" t="n">
        <v>7455</v>
      </c>
      <c r="F205" s="5" t="n">
        <v>172</v>
      </c>
      <c r="G205" s="5" t="n">
        <v>9781</v>
      </c>
      <c r="H205" s="5" t="n">
        <v>176238</v>
      </c>
      <c r="I205" s="9" t="n">
        <f aca="false">IF(H205=0,0,C205/H205)</f>
        <v>0.819811845345499</v>
      </c>
      <c r="J205" s="9" t="n">
        <f aca="false">IF(H205=0,0,D205/H205)</f>
        <v>0.0814126351865092</v>
      </c>
      <c r="K205" s="9" t="n">
        <f aca="false">IF(H205=0,0,E205/H205)</f>
        <v>0.0423007523916522</v>
      </c>
      <c r="L205" s="9" t="n">
        <f aca="false">IF(H205=0,0,G205/H205)</f>
        <v>0.0554988141036553</v>
      </c>
      <c r="M205" s="4" t="str">
        <f aca="false">INDEX($C$3:$E$3,MATCH(MAX(C205:E205),C205:E205,0))</f>
        <v>Sigamos Haciendo Historia (PVEM-PT-Morena)</v>
      </c>
      <c r="N205" s="18" t="n">
        <f aca="false">IF(H205=0,0,(MAX(C205:E205)-LARGE(C205:E205,2))/H205*100)</f>
        <v>73.839921015899</v>
      </c>
    </row>
    <row r="206" customFormat="false" ht="15" hidden="false" customHeight="false" outlineLevel="0" collapsed="false">
      <c r="A206" s="4" t="s">
        <v>73</v>
      </c>
      <c r="B206" s="4" t="n">
        <v>6</v>
      </c>
      <c r="C206" s="5" t="n">
        <v>127959</v>
      </c>
      <c r="D206" s="5" t="n">
        <v>17220</v>
      </c>
      <c r="E206" s="5" t="n">
        <v>5556</v>
      </c>
      <c r="F206" s="5" t="n">
        <v>170</v>
      </c>
      <c r="G206" s="5" t="n">
        <v>12527</v>
      </c>
      <c r="H206" s="5" t="n">
        <v>163432</v>
      </c>
      <c r="I206" s="9" t="n">
        <f aca="false">IF(H206=0,0,C206/H206)</f>
        <v>0.782949483577268</v>
      </c>
      <c r="J206" s="9" t="n">
        <f aca="false">IF(H206=0,0,D206/H206)</f>
        <v>0.105364922414215</v>
      </c>
      <c r="K206" s="9" t="n">
        <f aca="false">IF(H206=0,0,E206/H206)</f>
        <v>0.0339957902981056</v>
      </c>
      <c r="L206" s="9" t="n">
        <f aca="false">IF(H206=0,0,G206/H206)</f>
        <v>0.0766496157423271</v>
      </c>
      <c r="M206" s="4" t="str">
        <f aca="false">INDEX($C$3:$E$3,MATCH(MAX(C206:E206),C206:E206,0))</f>
        <v>Sigamos Haciendo Historia (PVEM-PT-Morena)</v>
      </c>
      <c r="N206" s="18" t="n">
        <f aca="false">IF(H206=0,0,(MAX(C206:E206)-LARGE(C206:E206,2))/H206*100)</f>
        <v>67.7584561163053</v>
      </c>
    </row>
    <row r="207" customFormat="false" ht="15" hidden="false" customHeight="false" outlineLevel="0" collapsed="false">
      <c r="A207" s="4" t="s">
        <v>73</v>
      </c>
      <c r="B207" s="4" t="n">
        <v>7</v>
      </c>
      <c r="C207" s="5" t="n">
        <v>140401</v>
      </c>
      <c r="D207" s="5" t="n">
        <v>14069</v>
      </c>
      <c r="E207" s="5" t="n">
        <v>9961</v>
      </c>
      <c r="F207" s="5" t="n">
        <v>56</v>
      </c>
      <c r="G207" s="5" t="n">
        <v>9572</v>
      </c>
      <c r="H207" s="5" t="n">
        <v>174059</v>
      </c>
      <c r="I207" s="9" t="n">
        <f aca="false">IF(H207=0,0,C207/H207)</f>
        <v>0.806628786790686</v>
      </c>
      <c r="J207" s="9" t="n">
        <f aca="false">IF(H207=0,0,D207/H207)</f>
        <v>0.0808289143336455</v>
      </c>
      <c r="K207" s="9" t="n">
        <f aca="false">IF(H207=0,0,E207/H207)</f>
        <v>0.0572277216346181</v>
      </c>
      <c r="L207" s="9" t="n">
        <f aca="false">IF(H207=0,0,G207/H207)</f>
        <v>0.054992847252943</v>
      </c>
      <c r="M207" s="4" t="str">
        <f aca="false">INDEX($C$3:$E$3,MATCH(MAX(C207:E207),C207:E207,0))</f>
        <v>Sigamos Haciendo Historia (PVEM-PT-Morena)</v>
      </c>
      <c r="N207" s="18" t="n">
        <f aca="false">IF(H207=0,0,(MAX(C207:E207)-LARGE(C207:E207,2))/H207*100)</f>
        <v>72.5799872457041</v>
      </c>
    </row>
    <row r="208" customFormat="false" ht="15" hidden="false" customHeight="false" outlineLevel="0" collapsed="false">
      <c r="A208" s="4" t="s">
        <v>73</v>
      </c>
      <c r="B208" s="4" t="n">
        <v>8</v>
      </c>
      <c r="C208" s="5" t="n">
        <v>134208</v>
      </c>
      <c r="D208" s="5" t="n">
        <v>52553</v>
      </c>
      <c r="E208" s="5" t="n">
        <v>22620</v>
      </c>
      <c r="F208" s="5" t="n">
        <v>195</v>
      </c>
      <c r="G208" s="5" t="n">
        <v>13796</v>
      </c>
      <c r="H208" s="5" t="n">
        <v>223372</v>
      </c>
      <c r="I208" s="9" t="n">
        <f aca="false">IF(H208=0,0,C208/H208)</f>
        <v>0.60082731944917</v>
      </c>
      <c r="J208" s="9" t="n">
        <f aca="false">IF(H208=0,0,D208/H208)</f>
        <v>0.23527120677614</v>
      </c>
      <c r="K208" s="9" t="n">
        <f aca="false">IF(H208=0,0,E208/H208)</f>
        <v>0.101266049460093</v>
      </c>
      <c r="L208" s="9" t="n">
        <f aca="false">IF(H208=0,0,G208/H208)</f>
        <v>0.0617624411295955</v>
      </c>
      <c r="M208" s="4" t="str">
        <f aca="false">INDEX($C$3:$E$3,MATCH(MAX(C208:E208),C208:E208,0))</f>
        <v>Sigamos Haciendo Historia (PVEM-PT-Morena)</v>
      </c>
      <c r="N208" s="18" t="n">
        <f aca="false">IF(H208=0,0,(MAX(C208:E208)-LARGE(C208:E208,2))/H208*100)</f>
        <v>36.555611267303</v>
      </c>
    </row>
    <row r="209" customFormat="false" ht="15" hidden="false" customHeight="false" outlineLevel="0" collapsed="false">
      <c r="A209" s="4" t="s">
        <v>73</v>
      </c>
      <c r="B209" s="4" t="n">
        <v>9</v>
      </c>
      <c r="C209" s="5" t="n">
        <v>121372</v>
      </c>
      <c r="D209" s="5" t="n">
        <v>37024</v>
      </c>
      <c r="E209" s="5" t="n">
        <v>5414</v>
      </c>
      <c r="F209" s="5" t="n">
        <v>81</v>
      </c>
      <c r="G209" s="5" t="n">
        <v>11398</v>
      </c>
      <c r="H209" s="5" t="n">
        <v>175289</v>
      </c>
      <c r="I209" s="9" t="n">
        <f aca="false">IF(H209=0,0,C209/H209)</f>
        <v>0.69241081870511</v>
      </c>
      <c r="J209" s="9" t="n">
        <f aca="false">IF(H209=0,0,D209/H209)</f>
        <v>0.211216904654599</v>
      </c>
      <c r="K209" s="9" t="n">
        <f aca="false">IF(H209=0,0,E209/H209)</f>
        <v>0.0308861366086862</v>
      </c>
      <c r="L209" s="9" t="n">
        <f aca="false">IF(H209=0,0,G209/H209)</f>
        <v>0.0650240460040276</v>
      </c>
      <c r="M209" s="4" t="str">
        <f aca="false">INDEX($C$3:$E$3,MATCH(MAX(C209:E209),C209:E209,0))</f>
        <v>Sigamos Haciendo Historia (PVEM-PT-Morena)</v>
      </c>
      <c r="N209" s="18" t="n">
        <f aca="false">IF(H209=0,0,(MAX(C209:E209)-LARGE(C209:E209,2))/H209*100)</f>
        <v>48.1193914050511</v>
      </c>
    </row>
    <row r="210" customFormat="false" ht="15" hidden="false" customHeight="false" outlineLevel="0" collapsed="false">
      <c r="A210" s="4" t="s">
        <v>73</v>
      </c>
      <c r="B210" s="4" t="n">
        <v>10</v>
      </c>
      <c r="C210" s="5" t="n">
        <v>134363</v>
      </c>
      <c r="D210" s="5" t="n">
        <v>23200</v>
      </c>
      <c r="E210" s="5" t="n">
        <v>10708</v>
      </c>
      <c r="F210" s="5" t="n">
        <v>137</v>
      </c>
      <c r="G210" s="5" t="n">
        <v>14628</v>
      </c>
      <c r="H210" s="5" t="n">
        <v>183036</v>
      </c>
      <c r="I210" s="9" t="n">
        <f aca="false">IF(H210=0,0,C210/H210)</f>
        <v>0.7340796346074</v>
      </c>
      <c r="J210" s="9" t="n">
        <f aca="false">IF(H210=0,0,D210/H210)</f>
        <v>0.126751021656942</v>
      </c>
      <c r="K210" s="9" t="n">
        <f aca="false">IF(H210=0,0,E210/H210)</f>
        <v>0.0585021525820057</v>
      </c>
      <c r="L210" s="9" t="n">
        <f aca="false">IF(H210=0,0,G210/H210)</f>
        <v>0.0799187045171442</v>
      </c>
      <c r="M210" s="4" t="str">
        <f aca="false">INDEX($C$3:$E$3,MATCH(MAX(C210:E210),C210:E210,0))</f>
        <v>Sigamos Haciendo Historia (PVEM-PT-Morena)</v>
      </c>
      <c r="N210" s="18" t="n">
        <f aca="false">IF(H210=0,0,(MAX(C210:E210)-LARGE(C210:E210,2))/H210*100)</f>
        <v>60.7328612950458</v>
      </c>
    </row>
    <row r="211" customFormat="false" ht="15" hidden="false" customHeight="false" outlineLevel="0" collapsed="false">
      <c r="A211" s="4" t="s">
        <v>74</v>
      </c>
      <c r="B211" s="4" t="n">
        <v>1</v>
      </c>
      <c r="C211" s="5" t="n">
        <v>124353</v>
      </c>
      <c r="D211" s="5" t="n">
        <v>47941</v>
      </c>
      <c r="E211" s="5" t="n">
        <v>15247</v>
      </c>
      <c r="F211" s="5" t="n">
        <v>215</v>
      </c>
      <c r="G211" s="5" t="n">
        <v>13303</v>
      </c>
      <c r="H211" s="5" t="n">
        <v>201059</v>
      </c>
      <c r="I211" s="9" t="n">
        <f aca="false">IF(H211=0,0,C211/H211)</f>
        <v>0.618490094947254</v>
      </c>
      <c r="J211" s="9" t="n">
        <f aca="false">IF(H211=0,0,D211/H211)</f>
        <v>0.238442447241854</v>
      </c>
      <c r="K211" s="9" t="n">
        <f aca="false">IF(H211=0,0,E211/H211)</f>
        <v>0.0758334618196649</v>
      </c>
      <c r="L211" s="9" t="n">
        <f aca="false">IF(H211=0,0,G211/H211)</f>
        <v>0.0661646581351743</v>
      </c>
      <c r="M211" s="4" t="str">
        <f aca="false">INDEX($C$3:$E$3,MATCH(MAX(C211:E211),C211:E211,0))</f>
        <v>Sigamos Haciendo Historia (PVEM-PT-Morena)</v>
      </c>
      <c r="N211" s="18" t="n">
        <f aca="false">IF(H211=0,0,(MAX(C211:E211)-LARGE(C211:E211,2))/H211*100)</f>
        <v>38.00476477054</v>
      </c>
    </row>
    <row r="212" customFormat="false" ht="15" hidden="false" customHeight="false" outlineLevel="0" collapsed="false">
      <c r="A212" s="4" t="s">
        <v>74</v>
      </c>
      <c r="B212" s="4" t="n">
        <v>2</v>
      </c>
      <c r="C212" s="5" t="n">
        <v>122471</v>
      </c>
      <c r="D212" s="5" t="n">
        <v>66693</v>
      </c>
      <c r="E212" s="5" t="n">
        <v>11513</v>
      </c>
      <c r="F212" s="5" t="n">
        <v>144</v>
      </c>
      <c r="G212" s="5" t="n">
        <v>12507</v>
      </c>
      <c r="H212" s="5" t="n">
        <v>213328</v>
      </c>
      <c r="I212" s="9" t="n">
        <f aca="false">IF(H212=0,0,C212/H212)</f>
        <v>0.574097164929123</v>
      </c>
      <c r="J212" s="9" t="n">
        <f aca="false">IF(H212=0,0,D212/H212)</f>
        <v>0.312631253281332</v>
      </c>
      <c r="K212" s="9" t="n">
        <f aca="false">IF(H212=0,0,E212/H212)</f>
        <v>0.0539685367134178</v>
      </c>
      <c r="L212" s="9" t="n">
        <f aca="false">IF(H212=0,0,G212/H212)</f>
        <v>0.058628028200705</v>
      </c>
      <c r="M212" s="4" t="str">
        <f aca="false">INDEX($C$3:$E$3,MATCH(MAX(C212:E212),C212:E212,0))</f>
        <v>Sigamos Haciendo Historia (PVEM-PT-Morena)</v>
      </c>
      <c r="N212" s="18" t="n">
        <f aca="false">IF(H212=0,0,(MAX(C212:E212)-LARGE(C212:E212,2))/H212*100)</f>
        <v>26.1465911647791</v>
      </c>
    </row>
    <row r="213" customFormat="false" ht="15" hidden="false" customHeight="false" outlineLevel="0" collapsed="false">
      <c r="A213" s="4" t="s">
        <v>74</v>
      </c>
      <c r="B213" s="4" t="n">
        <v>3</v>
      </c>
      <c r="C213" s="5" t="n">
        <v>136086</v>
      </c>
      <c r="D213" s="5" t="n">
        <v>45805</v>
      </c>
      <c r="E213" s="5" t="n">
        <v>17505</v>
      </c>
      <c r="F213" s="5" t="n">
        <v>137</v>
      </c>
      <c r="G213" s="5" t="n">
        <v>11244</v>
      </c>
      <c r="H213" s="5" t="n">
        <v>210777</v>
      </c>
      <c r="I213" s="9" t="n">
        <f aca="false">IF(H213=0,0,C213/H213)</f>
        <v>0.645639704521841</v>
      </c>
      <c r="J213" s="9" t="n">
        <f aca="false">IF(H213=0,0,D213/H213)</f>
        <v>0.217314982184963</v>
      </c>
      <c r="K213" s="9" t="n">
        <f aca="false">IF(H213=0,0,E213/H213)</f>
        <v>0.0830498583811327</v>
      </c>
      <c r="L213" s="9" t="n">
        <f aca="false">IF(H213=0,0,G213/H213)</f>
        <v>0.0533454788710343</v>
      </c>
      <c r="M213" s="4" t="str">
        <f aca="false">INDEX($C$3:$E$3,MATCH(MAX(C213:E213),C213:E213,0))</f>
        <v>Sigamos Haciendo Historia (PVEM-PT-Morena)</v>
      </c>
      <c r="N213" s="18" t="n">
        <f aca="false">IF(H213=0,0,(MAX(C213:E213)-LARGE(C213:E213,2))/H213*100)</f>
        <v>42.8324722336877</v>
      </c>
    </row>
    <row r="214" customFormat="false" ht="15" hidden="false" customHeight="false" outlineLevel="0" collapsed="false">
      <c r="A214" s="4" t="s">
        <v>74</v>
      </c>
      <c r="B214" s="4" t="n">
        <v>4</v>
      </c>
      <c r="C214" s="5" t="n">
        <v>133312</v>
      </c>
      <c r="D214" s="5" t="n">
        <v>41326</v>
      </c>
      <c r="E214" s="5" t="n">
        <v>25767</v>
      </c>
      <c r="F214" s="5" t="n">
        <v>110</v>
      </c>
      <c r="G214" s="5" t="n">
        <v>12186</v>
      </c>
      <c r="H214" s="5" t="n">
        <v>212701</v>
      </c>
      <c r="I214" s="9" t="n">
        <f aca="false">IF(H214=0,0,C214/H214)</f>
        <v>0.626757749140813</v>
      </c>
      <c r="J214" s="9" t="n">
        <f aca="false">IF(H214=0,0,D214/H214)</f>
        <v>0.194291517200201</v>
      </c>
      <c r="K214" s="9" t="n">
        <f aca="false">IF(H214=0,0,E214/H214)</f>
        <v>0.121141884617374</v>
      </c>
      <c r="L214" s="9" t="n">
        <f aca="false">IF(H214=0,0,G214/H214)</f>
        <v>0.0572916911533091</v>
      </c>
      <c r="M214" s="4" t="str">
        <f aca="false">INDEX($C$3:$E$3,MATCH(MAX(C214:E214),C214:E214,0))</f>
        <v>Sigamos Haciendo Historia (PVEM-PT-Morena)</v>
      </c>
      <c r="N214" s="18" t="n">
        <f aca="false">IF(H214=0,0,(MAX(C214:E214)-LARGE(C214:E214,2))/H214*100)</f>
        <v>43.2466231940611</v>
      </c>
    </row>
    <row r="215" customFormat="false" ht="15" hidden="false" customHeight="false" outlineLevel="0" collapsed="false">
      <c r="A215" s="4" t="s">
        <v>74</v>
      </c>
      <c r="B215" s="4" t="n">
        <v>5</v>
      </c>
      <c r="C215" s="5" t="n">
        <v>124576</v>
      </c>
      <c r="D215" s="5" t="n">
        <v>36876</v>
      </c>
      <c r="E215" s="5" t="n">
        <v>27397</v>
      </c>
      <c r="F215" s="5" t="n">
        <v>154</v>
      </c>
      <c r="G215" s="5" t="n">
        <v>9066</v>
      </c>
      <c r="H215" s="5" t="n">
        <v>198069</v>
      </c>
      <c r="I215" s="9" t="n">
        <f aca="false">IF(H215=0,0,C215/H215)</f>
        <v>0.628952536742246</v>
      </c>
      <c r="J215" s="9" t="n">
        <f aca="false">IF(H215=0,0,D215/H215)</f>
        <v>0.186177544189146</v>
      </c>
      <c r="K215" s="9" t="n">
        <f aca="false">IF(H215=0,0,E215/H215)</f>
        <v>0.138320484275682</v>
      </c>
      <c r="L215" s="9" t="n">
        <f aca="false">IF(H215=0,0,G215/H215)</f>
        <v>0.0457719279644972</v>
      </c>
      <c r="M215" s="4" t="str">
        <f aca="false">INDEX($C$3:$E$3,MATCH(MAX(C215:E215),C215:E215,0))</f>
        <v>Sigamos Haciendo Historia (PVEM-PT-Morena)</v>
      </c>
      <c r="N215" s="18" t="n">
        <f aca="false">IF(H215=0,0,(MAX(C215:E215)-LARGE(C215:E215,2))/H215*100)</f>
        <v>44.27749925531</v>
      </c>
    </row>
    <row r="216" customFormat="false" ht="15" hidden="false" customHeight="false" outlineLevel="0" collapsed="false">
      <c r="A216" s="4" t="s">
        <v>74</v>
      </c>
      <c r="B216" s="4" t="n">
        <v>6</v>
      </c>
      <c r="C216" s="5" t="n">
        <v>122136</v>
      </c>
      <c r="D216" s="5" t="n">
        <v>54319</v>
      </c>
      <c r="E216" s="5" t="n">
        <v>16281</v>
      </c>
      <c r="F216" s="5" t="n">
        <v>115</v>
      </c>
      <c r="G216" s="5" t="n">
        <v>6034</v>
      </c>
      <c r="H216" s="5" t="n">
        <v>198885</v>
      </c>
      <c r="I216" s="9" t="n">
        <f aca="false">IF(H216=0,0,C216/H216)</f>
        <v>0.614103627724564</v>
      </c>
      <c r="J216" s="9" t="n">
        <f aca="false">IF(H216=0,0,D216/H216)</f>
        <v>0.273117630791664</v>
      </c>
      <c r="K216" s="9" t="n">
        <f aca="false">IF(H216=0,0,E216/H216)</f>
        <v>0.0818613771777661</v>
      </c>
      <c r="L216" s="9" t="n">
        <f aca="false">IF(H216=0,0,G216/H216)</f>
        <v>0.0303391407094552</v>
      </c>
      <c r="M216" s="4" t="str">
        <f aca="false">INDEX($C$3:$E$3,MATCH(MAX(C216:E216),C216:E216,0))</f>
        <v>Sigamos Haciendo Historia (PVEM-PT-Morena)</v>
      </c>
      <c r="N216" s="18" t="n">
        <f aca="false">IF(H216=0,0,(MAX(C216:E216)-LARGE(C216:E216,2))/H216*100)</f>
        <v>34.0985996932901</v>
      </c>
    </row>
    <row r="217" customFormat="false" ht="15" hidden="false" customHeight="false" outlineLevel="0" collapsed="false">
      <c r="A217" s="4" t="s">
        <v>74</v>
      </c>
      <c r="B217" s="4" t="n">
        <v>7</v>
      </c>
      <c r="C217" s="5" t="n">
        <v>123710</v>
      </c>
      <c r="D217" s="5" t="n">
        <v>34725</v>
      </c>
      <c r="E217" s="5" t="n">
        <v>15844</v>
      </c>
      <c r="F217" s="5" t="n">
        <v>79</v>
      </c>
      <c r="G217" s="5" t="n">
        <v>8583</v>
      </c>
      <c r="H217" s="5" t="n">
        <v>182941</v>
      </c>
      <c r="I217" s="9" t="n">
        <f aca="false">IF(H217=0,0,C217/H217)</f>
        <v>0.676228948130818</v>
      </c>
      <c r="J217" s="9" t="n">
        <f aca="false">IF(H217=0,0,D217/H217)</f>
        <v>0.189815295641764</v>
      </c>
      <c r="K217" s="9" t="n">
        <f aca="false">IF(H217=0,0,E217/H217)</f>
        <v>0.0866071574988658</v>
      </c>
      <c r="L217" s="9" t="n">
        <f aca="false">IF(H217=0,0,G217/H217)</f>
        <v>0.0469167655145648</v>
      </c>
      <c r="M217" s="4" t="str">
        <f aca="false">INDEX($C$3:$E$3,MATCH(MAX(C217:E217),C217:E217,0))</f>
        <v>Sigamos Haciendo Historia (PVEM-PT-Morena)</v>
      </c>
      <c r="N217" s="18" t="n">
        <f aca="false">IF(H217=0,0,(MAX(C217:E217)-LARGE(C217:E217,2))/H217*100)</f>
        <v>48.6413652489054</v>
      </c>
    </row>
    <row r="218" customFormat="false" ht="15" hidden="false" customHeight="false" outlineLevel="0" collapsed="false">
      <c r="A218" s="4" t="s">
        <v>74</v>
      </c>
      <c r="B218" s="4" t="n">
        <v>8</v>
      </c>
      <c r="C218" s="5" t="n">
        <v>118758</v>
      </c>
      <c r="D218" s="5" t="n">
        <v>34746</v>
      </c>
      <c r="E218" s="5" t="n">
        <v>21603</v>
      </c>
      <c r="F218" s="5" t="n">
        <v>129</v>
      </c>
      <c r="G218" s="5" t="n">
        <v>11190</v>
      </c>
      <c r="H218" s="5" t="n">
        <v>186426</v>
      </c>
      <c r="I218" s="9" t="n">
        <f aca="false">IF(H218=0,0,C218/H218)</f>
        <v>0.637024878504071</v>
      </c>
      <c r="J218" s="9" t="n">
        <f aca="false">IF(H218=0,0,D218/H218)</f>
        <v>0.186379582247111</v>
      </c>
      <c r="K218" s="9" t="n">
        <f aca="false">IF(H218=0,0,E218/H218)</f>
        <v>0.115879759261047</v>
      </c>
      <c r="L218" s="9" t="n">
        <f aca="false">IF(H218=0,0,G218/H218)</f>
        <v>0.0600238164204564</v>
      </c>
      <c r="M218" s="4" t="str">
        <f aca="false">INDEX($C$3:$E$3,MATCH(MAX(C218:E218),C218:E218,0))</f>
        <v>Sigamos Haciendo Historia (PVEM-PT-Morena)</v>
      </c>
      <c r="N218" s="18" t="n">
        <f aca="false">IF(H218=0,0,(MAX(C218:E218)-LARGE(C218:E218,2))/H218*100)</f>
        <v>45.064529625696</v>
      </c>
    </row>
    <row r="219" customFormat="false" ht="15" hidden="false" customHeight="false" outlineLevel="0" collapsed="false">
      <c r="A219" s="4" t="s">
        <v>74</v>
      </c>
      <c r="B219" s="4" t="n">
        <v>9</v>
      </c>
      <c r="C219" s="5" t="n">
        <v>127048</v>
      </c>
      <c r="D219" s="5" t="n">
        <v>85781</v>
      </c>
      <c r="E219" s="5" t="n">
        <v>18686</v>
      </c>
      <c r="F219" s="5" t="n">
        <v>160</v>
      </c>
      <c r="G219" s="5" t="n">
        <v>6498</v>
      </c>
      <c r="H219" s="5" t="n">
        <v>238173</v>
      </c>
      <c r="I219" s="9" t="n">
        <f aca="false">IF(H219=0,0,C219/H219)</f>
        <v>0.533427382616837</v>
      </c>
      <c r="J219" s="9" t="n">
        <f aca="false">IF(H219=0,0,D219/H219)</f>
        <v>0.360162570904343</v>
      </c>
      <c r="K219" s="9" t="n">
        <f aca="false">IF(H219=0,0,E219/H219)</f>
        <v>0.0784555764087449</v>
      </c>
      <c r="L219" s="9" t="n">
        <f aca="false">IF(H219=0,0,G219/H219)</f>
        <v>0.0272826894736179</v>
      </c>
      <c r="M219" s="4" t="str">
        <f aca="false">INDEX($C$3:$E$3,MATCH(MAX(C219:E219),C219:E219,0))</f>
        <v>Sigamos Haciendo Historia (PVEM-PT-Morena)</v>
      </c>
      <c r="N219" s="18" t="n">
        <f aca="false">IF(H219=0,0,(MAX(C219:E219)-LARGE(C219:E219,2))/H219*100)</f>
        <v>17.3264811712495</v>
      </c>
    </row>
    <row r="220" customFormat="false" ht="15" hidden="false" customHeight="false" outlineLevel="0" collapsed="false">
      <c r="A220" s="4" t="s">
        <v>74</v>
      </c>
      <c r="B220" s="4" t="n">
        <v>10</v>
      </c>
      <c r="C220" s="5" t="n">
        <v>104261</v>
      </c>
      <c r="D220" s="5" t="n">
        <v>86798</v>
      </c>
      <c r="E220" s="5" t="n">
        <v>22515</v>
      </c>
      <c r="F220" s="5" t="n">
        <v>170</v>
      </c>
      <c r="G220" s="5" t="n">
        <v>6674</v>
      </c>
      <c r="H220" s="5" t="n">
        <v>220418</v>
      </c>
      <c r="I220" s="9" t="n">
        <f aca="false">IF(H220=0,0,C220/H220)</f>
        <v>0.473014908038364</v>
      </c>
      <c r="J220" s="9" t="n">
        <f aca="false">IF(H220=0,0,D220/H220)</f>
        <v>0.393788166120734</v>
      </c>
      <c r="K220" s="9" t="n">
        <f aca="false">IF(H220=0,0,E220/H220)</f>
        <v>0.102146830113693</v>
      </c>
      <c r="L220" s="9" t="n">
        <f aca="false">IF(H220=0,0,G220/H220)</f>
        <v>0.0302788338520448</v>
      </c>
      <c r="M220" s="4" t="str">
        <f aca="false">INDEX($C$3:$E$3,MATCH(MAX(C220:E220),C220:E220,0))</f>
        <v>Sigamos Haciendo Historia (PVEM-PT-Morena)</v>
      </c>
      <c r="N220" s="18" t="n">
        <f aca="false">IF(H220=0,0,(MAX(C220:E220)-LARGE(C220:E220,2))/H220*100)</f>
        <v>7.92267419176292</v>
      </c>
    </row>
    <row r="221" customFormat="false" ht="15" hidden="false" customHeight="false" outlineLevel="0" collapsed="false">
      <c r="A221" s="4" t="s">
        <v>74</v>
      </c>
      <c r="B221" s="4" t="n">
        <v>11</v>
      </c>
      <c r="C221" s="5" t="n">
        <v>111655</v>
      </c>
      <c r="D221" s="5" t="n">
        <v>71576</v>
      </c>
      <c r="E221" s="5" t="n">
        <v>17003</v>
      </c>
      <c r="F221" s="5" t="n">
        <v>197</v>
      </c>
      <c r="G221" s="5" t="n">
        <v>6161</v>
      </c>
      <c r="H221" s="5" t="n">
        <v>206592</v>
      </c>
      <c r="I221" s="9" t="n">
        <f aca="false">IF(H221=0,0,C221/H221)</f>
        <v>0.540461392503098</v>
      </c>
      <c r="J221" s="9" t="n">
        <f aca="false">IF(H221=0,0,D221/H221)</f>
        <v>0.346460656753408</v>
      </c>
      <c r="K221" s="9" t="n">
        <f aca="false">IF(H221=0,0,E221/H221)</f>
        <v>0.0823023156753408</v>
      </c>
      <c r="L221" s="9" t="n">
        <f aca="false">IF(H221=0,0,G221/H221)</f>
        <v>0.0298220647459727</v>
      </c>
      <c r="M221" s="4" t="str">
        <f aca="false">INDEX($C$3:$E$3,MATCH(MAX(C221:E221),C221:E221,0))</f>
        <v>Sigamos Haciendo Historia (PVEM-PT-Morena)</v>
      </c>
      <c r="N221" s="18" t="n">
        <f aca="false">IF(H221=0,0,(MAX(C221:E221)-LARGE(C221:E221,2))/H221*100)</f>
        <v>19.400073574969</v>
      </c>
    </row>
    <row r="222" customFormat="false" ht="15" hidden="false" customHeight="false" outlineLevel="0" collapsed="false">
      <c r="A222" s="4" t="s">
        <v>74</v>
      </c>
      <c r="B222" s="4" t="n">
        <v>12</v>
      </c>
      <c r="C222" s="5" t="n">
        <v>111215</v>
      </c>
      <c r="D222" s="5" t="n">
        <v>77204</v>
      </c>
      <c r="E222" s="5" t="n">
        <v>16203</v>
      </c>
      <c r="F222" s="5" t="n">
        <v>153</v>
      </c>
      <c r="G222" s="5" t="n">
        <v>6256</v>
      </c>
      <c r="H222" s="5" t="n">
        <v>211031</v>
      </c>
      <c r="I222" s="9" t="n">
        <f aca="false">IF(H222=0,0,C222/H222)</f>
        <v>0.52700788035881</v>
      </c>
      <c r="J222" s="9" t="n">
        <f aca="false">IF(H222=0,0,D222/H222)</f>
        <v>0.365841985300738</v>
      </c>
      <c r="K222" s="9" t="n">
        <f aca="false">IF(H222=0,0,E222/H222)</f>
        <v>0.0767801886926565</v>
      </c>
      <c r="L222" s="9" t="n">
        <f aca="false">IF(H222=0,0,G222/H222)</f>
        <v>0.0296449336827291</v>
      </c>
      <c r="M222" s="4" t="str">
        <f aca="false">INDEX($C$3:$E$3,MATCH(MAX(C222:E222),C222:E222,0))</f>
        <v>Sigamos Haciendo Historia (PVEM-PT-Morena)</v>
      </c>
      <c r="N222" s="18" t="n">
        <f aca="false">IF(H222=0,0,(MAX(C222:E222)-LARGE(C222:E222,2))/H222*100)</f>
        <v>16.1165895058072</v>
      </c>
    </row>
    <row r="223" customFormat="false" ht="15" hidden="false" customHeight="false" outlineLevel="0" collapsed="false">
      <c r="A223" s="4" t="s">
        <v>74</v>
      </c>
      <c r="B223" s="4" t="n">
        <v>13</v>
      </c>
      <c r="C223" s="5" t="n">
        <v>116364</v>
      </c>
      <c r="D223" s="5" t="n">
        <v>46046</v>
      </c>
      <c r="E223" s="5" t="n">
        <v>14526</v>
      </c>
      <c r="F223" s="5" t="n">
        <v>167</v>
      </c>
      <c r="G223" s="5" t="n">
        <v>9197</v>
      </c>
      <c r="H223" s="5" t="n">
        <v>186300</v>
      </c>
      <c r="I223" s="9" t="n">
        <f aca="false">IF(H223=0,0,C223/H223)</f>
        <v>0.624605475040258</v>
      </c>
      <c r="J223" s="9" t="n">
        <f aca="false">IF(H223=0,0,D223/H223)</f>
        <v>0.247160493827161</v>
      </c>
      <c r="K223" s="9" t="n">
        <f aca="false">IF(H223=0,0,E223/H223)</f>
        <v>0.0779710144927536</v>
      </c>
      <c r="L223" s="9" t="n">
        <f aca="false">IF(H223=0,0,G223/H223)</f>
        <v>0.0493666129898014</v>
      </c>
      <c r="M223" s="4" t="str">
        <f aca="false">INDEX($C$3:$E$3,MATCH(MAX(C223:E223),C223:E223,0))</f>
        <v>Sigamos Haciendo Historia (PVEM-PT-Morena)</v>
      </c>
      <c r="N223" s="18" t="n">
        <f aca="false">IF(H223=0,0,(MAX(C223:E223)-LARGE(C223:E223,2))/H223*100)</f>
        <v>37.7444981213097</v>
      </c>
    </row>
    <row r="224" customFormat="false" ht="15" hidden="false" customHeight="false" outlineLevel="0" collapsed="false">
      <c r="A224" s="4" t="s">
        <v>74</v>
      </c>
      <c r="B224" s="4" t="n">
        <v>14</v>
      </c>
      <c r="C224" s="5" t="n">
        <v>136380</v>
      </c>
      <c r="D224" s="5" t="n">
        <v>46790</v>
      </c>
      <c r="E224" s="5" t="n">
        <v>8618</v>
      </c>
      <c r="F224" s="5" t="n">
        <v>69</v>
      </c>
      <c r="G224" s="5" t="n">
        <v>8096</v>
      </c>
      <c r="H224" s="5" t="n">
        <v>199953</v>
      </c>
      <c r="I224" s="9" t="n">
        <f aca="false">IF(H224=0,0,C224/H224)</f>
        <v>0.682060284166779</v>
      </c>
      <c r="J224" s="9" t="n">
        <f aca="false">IF(H224=0,0,D224/H224)</f>
        <v>0.234004991172926</v>
      </c>
      <c r="K224" s="9" t="n">
        <f aca="false">IF(H224=0,0,E224/H224)</f>
        <v>0.0431001285302046</v>
      </c>
      <c r="L224" s="9" t="n">
        <f aca="false">IF(H224=0,0,G224/H224)</f>
        <v>0.0404895150360335</v>
      </c>
      <c r="M224" s="4" t="str">
        <f aca="false">INDEX($C$3:$E$3,MATCH(MAX(C224:E224),C224:E224,0))</f>
        <v>Sigamos Haciendo Historia (PVEM-PT-Morena)</v>
      </c>
      <c r="N224" s="18" t="n">
        <f aca="false">IF(H224=0,0,(MAX(C224:E224)-LARGE(C224:E224,2))/H224*100)</f>
        <v>44.8055292993854</v>
      </c>
    </row>
    <row r="225" customFormat="false" ht="15" hidden="false" customHeight="false" outlineLevel="0" collapsed="false">
      <c r="A225" s="4" t="s">
        <v>74</v>
      </c>
      <c r="B225" s="4" t="n">
        <v>15</v>
      </c>
      <c r="C225" s="5" t="n">
        <v>133532</v>
      </c>
      <c r="D225" s="5" t="n">
        <v>34854</v>
      </c>
      <c r="E225" s="5" t="n">
        <v>14953</v>
      </c>
      <c r="F225" s="5" t="n">
        <v>116</v>
      </c>
      <c r="G225" s="5" t="n">
        <v>8139</v>
      </c>
      <c r="H225" s="5" t="n">
        <v>191594</v>
      </c>
      <c r="I225" s="9" t="n">
        <f aca="false">IF(H225=0,0,C225/H225)</f>
        <v>0.6969529317202</v>
      </c>
      <c r="J225" s="9" t="n">
        <f aca="false">IF(H225=0,0,D225/H225)</f>
        <v>0.181915926386004</v>
      </c>
      <c r="K225" s="9" t="n">
        <f aca="false">IF(H225=0,0,E225/H225)</f>
        <v>0.0780452415002558</v>
      </c>
      <c r="L225" s="9" t="n">
        <f aca="false">IF(H225=0,0,G225/H225)</f>
        <v>0.0424804534588766</v>
      </c>
      <c r="M225" s="4" t="str">
        <f aca="false">INDEX($C$3:$E$3,MATCH(MAX(C225:E225),C225:E225,0))</f>
        <v>Sigamos Haciendo Historia (PVEM-PT-Morena)</v>
      </c>
      <c r="N225" s="18" t="n">
        <f aca="false">IF(H225=0,0,(MAX(C225:E225)-LARGE(C225:E225,2))/H225*100)</f>
        <v>51.5037005334196</v>
      </c>
    </row>
    <row r="226" customFormat="false" ht="15" hidden="false" customHeight="false" outlineLevel="0" collapsed="false">
      <c r="A226" s="4" t="s">
        <v>74</v>
      </c>
      <c r="B226" s="4" t="n">
        <v>16</v>
      </c>
      <c r="C226" s="5" t="n">
        <v>133155</v>
      </c>
      <c r="D226" s="5" t="n">
        <v>55846</v>
      </c>
      <c r="E226" s="5" t="n">
        <v>10471</v>
      </c>
      <c r="F226" s="5" t="n">
        <v>110</v>
      </c>
      <c r="G226" s="5" t="n">
        <v>13948</v>
      </c>
      <c r="H226" s="5" t="n">
        <v>213530</v>
      </c>
      <c r="I226" s="9" t="n">
        <f aca="false">IF(H226=0,0,C226/H226)</f>
        <v>0.623589191214349</v>
      </c>
      <c r="J226" s="9" t="n">
        <f aca="false">IF(H226=0,0,D226/H226)</f>
        <v>0.261537020559172</v>
      </c>
      <c r="K226" s="9" t="n">
        <f aca="false">IF(H226=0,0,E226/H226)</f>
        <v>0.0490376059570084</v>
      </c>
      <c r="L226" s="9" t="n">
        <f aca="false">IF(H226=0,0,G226/H226)</f>
        <v>0.0653210321734651</v>
      </c>
      <c r="M226" s="4" t="str">
        <f aca="false">INDEX($C$3:$E$3,MATCH(MAX(C226:E226),C226:E226,0))</f>
        <v>Sigamos Haciendo Historia (PVEM-PT-Morena)</v>
      </c>
      <c r="N226" s="18" t="n">
        <f aca="false">IF(H226=0,0,(MAX(C226:E226)-LARGE(C226:E226,2))/H226*100)</f>
        <v>36.2052170655177</v>
      </c>
    </row>
    <row r="227" customFormat="false" ht="15" hidden="false" customHeight="false" outlineLevel="0" collapsed="false">
      <c r="A227" s="4" t="s">
        <v>75</v>
      </c>
      <c r="B227" s="4" t="n">
        <v>1</v>
      </c>
      <c r="C227" s="5" t="n">
        <v>108327</v>
      </c>
      <c r="D227" s="5" t="n">
        <v>77007</v>
      </c>
      <c r="E227" s="5" t="n">
        <v>14798</v>
      </c>
      <c r="F227" s="5" t="n">
        <v>128</v>
      </c>
      <c r="G227" s="5" t="n">
        <v>13225</v>
      </c>
      <c r="H227" s="5" t="n">
        <v>213485</v>
      </c>
      <c r="I227" s="9" t="n">
        <f aca="false">IF(H227=0,0,C227/H227)</f>
        <v>0.507422067124154</v>
      </c>
      <c r="J227" s="9" t="n">
        <f aca="false">IF(H227=0,0,D227/H227)</f>
        <v>0.360713867484835</v>
      </c>
      <c r="K227" s="9" t="n">
        <f aca="false">IF(H227=0,0,E227/H227)</f>
        <v>0.0693163454106846</v>
      </c>
      <c r="L227" s="9" t="n">
        <f aca="false">IF(H227=0,0,G227/H227)</f>
        <v>0.0619481462397827</v>
      </c>
      <c r="M227" s="4" t="str">
        <f aca="false">INDEX($C$3:$E$3,MATCH(MAX(C227:E227),C227:E227,0))</f>
        <v>Sigamos Haciendo Historia (PVEM-PT-Morena)</v>
      </c>
      <c r="N227" s="18" t="n">
        <f aca="false">IF(H227=0,0,(MAX(C227:E227)-LARGE(C227:E227,2))/H227*100)</f>
        <v>14.6708199639319</v>
      </c>
    </row>
    <row r="228" customFormat="false" ht="15" hidden="false" customHeight="false" outlineLevel="0" collapsed="false">
      <c r="A228" s="4" t="s">
        <v>75</v>
      </c>
      <c r="B228" s="4" t="n">
        <v>2</v>
      </c>
      <c r="C228" s="5" t="n">
        <v>84339</v>
      </c>
      <c r="D228" s="5" t="n">
        <v>68181</v>
      </c>
      <c r="E228" s="5" t="n">
        <v>13865</v>
      </c>
      <c r="F228" s="5" t="n">
        <v>186</v>
      </c>
      <c r="G228" s="5" t="n">
        <v>11021</v>
      </c>
      <c r="H228" s="5" t="n">
        <v>177592</v>
      </c>
      <c r="I228" s="9" t="n">
        <f aca="false">IF(H228=0,0,C228/H228)</f>
        <v>0.474903148790486</v>
      </c>
      <c r="J228" s="9" t="n">
        <f aca="false">IF(H228=0,0,D228/H228)</f>
        <v>0.383919320690121</v>
      </c>
      <c r="K228" s="9" t="n">
        <f aca="false">IF(H228=0,0,E228/H228)</f>
        <v>0.0780722104599306</v>
      </c>
      <c r="L228" s="9" t="n">
        <f aca="false">IF(H228=0,0,G228/H228)</f>
        <v>0.0620579755844858</v>
      </c>
      <c r="M228" s="4" t="str">
        <f aca="false">INDEX($C$3:$E$3,MATCH(MAX(C228:E228),C228:E228,0))</f>
        <v>Sigamos Haciendo Historia (PVEM-PT-Morena)</v>
      </c>
      <c r="N228" s="18" t="n">
        <f aca="false">IF(H228=0,0,(MAX(C228:E228)-LARGE(C228:E228,2))/H228*100)</f>
        <v>9.09838281003649</v>
      </c>
    </row>
    <row r="229" customFormat="false" ht="15" hidden="false" customHeight="false" outlineLevel="0" collapsed="false">
      <c r="A229" s="4" t="s">
        <v>75</v>
      </c>
      <c r="B229" s="4" t="n">
        <v>3</v>
      </c>
      <c r="C229" s="5" t="n">
        <v>94999</v>
      </c>
      <c r="D229" s="5" t="n">
        <v>103669</v>
      </c>
      <c r="E229" s="5" t="n">
        <v>14725</v>
      </c>
      <c r="F229" s="5" t="n">
        <v>234</v>
      </c>
      <c r="G229" s="5" t="n">
        <v>10858</v>
      </c>
      <c r="H229" s="5" t="n">
        <v>224485</v>
      </c>
      <c r="I229" s="9" t="n">
        <f aca="false">IF(H229=0,0,C229/H229)</f>
        <v>0.423186404436822</v>
      </c>
      <c r="J229" s="9" t="n">
        <f aca="false">IF(H229=0,0,D229/H229)</f>
        <v>0.461808138628416</v>
      </c>
      <c r="K229" s="9" t="n">
        <f aca="false">IF(H229=0,0,E229/H229)</f>
        <v>0.0655945831570038</v>
      </c>
      <c r="L229" s="9" t="n">
        <f aca="false">IF(H229=0,0,G229/H229)</f>
        <v>0.0483684878722409</v>
      </c>
      <c r="M229" s="4" t="str">
        <f aca="false">INDEX($C$3:$E$3,MATCH(MAX(C229:E229),C229:E229,0))</f>
        <v>Fuerza y Corazón por México (PAN-PRI-PRD)</v>
      </c>
      <c r="N229" s="18" t="n">
        <f aca="false">IF(H229=0,0,(MAX(C229:E229)-LARGE(C229:E229,2))/H229*100)</f>
        <v>3.86217341915941</v>
      </c>
    </row>
    <row r="230" customFormat="false" ht="15" hidden="false" customHeight="false" outlineLevel="0" collapsed="false">
      <c r="A230" s="4" t="s">
        <v>75</v>
      </c>
      <c r="B230" s="4" t="n">
        <v>4</v>
      </c>
      <c r="C230" s="5" t="n">
        <v>82571</v>
      </c>
      <c r="D230" s="5" t="n">
        <v>138611</v>
      </c>
      <c r="E230" s="5" t="n">
        <v>13673</v>
      </c>
      <c r="F230" s="5" t="n">
        <v>213</v>
      </c>
      <c r="G230" s="5" t="n">
        <v>9306</v>
      </c>
      <c r="H230" s="5" t="n">
        <v>244374</v>
      </c>
      <c r="I230" s="9" t="n">
        <f aca="false">IF(H230=0,0,C230/H230)</f>
        <v>0.337887827673975</v>
      </c>
      <c r="J230" s="9" t="n">
        <f aca="false">IF(H230=0,0,D230/H230)</f>
        <v>0.56720845916505</v>
      </c>
      <c r="K230" s="9" t="n">
        <f aca="false">IF(H230=0,0,E230/H230)</f>
        <v>0.0559511240966715</v>
      </c>
      <c r="L230" s="9" t="n">
        <f aca="false">IF(H230=0,0,G230/H230)</f>
        <v>0.0380809742443959</v>
      </c>
      <c r="M230" s="4" t="str">
        <f aca="false">INDEX($C$3:$E$3,MATCH(MAX(C230:E230),C230:E230,0))</f>
        <v>Fuerza y Corazón por México (PAN-PRI-PRD)</v>
      </c>
      <c r="N230" s="18" t="n">
        <f aca="false">IF(H230=0,0,(MAX(C230:E230)-LARGE(C230:E230,2))/H230*100)</f>
        <v>22.9320631491075</v>
      </c>
    </row>
    <row r="231" customFormat="false" ht="15" hidden="false" customHeight="false" outlineLevel="0" collapsed="false">
      <c r="A231" s="4" t="s">
        <v>75</v>
      </c>
      <c r="B231" s="4" t="n">
        <v>5</v>
      </c>
      <c r="C231" s="5" t="n">
        <v>75642</v>
      </c>
      <c r="D231" s="5" t="n">
        <v>80146</v>
      </c>
      <c r="E231" s="5" t="n">
        <v>8725</v>
      </c>
      <c r="F231" s="5" t="n">
        <v>113</v>
      </c>
      <c r="G231" s="5" t="n">
        <v>7957</v>
      </c>
      <c r="H231" s="5" t="n">
        <v>172583</v>
      </c>
      <c r="I231" s="9" t="n">
        <f aca="false">IF(H231=0,0,C231/H231)</f>
        <v>0.438293458799534</v>
      </c>
      <c r="J231" s="9" t="n">
        <f aca="false">IF(H231=0,0,D231/H231)</f>
        <v>0.46439104662684</v>
      </c>
      <c r="K231" s="9" t="n">
        <f aca="false">IF(H231=0,0,E231/H231)</f>
        <v>0.0505553849452148</v>
      </c>
      <c r="L231" s="9" t="n">
        <f aca="false">IF(H231=0,0,G231/H231)</f>
        <v>0.0461053522073437</v>
      </c>
      <c r="M231" s="4" t="str">
        <f aca="false">INDEX($C$3:$E$3,MATCH(MAX(C231:E231),C231:E231,0))</f>
        <v>Fuerza y Corazón por México (PAN-PRI-PRD)</v>
      </c>
      <c r="N231" s="18" t="n">
        <f aca="false">IF(H231=0,0,(MAX(C231:E231)-LARGE(C231:E231,2))/H231*100)</f>
        <v>2.60975878273063</v>
      </c>
    </row>
    <row r="232" customFormat="false" ht="15" hidden="false" customHeight="false" outlineLevel="0" collapsed="false">
      <c r="A232" s="4" t="s">
        <v>75</v>
      </c>
      <c r="B232" s="4" t="n">
        <v>6</v>
      </c>
      <c r="C232" s="5" t="n">
        <v>84976</v>
      </c>
      <c r="D232" s="5" t="n">
        <v>73119</v>
      </c>
      <c r="E232" s="5" t="n">
        <v>11678</v>
      </c>
      <c r="F232" s="5" t="n">
        <v>191</v>
      </c>
      <c r="G232" s="5" t="n">
        <v>9074</v>
      </c>
      <c r="H232" s="5" t="n">
        <v>179038</v>
      </c>
      <c r="I232" s="9" t="n">
        <f aca="false">IF(H232=0,0,C232/H232)</f>
        <v>0.474625498497526</v>
      </c>
      <c r="J232" s="9" t="n">
        <f aca="false">IF(H232=0,0,D232/H232)</f>
        <v>0.408399334219551</v>
      </c>
      <c r="K232" s="9" t="n">
        <f aca="false">IF(H232=0,0,E232/H232)</f>
        <v>0.0652263765234196</v>
      </c>
      <c r="L232" s="9" t="n">
        <f aca="false">IF(H232=0,0,G232/H232)</f>
        <v>0.0506819781275483</v>
      </c>
      <c r="M232" s="4" t="str">
        <f aca="false">INDEX($C$3:$E$3,MATCH(MAX(C232:E232),C232:E232,0))</f>
        <v>Sigamos Haciendo Historia (PVEM-PT-Morena)</v>
      </c>
      <c r="N232" s="18" t="n">
        <f aca="false">IF(H232=0,0,(MAX(C232:E232)-LARGE(C232:E232,2))/H232*100)</f>
        <v>6.62261642779745</v>
      </c>
    </row>
    <row r="233" customFormat="false" ht="15" hidden="false" customHeight="false" outlineLevel="0" collapsed="false">
      <c r="A233" s="4" t="s">
        <v>76</v>
      </c>
      <c r="B233" s="4" t="n">
        <v>1</v>
      </c>
      <c r="C233" s="5" t="n">
        <v>141445</v>
      </c>
      <c r="D233" s="5" t="n">
        <v>50126</v>
      </c>
      <c r="E233" s="5" t="n">
        <v>15516</v>
      </c>
      <c r="F233" s="5" t="n">
        <v>203</v>
      </c>
      <c r="G233" s="5" t="n">
        <v>7722</v>
      </c>
      <c r="H233" s="5" t="n">
        <v>215012</v>
      </c>
      <c r="I233" s="9" t="n">
        <f aca="false">IF(H233=0,0,C233/H233)</f>
        <v>0.657847003888155</v>
      </c>
      <c r="J233" s="9" t="n">
        <f aca="false">IF(H233=0,0,D233/H233)</f>
        <v>0.233131174074005</v>
      </c>
      <c r="K233" s="9" t="n">
        <f aca="false">IF(H233=0,0,E233/H233)</f>
        <v>0.072163414135025</v>
      </c>
      <c r="L233" s="9" t="n">
        <f aca="false">IF(H233=0,0,G233/H233)</f>
        <v>0.035914274552118</v>
      </c>
      <c r="M233" s="4" t="str">
        <f aca="false">INDEX($C$3:$E$3,MATCH(MAX(C233:E233),C233:E233,0))</f>
        <v>Sigamos Haciendo Historia (PVEM-PT-Morena)</v>
      </c>
      <c r="N233" s="18" t="n">
        <f aca="false">IF(H233=0,0,(MAX(C233:E233)-LARGE(C233:E233,2))/H233*100)</f>
        <v>42.471582981415</v>
      </c>
    </row>
    <row r="234" customFormat="false" ht="15" hidden="false" customHeight="false" outlineLevel="0" collapsed="false">
      <c r="A234" s="4" t="s">
        <v>76</v>
      </c>
      <c r="B234" s="4" t="n">
        <v>2</v>
      </c>
      <c r="C234" s="5" t="n">
        <v>148002</v>
      </c>
      <c r="D234" s="5" t="n">
        <v>28989</v>
      </c>
      <c r="E234" s="5" t="n">
        <v>33573</v>
      </c>
      <c r="F234" s="5" t="n">
        <v>180</v>
      </c>
      <c r="G234" s="5" t="n">
        <v>9078</v>
      </c>
      <c r="H234" s="5" t="n">
        <v>219822</v>
      </c>
      <c r="I234" s="9" t="n">
        <f aca="false">IF(H234=0,0,C234/H234)</f>
        <v>0.67328110926113</v>
      </c>
      <c r="J234" s="9" t="n">
        <f aca="false">IF(H234=0,0,D234/H234)</f>
        <v>0.131874880585201</v>
      </c>
      <c r="K234" s="9" t="n">
        <f aca="false">IF(H234=0,0,E234/H234)</f>
        <v>0.152728116385075</v>
      </c>
      <c r="L234" s="9" t="n">
        <f aca="false">IF(H234=0,0,G234/H234)</f>
        <v>0.0412970494309032</v>
      </c>
      <c r="M234" s="4" t="str">
        <f aca="false">INDEX($C$3:$E$3,MATCH(MAX(C234:E234),C234:E234,0))</f>
        <v>Sigamos Haciendo Historia (PVEM-PT-Morena)</v>
      </c>
      <c r="N234" s="18" t="n">
        <f aca="false">IF(H234=0,0,(MAX(C234:E234)-LARGE(C234:E234,2))/H234*100)</f>
        <v>52.0552992876054</v>
      </c>
    </row>
    <row r="235" customFormat="false" ht="15" hidden="false" customHeight="false" outlineLevel="0" collapsed="false">
      <c r="A235" s="4" t="s">
        <v>76</v>
      </c>
      <c r="B235" s="4" t="n">
        <v>3</v>
      </c>
      <c r="C235" s="5" t="n">
        <v>160969</v>
      </c>
      <c r="D235" s="5" t="n">
        <v>27265</v>
      </c>
      <c r="E235" s="5" t="n">
        <v>17867</v>
      </c>
      <c r="F235" s="5" t="n">
        <v>234</v>
      </c>
      <c r="G235" s="5" t="n">
        <v>6692</v>
      </c>
      <c r="H235" s="5" t="n">
        <v>213027</v>
      </c>
      <c r="I235" s="9" t="n">
        <f aca="false">IF(H235=0,0,C235/H235)</f>
        <v>0.755627220962601</v>
      </c>
      <c r="J235" s="9" t="n">
        <f aca="false">IF(H235=0,0,D235/H235)</f>
        <v>0.127988470944998</v>
      </c>
      <c r="K235" s="9" t="n">
        <f aca="false">IF(H235=0,0,E235/H235)</f>
        <v>0.0838719974463331</v>
      </c>
      <c r="L235" s="9" t="n">
        <f aca="false">IF(H235=0,0,G235/H235)</f>
        <v>0.0314138583372061</v>
      </c>
      <c r="M235" s="4" t="str">
        <f aca="false">INDEX($C$3:$E$3,MATCH(MAX(C235:E235),C235:E235,0))</f>
        <v>Sigamos Haciendo Historia (PVEM-PT-Morena)</v>
      </c>
      <c r="N235" s="18" t="n">
        <f aca="false">IF(H235=0,0,(MAX(C235:E235)-LARGE(C235:E235,2))/H235*100)</f>
        <v>62.7638750017603</v>
      </c>
    </row>
    <row r="236" customFormat="false" ht="15" hidden="false" customHeight="false" outlineLevel="0" collapsed="false">
      <c r="A236" s="4" t="s">
        <v>76</v>
      </c>
      <c r="B236" s="4" t="n">
        <v>4</v>
      </c>
      <c r="C236" s="5" t="n">
        <v>110836</v>
      </c>
      <c r="D236" s="5" t="n">
        <v>45157</v>
      </c>
      <c r="E236" s="5" t="n">
        <v>16114</v>
      </c>
      <c r="F236" s="5" t="n">
        <v>222</v>
      </c>
      <c r="G236" s="5" t="n">
        <v>4393</v>
      </c>
      <c r="H236" s="5" t="n">
        <v>176722</v>
      </c>
      <c r="I236" s="9" t="n">
        <f aca="false">IF(H236=0,0,C236/H236)</f>
        <v>0.627177148289404</v>
      </c>
      <c r="J236" s="9" t="n">
        <f aca="false">IF(H236=0,0,D236/H236)</f>
        <v>0.255525627822229</v>
      </c>
      <c r="K236" s="9" t="n">
        <f aca="false">IF(H236=0,0,E236/H236)</f>
        <v>0.0911827616256041</v>
      </c>
      <c r="L236" s="9" t="n">
        <f aca="false">IF(H236=0,0,G236/H236)</f>
        <v>0.0248582519437308</v>
      </c>
      <c r="M236" s="4" t="str">
        <f aca="false">INDEX($C$3:$E$3,MATCH(MAX(C236:E236),C236:E236,0))</f>
        <v>Sigamos Haciendo Historia (PVEM-PT-Morena)</v>
      </c>
      <c r="N236" s="18" t="n">
        <f aca="false">IF(H236=0,0,(MAX(C236:E236)-LARGE(C236:E236,2))/H236*100)</f>
        <v>37.1651520467174</v>
      </c>
    </row>
    <row r="237" customFormat="false" ht="15" hidden="false" customHeight="false" outlineLevel="0" collapsed="false">
      <c r="A237" s="4" t="s">
        <v>77</v>
      </c>
      <c r="B237" s="4" t="n">
        <v>1</v>
      </c>
      <c r="C237" s="5" t="n">
        <v>114282</v>
      </c>
      <c r="D237" s="5" t="n">
        <v>34755</v>
      </c>
      <c r="E237" s="5" t="n">
        <v>19267</v>
      </c>
      <c r="F237" s="5" t="n">
        <v>87</v>
      </c>
      <c r="G237" s="5" t="n">
        <v>15597</v>
      </c>
      <c r="H237" s="5" t="n">
        <v>183988</v>
      </c>
      <c r="I237" s="9" t="n">
        <f aca="false">IF(H237=0,0,C237/H237)</f>
        <v>0.621138335108811</v>
      </c>
      <c r="J237" s="9" t="n">
        <f aca="false">IF(H237=0,0,D237/H237)</f>
        <v>0.188898189012327</v>
      </c>
      <c r="K237" s="9" t="n">
        <f aca="false">IF(H237=0,0,E237/H237)</f>
        <v>0.104718786007783</v>
      </c>
      <c r="L237" s="9" t="n">
        <f aca="false">IF(H237=0,0,G237/H237)</f>
        <v>0.0847718329456269</v>
      </c>
      <c r="M237" s="4" t="str">
        <f aca="false">INDEX($C$3:$E$3,MATCH(MAX(C237:E237),C237:E237,0))</f>
        <v>Sigamos Haciendo Historia (PVEM-PT-Morena)</v>
      </c>
      <c r="N237" s="18" t="n">
        <f aca="false">IF(H237=0,0,(MAX(C237:E237)-LARGE(C237:E237,2))/H237*100)</f>
        <v>43.2240146096485</v>
      </c>
    </row>
    <row r="238" customFormat="false" ht="15" hidden="false" customHeight="false" outlineLevel="0" collapsed="false">
      <c r="A238" s="4" t="s">
        <v>77</v>
      </c>
      <c r="B238" s="4" t="n">
        <v>2</v>
      </c>
      <c r="C238" s="5" t="n">
        <v>109385</v>
      </c>
      <c r="D238" s="5" t="n">
        <v>32483</v>
      </c>
      <c r="E238" s="5" t="n">
        <v>12196</v>
      </c>
      <c r="F238" s="5" t="n">
        <v>122</v>
      </c>
      <c r="G238" s="5" t="n">
        <v>8481</v>
      </c>
      <c r="H238" s="5" t="n">
        <v>162667</v>
      </c>
      <c r="I238" s="9" t="n">
        <f aca="false">IF(H238=0,0,C238/H238)</f>
        <v>0.672447392525835</v>
      </c>
      <c r="J238" s="9" t="n">
        <f aca="false">IF(H238=0,0,D238/H238)</f>
        <v>0.199690164569335</v>
      </c>
      <c r="K238" s="9" t="n">
        <f aca="false">IF(H238=0,0,E238/H238)</f>
        <v>0.0749752561982455</v>
      </c>
      <c r="L238" s="9" t="n">
        <f aca="false">IF(H238=0,0,G238/H238)</f>
        <v>0.0521371882434667</v>
      </c>
      <c r="M238" s="4" t="str">
        <f aca="false">INDEX($C$3:$E$3,MATCH(MAX(C238:E238),C238:E238,0))</f>
        <v>Sigamos Haciendo Historia (PVEM-PT-Morena)</v>
      </c>
      <c r="N238" s="18" t="n">
        <f aca="false">IF(H238=0,0,(MAX(C238:E238)-LARGE(C238:E238,2))/H238*100)</f>
        <v>47.27572279565</v>
      </c>
    </row>
    <row r="239" customFormat="false" ht="15" hidden="false" customHeight="false" outlineLevel="0" collapsed="false">
      <c r="A239" s="4" t="s">
        <v>77</v>
      </c>
      <c r="B239" s="4" t="n">
        <v>3</v>
      </c>
      <c r="C239" s="5" t="n">
        <v>111131</v>
      </c>
      <c r="D239" s="5" t="n">
        <v>38198</v>
      </c>
      <c r="E239" s="5" t="n">
        <v>13903</v>
      </c>
      <c r="F239" s="5" t="n">
        <v>244</v>
      </c>
      <c r="G239" s="5" t="n">
        <v>13105</v>
      </c>
      <c r="H239" s="5" t="n">
        <v>176581</v>
      </c>
      <c r="I239" s="9" t="n">
        <f aca="false">IF(H239=0,0,C239/H239)</f>
        <v>0.6293485709108</v>
      </c>
      <c r="J239" s="9" t="n">
        <f aca="false">IF(H239=0,0,D239/H239)</f>
        <v>0.216319989126803</v>
      </c>
      <c r="K239" s="9" t="n">
        <f aca="false">IF(H239=0,0,E239/H239)</f>
        <v>0.0787344051738296</v>
      </c>
      <c r="L239" s="9" t="n">
        <f aca="false">IF(H239=0,0,G239/H239)</f>
        <v>0.0742152326694265</v>
      </c>
      <c r="M239" s="4" t="str">
        <f aca="false">INDEX($C$3:$E$3,MATCH(MAX(C239:E239),C239:E239,0))</f>
        <v>Sigamos Haciendo Historia (PVEM-PT-Morena)</v>
      </c>
      <c r="N239" s="18" t="n">
        <f aca="false">IF(H239=0,0,(MAX(C239:E239)-LARGE(C239:E239,2))/H239*100)</f>
        <v>41.3028581783997</v>
      </c>
    </row>
    <row r="240" customFormat="false" ht="15" hidden="false" customHeight="false" outlineLevel="0" collapsed="false">
      <c r="A240" s="4" t="s">
        <v>77</v>
      </c>
      <c r="B240" s="4" t="n">
        <v>4</v>
      </c>
      <c r="C240" s="5" t="n">
        <v>130850</v>
      </c>
      <c r="D240" s="5" t="n">
        <v>47807</v>
      </c>
      <c r="E240" s="5" t="n">
        <v>11519</v>
      </c>
      <c r="F240" s="5" t="n">
        <v>134</v>
      </c>
      <c r="G240" s="5" t="n">
        <v>15514</v>
      </c>
      <c r="H240" s="5" t="n">
        <v>205824</v>
      </c>
      <c r="I240" s="9" t="n">
        <f aca="false">IF(H240=0,0,C240/H240)</f>
        <v>0.6357373289801</v>
      </c>
      <c r="J240" s="9" t="n">
        <f aca="false">IF(H240=0,0,D240/H240)</f>
        <v>0.232271260883085</v>
      </c>
      <c r="K240" s="9" t="n">
        <f aca="false">IF(H240=0,0,E240/H240)</f>
        <v>0.0559652907338308</v>
      </c>
      <c r="L240" s="9" t="n">
        <f aca="false">IF(H240=0,0,G240/H240)</f>
        <v>0.0753750777363184</v>
      </c>
      <c r="M240" s="4" t="str">
        <f aca="false">INDEX($C$3:$E$3,MATCH(MAX(C240:E240),C240:E240,0))</f>
        <v>Sigamos Haciendo Historia (PVEM-PT-Morena)</v>
      </c>
      <c r="N240" s="18" t="n">
        <f aca="false">IF(H240=0,0,(MAX(C240:E240)-LARGE(C240:E240,2))/H240*100)</f>
        <v>40.3466068097015</v>
      </c>
    </row>
    <row r="241" customFormat="false" ht="15" hidden="false" customHeight="false" outlineLevel="0" collapsed="false">
      <c r="A241" s="4" t="s">
        <v>77</v>
      </c>
      <c r="B241" s="4" t="n">
        <v>5</v>
      </c>
      <c r="C241" s="5" t="n">
        <v>97541</v>
      </c>
      <c r="D241" s="5" t="n">
        <v>97612</v>
      </c>
      <c r="E241" s="5" t="n">
        <v>15303</v>
      </c>
      <c r="F241" s="5" t="n">
        <v>219</v>
      </c>
      <c r="G241" s="5" t="n">
        <v>9743</v>
      </c>
      <c r="H241" s="5" t="n">
        <v>220418</v>
      </c>
      <c r="I241" s="9" t="n">
        <f aca="false">IF(H241=0,0,C241/H241)</f>
        <v>0.442527379796568</v>
      </c>
      <c r="J241" s="9" t="n">
        <f aca="false">IF(H241=0,0,D241/H241)</f>
        <v>0.442849495050314</v>
      </c>
      <c r="K241" s="9" t="n">
        <f aca="false">IF(H241=0,0,E241/H241)</f>
        <v>0.0694271792684808</v>
      </c>
      <c r="L241" s="9" t="n">
        <f aca="false">IF(H241=0,0,G241/H241)</f>
        <v>0.0442023791160432</v>
      </c>
      <c r="M241" s="4" t="str">
        <f aca="false">INDEX($C$3:$E$3,MATCH(MAX(C241:E241),C241:E241,0))</f>
        <v>Fuerza y Corazón por México (PAN-PRI-PRD)</v>
      </c>
      <c r="N241" s="18" t="n">
        <f aca="false">IF(H241=0,0,(MAX(C241:E241)-LARGE(C241:E241,2))/H241*100)</f>
        <v>0.0322115253745157</v>
      </c>
    </row>
    <row r="242" customFormat="false" ht="15" hidden="false" customHeight="false" outlineLevel="0" collapsed="false">
      <c r="A242" s="4" t="s">
        <v>77</v>
      </c>
      <c r="B242" s="4" t="n">
        <v>6</v>
      </c>
      <c r="C242" s="5" t="n">
        <v>119092</v>
      </c>
      <c r="D242" s="5" t="n">
        <v>58627</v>
      </c>
      <c r="E242" s="5" t="n">
        <v>17132</v>
      </c>
      <c r="F242" s="5" t="n">
        <v>215</v>
      </c>
      <c r="G242" s="5" t="n">
        <v>10903</v>
      </c>
      <c r="H242" s="5" t="n">
        <v>205969</v>
      </c>
      <c r="I242" s="9" t="n">
        <f aca="false">IF(H242=0,0,C242/H242)</f>
        <v>0.578203516063097</v>
      </c>
      <c r="J242" s="9" t="n">
        <f aca="false">IF(H242=0,0,D242/H242)</f>
        <v>0.284639921541591</v>
      </c>
      <c r="K242" s="9" t="n">
        <f aca="false">IF(H242=0,0,E242/H242)</f>
        <v>0.0831775655559817</v>
      </c>
      <c r="L242" s="9" t="n">
        <f aca="false">IF(H242=0,0,G242/H242)</f>
        <v>0.0529351504352597</v>
      </c>
      <c r="M242" s="4" t="str">
        <f aca="false">INDEX($C$3:$E$3,MATCH(MAX(C242:E242),C242:E242,0))</f>
        <v>Sigamos Haciendo Historia (PVEM-PT-Morena)</v>
      </c>
      <c r="N242" s="18" t="n">
        <f aca="false">IF(H242=0,0,(MAX(C242:E242)-LARGE(C242:E242,2))/H242*100)</f>
        <v>29.3563594521506</v>
      </c>
    </row>
    <row r="243" customFormat="false" ht="15" hidden="false" customHeight="false" outlineLevel="0" collapsed="false">
      <c r="A243" s="4" t="s">
        <v>77</v>
      </c>
      <c r="B243" s="4" t="n">
        <v>7</v>
      </c>
      <c r="C243" s="5" t="n">
        <v>148393</v>
      </c>
      <c r="D243" s="5" t="n">
        <v>29547</v>
      </c>
      <c r="E243" s="5" t="n">
        <v>11818</v>
      </c>
      <c r="F243" s="5" t="n">
        <v>64</v>
      </c>
      <c r="G243" s="5" t="n">
        <v>15816</v>
      </c>
      <c r="H243" s="5" t="n">
        <v>205638</v>
      </c>
      <c r="I243" s="9" t="n">
        <f aca="false">IF(H243=0,0,C243/H243)</f>
        <v>0.72162246277439</v>
      </c>
      <c r="J243" s="9" t="n">
        <f aca="false">IF(H243=0,0,D243/H243)</f>
        <v>0.143684533014326</v>
      </c>
      <c r="K243" s="9" t="n">
        <f aca="false">IF(H243=0,0,E243/H243)</f>
        <v>0.057469922874177</v>
      </c>
      <c r="L243" s="9" t="n">
        <f aca="false">IF(H243=0,0,G243/H243)</f>
        <v>0.0769118548128264</v>
      </c>
      <c r="M243" s="4" t="str">
        <f aca="false">INDEX($C$3:$E$3,MATCH(MAX(C243:E243),C243:E243,0))</f>
        <v>Sigamos Haciendo Historia (PVEM-PT-Morena)</v>
      </c>
      <c r="N243" s="18" t="n">
        <f aca="false">IF(H243=0,0,(MAX(C243:E243)-LARGE(C243:E243,2))/H243*100)</f>
        <v>57.7937929760064</v>
      </c>
    </row>
    <row r="244" customFormat="false" ht="15" hidden="false" customHeight="false" outlineLevel="0" collapsed="false">
      <c r="A244" s="4" t="s">
        <v>78</v>
      </c>
      <c r="B244" s="4" t="n">
        <v>1</v>
      </c>
      <c r="C244" s="5" t="n">
        <v>118352</v>
      </c>
      <c r="D244" s="5" t="n">
        <v>35723</v>
      </c>
      <c r="E244" s="5" t="n">
        <v>8358</v>
      </c>
      <c r="F244" s="5" t="n">
        <v>99</v>
      </c>
      <c r="G244" s="5" t="n">
        <v>10162</v>
      </c>
      <c r="H244" s="5" t="n">
        <v>172694</v>
      </c>
      <c r="I244" s="9" t="n">
        <f aca="false">IF(H244=0,0,C244/H244)</f>
        <v>0.685327805250906</v>
      </c>
      <c r="J244" s="9" t="n">
        <f aca="false">IF(H244=0,0,D244/H244)</f>
        <v>0.206857215653121</v>
      </c>
      <c r="K244" s="9" t="n">
        <f aca="false">IF(H244=0,0,E244/H244)</f>
        <v>0.0483977439864732</v>
      </c>
      <c r="L244" s="9" t="n">
        <f aca="false">IF(H244=0,0,G244/H244)</f>
        <v>0.0588439667851807</v>
      </c>
      <c r="M244" s="4" t="str">
        <f aca="false">INDEX($C$3:$E$3,MATCH(MAX(C244:E244),C244:E244,0))</f>
        <v>Sigamos Haciendo Historia (PVEM-PT-Morena)</v>
      </c>
      <c r="N244" s="18" t="n">
        <f aca="false">IF(H244=0,0,(MAX(C244:E244)-LARGE(C244:E244,2))/H244*100)</f>
        <v>47.8470589597786</v>
      </c>
    </row>
    <row r="245" customFormat="false" ht="15" hidden="false" customHeight="false" outlineLevel="0" collapsed="false">
      <c r="A245" s="4" t="s">
        <v>78</v>
      </c>
      <c r="B245" s="4" t="n">
        <v>2</v>
      </c>
      <c r="C245" s="5" t="n">
        <v>119877</v>
      </c>
      <c r="D245" s="5" t="n">
        <v>56464</v>
      </c>
      <c r="E245" s="5" t="n">
        <v>16774</v>
      </c>
      <c r="F245" s="5" t="n">
        <v>75</v>
      </c>
      <c r="G245" s="5" t="n">
        <v>10998</v>
      </c>
      <c r="H245" s="5" t="n">
        <v>204188</v>
      </c>
      <c r="I245" s="9" t="n">
        <f aca="false">IF(H245=0,0,C245/H245)</f>
        <v>0.587091308010265</v>
      </c>
      <c r="J245" s="9" t="n">
        <f aca="false">IF(H245=0,0,D245/H245)</f>
        <v>0.276529472838756</v>
      </c>
      <c r="K245" s="9" t="n">
        <f aca="false">IF(H245=0,0,E245/H245)</f>
        <v>0.0821497835328227</v>
      </c>
      <c r="L245" s="9" t="n">
        <f aca="false">IF(H245=0,0,G245/H245)</f>
        <v>0.0538621270593767</v>
      </c>
      <c r="M245" s="4" t="str">
        <f aca="false">INDEX($C$3:$E$3,MATCH(MAX(C245:E245),C245:E245,0))</f>
        <v>Sigamos Haciendo Historia (PVEM-PT-Morena)</v>
      </c>
      <c r="N245" s="18" t="n">
        <f aca="false">IF(H245=0,0,(MAX(C245:E245)-LARGE(C245:E245,2))/H245*100)</f>
        <v>31.0561835171509</v>
      </c>
    </row>
    <row r="246" customFormat="false" ht="15" hidden="false" customHeight="false" outlineLevel="0" collapsed="false">
      <c r="A246" s="4" t="s">
        <v>78</v>
      </c>
      <c r="B246" s="4" t="n">
        <v>3</v>
      </c>
      <c r="C246" s="5" t="n">
        <v>123657</v>
      </c>
      <c r="D246" s="5" t="n">
        <v>47897</v>
      </c>
      <c r="E246" s="5" t="n">
        <v>12262</v>
      </c>
      <c r="F246" s="5" t="n">
        <v>55</v>
      </c>
      <c r="G246" s="5" t="n">
        <v>10989</v>
      </c>
      <c r="H246" s="5" t="n">
        <v>194860</v>
      </c>
      <c r="I246" s="9" t="n">
        <f aca="false">IF(H246=0,0,C246/H246)</f>
        <v>0.634594067535667</v>
      </c>
      <c r="J246" s="9" t="n">
        <f aca="false">IF(H246=0,0,D246/H246)</f>
        <v>0.245802114338499</v>
      </c>
      <c r="K246" s="9" t="n">
        <f aca="false">IF(H246=0,0,E246/H246)</f>
        <v>0.0629272298060146</v>
      </c>
      <c r="L246" s="9" t="n">
        <f aca="false">IF(H246=0,0,G246/H246)</f>
        <v>0.0563943343939238</v>
      </c>
      <c r="M246" s="4" t="str">
        <f aca="false">INDEX($C$3:$E$3,MATCH(MAX(C246:E246),C246:E246,0))</f>
        <v>Sigamos Haciendo Historia (PVEM-PT-Morena)</v>
      </c>
      <c r="N246" s="18" t="n">
        <f aca="false">IF(H246=0,0,(MAX(C246:E246)-LARGE(C246:E246,2))/H246*100)</f>
        <v>38.8791953197167</v>
      </c>
    </row>
    <row r="247" customFormat="false" ht="15" hidden="false" customHeight="false" outlineLevel="0" collapsed="false">
      <c r="A247" s="4" t="s">
        <v>78</v>
      </c>
      <c r="B247" s="4" t="n">
        <v>4</v>
      </c>
      <c r="C247" s="5" t="n">
        <v>126182</v>
      </c>
      <c r="D247" s="5" t="n">
        <v>36454</v>
      </c>
      <c r="E247" s="5" t="n">
        <v>11564</v>
      </c>
      <c r="F247" s="5" t="n">
        <v>41</v>
      </c>
      <c r="G247" s="5" t="n">
        <v>10870</v>
      </c>
      <c r="H247" s="5" t="n">
        <v>185111</v>
      </c>
      <c r="I247" s="9" t="n">
        <f aca="false">IF(H247=0,0,C247/H247)</f>
        <v>0.68165587134206</v>
      </c>
      <c r="J247" s="9" t="n">
        <f aca="false">IF(H247=0,0,D247/H247)</f>
        <v>0.196930490354436</v>
      </c>
      <c r="K247" s="9" t="n">
        <f aca="false">IF(H247=0,0,E247/H247)</f>
        <v>0.0624706257326685</v>
      </c>
      <c r="L247" s="9" t="n">
        <f aca="false">IF(H247=0,0,G247/H247)</f>
        <v>0.0587215238424513</v>
      </c>
      <c r="M247" s="4" t="str">
        <f aca="false">INDEX($C$3:$E$3,MATCH(MAX(C247:E247),C247:E247,0))</f>
        <v>Sigamos Haciendo Historia (PVEM-PT-Morena)</v>
      </c>
      <c r="N247" s="18" t="n">
        <f aca="false">IF(H247=0,0,(MAX(C247:E247)-LARGE(C247:E247,2))/H247*100)</f>
        <v>48.4725380987624</v>
      </c>
    </row>
    <row r="248" customFormat="false" ht="15" hidden="false" customHeight="false" outlineLevel="0" collapsed="false">
      <c r="A248" s="4" t="s">
        <v>78</v>
      </c>
      <c r="B248" s="4" t="n">
        <v>5</v>
      </c>
      <c r="C248" s="5" t="n">
        <v>120743</v>
      </c>
      <c r="D248" s="5" t="n">
        <v>55701</v>
      </c>
      <c r="E248" s="5" t="n">
        <v>13356</v>
      </c>
      <c r="F248" s="5" t="n">
        <v>160</v>
      </c>
      <c r="G248" s="5" t="n">
        <v>8541</v>
      </c>
      <c r="H248" s="5" t="n">
        <v>198501</v>
      </c>
      <c r="I248" s="9" t="n">
        <f aca="false">IF(H248=0,0,C248/H248)</f>
        <v>0.608274013732928</v>
      </c>
      <c r="J248" s="9" t="n">
        <f aca="false">IF(H248=0,0,D248/H248)</f>
        <v>0.280608158145299</v>
      </c>
      <c r="K248" s="9" t="n">
        <f aca="false">IF(H248=0,0,E248/H248)</f>
        <v>0.0672842957969985</v>
      </c>
      <c r="L248" s="9" t="n">
        <f aca="false">IF(H248=0,0,G248/H248)</f>
        <v>0.0430274910453852</v>
      </c>
      <c r="M248" s="4" t="str">
        <f aca="false">INDEX($C$3:$E$3,MATCH(MAX(C248:E248),C248:E248,0))</f>
        <v>Sigamos Haciendo Historia (PVEM-PT-Morena)</v>
      </c>
      <c r="N248" s="18" t="n">
        <f aca="false">IF(H248=0,0,(MAX(C248:E248)-LARGE(C248:E248,2))/H248*100)</f>
        <v>32.7665855587629</v>
      </c>
    </row>
    <row r="249" customFormat="false" ht="15" hidden="false" customHeight="false" outlineLevel="0" collapsed="false">
      <c r="A249" s="4" t="s">
        <v>78</v>
      </c>
      <c r="B249" s="4" t="n">
        <v>6</v>
      </c>
      <c r="C249" s="5" t="n">
        <v>117649</v>
      </c>
      <c r="D249" s="5" t="n">
        <v>54960</v>
      </c>
      <c r="E249" s="5" t="n">
        <v>12750</v>
      </c>
      <c r="F249" s="5" t="n">
        <v>132</v>
      </c>
      <c r="G249" s="5" t="n">
        <v>10121</v>
      </c>
      <c r="H249" s="5" t="n">
        <v>195612</v>
      </c>
      <c r="I249" s="9" t="n">
        <f aca="false">IF(H249=0,0,C249/H249)</f>
        <v>0.601440606915731</v>
      </c>
      <c r="J249" s="9" t="n">
        <f aca="false">IF(H249=0,0,D249/H249)</f>
        <v>0.280964358014846</v>
      </c>
      <c r="K249" s="9" t="n">
        <f aca="false">IF(H249=0,0,E249/H249)</f>
        <v>0.0651800503036624</v>
      </c>
      <c r="L249" s="9" t="n">
        <f aca="false">IF(H249=0,0,G249/H249)</f>
        <v>0.0517401795390876</v>
      </c>
      <c r="M249" s="4" t="str">
        <f aca="false">INDEX($C$3:$E$3,MATCH(MAX(C249:E249),C249:E249,0))</f>
        <v>Sigamos Haciendo Historia (PVEM-PT-Morena)</v>
      </c>
      <c r="N249" s="18" t="n">
        <f aca="false">IF(H249=0,0,(MAX(C249:E249)-LARGE(C249:E249,2))/H249*100)</f>
        <v>32.0476248900885</v>
      </c>
    </row>
    <row r="250" customFormat="false" ht="15" hidden="false" customHeight="false" outlineLevel="0" collapsed="false">
      <c r="A250" s="4" t="s">
        <v>78</v>
      </c>
      <c r="B250" s="4" t="n">
        <v>7</v>
      </c>
      <c r="C250" s="5" t="n">
        <v>108722</v>
      </c>
      <c r="D250" s="5" t="n">
        <v>47491</v>
      </c>
      <c r="E250" s="5" t="n">
        <v>10697</v>
      </c>
      <c r="F250" s="5" t="n">
        <v>86</v>
      </c>
      <c r="G250" s="5" t="n">
        <v>9395</v>
      </c>
      <c r="H250" s="5" t="n">
        <v>176391</v>
      </c>
      <c r="I250" s="9" t="n">
        <f aca="false">IF(H250=0,0,C250/H250)</f>
        <v>0.616369315894802</v>
      </c>
      <c r="J250" s="9" t="n">
        <f aca="false">IF(H250=0,0,D250/H250)</f>
        <v>0.269237092595427</v>
      </c>
      <c r="K250" s="9" t="n">
        <f aca="false">IF(H250=0,0,E250/H250)</f>
        <v>0.0606436836346526</v>
      </c>
      <c r="L250" s="9" t="n">
        <f aca="false">IF(H250=0,0,G250/H250)</f>
        <v>0.0532623546552829</v>
      </c>
      <c r="M250" s="4" t="str">
        <f aca="false">INDEX($C$3:$E$3,MATCH(MAX(C250:E250),C250:E250,0))</f>
        <v>Sigamos Haciendo Historia (PVEM-PT-Morena)</v>
      </c>
      <c r="N250" s="18" t="n">
        <f aca="false">IF(H250=0,0,(MAX(C250:E250)-LARGE(C250:E250,2))/H250*100)</f>
        <v>34.7132223299375</v>
      </c>
    </row>
    <row r="251" customFormat="false" ht="15" hidden="false" customHeight="false" outlineLevel="0" collapsed="false">
      <c r="A251" s="4" t="s">
        <v>79</v>
      </c>
      <c r="B251" s="4" t="n">
        <v>1</v>
      </c>
      <c r="C251" s="5" t="n">
        <v>79710</v>
      </c>
      <c r="D251" s="5" t="n">
        <v>39451</v>
      </c>
      <c r="E251" s="5" t="n">
        <v>18507</v>
      </c>
      <c r="F251" s="5" t="n">
        <v>103</v>
      </c>
      <c r="G251" s="5" t="n">
        <v>8515</v>
      </c>
      <c r="H251" s="5" t="n">
        <v>146286</v>
      </c>
      <c r="I251" s="9" t="n">
        <f aca="false">IF(H251=0,0,C251/H251)</f>
        <v>0.544891513883762</v>
      </c>
      <c r="J251" s="9" t="n">
        <f aca="false">IF(H251=0,0,D251/H251)</f>
        <v>0.269684043585852</v>
      </c>
      <c r="K251" s="9" t="n">
        <f aca="false">IF(H251=0,0,E251/H251)</f>
        <v>0.126512448217875</v>
      </c>
      <c r="L251" s="9" t="n">
        <f aca="false">IF(H251=0,0,G251/H251)</f>
        <v>0.0582078941252068</v>
      </c>
      <c r="M251" s="4" t="str">
        <f aca="false">INDEX($C$3:$E$3,MATCH(MAX(C251:E251),C251:E251,0))</f>
        <v>Sigamos Haciendo Historia (PVEM-PT-Morena)</v>
      </c>
      <c r="N251" s="18" t="n">
        <f aca="false">IF(H251=0,0,(MAX(C251:E251)-LARGE(C251:E251,2))/H251*100)</f>
        <v>27.520747029791</v>
      </c>
    </row>
    <row r="252" customFormat="false" ht="15" hidden="false" customHeight="false" outlineLevel="0" collapsed="false">
      <c r="A252" s="4" t="s">
        <v>79</v>
      </c>
      <c r="B252" s="4" t="n">
        <v>2</v>
      </c>
      <c r="C252" s="5" t="n">
        <v>95789</v>
      </c>
      <c r="D252" s="5" t="n">
        <v>39929</v>
      </c>
      <c r="E252" s="5" t="n">
        <v>23159</v>
      </c>
      <c r="F252" s="5" t="n">
        <v>124</v>
      </c>
      <c r="G252" s="5" t="n">
        <v>9563</v>
      </c>
      <c r="H252" s="5" t="n">
        <v>168564</v>
      </c>
      <c r="I252" s="9" t="n">
        <f aca="false">IF(H252=0,0,C252/H252)</f>
        <v>0.568264872689305</v>
      </c>
      <c r="J252" s="9" t="n">
        <f aca="false">IF(H252=0,0,D252/H252)</f>
        <v>0.23687738781709</v>
      </c>
      <c r="K252" s="9" t="n">
        <f aca="false">IF(H252=0,0,E252/H252)</f>
        <v>0.13738995277758</v>
      </c>
      <c r="L252" s="9" t="n">
        <f aca="false">IF(H252=0,0,G252/H252)</f>
        <v>0.0567321610782848</v>
      </c>
      <c r="M252" s="4" t="str">
        <f aca="false">INDEX($C$3:$E$3,MATCH(MAX(C252:E252),C252:E252,0))</f>
        <v>Sigamos Haciendo Historia (PVEM-PT-Morena)</v>
      </c>
      <c r="N252" s="18" t="n">
        <f aca="false">IF(H252=0,0,(MAX(C252:E252)-LARGE(C252:E252,2))/H252*100)</f>
        <v>33.1387484872215</v>
      </c>
    </row>
    <row r="253" customFormat="false" ht="15" hidden="false" customHeight="false" outlineLevel="0" collapsed="false">
      <c r="A253" s="4" t="s">
        <v>79</v>
      </c>
      <c r="B253" s="4" t="n">
        <v>3</v>
      </c>
      <c r="C253" s="5" t="n">
        <v>90827</v>
      </c>
      <c r="D253" s="5" t="n">
        <v>43855</v>
      </c>
      <c r="E253" s="5" t="n">
        <v>17853</v>
      </c>
      <c r="F253" s="5" t="n">
        <v>116</v>
      </c>
      <c r="G253" s="5" t="n">
        <v>8456</v>
      </c>
      <c r="H253" s="5" t="n">
        <v>161107</v>
      </c>
      <c r="I253" s="9" t="n">
        <f aca="false">IF(H253=0,0,C253/H253)</f>
        <v>0.563768178912152</v>
      </c>
      <c r="J253" s="9" t="n">
        <f aca="false">IF(H253=0,0,D253/H253)</f>
        <v>0.2722103943342</v>
      </c>
      <c r="K253" s="9" t="n">
        <f aca="false">IF(H253=0,0,E253/H253)</f>
        <v>0.110814551819598</v>
      </c>
      <c r="L253" s="9" t="n">
        <f aca="false">IF(H253=0,0,G253/H253)</f>
        <v>0.0524868565611674</v>
      </c>
      <c r="M253" s="4" t="str">
        <f aca="false">INDEX($C$3:$E$3,MATCH(MAX(C253:E253),C253:E253,0))</f>
        <v>Sigamos Haciendo Historia (PVEM-PT-Morena)</v>
      </c>
      <c r="N253" s="18" t="n">
        <f aca="false">IF(H253=0,0,(MAX(C253:E253)-LARGE(C253:E253,2))/H253*100)</f>
        <v>29.1557784577951</v>
      </c>
    </row>
    <row r="254" customFormat="false" ht="15" hidden="false" customHeight="false" outlineLevel="0" collapsed="false">
      <c r="A254" s="4" t="s">
        <v>79</v>
      </c>
      <c r="B254" s="4" t="n">
        <v>4</v>
      </c>
      <c r="C254" s="5" t="n">
        <v>101947</v>
      </c>
      <c r="D254" s="5" t="n">
        <v>43410</v>
      </c>
      <c r="E254" s="5" t="n">
        <v>16546</v>
      </c>
      <c r="F254" s="5" t="n">
        <v>67</v>
      </c>
      <c r="G254" s="5" t="n">
        <v>10252</v>
      </c>
      <c r="H254" s="5" t="n">
        <v>172222</v>
      </c>
      <c r="I254" s="9" t="n">
        <f aca="false">IF(H254=0,0,C254/H254)</f>
        <v>0.591951086388499</v>
      </c>
      <c r="J254" s="9" t="n">
        <f aca="false">IF(H254=0,0,D254/H254)</f>
        <v>0.252058389752761</v>
      </c>
      <c r="K254" s="9" t="n">
        <f aca="false">IF(H254=0,0,E254/H254)</f>
        <v>0.0960736723531256</v>
      </c>
      <c r="L254" s="9" t="n">
        <f aca="false">IF(H254=0,0,G254/H254)</f>
        <v>0.0595278187455726</v>
      </c>
      <c r="M254" s="4" t="str">
        <f aca="false">INDEX($C$3:$E$3,MATCH(MAX(C254:E254),C254:E254,0))</f>
        <v>Sigamos Haciendo Historia (PVEM-PT-Morena)</v>
      </c>
      <c r="N254" s="18" t="n">
        <f aca="false">IF(H254=0,0,(MAX(C254:E254)-LARGE(C254:E254,2))/H254*100)</f>
        <v>33.9892696635738</v>
      </c>
    </row>
    <row r="255" customFormat="false" ht="15" hidden="false" customHeight="false" outlineLevel="0" collapsed="false">
      <c r="A255" s="4" t="s">
        <v>79</v>
      </c>
      <c r="B255" s="4" t="n">
        <v>5</v>
      </c>
      <c r="C255" s="5" t="n">
        <v>92532</v>
      </c>
      <c r="D255" s="5" t="n">
        <v>70352</v>
      </c>
      <c r="E255" s="5" t="n">
        <v>19386</v>
      </c>
      <c r="F255" s="5" t="n">
        <v>133</v>
      </c>
      <c r="G255" s="5" t="n">
        <v>7847</v>
      </c>
      <c r="H255" s="5" t="n">
        <v>190250</v>
      </c>
      <c r="I255" s="9" t="n">
        <f aca="false">IF(H255=0,0,C255/H255)</f>
        <v>0.486370565045992</v>
      </c>
      <c r="J255" s="9" t="n">
        <f aca="false">IF(H255=0,0,D255/H255)</f>
        <v>0.369787122207622</v>
      </c>
      <c r="K255" s="9" t="n">
        <f aca="false">IF(H255=0,0,E255/H255)</f>
        <v>0.101897503285151</v>
      </c>
      <c r="L255" s="9" t="n">
        <f aca="false">IF(H255=0,0,G255/H255)</f>
        <v>0.041245729303548</v>
      </c>
      <c r="M255" s="4" t="str">
        <f aca="false">INDEX($C$3:$E$3,MATCH(MAX(C255:E255),C255:E255,0))</f>
        <v>Sigamos Haciendo Historia (PVEM-PT-Morena)</v>
      </c>
      <c r="N255" s="18" t="n">
        <f aca="false">IF(H255=0,0,(MAX(C255:E255)-LARGE(C255:E255,2))/H255*100)</f>
        <v>11.6583442838371</v>
      </c>
    </row>
    <row r="256" customFormat="false" ht="15" hidden="false" customHeight="false" outlineLevel="0" collapsed="false">
      <c r="A256" s="4" t="s">
        <v>79</v>
      </c>
      <c r="B256" s="4" t="n">
        <v>6</v>
      </c>
      <c r="C256" s="5" t="n">
        <v>107469</v>
      </c>
      <c r="D256" s="5" t="n">
        <v>38083</v>
      </c>
      <c r="E256" s="5" t="n">
        <v>17061</v>
      </c>
      <c r="F256" s="5" t="n">
        <v>80</v>
      </c>
      <c r="G256" s="5" t="n">
        <v>9862</v>
      </c>
      <c r="H256" s="5" t="n">
        <v>172555</v>
      </c>
      <c r="I256" s="9" t="n">
        <f aca="false">IF(H256=0,0,C256/H256)</f>
        <v>0.622810118512938</v>
      </c>
      <c r="J256" s="9" t="n">
        <f aca="false">IF(H256=0,0,D256/H256)</f>
        <v>0.220700646170786</v>
      </c>
      <c r="K256" s="9" t="n">
        <f aca="false">IF(H256=0,0,E256/H256)</f>
        <v>0.0988728231578337</v>
      </c>
      <c r="L256" s="9" t="n">
        <f aca="false">IF(H256=0,0,G256/H256)</f>
        <v>0.0571527918634638</v>
      </c>
      <c r="M256" s="4" t="str">
        <f aca="false">INDEX($C$3:$E$3,MATCH(MAX(C256:E256),C256:E256,0))</f>
        <v>Sigamos Haciendo Historia (PVEM-PT-Morena)</v>
      </c>
      <c r="N256" s="18" t="n">
        <f aca="false">IF(H256=0,0,(MAX(C256:E256)-LARGE(C256:E256,2))/H256*100)</f>
        <v>40.2109472342152</v>
      </c>
    </row>
    <row r="257" customFormat="false" ht="15" hidden="false" customHeight="false" outlineLevel="0" collapsed="false">
      <c r="A257" s="4" t="s">
        <v>79</v>
      </c>
      <c r="B257" s="4" t="n">
        <v>7</v>
      </c>
      <c r="C257" s="5" t="n">
        <v>103292</v>
      </c>
      <c r="D257" s="5" t="n">
        <v>29798</v>
      </c>
      <c r="E257" s="5" t="n">
        <v>14367</v>
      </c>
      <c r="F257" s="5" t="n">
        <v>45</v>
      </c>
      <c r="G257" s="5" t="n">
        <v>9562</v>
      </c>
      <c r="H257" s="5" t="n">
        <v>157064</v>
      </c>
      <c r="I257" s="9" t="n">
        <f aca="false">IF(H257=0,0,C257/H257)</f>
        <v>0.657642744358987</v>
      </c>
      <c r="J257" s="9" t="n">
        <f aca="false">IF(H257=0,0,D257/H257)</f>
        <v>0.189718840727347</v>
      </c>
      <c r="K257" s="9" t="n">
        <f aca="false">IF(H257=0,0,E257/H257)</f>
        <v>0.091472266082616</v>
      </c>
      <c r="L257" s="9" t="n">
        <f aca="false">IF(H257=0,0,G257/H257)</f>
        <v>0.0608796414200581</v>
      </c>
      <c r="M257" s="4" t="str">
        <f aca="false">INDEX($C$3:$E$3,MATCH(MAX(C257:E257),C257:E257,0))</f>
        <v>Sigamos Haciendo Historia (PVEM-PT-Morena)</v>
      </c>
      <c r="N257" s="18" t="n">
        <f aca="false">IF(H257=0,0,(MAX(C257:E257)-LARGE(C257:E257,2))/H257*100)</f>
        <v>46.7923903631641</v>
      </c>
    </row>
    <row r="258" customFormat="false" ht="15" hidden="false" customHeight="false" outlineLevel="0" collapsed="false">
      <c r="A258" s="4" t="s">
        <v>80</v>
      </c>
      <c r="B258" s="4" t="n">
        <v>1</v>
      </c>
      <c r="C258" s="5" t="n">
        <v>117434</v>
      </c>
      <c r="D258" s="5" t="n">
        <v>17113</v>
      </c>
      <c r="E258" s="5" t="n">
        <v>13026</v>
      </c>
      <c r="F258" s="5" t="n">
        <v>67</v>
      </c>
      <c r="G258" s="5" t="n">
        <v>10046</v>
      </c>
      <c r="H258" s="5" t="n">
        <v>157686</v>
      </c>
      <c r="I258" s="9" t="n">
        <f aca="false">IF(H258=0,0,C258/H258)</f>
        <v>0.744733203962305</v>
      </c>
      <c r="J258" s="9" t="n">
        <f aca="false">IF(H258=0,0,D258/H258)</f>
        <v>0.108525804446812</v>
      </c>
      <c r="K258" s="9" t="n">
        <f aca="false">IF(H258=0,0,E258/H258)</f>
        <v>0.0826072067272935</v>
      </c>
      <c r="L258" s="9" t="n">
        <f aca="false">IF(H258=0,0,G258/H258)</f>
        <v>0.0637088898190074</v>
      </c>
      <c r="M258" s="4" t="str">
        <f aca="false">INDEX($C$3:$E$3,MATCH(MAX(C258:E258),C258:E258,0))</f>
        <v>Sigamos Haciendo Historia (PVEM-PT-Morena)</v>
      </c>
      <c r="N258" s="18" t="n">
        <f aca="false">IF(H258=0,0,(MAX(C258:E258)-LARGE(C258:E258,2))/H258*100)</f>
        <v>63.6207399515493</v>
      </c>
    </row>
    <row r="259" customFormat="false" ht="15" hidden="false" customHeight="false" outlineLevel="0" collapsed="false">
      <c r="A259" s="4" t="s">
        <v>80</v>
      </c>
      <c r="B259" s="4" t="n">
        <v>2</v>
      </c>
      <c r="C259" s="5" t="n">
        <v>132279</v>
      </c>
      <c r="D259" s="5" t="n">
        <v>30900</v>
      </c>
      <c r="E259" s="5" t="n">
        <v>10581</v>
      </c>
      <c r="F259" s="5" t="n">
        <v>99</v>
      </c>
      <c r="G259" s="5" t="n">
        <v>11613</v>
      </c>
      <c r="H259" s="5" t="n">
        <v>185472</v>
      </c>
      <c r="I259" s="9" t="n">
        <f aca="false">IF(H259=0,0,C259/H259)</f>
        <v>0.713201992753623</v>
      </c>
      <c r="J259" s="9" t="n">
        <f aca="false">IF(H259=0,0,D259/H259)</f>
        <v>0.166601966873706</v>
      </c>
      <c r="K259" s="9" t="n">
        <f aca="false">IF(H259=0,0,E259/H259)</f>
        <v>0.0570490424430642</v>
      </c>
      <c r="L259" s="9" t="n">
        <f aca="false">IF(H259=0,0,G259/H259)</f>
        <v>0.0626132246376812</v>
      </c>
      <c r="M259" s="4" t="str">
        <f aca="false">INDEX($C$3:$E$3,MATCH(MAX(C259:E259),C259:E259,0))</f>
        <v>Sigamos Haciendo Historia (PVEM-PT-Morena)</v>
      </c>
      <c r="N259" s="18" t="n">
        <f aca="false">IF(H259=0,0,(MAX(C259:E259)-LARGE(C259:E259,2))/H259*100)</f>
        <v>54.6600025879917</v>
      </c>
    </row>
    <row r="260" customFormat="false" ht="15" hidden="false" customHeight="false" outlineLevel="0" collapsed="false">
      <c r="A260" s="4" t="s">
        <v>80</v>
      </c>
      <c r="B260" s="4" t="n">
        <v>3</v>
      </c>
      <c r="C260" s="5" t="n">
        <v>119526</v>
      </c>
      <c r="D260" s="5" t="n">
        <v>35426</v>
      </c>
      <c r="E260" s="5" t="n">
        <v>7901</v>
      </c>
      <c r="F260" s="5" t="n">
        <v>90</v>
      </c>
      <c r="G260" s="5" t="n">
        <v>10273</v>
      </c>
      <c r="H260" s="5" t="n">
        <v>173216</v>
      </c>
      <c r="I260" s="9" t="n">
        <f aca="false">IF(H260=0,0,C260/H260)</f>
        <v>0.690040181045631</v>
      </c>
      <c r="J260" s="9" t="n">
        <f aca="false">IF(H260=0,0,D260/H260)</f>
        <v>0.204519213005727</v>
      </c>
      <c r="K260" s="9" t="n">
        <f aca="false">IF(H260=0,0,E260/H260)</f>
        <v>0.0456135691852947</v>
      </c>
      <c r="L260" s="9" t="n">
        <f aca="false">IF(H260=0,0,G260/H260)</f>
        <v>0.0593074542767412</v>
      </c>
      <c r="M260" s="4" t="str">
        <f aca="false">INDEX($C$3:$E$3,MATCH(MAX(C260:E260),C260:E260,0))</f>
        <v>Sigamos Haciendo Historia (PVEM-PT-Morena)</v>
      </c>
      <c r="N260" s="18" t="n">
        <f aca="false">IF(H260=0,0,(MAX(C260:E260)-LARGE(C260:E260,2))/H260*100)</f>
        <v>48.5520968039904</v>
      </c>
    </row>
    <row r="261" customFormat="false" ht="15" hidden="false" customHeight="false" outlineLevel="0" collapsed="false">
      <c r="A261" s="4" t="s">
        <v>80</v>
      </c>
      <c r="B261" s="4" t="n">
        <v>4</v>
      </c>
      <c r="C261" s="5" t="n">
        <v>143519</v>
      </c>
      <c r="D261" s="5" t="n">
        <v>26635</v>
      </c>
      <c r="E261" s="5" t="n">
        <v>17022</v>
      </c>
      <c r="F261" s="5" t="n">
        <v>199</v>
      </c>
      <c r="G261" s="5" t="n">
        <v>12731</v>
      </c>
      <c r="H261" s="5" t="n">
        <v>200106</v>
      </c>
      <c r="I261" s="9" t="n">
        <f aca="false">IF(H261=0,0,C261/H261)</f>
        <v>0.717214876115659</v>
      </c>
      <c r="J261" s="9" t="n">
        <f aca="false">IF(H261=0,0,D261/H261)</f>
        <v>0.133104454639041</v>
      </c>
      <c r="K261" s="9" t="n">
        <f aca="false">IF(H261=0,0,E261/H261)</f>
        <v>0.0850649155947348</v>
      </c>
      <c r="L261" s="9" t="n">
        <f aca="false">IF(H261=0,0,G261/H261)</f>
        <v>0.0636212807212178</v>
      </c>
      <c r="M261" s="4" t="str">
        <f aca="false">INDEX($C$3:$E$3,MATCH(MAX(C261:E261),C261:E261,0))</f>
        <v>Sigamos Haciendo Historia (PVEM-PT-Morena)</v>
      </c>
      <c r="N261" s="18" t="n">
        <f aca="false">IF(H261=0,0,(MAX(C261:E261)-LARGE(C261:E261,2))/H261*100)</f>
        <v>58.4110421476617</v>
      </c>
    </row>
    <row r="262" customFormat="false" ht="15" hidden="false" customHeight="false" outlineLevel="0" collapsed="false">
      <c r="A262" s="4" t="s">
        <v>80</v>
      </c>
      <c r="B262" s="4" t="n">
        <v>5</v>
      </c>
      <c r="C262" s="5" t="n">
        <v>160709</v>
      </c>
      <c r="D262" s="5" t="n">
        <v>25301</v>
      </c>
      <c r="E262" s="5" t="n">
        <v>18306</v>
      </c>
      <c r="F262" s="5" t="n">
        <v>74</v>
      </c>
      <c r="G262" s="5" t="n">
        <v>12435</v>
      </c>
      <c r="H262" s="5" t="n">
        <v>216825</v>
      </c>
      <c r="I262" s="9" t="n">
        <f aca="false">IF(H262=0,0,C262/H262)</f>
        <v>0.741192205695838</v>
      </c>
      <c r="J262" s="9" t="n">
        <f aca="false">IF(H262=0,0,D262/H262)</f>
        <v>0.116688573734579</v>
      </c>
      <c r="K262" s="9" t="n">
        <f aca="false">IF(H262=0,0,E262/H262)</f>
        <v>0.0844275337253546</v>
      </c>
      <c r="L262" s="9" t="n">
        <f aca="false">IF(H262=0,0,G262/H262)</f>
        <v>0.0573503977862331</v>
      </c>
      <c r="M262" s="4" t="str">
        <f aca="false">INDEX($C$3:$E$3,MATCH(MAX(C262:E262),C262:E262,0))</f>
        <v>Sigamos Haciendo Historia (PVEM-PT-Morena)</v>
      </c>
      <c r="N262" s="18" t="n">
        <f aca="false">IF(H262=0,0,(MAX(C262:E262)-LARGE(C262:E262,2))/H262*100)</f>
        <v>62.4503631961259</v>
      </c>
    </row>
    <row r="263" customFormat="false" ht="15" hidden="false" customHeight="false" outlineLevel="0" collapsed="false">
      <c r="A263" s="4" t="s">
        <v>80</v>
      </c>
      <c r="B263" s="4" t="n">
        <v>6</v>
      </c>
      <c r="C263" s="5" t="n">
        <v>132121</v>
      </c>
      <c r="D263" s="5" t="n">
        <v>16437</v>
      </c>
      <c r="E263" s="5" t="n">
        <v>17632</v>
      </c>
      <c r="F263" s="5" t="n">
        <v>152</v>
      </c>
      <c r="G263" s="5" t="n">
        <v>12548</v>
      </c>
      <c r="H263" s="5" t="n">
        <v>178890</v>
      </c>
      <c r="I263" s="9" t="n">
        <f aca="false">IF(H263=0,0,C263/H263)</f>
        <v>0.738560008944044</v>
      </c>
      <c r="J263" s="9" t="n">
        <f aca="false">IF(H263=0,0,D263/H263)</f>
        <v>0.0918832802280731</v>
      </c>
      <c r="K263" s="9" t="n">
        <f aca="false">IF(H263=0,0,E263/H263)</f>
        <v>0.0985633629604785</v>
      </c>
      <c r="L263" s="9" t="n">
        <f aca="false">IF(H263=0,0,G263/H263)</f>
        <v>0.0701436637039522</v>
      </c>
      <c r="M263" s="4" t="str">
        <f aca="false">INDEX($C$3:$E$3,MATCH(MAX(C263:E263),C263:E263,0))</f>
        <v>Sigamos Haciendo Historia (PVEM-PT-Morena)</v>
      </c>
      <c r="N263" s="18" t="n">
        <f aca="false">IF(H263=0,0,(MAX(C263:E263)-LARGE(C263:E263,2))/H263*100)</f>
        <v>63.9996645983565</v>
      </c>
    </row>
    <row r="264" customFormat="false" ht="15" hidden="false" customHeight="false" outlineLevel="0" collapsed="false">
      <c r="A264" s="4" t="s">
        <v>81</v>
      </c>
      <c r="B264" s="4" t="n">
        <v>1</v>
      </c>
      <c r="C264" s="5" t="n">
        <v>91895</v>
      </c>
      <c r="D264" s="5" t="n">
        <v>87763</v>
      </c>
      <c r="E264" s="5" t="n">
        <v>6600</v>
      </c>
      <c r="F264" s="5" t="n">
        <v>60</v>
      </c>
      <c r="G264" s="5" t="n">
        <v>7693</v>
      </c>
      <c r="H264" s="5" t="n">
        <v>194011</v>
      </c>
      <c r="I264" s="9" t="n">
        <f aca="false">IF(H264=0,0,C264/H264)</f>
        <v>0.47365871007314</v>
      </c>
      <c r="J264" s="9" t="n">
        <f aca="false">IF(H264=0,0,D264/H264)</f>
        <v>0.452360948606007</v>
      </c>
      <c r="K264" s="9" t="n">
        <f aca="false">IF(H264=0,0,E264/H264)</f>
        <v>0.0340186896619264</v>
      </c>
      <c r="L264" s="9" t="n">
        <f aca="false">IF(H264=0,0,G264/H264)</f>
        <v>0.0396523908438181</v>
      </c>
      <c r="M264" s="4" t="str">
        <f aca="false">INDEX($C$3:$E$3,MATCH(MAX(C264:E264),C264:E264,0))</f>
        <v>Sigamos Haciendo Historia (PVEM-PT-Morena)</v>
      </c>
      <c r="N264" s="18" t="n">
        <f aca="false">IF(H264=0,0,(MAX(C264:E264)-LARGE(C264:E264,2))/H264*100)</f>
        <v>2.12977614671333</v>
      </c>
    </row>
    <row r="265" customFormat="false" ht="15" hidden="false" customHeight="false" outlineLevel="0" collapsed="false">
      <c r="A265" s="4" t="s">
        <v>81</v>
      </c>
      <c r="B265" s="4" t="n">
        <v>2</v>
      </c>
      <c r="C265" s="5" t="n">
        <v>110162</v>
      </c>
      <c r="D265" s="5" t="n">
        <v>36813</v>
      </c>
      <c r="E265" s="5" t="n">
        <v>16585</v>
      </c>
      <c r="F265" s="5" t="n">
        <v>82</v>
      </c>
      <c r="G265" s="5" t="n">
        <v>9035</v>
      </c>
      <c r="H265" s="5" t="n">
        <v>172677</v>
      </c>
      <c r="I265" s="9" t="n">
        <f aca="false">IF(H265=0,0,C265/H265)</f>
        <v>0.637965681590484</v>
      </c>
      <c r="J265" s="9" t="n">
        <f aca="false">IF(H265=0,0,D265/H265)</f>
        <v>0.213189944231137</v>
      </c>
      <c r="K265" s="9" t="n">
        <f aca="false">IF(H265=0,0,E265/H265)</f>
        <v>0.0960463756030045</v>
      </c>
      <c r="L265" s="9" t="n">
        <f aca="false">IF(H265=0,0,G265/H265)</f>
        <v>0.0523231235196349</v>
      </c>
      <c r="M265" s="4" t="str">
        <f aca="false">INDEX($C$3:$E$3,MATCH(MAX(C265:E265),C265:E265,0))</f>
        <v>Sigamos Haciendo Historia (PVEM-PT-Morena)</v>
      </c>
      <c r="N265" s="18" t="n">
        <f aca="false">IF(H265=0,0,(MAX(C265:E265)-LARGE(C265:E265,2))/H265*100)</f>
        <v>42.4775737359347</v>
      </c>
    </row>
    <row r="266" customFormat="false" ht="15" hidden="false" customHeight="false" outlineLevel="0" collapsed="false">
      <c r="A266" s="4" t="s">
        <v>81</v>
      </c>
      <c r="B266" s="4" t="n">
        <v>3</v>
      </c>
      <c r="C266" s="5" t="n">
        <v>117733</v>
      </c>
      <c r="D266" s="5" t="n">
        <v>59872</v>
      </c>
      <c r="E266" s="5" t="n">
        <v>12379</v>
      </c>
      <c r="F266" s="5" t="n">
        <v>115</v>
      </c>
      <c r="G266" s="5" t="n">
        <v>10853</v>
      </c>
      <c r="H266" s="5" t="n">
        <v>200952</v>
      </c>
      <c r="I266" s="9" t="n">
        <f aca="false">IF(H266=0,0,C266/H266)</f>
        <v>0.58587622914925</v>
      </c>
      <c r="J266" s="9" t="n">
        <f aca="false">IF(H266=0,0,D266/H266)</f>
        <v>0.297941797046061</v>
      </c>
      <c r="K266" s="9" t="n">
        <f aca="false">IF(H266=0,0,E266/H266)</f>
        <v>0.0616017755483897</v>
      </c>
      <c r="L266" s="9" t="n">
        <f aca="false">IF(H266=0,0,G266/H266)</f>
        <v>0.0540079222899001</v>
      </c>
      <c r="M266" s="4" t="str">
        <f aca="false">INDEX($C$3:$E$3,MATCH(MAX(C266:E266),C266:E266,0))</f>
        <v>Sigamos Haciendo Historia (PVEM-PT-Morena)</v>
      </c>
      <c r="N266" s="18" t="n">
        <f aca="false">IF(H266=0,0,(MAX(C266:E266)-LARGE(C266:E266,2))/H266*100)</f>
        <v>28.7934432103189</v>
      </c>
    </row>
    <row r="267" customFormat="false" ht="15" hidden="false" customHeight="false" outlineLevel="0" collapsed="false">
      <c r="A267" s="4" t="s">
        <v>81</v>
      </c>
      <c r="B267" s="4" t="n">
        <v>4</v>
      </c>
      <c r="C267" s="5" t="n">
        <v>116431</v>
      </c>
      <c r="D267" s="5" t="n">
        <v>36298</v>
      </c>
      <c r="E267" s="5" t="n">
        <v>20510</v>
      </c>
      <c r="F267" s="5" t="n">
        <v>278</v>
      </c>
      <c r="G267" s="5" t="n">
        <v>9024</v>
      </c>
      <c r="H267" s="5" t="n">
        <v>182541</v>
      </c>
      <c r="I267" s="9" t="n">
        <f aca="false">IF(H267=0,0,C267/H267)</f>
        <v>0.637834787801097</v>
      </c>
      <c r="J267" s="9" t="n">
        <f aca="false">IF(H267=0,0,D267/H267)</f>
        <v>0.198848477876203</v>
      </c>
      <c r="K267" s="9" t="n">
        <f aca="false">IF(H267=0,0,E267/H267)</f>
        <v>0.112358319500824</v>
      </c>
      <c r="L267" s="9" t="n">
        <f aca="false">IF(H267=0,0,G267/H267)</f>
        <v>0.0494354692918303</v>
      </c>
      <c r="M267" s="4" t="str">
        <f aca="false">INDEX($C$3:$E$3,MATCH(MAX(C267:E267),C267:E267,0))</f>
        <v>Sigamos Haciendo Historia (PVEM-PT-Morena)</v>
      </c>
      <c r="N267" s="18" t="n">
        <f aca="false">IF(H267=0,0,(MAX(C267:E267)-LARGE(C267:E267,2))/H267*100)</f>
        <v>43.8986309924894</v>
      </c>
    </row>
    <row r="268" customFormat="false" ht="15" hidden="false" customHeight="false" outlineLevel="0" collapsed="false">
      <c r="A268" s="4" t="s">
        <v>81</v>
      </c>
      <c r="B268" s="4" t="n">
        <v>5</v>
      </c>
      <c r="C268" s="5" t="n">
        <v>159488</v>
      </c>
      <c r="D268" s="5" t="n">
        <v>50269</v>
      </c>
      <c r="E268" s="5" t="n">
        <v>11359</v>
      </c>
      <c r="F268" s="5" t="n">
        <v>131</v>
      </c>
      <c r="G268" s="5" t="n">
        <v>11008</v>
      </c>
      <c r="H268" s="5" t="n">
        <v>232255</v>
      </c>
      <c r="I268" s="9" t="n">
        <f aca="false">IF(H268=0,0,C268/H268)</f>
        <v>0.686693504983746</v>
      </c>
      <c r="J268" s="9" t="n">
        <f aca="false">IF(H268=0,0,D268/H268)</f>
        <v>0.216438828012314</v>
      </c>
      <c r="K268" s="9" t="n">
        <f aca="false">IF(H268=0,0,E268/H268)</f>
        <v>0.0489074508621989</v>
      </c>
      <c r="L268" s="9" t="n">
        <f aca="false">IF(H268=0,0,G268/H268)</f>
        <v>0.0473961809218316</v>
      </c>
      <c r="M268" s="4" t="str">
        <f aca="false">INDEX($C$3:$E$3,MATCH(MAX(C268:E268),C268:E268,0))</f>
        <v>Sigamos Haciendo Historia (PVEM-PT-Morena)</v>
      </c>
      <c r="N268" s="18" t="n">
        <f aca="false">IF(H268=0,0,(MAX(C268:E268)-LARGE(C268:E268,2))/H268*100)</f>
        <v>47.0254676971432</v>
      </c>
    </row>
    <row r="269" customFormat="false" ht="15" hidden="false" customHeight="false" outlineLevel="0" collapsed="false">
      <c r="A269" s="4" t="s">
        <v>81</v>
      </c>
      <c r="B269" s="4" t="n">
        <v>6</v>
      </c>
      <c r="C269" s="5" t="n">
        <v>139405</v>
      </c>
      <c r="D269" s="5" t="n">
        <v>61650</v>
      </c>
      <c r="E269" s="5" t="n">
        <v>12455</v>
      </c>
      <c r="F269" s="5" t="n">
        <v>54</v>
      </c>
      <c r="G269" s="5" t="n">
        <v>12065</v>
      </c>
      <c r="H269" s="5" t="n">
        <v>225629</v>
      </c>
      <c r="I269" s="9" t="n">
        <f aca="false">IF(H269=0,0,C269/H269)</f>
        <v>0.617850542261855</v>
      </c>
      <c r="J269" s="9" t="n">
        <f aca="false">IF(H269=0,0,D269/H269)</f>
        <v>0.273236153154072</v>
      </c>
      <c r="K269" s="9" t="n">
        <f aca="false">IF(H269=0,0,E269/H269)</f>
        <v>0.0552012374295857</v>
      </c>
      <c r="L269" s="9" t="n">
        <f aca="false">IF(H269=0,0,G269/H269)</f>
        <v>0.0534727362174189</v>
      </c>
      <c r="M269" s="4" t="str">
        <f aca="false">INDEX($C$3:$E$3,MATCH(MAX(C269:E269),C269:E269,0))</f>
        <v>Sigamos Haciendo Historia (PVEM-PT-Morena)</v>
      </c>
      <c r="N269" s="18" t="n">
        <f aca="false">IF(H269=0,0,(MAX(C269:E269)-LARGE(C269:E269,2))/H269*100)</f>
        <v>34.4614389107783</v>
      </c>
    </row>
    <row r="270" customFormat="false" ht="15" hidden="false" customHeight="false" outlineLevel="0" collapsed="false">
      <c r="A270" s="4" t="s">
        <v>81</v>
      </c>
      <c r="B270" s="4" t="n">
        <v>7</v>
      </c>
      <c r="C270" s="5" t="n">
        <v>95174</v>
      </c>
      <c r="D270" s="5" t="n">
        <v>30807</v>
      </c>
      <c r="E270" s="5" t="n">
        <v>14676</v>
      </c>
      <c r="F270" s="5" t="n">
        <v>67</v>
      </c>
      <c r="G270" s="5" t="n">
        <v>7785</v>
      </c>
      <c r="H270" s="5" t="n">
        <v>148509</v>
      </c>
      <c r="I270" s="9" t="n">
        <f aca="false">IF(H270=0,0,C270/H270)</f>
        <v>0.640863516689224</v>
      </c>
      <c r="J270" s="9" t="n">
        <f aca="false">IF(H270=0,0,D270/H270)</f>
        <v>0.207441973213745</v>
      </c>
      <c r="K270" s="9" t="n">
        <f aca="false">IF(H270=0,0,E270/H270)</f>
        <v>0.0988222935983678</v>
      </c>
      <c r="L270" s="9" t="n">
        <f aca="false">IF(H270=0,0,G270/H270)</f>
        <v>0.0524210653899764</v>
      </c>
      <c r="M270" s="4" t="str">
        <f aca="false">INDEX($C$3:$E$3,MATCH(MAX(C270:E270),C270:E270,0))</f>
        <v>Sigamos Haciendo Historia (PVEM-PT-Morena)</v>
      </c>
      <c r="N270" s="18" t="n">
        <f aca="false">IF(H270=0,0,(MAX(C270:E270)-LARGE(C270:E270,2))/H270*100)</f>
        <v>43.342154347548</v>
      </c>
    </row>
    <row r="271" customFormat="false" ht="15" hidden="false" customHeight="false" outlineLevel="0" collapsed="false">
      <c r="A271" s="4" t="s">
        <v>81</v>
      </c>
      <c r="B271" s="4" t="n">
        <v>8</v>
      </c>
      <c r="C271" s="5" t="n">
        <v>145235</v>
      </c>
      <c r="D271" s="5" t="n">
        <v>91539</v>
      </c>
      <c r="E271" s="5" t="n">
        <v>18323</v>
      </c>
      <c r="F271" s="5" t="n">
        <v>118</v>
      </c>
      <c r="G271" s="5" t="n">
        <v>10697</v>
      </c>
      <c r="H271" s="5" t="n">
        <v>265912</v>
      </c>
      <c r="I271" s="9" t="n">
        <f aca="false">IF(H271=0,0,C271/H271)</f>
        <v>0.54617693071392</v>
      </c>
      <c r="J271" s="9" t="n">
        <f aca="false">IF(H271=0,0,D271/H271)</f>
        <v>0.344245464665002</v>
      </c>
      <c r="K271" s="9" t="n">
        <f aca="false">IF(H271=0,0,E271/H271)</f>
        <v>0.0689062547008033</v>
      </c>
      <c r="L271" s="9" t="n">
        <f aca="false">IF(H271=0,0,G271/H271)</f>
        <v>0.0402275940912783</v>
      </c>
      <c r="M271" s="4" t="str">
        <f aca="false">INDEX($C$3:$E$3,MATCH(MAX(C271:E271),C271:E271,0))</f>
        <v>Sigamos Haciendo Historia (PVEM-PT-Morena)</v>
      </c>
      <c r="N271" s="18" t="n">
        <f aca="false">IF(H271=0,0,(MAX(C271:E271)-LARGE(C271:E271,2))/H271*100)</f>
        <v>20.1931466048918</v>
      </c>
    </row>
    <row r="272" customFormat="false" ht="15" hidden="false" customHeight="false" outlineLevel="0" collapsed="false">
      <c r="A272" s="4" t="s">
        <v>82</v>
      </c>
      <c r="B272" s="4" t="n">
        <v>1</v>
      </c>
      <c r="C272" s="5" t="n">
        <v>139535</v>
      </c>
      <c r="D272" s="5" t="n">
        <v>55690</v>
      </c>
      <c r="E272" s="5" t="n">
        <v>27731</v>
      </c>
      <c r="F272" s="5" t="n">
        <v>148</v>
      </c>
      <c r="G272" s="5" t="n">
        <v>16580</v>
      </c>
      <c r="H272" s="5" t="n">
        <v>239684</v>
      </c>
      <c r="I272" s="9" t="n">
        <f aca="false">IF(H272=0,0,C272/H272)</f>
        <v>0.582162347090336</v>
      </c>
      <c r="J272" s="9" t="n">
        <f aca="false">IF(H272=0,0,D272/H272)</f>
        <v>0.23234759099481</v>
      </c>
      <c r="K272" s="9" t="n">
        <f aca="false">IF(H272=0,0,E272/H272)</f>
        <v>0.115698169256187</v>
      </c>
      <c r="L272" s="9" t="n">
        <f aca="false">IF(H272=0,0,G272/H272)</f>
        <v>0.0691744129770865</v>
      </c>
      <c r="M272" s="4" t="str">
        <f aca="false">INDEX($C$3:$E$3,MATCH(MAX(C272:E272),C272:E272,0))</f>
        <v>Sigamos Haciendo Historia (PVEM-PT-Morena)</v>
      </c>
      <c r="N272" s="18" t="n">
        <f aca="false">IF(H272=0,0,(MAX(C272:E272)-LARGE(C272:E272,2))/H272*100)</f>
        <v>34.9814756095526</v>
      </c>
    </row>
    <row r="273" customFormat="false" ht="15" hidden="false" customHeight="false" outlineLevel="0" collapsed="false">
      <c r="A273" s="4" t="s">
        <v>82</v>
      </c>
      <c r="B273" s="4" t="n">
        <v>2</v>
      </c>
      <c r="C273" s="5" t="n">
        <v>150509</v>
      </c>
      <c r="D273" s="5" t="n">
        <v>53242</v>
      </c>
      <c r="E273" s="5" t="n">
        <v>26645</v>
      </c>
      <c r="F273" s="5" t="n">
        <v>150</v>
      </c>
      <c r="G273" s="5" t="n">
        <v>16230</v>
      </c>
      <c r="H273" s="5" t="n">
        <v>246776</v>
      </c>
      <c r="I273" s="9" t="n">
        <f aca="false">IF(H273=0,0,C273/H273)</f>
        <v>0.609901286997115</v>
      </c>
      <c r="J273" s="9" t="n">
        <f aca="false">IF(H273=0,0,D273/H273)</f>
        <v>0.215750316076118</v>
      </c>
      <c r="K273" s="9" t="n">
        <f aca="false">IF(H273=0,0,E273/H273)</f>
        <v>0.107972412228093</v>
      </c>
      <c r="L273" s="9" t="n">
        <f aca="false">IF(H273=0,0,G273/H273)</f>
        <v>0.0657681460109573</v>
      </c>
      <c r="M273" s="4" t="str">
        <f aca="false">INDEX($C$3:$E$3,MATCH(MAX(C273:E273),C273:E273,0))</f>
        <v>Sigamos Haciendo Historia (PVEM-PT-Morena)</v>
      </c>
      <c r="N273" s="18" t="n">
        <f aca="false">IF(H273=0,0,(MAX(C273:E273)-LARGE(C273:E273,2))/H273*100)</f>
        <v>39.4150970920997</v>
      </c>
    </row>
    <row r="274" customFormat="false" ht="15" hidden="false" customHeight="false" outlineLevel="0" collapsed="false">
      <c r="A274" s="4" t="s">
        <v>82</v>
      </c>
      <c r="B274" s="4" t="n">
        <v>3</v>
      </c>
      <c r="C274" s="5" t="n">
        <v>163757</v>
      </c>
      <c r="D274" s="5" t="n">
        <v>49200</v>
      </c>
      <c r="E274" s="5" t="n">
        <v>23483</v>
      </c>
      <c r="F274" s="5" t="n">
        <v>136</v>
      </c>
      <c r="G274" s="5" t="n">
        <v>15309</v>
      </c>
      <c r="H274" s="5" t="n">
        <v>251885</v>
      </c>
      <c r="I274" s="9" t="n">
        <f aca="false">IF(H274=0,0,C274/H274)</f>
        <v>0.650126049586121</v>
      </c>
      <c r="J274" s="9" t="n">
        <f aca="false">IF(H274=0,0,D274/H274)</f>
        <v>0.195327232665701</v>
      </c>
      <c r="K274" s="9" t="n">
        <f aca="false">IF(H274=0,0,E274/H274)</f>
        <v>0.0932290529408262</v>
      </c>
      <c r="L274" s="9" t="n">
        <f aca="false">IF(H274=0,0,G274/H274)</f>
        <v>0.0607777358715287</v>
      </c>
      <c r="M274" s="4" t="str">
        <f aca="false">INDEX($C$3:$E$3,MATCH(MAX(C274:E274),C274:E274,0))</f>
        <v>Sigamos Haciendo Historia (PVEM-PT-Morena)</v>
      </c>
      <c r="N274" s="18" t="n">
        <f aca="false">IF(H274=0,0,(MAX(C274:E274)-LARGE(C274:E274,2))/H274*100)</f>
        <v>45.479881692042</v>
      </c>
    </row>
    <row r="275" customFormat="false" ht="15" hidden="false" customHeight="false" outlineLevel="0" collapsed="false">
      <c r="A275" s="4" t="s">
        <v>83</v>
      </c>
      <c r="B275" s="4" t="n">
        <v>1</v>
      </c>
      <c r="C275" s="5" t="n">
        <v>114968</v>
      </c>
      <c r="D275" s="5" t="n">
        <v>60494</v>
      </c>
      <c r="E275" s="5" t="n">
        <v>8496</v>
      </c>
      <c r="F275" s="5" t="n">
        <v>51</v>
      </c>
      <c r="G275" s="5" t="n">
        <v>5895</v>
      </c>
      <c r="H275" s="5" t="n">
        <v>189904</v>
      </c>
      <c r="I275" s="9" t="n">
        <f aca="false">IF(H275=0,0,C275/H275)</f>
        <v>0.605400623472913</v>
      </c>
      <c r="J275" s="9" t="n">
        <f aca="false">IF(H275=0,0,D275/H275)</f>
        <v>0.318550425478136</v>
      </c>
      <c r="K275" s="9" t="n">
        <f aca="false">IF(H275=0,0,E275/H275)</f>
        <v>0.0447383941359845</v>
      </c>
      <c r="L275" s="9" t="n">
        <f aca="false">IF(H275=0,0,G275/H275)</f>
        <v>0.0310420001685062</v>
      </c>
      <c r="M275" s="4" t="str">
        <f aca="false">INDEX($C$3:$E$3,MATCH(MAX(C275:E275),C275:E275,0))</f>
        <v>Sigamos Haciendo Historia (PVEM-PT-Morena)</v>
      </c>
      <c r="N275" s="18" t="n">
        <f aca="false">IF(H275=0,0,(MAX(C275:E275)-LARGE(C275:E275,2))/H275*100)</f>
        <v>28.6850197994776</v>
      </c>
    </row>
    <row r="276" customFormat="false" ht="15" hidden="false" customHeight="false" outlineLevel="0" collapsed="false">
      <c r="A276" s="4" t="s">
        <v>83</v>
      </c>
      <c r="B276" s="4" t="n">
        <v>2</v>
      </c>
      <c r="C276" s="5" t="n">
        <v>115835</v>
      </c>
      <c r="D276" s="5" t="n">
        <v>48603</v>
      </c>
      <c r="E276" s="5" t="n">
        <v>11484</v>
      </c>
      <c r="F276" s="5" t="n">
        <v>91</v>
      </c>
      <c r="G276" s="5" t="n">
        <v>7294</v>
      </c>
      <c r="H276" s="5" t="n">
        <v>183307</v>
      </c>
      <c r="I276" s="9" t="n">
        <f aca="false">IF(H276=0,0,C276/H276)</f>
        <v>0.631918039136531</v>
      </c>
      <c r="J276" s="9" t="n">
        <f aca="false">IF(H276=0,0,D276/H276)</f>
        <v>0.265145357242222</v>
      </c>
      <c r="K276" s="9" t="n">
        <f aca="false">IF(H276=0,0,E276/H276)</f>
        <v>0.062648998674355</v>
      </c>
      <c r="L276" s="9" t="n">
        <f aca="false">IF(H276=0,0,G276/H276)</f>
        <v>0.0397911700044188</v>
      </c>
      <c r="M276" s="4" t="str">
        <f aca="false">INDEX($C$3:$E$3,MATCH(MAX(C276:E276),C276:E276,0))</f>
        <v>Sigamos Haciendo Historia (PVEM-PT-Morena)</v>
      </c>
      <c r="N276" s="18" t="n">
        <f aca="false">IF(H276=0,0,(MAX(C276:E276)-LARGE(C276:E276,2))/H276*100)</f>
        <v>36.6772681894309</v>
      </c>
    </row>
    <row r="277" customFormat="false" ht="15" hidden="false" customHeight="false" outlineLevel="0" collapsed="false">
      <c r="A277" s="4" t="s">
        <v>83</v>
      </c>
      <c r="B277" s="4" t="n">
        <v>3</v>
      </c>
      <c r="C277" s="5" t="n">
        <v>138579</v>
      </c>
      <c r="D277" s="5" t="n">
        <v>37561</v>
      </c>
      <c r="E277" s="5" t="n">
        <v>8791</v>
      </c>
      <c r="F277" s="5" t="n">
        <v>63</v>
      </c>
      <c r="G277" s="5" t="n">
        <v>5734</v>
      </c>
      <c r="H277" s="5" t="n">
        <v>190728</v>
      </c>
      <c r="I277" s="9" t="n">
        <f aca="false">IF(H277=0,0,C277/H277)</f>
        <v>0.726579212281364</v>
      </c>
      <c r="J277" s="9" t="n">
        <f aca="false">IF(H277=0,0,D277/H277)</f>
        <v>0.196934902059477</v>
      </c>
      <c r="K277" s="9" t="n">
        <f aca="false">IF(H277=0,0,E277/H277)</f>
        <v>0.0460918166184304</v>
      </c>
      <c r="L277" s="9" t="n">
        <f aca="false">IF(H277=0,0,G277/H277)</f>
        <v>0.0300637557149448</v>
      </c>
      <c r="M277" s="4" t="str">
        <f aca="false">INDEX($C$3:$E$3,MATCH(MAX(C277:E277),C277:E277,0))</f>
        <v>Sigamos Haciendo Historia (PVEM-PT-Morena)</v>
      </c>
      <c r="N277" s="18" t="n">
        <f aca="false">IF(H277=0,0,(MAX(C277:E277)-LARGE(C277:E277,2))/H277*100)</f>
        <v>52.9644310221887</v>
      </c>
    </row>
    <row r="278" customFormat="false" ht="15" hidden="false" customHeight="false" outlineLevel="0" collapsed="false">
      <c r="A278" s="4" t="s">
        <v>83</v>
      </c>
      <c r="B278" s="4" t="n">
        <v>4</v>
      </c>
      <c r="C278" s="5" t="n">
        <v>84460</v>
      </c>
      <c r="D278" s="5" t="n">
        <v>99590</v>
      </c>
      <c r="E278" s="5" t="n">
        <v>15347</v>
      </c>
      <c r="F278" s="5" t="n">
        <v>86</v>
      </c>
      <c r="G278" s="5" t="n">
        <v>3856</v>
      </c>
      <c r="H278" s="5" t="n">
        <v>203339</v>
      </c>
      <c r="I278" s="9" t="n">
        <f aca="false">IF(H278=0,0,C278/H278)</f>
        <v>0.415365473421233</v>
      </c>
      <c r="J278" s="9" t="n">
        <f aca="false">IF(H278=0,0,D278/H278)</f>
        <v>0.489773235827854</v>
      </c>
      <c r="K278" s="9" t="n">
        <f aca="false">IF(H278=0,0,E278/H278)</f>
        <v>0.0754749457801996</v>
      </c>
      <c r="L278" s="9" t="n">
        <f aca="false">IF(H278=0,0,G278/H278)</f>
        <v>0.0189634059378673</v>
      </c>
      <c r="M278" s="4" t="str">
        <f aca="false">INDEX($C$3:$E$3,MATCH(MAX(C278:E278),C278:E278,0))</f>
        <v>Fuerza y Corazón por México (PAN-PRI-PRD)</v>
      </c>
      <c r="N278" s="18" t="n">
        <f aca="false">IF(H278=0,0,(MAX(C278:E278)-LARGE(C278:E278,2))/H278*100)</f>
        <v>7.44077624066215</v>
      </c>
    </row>
    <row r="279" customFormat="false" ht="15" hidden="false" customHeight="false" outlineLevel="0" collapsed="false">
      <c r="A279" s="4" t="s">
        <v>83</v>
      </c>
      <c r="B279" s="4" t="n">
        <v>5</v>
      </c>
      <c r="C279" s="5" t="n">
        <v>134229</v>
      </c>
      <c r="D279" s="5" t="n">
        <v>51650</v>
      </c>
      <c r="E279" s="5" t="n">
        <v>18913</v>
      </c>
      <c r="F279" s="5" t="n">
        <v>103</v>
      </c>
      <c r="G279" s="5" t="n">
        <v>5672</v>
      </c>
      <c r="H279" s="5" t="n">
        <v>210567</v>
      </c>
      <c r="I279" s="9" t="n">
        <f aca="false">IF(H279=0,0,C279/H279)</f>
        <v>0.637464559973785</v>
      </c>
      <c r="J279" s="9" t="n">
        <f aca="false">IF(H279=0,0,D279/H279)</f>
        <v>0.245290097688622</v>
      </c>
      <c r="K279" s="9" t="n">
        <f aca="false">IF(H279=0,0,E279/H279)</f>
        <v>0.0898193924024182</v>
      </c>
      <c r="L279" s="9" t="n">
        <f aca="false">IF(H279=0,0,G279/H279)</f>
        <v>0.0269367944644697</v>
      </c>
      <c r="M279" s="4" t="str">
        <f aca="false">INDEX($C$3:$E$3,MATCH(MAX(C279:E279),C279:E279,0))</f>
        <v>Sigamos Haciendo Historia (PVEM-PT-Morena)</v>
      </c>
      <c r="N279" s="18" t="n">
        <f aca="false">IF(H279=0,0,(MAX(C279:E279)-LARGE(C279:E279,2))/H279*100)</f>
        <v>39.2174462285163</v>
      </c>
    </row>
    <row r="280" customFormat="false" ht="15" hidden="false" customHeight="false" outlineLevel="0" collapsed="false">
      <c r="A280" s="4" t="s">
        <v>83</v>
      </c>
      <c r="B280" s="4" t="n">
        <v>6</v>
      </c>
      <c r="C280" s="5" t="n">
        <v>119734</v>
      </c>
      <c r="D280" s="5" t="n">
        <v>48583</v>
      </c>
      <c r="E280" s="5" t="n">
        <v>14955</v>
      </c>
      <c r="F280" s="5" t="n">
        <v>57</v>
      </c>
      <c r="G280" s="5" t="n">
        <v>5734</v>
      </c>
      <c r="H280" s="5" t="n">
        <v>189063</v>
      </c>
      <c r="I280" s="9" t="n">
        <f aca="false">IF(H280=0,0,C280/H280)</f>
        <v>0.633302126804293</v>
      </c>
      <c r="J280" s="9" t="n">
        <f aca="false">IF(H280=0,0,D280/H280)</f>
        <v>0.256967254301476</v>
      </c>
      <c r="K280" s="9" t="n">
        <f aca="false">IF(H280=0,0,E280/H280)</f>
        <v>0.0791006172545659</v>
      </c>
      <c r="L280" s="9" t="n">
        <f aca="false">IF(H280=0,0,G280/H280)</f>
        <v>0.0303285148336798</v>
      </c>
      <c r="M280" s="4" t="str">
        <f aca="false">INDEX($C$3:$E$3,MATCH(MAX(C280:E280),C280:E280,0))</f>
        <v>Sigamos Haciendo Historia (PVEM-PT-Morena)</v>
      </c>
      <c r="N280" s="18" t="n">
        <f aca="false">IF(H280=0,0,(MAX(C280:E280)-LARGE(C280:E280,2))/H280*100)</f>
        <v>37.6334872502817</v>
      </c>
    </row>
    <row r="281" customFormat="false" ht="15" hidden="false" customHeight="false" outlineLevel="0" collapsed="false">
      <c r="A281" s="4" t="s">
        <v>83</v>
      </c>
      <c r="B281" s="4" t="n">
        <v>7</v>
      </c>
      <c r="C281" s="5" t="n">
        <v>122939</v>
      </c>
      <c r="D281" s="5" t="n">
        <v>44976</v>
      </c>
      <c r="E281" s="5" t="n">
        <v>12856</v>
      </c>
      <c r="F281" s="5" t="n">
        <v>122</v>
      </c>
      <c r="G281" s="5" t="n">
        <v>6275</v>
      </c>
      <c r="H281" s="5" t="n">
        <v>187168</v>
      </c>
      <c r="I281" s="9" t="n">
        <f aca="false">IF(H281=0,0,C281/H281)</f>
        <v>0.656837707300393</v>
      </c>
      <c r="J281" s="9" t="n">
        <f aca="false">IF(H281=0,0,D281/H281)</f>
        <v>0.240297486749872</v>
      </c>
      <c r="K281" s="9" t="n">
        <f aca="false">IF(H281=0,0,E281/H281)</f>
        <v>0.0686869550350487</v>
      </c>
      <c r="L281" s="9" t="n">
        <f aca="false">IF(H281=0,0,G281/H281)</f>
        <v>0.0335260300906138</v>
      </c>
      <c r="M281" s="4" t="str">
        <f aca="false">INDEX($C$3:$E$3,MATCH(MAX(C281:E281),C281:E281,0))</f>
        <v>Sigamos Haciendo Historia (PVEM-PT-Morena)</v>
      </c>
      <c r="N281" s="18" t="n">
        <f aca="false">IF(H281=0,0,(MAX(C281:E281)-LARGE(C281:E281,2))/H281*100)</f>
        <v>41.6540220550521</v>
      </c>
    </row>
    <row r="282" customFormat="false" ht="15" hidden="false" customHeight="false" outlineLevel="0" collapsed="false">
      <c r="A282" s="4" t="s">
        <v>83</v>
      </c>
      <c r="B282" s="4" t="n">
        <v>8</v>
      </c>
      <c r="C282" s="5" t="n">
        <v>128608</v>
      </c>
      <c r="D282" s="5" t="n">
        <v>50758</v>
      </c>
      <c r="E282" s="5" t="n">
        <v>17242</v>
      </c>
      <c r="F282" s="5" t="n">
        <v>117</v>
      </c>
      <c r="G282" s="5" t="n">
        <v>5675</v>
      </c>
      <c r="H282" s="5" t="n">
        <v>202400</v>
      </c>
      <c r="I282" s="9" t="n">
        <f aca="false">IF(H282=0,0,C282/H282)</f>
        <v>0.635415019762846</v>
      </c>
      <c r="J282" s="9" t="n">
        <f aca="false">IF(H282=0,0,D282/H282)</f>
        <v>0.250780632411067</v>
      </c>
      <c r="K282" s="9" t="n">
        <f aca="false">IF(H282=0,0,E282/H282)</f>
        <v>0.0851877470355731</v>
      </c>
      <c r="L282" s="9" t="n">
        <f aca="false">IF(H282=0,0,G282/H282)</f>
        <v>0.0280385375494071</v>
      </c>
      <c r="M282" s="4" t="str">
        <f aca="false">INDEX($C$3:$E$3,MATCH(MAX(C282:E282),C282:E282,0))</f>
        <v>Sigamos Haciendo Historia (PVEM-PT-Morena)</v>
      </c>
      <c r="N282" s="18" t="n">
        <f aca="false">IF(H282=0,0,(MAX(C282:E282)-LARGE(C282:E282,2))/H282*100)</f>
        <v>38.4634387351779</v>
      </c>
    </row>
    <row r="283" customFormat="false" ht="15" hidden="false" customHeight="false" outlineLevel="0" collapsed="false">
      <c r="A283" s="4" t="s">
        <v>83</v>
      </c>
      <c r="B283" s="4" t="n">
        <v>9</v>
      </c>
      <c r="C283" s="5" t="n">
        <v>112202</v>
      </c>
      <c r="D283" s="5" t="n">
        <v>60522</v>
      </c>
      <c r="E283" s="5" t="n">
        <v>16158</v>
      </c>
      <c r="F283" s="5" t="n">
        <v>129</v>
      </c>
      <c r="G283" s="5" t="n">
        <v>6700</v>
      </c>
      <c r="H283" s="5" t="n">
        <v>195711</v>
      </c>
      <c r="I283" s="9" t="n">
        <f aca="false">IF(H283=0,0,C283/H283)</f>
        <v>0.573304515331279</v>
      </c>
      <c r="J283" s="9" t="n">
        <f aca="false">IF(H283=0,0,D283/H283)</f>
        <v>0.309241687999142</v>
      </c>
      <c r="K283" s="9" t="n">
        <f aca="false">IF(H283=0,0,E283/H283)</f>
        <v>0.0825605101399513</v>
      </c>
      <c r="L283" s="9" t="n">
        <f aca="false">IF(H283=0,0,G283/H283)</f>
        <v>0.034234151376264</v>
      </c>
      <c r="M283" s="4" t="str">
        <f aca="false">INDEX($C$3:$E$3,MATCH(MAX(C283:E283),C283:E283,0))</f>
        <v>Sigamos Haciendo Historia (PVEM-PT-Morena)</v>
      </c>
      <c r="N283" s="18" t="n">
        <f aca="false">IF(H283=0,0,(MAX(C283:E283)-LARGE(C283:E283,2))/H283*100)</f>
        <v>26.4062827332138</v>
      </c>
    </row>
    <row r="284" customFormat="false" ht="15" hidden="false" customHeight="false" outlineLevel="0" collapsed="false">
      <c r="A284" s="4" t="s">
        <v>83</v>
      </c>
      <c r="B284" s="4" t="n">
        <v>10</v>
      </c>
      <c r="C284" s="5" t="n">
        <v>117161</v>
      </c>
      <c r="D284" s="5" t="n">
        <v>102519</v>
      </c>
      <c r="E284" s="5" t="n">
        <v>28270</v>
      </c>
      <c r="F284" s="5" t="n">
        <v>175</v>
      </c>
      <c r="G284" s="5" t="n">
        <v>6219</v>
      </c>
      <c r="H284" s="5" t="n">
        <v>254344</v>
      </c>
      <c r="I284" s="9" t="n">
        <f aca="false">IF(H284=0,0,C284/H284)</f>
        <v>0.460639920737269</v>
      </c>
      <c r="J284" s="9" t="n">
        <f aca="false">IF(H284=0,0,D284/H284)</f>
        <v>0.40307221715472</v>
      </c>
      <c r="K284" s="9" t="n">
        <f aca="false">IF(H284=0,0,E284/H284)</f>
        <v>0.11114868052716</v>
      </c>
      <c r="L284" s="9" t="n">
        <f aca="false">IF(H284=0,0,G284/H284)</f>
        <v>0.0244511370427453</v>
      </c>
      <c r="M284" s="4" t="str">
        <f aca="false">INDEX($C$3:$E$3,MATCH(MAX(C284:E284),C284:E284,0))</f>
        <v>Sigamos Haciendo Historia (PVEM-PT-Morena)</v>
      </c>
      <c r="N284" s="18" t="n">
        <f aca="false">IF(H284=0,0,(MAX(C284:E284)-LARGE(C284:E284,2))/H284*100)</f>
        <v>5.75677035825496</v>
      </c>
    </row>
    <row r="285" customFormat="false" ht="15" hidden="false" customHeight="false" outlineLevel="0" collapsed="false">
      <c r="A285" s="4" t="s">
        <v>83</v>
      </c>
      <c r="B285" s="4" t="n">
        <v>11</v>
      </c>
      <c r="C285" s="5" t="n">
        <v>145354</v>
      </c>
      <c r="D285" s="5" t="n">
        <v>32692</v>
      </c>
      <c r="E285" s="5" t="n">
        <v>16036</v>
      </c>
      <c r="F285" s="5" t="n">
        <v>101</v>
      </c>
      <c r="G285" s="5" t="n">
        <v>4005</v>
      </c>
      <c r="H285" s="5" t="n">
        <v>198188</v>
      </c>
      <c r="I285" s="9" t="n">
        <f aca="false">IF(H285=0,0,C285/H285)</f>
        <v>0.733414737521949</v>
      </c>
      <c r="J285" s="9" t="n">
        <f aca="false">IF(H285=0,0,D285/H285)</f>
        <v>0.164954487658183</v>
      </c>
      <c r="K285" s="9" t="n">
        <f aca="false">IF(H285=0,0,E285/H285)</f>
        <v>0.0809130724362726</v>
      </c>
      <c r="L285" s="9" t="n">
        <f aca="false">IF(H285=0,0,G285/H285)</f>
        <v>0.0202080852523866</v>
      </c>
      <c r="M285" s="4" t="str">
        <f aca="false">INDEX($C$3:$E$3,MATCH(MAX(C285:E285),C285:E285,0))</f>
        <v>Sigamos Haciendo Historia (PVEM-PT-Morena)</v>
      </c>
      <c r="N285" s="18" t="n">
        <f aca="false">IF(H285=0,0,(MAX(C285:E285)-LARGE(C285:E285,2))/H285*100)</f>
        <v>56.8460249863766</v>
      </c>
    </row>
    <row r="286" customFormat="false" ht="15" hidden="false" customHeight="false" outlineLevel="0" collapsed="false">
      <c r="A286" s="4" t="s">
        <v>83</v>
      </c>
      <c r="B286" s="4" t="n">
        <v>12</v>
      </c>
      <c r="C286" s="5" t="n">
        <v>94452</v>
      </c>
      <c r="D286" s="5" t="n">
        <v>64145</v>
      </c>
      <c r="E286" s="5" t="n">
        <v>15644</v>
      </c>
      <c r="F286" s="5" t="n">
        <v>93</v>
      </c>
      <c r="G286" s="5" t="n">
        <v>3280</v>
      </c>
      <c r="H286" s="5" t="n">
        <v>177614</v>
      </c>
      <c r="I286" s="9" t="n">
        <f aca="false">IF(H286=0,0,C286/H286)</f>
        <v>0.531782404540183</v>
      </c>
      <c r="J286" s="9" t="n">
        <f aca="false">IF(H286=0,0,D286/H286)</f>
        <v>0.361148332901686</v>
      </c>
      <c r="K286" s="9" t="n">
        <f aca="false">IF(H286=0,0,E286/H286)</f>
        <v>0.0880786424493565</v>
      </c>
      <c r="L286" s="9" t="n">
        <f aca="false">IF(H286=0,0,G286/H286)</f>
        <v>0.0184670127354826</v>
      </c>
      <c r="M286" s="4" t="str">
        <f aca="false">INDEX($C$3:$E$3,MATCH(MAX(C286:E286),C286:E286,0))</f>
        <v>Sigamos Haciendo Historia (PVEM-PT-Morena)</v>
      </c>
      <c r="N286" s="18" t="n">
        <f aca="false">IF(H286=0,0,(MAX(C286:E286)-LARGE(C286:E286,2))/H286*100)</f>
        <v>17.0634071638497</v>
      </c>
    </row>
    <row r="287" customFormat="false" ht="15" hidden="false" customHeight="false" outlineLevel="0" collapsed="false">
      <c r="A287" s="4" t="s">
        <v>83</v>
      </c>
      <c r="B287" s="4" t="n">
        <v>13</v>
      </c>
      <c r="C287" s="5" t="n">
        <v>97814</v>
      </c>
      <c r="D287" s="5" t="n">
        <v>60736</v>
      </c>
      <c r="E287" s="5" t="n">
        <v>11190</v>
      </c>
      <c r="F287" s="5" t="n">
        <v>61</v>
      </c>
      <c r="G287" s="5" t="n">
        <v>5606</v>
      </c>
      <c r="H287" s="5" t="n">
        <v>175407</v>
      </c>
      <c r="I287" s="9" t="n">
        <f aca="false">IF(H287=0,0,C287/H287)</f>
        <v>0.557640231005604</v>
      </c>
      <c r="J287" s="9" t="n">
        <f aca="false">IF(H287=0,0,D287/H287)</f>
        <v>0.346257560986734</v>
      </c>
      <c r="K287" s="9" t="n">
        <f aca="false">IF(H287=0,0,E287/H287)</f>
        <v>0.0637944893875387</v>
      </c>
      <c r="L287" s="9" t="n">
        <f aca="false">IF(H287=0,0,G287/H287)</f>
        <v>0.0319599559880735</v>
      </c>
      <c r="M287" s="4" t="str">
        <f aca="false">INDEX($C$3:$E$3,MATCH(MAX(C287:E287),C287:E287,0))</f>
        <v>Sigamos Haciendo Historia (PVEM-PT-Morena)</v>
      </c>
      <c r="N287" s="18" t="n">
        <f aca="false">IF(H287=0,0,(MAX(C287:E287)-LARGE(C287:E287,2))/H287*100)</f>
        <v>21.138267001887</v>
      </c>
    </row>
    <row r="288" customFormat="false" ht="15" hidden="false" customHeight="false" outlineLevel="0" collapsed="false">
      <c r="A288" s="4" t="s">
        <v>83</v>
      </c>
      <c r="B288" s="4" t="n">
        <v>14</v>
      </c>
      <c r="C288" s="5" t="n">
        <v>132131</v>
      </c>
      <c r="D288" s="5" t="n">
        <v>28696</v>
      </c>
      <c r="E288" s="5" t="n">
        <v>9960</v>
      </c>
      <c r="F288" s="5" t="n">
        <v>88</v>
      </c>
      <c r="G288" s="5" t="n">
        <v>4703</v>
      </c>
      <c r="H288" s="5" t="n">
        <v>175578</v>
      </c>
      <c r="I288" s="9" t="n">
        <f aca="false">IF(H288=0,0,C288/H288)</f>
        <v>0.752548724783287</v>
      </c>
      <c r="J288" s="9" t="n">
        <f aca="false">IF(H288=0,0,D288/H288)</f>
        <v>0.16343733269544</v>
      </c>
      <c r="K288" s="9" t="n">
        <f aca="false">IF(H288=0,0,E288/H288)</f>
        <v>0.0567269247855654</v>
      </c>
      <c r="L288" s="9" t="n">
        <f aca="false">IF(H288=0,0,G288/H288)</f>
        <v>0.0267858159906139</v>
      </c>
      <c r="M288" s="4" t="str">
        <f aca="false">INDEX($C$3:$E$3,MATCH(MAX(C288:E288),C288:E288,0))</f>
        <v>Sigamos Haciendo Historia (PVEM-PT-Morena)</v>
      </c>
      <c r="N288" s="18" t="n">
        <f aca="false">IF(H288=0,0,(MAX(C288:E288)-LARGE(C288:E288,2))/H288*100)</f>
        <v>58.9111392087847</v>
      </c>
    </row>
    <row r="289" customFormat="false" ht="15" hidden="false" customHeight="false" outlineLevel="0" collapsed="false">
      <c r="A289" s="4" t="s">
        <v>83</v>
      </c>
      <c r="B289" s="4" t="n">
        <v>15</v>
      </c>
      <c r="C289" s="5" t="n">
        <v>105668</v>
      </c>
      <c r="D289" s="5" t="n">
        <v>54922</v>
      </c>
      <c r="E289" s="5" t="n">
        <v>18884</v>
      </c>
      <c r="F289" s="5" t="n">
        <v>109</v>
      </c>
      <c r="G289" s="5" t="n">
        <v>6283</v>
      </c>
      <c r="H289" s="5" t="n">
        <v>185866</v>
      </c>
      <c r="I289" s="9" t="n">
        <f aca="false">IF(H289=0,0,C289/H289)</f>
        <v>0.568517103719884</v>
      </c>
      <c r="J289" s="9" t="n">
        <f aca="false">IF(H289=0,0,D289/H289)</f>
        <v>0.295492451551118</v>
      </c>
      <c r="K289" s="9" t="n">
        <f aca="false">IF(H289=0,0,E289/H289)</f>
        <v>0.10160007747517</v>
      </c>
      <c r="L289" s="9" t="n">
        <f aca="false">IF(H289=0,0,G289/H289)</f>
        <v>0.0338039232565397</v>
      </c>
      <c r="M289" s="4" t="str">
        <f aca="false">INDEX($C$3:$E$3,MATCH(MAX(C289:E289),C289:E289,0))</f>
        <v>Sigamos Haciendo Historia (PVEM-PT-Morena)</v>
      </c>
      <c r="N289" s="18" t="n">
        <f aca="false">IF(H289=0,0,(MAX(C289:E289)-LARGE(C289:E289,2))/H289*100)</f>
        <v>27.3024652168767</v>
      </c>
    </row>
    <row r="290" customFormat="false" ht="15" hidden="false" customHeight="false" outlineLevel="0" collapsed="false">
      <c r="A290" s="4" t="s">
        <v>83</v>
      </c>
      <c r="B290" s="4" t="n">
        <v>16</v>
      </c>
      <c r="C290" s="5" t="n">
        <v>126498</v>
      </c>
      <c r="D290" s="5" t="n">
        <v>56343</v>
      </c>
      <c r="E290" s="5" t="n">
        <v>21608</v>
      </c>
      <c r="F290" s="5" t="n">
        <v>165</v>
      </c>
      <c r="G290" s="5" t="n">
        <v>5420</v>
      </c>
      <c r="H290" s="5" t="n">
        <v>210034</v>
      </c>
      <c r="I290" s="9" t="n">
        <f aca="false">IF(H290=0,0,C290/H290)</f>
        <v>0.602273917556205</v>
      </c>
      <c r="J290" s="9" t="n">
        <f aca="false">IF(H290=0,0,D290/H290)</f>
        <v>0.268256567984231</v>
      </c>
      <c r="K290" s="9" t="n">
        <f aca="false">IF(H290=0,0,E290/H290)</f>
        <v>0.102878581562985</v>
      </c>
      <c r="L290" s="9" t="n">
        <f aca="false">IF(H290=0,0,G290/H290)</f>
        <v>0.025805345801156</v>
      </c>
      <c r="M290" s="4" t="str">
        <f aca="false">INDEX($C$3:$E$3,MATCH(MAX(C290:E290),C290:E290,0))</f>
        <v>Sigamos Haciendo Historia (PVEM-PT-Morena)</v>
      </c>
      <c r="N290" s="18" t="n">
        <f aca="false">IF(H290=0,0,(MAX(C290:E290)-LARGE(C290:E290,2))/H290*100)</f>
        <v>33.4017349571974</v>
      </c>
    </row>
    <row r="291" customFormat="false" ht="15" hidden="false" customHeight="false" outlineLevel="0" collapsed="false">
      <c r="A291" s="4" t="s">
        <v>83</v>
      </c>
      <c r="B291" s="4" t="n">
        <v>17</v>
      </c>
      <c r="C291" s="5" t="n">
        <v>121260</v>
      </c>
      <c r="D291" s="5" t="n">
        <v>52329</v>
      </c>
      <c r="E291" s="5" t="n">
        <v>11264</v>
      </c>
      <c r="F291" s="5" t="n">
        <v>134</v>
      </c>
      <c r="G291" s="5" t="n">
        <v>6124</v>
      </c>
      <c r="H291" s="5" t="n">
        <v>191111</v>
      </c>
      <c r="I291" s="9" t="n">
        <f aca="false">IF(H291=0,0,C291/H291)</f>
        <v>0.634500368895563</v>
      </c>
      <c r="J291" s="9" t="n">
        <f aca="false">IF(H291=0,0,D291/H291)</f>
        <v>0.273814694078311</v>
      </c>
      <c r="K291" s="9" t="n">
        <f aca="false">IF(H291=0,0,E291/H291)</f>
        <v>0.0589395691509123</v>
      </c>
      <c r="L291" s="9" t="n">
        <f aca="false">IF(H291=0,0,G291/H291)</f>
        <v>0.0320442046768632</v>
      </c>
      <c r="M291" s="4" t="str">
        <f aca="false">INDEX($C$3:$E$3,MATCH(MAX(C291:E291),C291:E291,0))</f>
        <v>Sigamos Haciendo Historia (PVEM-PT-Morena)</v>
      </c>
      <c r="N291" s="18" t="n">
        <f aca="false">IF(H291=0,0,(MAX(C291:E291)-LARGE(C291:E291,2))/H291*100)</f>
        <v>36.0685674817253</v>
      </c>
    </row>
    <row r="292" customFormat="false" ht="15" hidden="false" customHeight="false" outlineLevel="0" collapsed="false">
      <c r="A292" s="4" t="s">
        <v>83</v>
      </c>
      <c r="B292" s="4" t="n">
        <v>18</v>
      </c>
      <c r="C292" s="5" t="n">
        <v>102827</v>
      </c>
      <c r="D292" s="5" t="n">
        <v>53707</v>
      </c>
      <c r="E292" s="5" t="n">
        <v>12501</v>
      </c>
      <c r="F292" s="5" t="n">
        <v>97</v>
      </c>
      <c r="G292" s="5" t="n">
        <v>8244</v>
      </c>
      <c r="H292" s="5" t="n">
        <v>177376</v>
      </c>
      <c r="I292" s="9" t="n">
        <f aca="false">IF(H292=0,0,C292/H292)</f>
        <v>0.579712024174635</v>
      </c>
      <c r="J292" s="9" t="n">
        <f aca="false">IF(H292=0,0,D292/H292)</f>
        <v>0.302786171748151</v>
      </c>
      <c r="K292" s="9" t="n">
        <f aca="false">IF(H292=0,0,E292/H292)</f>
        <v>0.0704774039328883</v>
      </c>
      <c r="L292" s="9" t="n">
        <f aca="false">IF(H292=0,0,G292/H292)</f>
        <v>0.0464775392386794</v>
      </c>
      <c r="M292" s="4" t="str">
        <f aca="false">INDEX($C$3:$E$3,MATCH(MAX(C292:E292),C292:E292,0))</f>
        <v>Sigamos Haciendo Historia (PVEM-PT-Morena)</v>
      </c>
      <c r="N292" s="18" t="n">
        <f aca="false">IF(H292=0,0,(MAX(C292:E292)-LARGE(C292:E292,2))/H292*100)</f>
        <v>27.6925852426484</v>
      </c>
    </row>
    <row r="293" customFormat="false" ht="15" hidden="false" customHeight="false" outlineLevel="0" collapsed="false">
      <c r="A293" s="4" t="s">
        <v>83</v>
      </c>
      <c r="B293" s="4" t="n">
        <v>19</v>
      </c>
      <c r="C293" s="5" t="n">
        <v>110783</v>
      </c>
      <c r="D293" s="5" t="n">
        <v>43290</v>
      </c>
      <c r="E293" s="5" t="n">
        <v>12971</v>
      </c>
      <c r="F293" s="5" t="n">
        <v>74</v>
      </c>
      <c r="G293" s="5" t="n">
        <v>7177</v>
      </c>
      <c r="H293" s="5" t="n">
        <v>174295</v>
      </c>
      <c r="I293" s="9" t="n">
        <f aca="false">IF(H293=0,0,C293/H293)</f>
        <v>0.635606299664362</v>
      </c>
      <c r="J293" s="9" t="n">
        <f aca="false">IF(H293=0,0,D293/H293)</f>
        <v>0.248372012966522</v>
      </c>
      <c r="K293" s="9" t="n">
        <f aca="false">IF(H293=0,0,E293/H293)</f>
        <v>0.0744198055021659</v>
      </c>
      <c r="L293" s="9" t="n">
        <f aca="false">IF(H293=0,0,G293/H293)</f>
        <v>0.0411773143234172</v>
      </c>
      <c r="M293" s="4" t="str">
        <f aca="false">INDEX($C$3:$E$3,MATCH(MAX(C293:E293),C293:E293,0))</f>
        <v>Sigamos Haciendo Historia (PVEM-PT-Morena)</v>
      </c>
      <c r="N293" s="18" t="n">
        <f aca="false">IF(H293=0,0,(MAX(C293:E293)-LARGE(C293:E293,2))/H293*100)</f>
        <v>38.723428669784</v>
      </c>
    </row>
    <row r="294" customFormat="false" ht="15" hidden="false" customHeight="false" outlineLevel="0" collapsed="false">
      <c r="A294" s="4" t="s">
        <v>84</v>
      </c>
      <c r="B294" s="4" t="n">
        <v>1</v>
      </c>
      <c r="C294" s="5" t="n">
        <v>118101</v>
      </c>
      <c r="D294" s="5" t="n">
        <v>84101</v>
      </c>
      <c r="E294" s="5" t="n">
        <v>5517</v>
      </c>
      <c r="F294" s="5" t="n">
        <v>38</v>
      </c>
      <c r="G294" s="5" t="n">
        <v>5563</v>
      </c>
      <c r="H294" s="5" t="n">
        <v>213320</v>
      </c>
      <c r="I294" s="9" t="n">
        <f aca="false">IF(H294=0,0,C294/H294)</f>
        <v>0.553633039564973</v>
      </c>
      <c r="J294" s="9" t="n">
        <f aca="false">IF(H294=0,0,D294/H294)</f>
        <v>0.394248078004875</v>
      </c>
      <c r="K294" s="9" t="n">
        <f aca="false">IF(H294=0,0,E294/H294)</f>
        <v>0.0258625539096194</v>
      </c>
      <c r="L294" s="9" t="n">
        <f aca="false">IF(H294=0,0,G294/H294)</f>
        <v>0.0260781923870242</v>
      </c>
      <c r="M294" s="4" t="str">
        <f aca="false">INDEX($C$3:$E$3,MATCH(MAX(C294:E294),C294:E294,0))</f>
        <v>Sigamos Haciendo Historia (PVEM-PT-Morena)</v>
      </c>
      <c r="N294" s="18" t="n">
        <f aca="false">IF(H294=0,0,(MAX(C294:E294)-LARGE(C294:E294,2))/H294*100)</f>
        <v>15.9384961560098</v>
      </c>
    </row>
    <row r="295" customFormat="false" ht="15" hidden="false" customHeight="false" outlineLevel="0" collapsed="false">
      <c r="A295" s="4" t="s">
        <v>84</v>
      </c>
      <c r="B295" s="4" t="n">
        <v>2</v>
      </c>
      <c r="C295" s="5" t="n">
        <v>134238</v>
      </c>
      <c r="D295" s="5" t="n">
        <v>96188</v>
      </c>
      <c r="E295" s="5" t="n">
        <v>12757</v>
      </c>
      <c r="F295" s="5" t="n">
        <v>114</v>
      </c>
      <c r="G295" s="5" t="n">
        <v>8604</v>
      </c>
      <c r="H295" s="5" t="n">
        <v>251901</v>
      </c>
      <c r="I295" s="9" t="n">
        <f aca="false">IF(H295=0,0,C295/H295)</f>
        <v>0.532899829694999</v>
      </c>
      <c r="J295" s="9" t="n">
        <f aca="false">IF(H295=0,0,D295/H295)</f>
        <v>0.381848424579498</v>
      </c>
      <c r="K295" s="9" t="n">
        <f aca="false">IF(H295=0,0,E295/H295)</f>
        <v>0.0506429113024561</v>
      </c>
      <c r="L295" s="9" t="n">
        <f aca="false">IF(H295=0,0,G295/H295)</f>
        <v>0.0341562756797313</v>
      </c>
      <c r="M295" s="4" t="str">
        <f aca="false">INDEX($C$3:$E$3,MATCH(MAX(C295:E295),C295:E295,0))</f>
        <v>Sigamos Haciendo Historia (PVEM-PT-Morena)</v>
      </c>
      <c r="N295" s="18" t="n">
        <f aca="false">IF(H295=0,0,(MAX(C295:E295)-LARGE(C295:E295,2))/H295*100)</f>
        <v>15.1051405115502</v>
      </c>
    </row>
    <row r="296" customFormat="false" ht="15" hidden="false" customHeight="false" outlineLevel="0" collapsed="false">
      <c r="A296" s="4" t="s">
        <v>84</v>
      </c>
      <c r="B296" s="4" t="n">
        <v>3</v>
      </c>
      <c r="C296" s="5" t="n">
        <v>101067</v>
      </c>
      <c r="D296" s="5" t="n">
        <v>69736</v>
      </c>
      <c r="E296" s="5" t="n">
        <v>14206</v>
      </c>
      <c r="F296" s="5" t="n">
        <v>117</v>
      </c>
      <c r="G296" s="5" t="n">
        <v>5540</v>
      </c>
      <c r="H296" s="5" t="n">
        <v>190666</v>
      </c>
      <c r="I296" s="9" t="n">
        <f aca="false">IF(H296=0,0,C296/H296)</f>
        <v>0.530073531725635</v>
      </c>
      <c r="J296" s="9" t="n">
        <f aca="false">IF(H296=0,0,D296/H296)</f>
        <v>0.365749530592764</v>
      </c>
      <c r="K296" s="9" t="n">
        <f aca="false">IF(H296=0,0,E296/H296)</f>
        <v>0.0745072535218655</v>
      </c>
      <c r="L296" s="9" t="n">
        <f aca="false">IF(H296=0,0,G296/H296)</f>
        <v>0.0290560456505093</v>
      </c>
      <c r="M296" s="4" t="str">
        <f aca="false">INDEX($C$3:$E$3,MATCH(MAX(C296:E296),C296:E296,0))</f>
        <v>Sigamos Haciendo Historia (PVEM-PT-Morena)</v>
      </c>
      <c r="N296" s="18" t="n">
        <f aca="false">IF(H296=0,0,(MAX(C296:E296)-LARGE(C296:E296,2))/H296*100)</f>
        <v>16.4324001132871</v>
      </c>
    </row>
    <row r="297" customFormat="false" ht="15" hidden="false" customHeight="false" outlineLevel="0" collapsed="false">
      <c r="A297" s="4" t="s">
        <v>84</v>
      </c>
      <c r="B297" s="4" t="n">
        <v>4</v>
      </c>
      <c r="C297" s="5" t="n">
        <v>71230</v>
      </c>
      <c r="D297" s="5" t="n">
        <v>117932</v>
      </c>
      <c r="E297" s="5" t="n">
        <v>14727</v>
      </c>
      <c r="F297" s="5" t="n">
        <v>165</v>
      </c>
      <c r="G297" s="5" t="n">
        <v>3890</v>
      </c>
      <c r="H297" s="5" t="n">
        <v>207944</v>
      </c>
      <c r="I297" s="9" t="n">
        <f aca="false">IF(H297=0,0,C297/H297)</f>
        <v>0.342544146500981</v>
      </c>
      <c r="J297" s="9" t="n">
        <f aca="false">IF(H297=0,0,D297/H297)</f>
        <v>0.567133459008195</v>
      </c>
      <c r="K297" s="9" t="n">
        <f aca="false">IF(H297=0,0,E297/H297)</f>
        <v>0.0708219520640172</v>
      </c>
      <c r="L297" s="9" t="n">
        <f aca="false">IF(H297=0,0,G297/H297)</f>
        <v>0.018706959566037</v>
      </c>
      <c r="M297" s="4" t="str">
        <f aca="false">INDEX($C$3:$E$3,MATCH(MAX(C297:E297),C297:E297,0))</f>
        <v>Fuerza y Corazón por México (PAN-PRI-PRD)</v>
      </c>
      <c r="N297" s="18" t="n">
        <f aca="false">IF(H297=0,0,(MAX(C297:E297)-LARGE(C297:E297,2))/H297*100)</f>
        <v>22.4589312507214</v>
      </c>
    </row>
    <row r="298" customFormat="false" ht="15" hidden="false" customHeight="false" outlineLevel="0" collapsed="false">
      <c r="A298" s="4" t="s">
        <v>84</v>
      </c>
      <c r="B298" s="4" t="n">
        <v>5</v>
      </c>
      <c r="C298" s="5" t="n">
        <v>139511</v>
      </c>
      <c r="D298" s="5" t="n">
        <v>76004</v>
      </c>
      <c r="E298" s="5" t="n">
        <v>12151</v>
      </c>
      <c r="F298" s="5" t="n">
        <v>69</v>
      </c>
      <c r="G298" s="5" t="n">
        <v>8131</v>
      </c>
      <c r="H298" s="5" t="n">
        <v>235866</v>
      </c>
      <c r="I298" s="9" t="n">
        <f aca="false">IF(H298=0,0,C298/H298)</f>
        <v>0.591484147778824</v>
      </c>
      <c r="J298" s="9" t="n">
        <f aca="false">IF(H298=0,0,D298/H298)</f>
        <v>0.322233810723038</v>
      </c>
      <c r="K298" s="9" t="n">
        <f aca="false">IF(H298=0,0,E298/H298)</f>
        <v>0.0515165390518345</v>
      </c>
      <c r="L298" s="9" t="n">
        <f aca="false">IF(H298=0,0,G298/H298)</f>
        <v>0.0344729634623049</v>
      </c>
      <c r="M298" s="4" t="str">
        <f aca="false">INDEX($C$3:$E$3,MATCH(MAX(C298:E298),C298:E298,0))</f>
        <v>Sigamos Haciendo Historia (PVEM-PT-Morena)</v>
      </c>
      <c r="N298" s="18" t="n">
        <f aca="false">IF(H298=0,0,(MAX(C298:E298)-LARGE(C298:E298,2))/H298*100)</f>
        <v>26.9250337055786</v>
      </c>
    </row>
    <row r="299" customFormat="false" ht="15" hidden="false" customHeight="false" outlineLevel="0" collapsed="false">
      <c r="A299" s="4" t="s">
        <v>84</v>
      </c>
      <c r="B299" s="4" t="n">
        <v>6</v>
      </c>
      <c r="C299" s="5" t="n">
        <v>97005</v>
      </c>
      <c r="D299" s="5" t="n">
        <v>66185</v>
      </c>
      <c r="E299" s="5" t="n">
        <v>12581</v>
      </c>
      <c r="F299" s="5" t="n">
        <v>91</v>
      </c>
      <c r="G299" s="5" t="n">
        <v>5628</v>
      </c>
      <c r="H299" s="5" t="n">
        <v>181490</v>
      </c>
      <c r="I299" s="9" t="n">
        <f aca="false">IF(H299=0,0,C299/H299)</f>
        <v>0.534492258526641</v>
      </c>
      <c r="J299" s="9" t="n">
        <f aca="false">IF(H299=0,0,D299/H299)</f>
        <v>0.364675739710177</v>
      </c>
      <c r="K299" s="9" t="n">
        <f aca="false">IF(H299=0,0,E299/H299)</f>
        <v>0.0693206237258251</v>
      </c>
      <c r="L299" s="9" t="n">
        <f aca="false">IF(H299=0,0,G299/H299)</f>
        <v>0.0310099730012673</v>
      </c>
      <c r="M299" s="4" t="str">
        <f aca="false">INDEX($C$3:$E$3,MATCH(MAX(C299:E299),C299:E299,0))</f>
        <v>Sigamos Haciendo Historia (PVEM-PT-Morena)</v>
      </c>
      <c r="N299" s="18" t="n">
        <f aca="false">IF(H299=0,0,(MAX(C299:E299)-LARGE(C299:E299,2))/H299*100)</f>
        <v>16.9816518816464</v>
      </c>
    </row>
    <row r="300" customFormat="false" ht="15" hidden="false" customHeight="false" outlineLevel="0" collapsed="false">
      <c r="A300" s="4" t="s">
        <v>85</v>
      </c>
      <c r="B300" s="4" t="n">
        <v>1</v>
      </c>
      <c r="C300" s="5" t="n">
        <v>80144</v>
      </c>
      <c r="D300" s="5" t="n">
        <v>72699</v>
      </c>
      <c r="E300" s="5" t="n">
        <v>22224</v>
      </c>
      <c r="F300" s="5" t="n">
        <v>147</v>
      </c>
      <c r="G300" s="5" t="n">
        <v>6594</v>
      </c>
      <c r="H300" s="5" t="n">
        <v>181808</v>
      </c>
      <c r="I300" s="9" t="n">
        <f aca="false">IF(H300=0,0,C300/H300)</f>
        <v>0.440816685734401</v>
      </c>
      <c r="J300" s="9" t="n">
        <f aca="false">IF(H300=0,0,D300/H300)</f>
        <v>0.399866892545983</v>
      </c>
      <c r="K300" s="9" t="n">
        <f aca="false">IF(H300=0,0,E300/H300)</f>
        <v>0.122238845375341</v>
      </c>
      <c r="L300" s="9" t="n">
        <f aca="false">IF(H300=0,0,G300/H300)</f>
        <v>0.0362690310657397</v>
      </c>
      <c r="M300" s="4" t="str">
        <f aca="false">INDEX($C$3:$E$3,MATCH(MAX(C300:E300),C300:E300,0))</f>
        <v>Sigamos Haciendo Historia (PVEM-PT-Morena)</v>
      </c>
      <c r="N300" s="18" t="n">
        <f aca="false">IF(H300=0,0,(MAX(C300:E300)-LARGE(C300:E300,2))/H300*100)</f>
        <v>4.09497931884186</v>
      </c>
    </row>
    <row r="301" customFormat="false" ht="15" hidden="false" customHeight="false" outlineLevel="0" collapsed="false">
      <c r="A301" s="4" t="s">
        <v>85</v>
      </c>
      <c r="B301" s="4" t="n">
        <v>2</v>
      </c>
      <c r="C301" s="5" t="n">
        <v>95064</v>
      </c>
      <c r="D301" s="5" t="n">
        <v>71631</v>
      </c>
      <c r="E301" s="5" t="n">
        <v>25990</v>
      </c>
      <c r="F301" s="5" t="n">
        <v>165</v>
      </c>
      <c r="G301" s="5" t="n">
        <v>9059</v>
      </c>
      <c r="H301" s="5" t="n">
        <v>201909</v>
      </c>
      <c r="I301" s="9" t="n">
        <f aca="false">IF(H301=0,0,C301/H301)</f>
        <v>0.470825966153069</v>
      </c>
      <c r="J301" s="9" t="n">
        <f aca="false">IF(H301=0,0,D301/H301)</f>
        <v>0.354768732448776</v>
      </c>
      <c r="K301" s="9" t="n">
        <f aca="false">IF(H301=0,0,E301/H301)</f>
        <v>0.128721354669678</v>
      </c>
      <c r="L301" s="9" t="n">
        <f aca="false">IF(H301=0,0,G301/H301)</f>
        <v>0.0448667469008316</v>
      </c>
      <c r="M301" s="4" t="str">
        <f aca="false">INDEX($C$3:$E$3,MATCH(MAX(C301:E301),C301:E301,0))</f>
        <v>Sigamos Haciendo Historia (PVEM-PT-Morena)</v>
      </c>
      <c r="N301" s="18" t="n">
        <f aca="false">IF(H301=0,0,(MAX(C301:E301)-LARGE(C301:E301,2))/H301*100)</f>
        <v>11.6057233704293</v>
      </c>
    </row>
    <row r="302" customFormat="false" ht="15" hidden="false" customHeight="false" outlineLevel="0" collapsed="false">
      <c r="A302" s="4" t="s">
        <v>85</v>
      </c>
      <c r="B302" s="4" t="n">
        <v>3</v>
      </c>
      <c r="C302" s="5" t="n">
        <v>93042</v>
      </c>
      <c r="D302" s="5" t="n">
        <v>72405</v>
      </c>
      <c r="E302" s="5" t="n">
        <v>30453</v>
      </c>
      <c r="F302" s="5" t="n">
        <v>296</v>
      </c>
      <c r="G302" s="5" t="n">
        <v>9055</v>
      </c>
      <c r="H302" s="5" t="n">
        <v>205251</v>
      </c>
      <c r="I302" s="9" t="n">
        <f aca="false">IF(H302=0,0,C302/H302)</f>
        <v>0.453308388266074</v>
      </c>
      <c r="J302" s="9" t="n">
        <f aca="false">IF(H302=0,0,D302/H302)</f>
        <v>0.352763202128126</v>
      </c>
      <c r="K302" s="9" t="n">
        <f aca="false">IF(H302=0,0,E302/H302)</f>
        <v>0.148369557273777</v>
      </c>
      <c r="L302" s="9" t="n">
        <f aca="false">IF(H302=0,0,G302/H302)</f>
        <v>0.0441167156311053</v>
      </c>
      <c r="M302" s="4" t="str">
        <f aca="false">INDEX($C$3:$E$3,MATCH(MAX(C302:E302),C302:E302,0))</f>
        <v>Sigamos Haciendo Historia (PVEM-PT-Morena)</v>
      </c>
      <c r="N302" s="18" t="n">
        <f aca="false">IF(H302=0,0,(MAX(C302:E302)-LARGE(C302:E302,2))/H302*100)</f>
        <v>10.0545186137948</v>
      </c>
    </row>
    <row r="303" customFormat="false" ht="15" hidden="false" customHeight="false" outlineLevel="0" collapsed="false">
      <c r="A303" s="4" t="s">
        <v>85</v>
      </c>
      <c r="B303" s="4" t="n">
        <v>4</v>
      </c>
      <c r="C303" s="5" t="n">
        <v>87719</v>
      </c>
      <c r="D303" s="5" t="n">
        <v>57777</v>
      </c>
      <c r="E303" s="5" t="n">
        <v>26335</v>
      </c>
      <c r="F303" s="5" t="n">
        <v>158</v>
      </c>
      <c r="G303" s="5" t="n">
        <v>6796</v>
      </c>
      <c r="H303" s="5" t="n">
        <v>178785</v>
      </c>
      <c r="I303" s="9" t="n">
        <f aca="false">IF(H303=0,0,C303/H303)</f>
        <v>0.490639595044327</v>
      </c>
      <c r="J303" s="9" t="n">
        <f aca="false">IF(H303=0,0,D303/H303)</f>
        <v>0.32316469502475</v>
      </c>
      <c r="K303" s="9" t="n">
        <f aca="false">IF(H303=0,0,E303/H303)</f>
        <v>0.147299829404033</v>
      </c>
      <c r="L303" s="9" t="n">
        <f aca="false">IF(H303=0,0,G303/H303)</f>
        <v>0.0380121374835697</v>
      </c>
      <c r="M303" s="4" t="str">
        <f aca="false">INDEX($C$3:$E$3,MATCH(MAX(C303:E303),C303:E303,0))</f>
        <v>Sigamos Haciendo Historia (PVEM-PT-Morena)</v>
      </c>
      <c r="N303" s="18" t="n">
        <f aca="false">IF(H303=0,0,(MAX(C303:E303)-LARGE(C303:E303,2))/H303*100)</f>
        <v>16.7474900019577</v>
      </c>
    </row>
  </sheetData>
  <autoFilter ref="A3:N3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1" min="2" style="0" width="13"/>
  </cols>
  <sheetData>
    <row r="1" customFormat="false" ht="16.15" hidden="false" customHeight="false" outlineLevel="0" collapsed="false">
      <c r="A1" s="12" t="s">
        <v>86</v>
      </c>
    </row>
    <row r="3" customFormat="false" ht="31.5" hidden="false" customHeight="true" outlineLevel="0" collapsed="false">
      <c r="A3" s="3" t="s">
        <v>41</v>
      </c>
      <c r="B3" s="3" t="s">
        <v>16</v>
      </c>
      <c r="C3" s="3" t="s">
        <v>24</v>
      </c>
      <c r="D3" s="3" t="s">
        <v>87</v>
      </c>
      <c r="E3" s="3" t="s">
        <v>88</v>
      </c>
      <c r="F3" s="3" t="s">
        <v>23</v>
      </c>
      <c r="G3" s="3" t="s">
        <v>89</v>
      </c>
      <c r="H3" s="3" t="s">
        <v>10</v>
      </c>
      <c r="I3" s="3" t="s">
        <v>21</v>
      </c>
      <c r="J3" s="3" t="s">
        <v>22</v>
      </c>
      <c r="K3" s="3" t="s">
        <v>90</v>
      </c>
      <c r="L3" s="3" t="s">
        <v>91</v>
      </c>
      <c r="M3" s="3" t="s">
        <v>92</v>
      </c>
      <c r="N3" s="3" t="s">
        <v>20</v>
      </c>
      <c r="O3" s="3" t="s">
        <v>93</v>
      </c>
      <c r="P3" s="3" t="s">
        <v>94</v>
      </c>
      <c r="Q3" s="3" t="s">
        <v>95</v>
      </c>
      <c r="R3" s="3" t="s">
        <v>11</v>
      </c>
      <c r="S3" s="3" t="s">
        <v>12</v>
      </c>
      <c r="T3" s="3" t="s">
        <v>42</v>
      </c>
      <c r="U3" s="3" t="s">
        <v>14</v>
      </c>
    </row>
    <row r="4" customFormat="false" ht="15" hidden="false" customHeight="false" outlineLevel="0" collapsed="false">
      <c r="A4" s="4" t="s">
        <v>54</v>
      </c>
      <c r="B4" s="5" t="n">
        <v>1858</v>
      </c>
      <c r="C4" s="5" t="n">
        <v>281800</v>
      </c>
      <c r="D4" s="5" t="n">
        <v>45446</v>
      </c>
      <c r="E4" s="5" t="n">
        <v>14398</v>
      </c>
      <c r="F4" s="5" t="n">
        <v>21294</v>
      </c>
      <c r="G4" s="5" t="n">
        <v>14967</v>
      </c>
      <c r="H4" s="5" t="n">
        <v>44686</v>
      </c>
      <c r="I4" s="5" t="n">
        <v>198024</v>
      </c>
      <c r="J4" s="5" t="n">
        <v>9400</v>
      </c>
      <c r="K4" s="5" t="n">
        <v>3692</v>
      </c>
      <c r="L4" s="5" t="n">
        <v>607</v>
      </c>
      <c r="M4" s="5" t="n">
        <v>114</v>
      </c>
      <c r="N4" s="5" t="n">
        <v>8132</v>
      </c>
      <c r="O4" s="5" t="n">
        <v>664</v>
      </c>
      <c r="P4" s="5" t="n">
        <v>2019</v>
      </c>
      <c r="Q4" s="5" t="n">
        <v>1671</v>
      </c>
      <c r="R4" s="5" t="n">
        <v>506</v>
      </c>
      <c r="S4" s="5" t="n">
        <v>17062</v>
      </c>
      <c r="T4" s="5" t="n">
        <v>664482</v>
      </c>
      <c r="U4" s="5" t="n">
        <v>1099895</v>
      </c>
    </row>
    <row r="5" customFormat="false" ht="15" hidden="false" customHeight="false" outlineLevel="0" collapsed="false">
      <c r="A5" s="4" t="s">
        <v>55</v>
      </c>
      <c r="B5" s="5" t="n">
        <v>5428</v>
      </c>
      <c r="C5" s="5" t="n">
        <v>226913</v>
      </c>
      <c r="D5" s="5" t="n">
        <v>65223</v>
      </c>
      <c r="E5" s="5" t="n">
        <v>15028</v>
      </c>
      <c r="F5" s="5" t="n">
        <v>160834</v>
      </c>
      <c r="G5" s="5" t="n">
        <v>77496</v>
      </c>
      <c r="H5" s="5" t="n">
        <v>129202</v>
      </c>
      <c r="I5" s="5" t="n">
        <v>784547</v>
      </c>
      <c r="J5" s="5" t="n">
        <v>9022</v>
      </c>
      <c r="K5" s="5" t="n">
        <v>2964</v>
      </c>
      <c r="L5" s="5" t="n">
        <v>354</v>
      </c>
      <c r="M5" s="5" t="n">
        <v>133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1685</v>
      </c>
      <c r="S5" s="5" t="n">
        <v>84366</v>
      </c>
      <c r="T5" s="5" t="n">
        <v>1557767</v>
      </c>
      <c r="U5" s="5" t="n">
        <v>3201669</v>
      </c>
    </row>
    <row r="6" customFormat="false" ht="15" hidden="false" customHeight="false" outlineLevel="0" collapsed="false">
      <c r="A6" s="4" t="s">
        <v>56</v>
      </c>
      <c r="B6" s="5" t="n">
        <v>1133</v>
      </c>
      <c r="C6" s="5" t="n">
        <v>93203</v>
      </c>
      <c r="D6" s="5" t="n">
        <v>13995</v>
      </c>
      <c r="E6" s="5" t="n">
        <v>3595</v>
      </c>
      <c r="F6" s="5" t="n">
        <v>14386</v>
      </c>
      <c r="G6" s="5" t="n">
        <v>18952</v>
      </c>
      <c r="H6" s="5" t="n">
        <v>28612</v>
      </c>
      <c r="I6" s="5" t="n">
        <v>134920</v>
      </c>
      <c r="J6" s="5" t="n">
        <v>5041</v>
      </c>
      <c r="K6" s="5" t="n">
        <v>1439</v>
      </c>
      <c r="L6" s="5" t="n">
        <v>240</v>
      </c>
      <c r="M6" s="5" t="n">
        <v>52</v>
      </c>
      <c r="N6" s="5" t="n">
        <v>9325</v>
      </c>
      <c r="O6" s="5" t="n">
        <v>1273</v>
      </c>
      <c r="P6" s="5" t="n">
        <v>1637</v>
      </c>
      <c r="Q6" s="5" t="n">
        <v>2680</v>
      </c>
      <c r="R6" s="5" t="n">
        <v>280</v>
      </c>
      <c r="S6" s="5" t="n">
        <v>11087</v>
      </c>
      <c r="T6" s="5" t="n">
        <v>340717</v>
      </c>
      <c r="U6" s="5" t="n">
        <v>614054</v>
      </c>
    </row>
    <row r="7" customFormat="false" ht="15" hidden="false" customHeight="false" outlineLevel="0" collapsed="false">
      <c r="A7" s="4" t="s">
        <v>57</v>
      </c>
      <c r="B7" s="5" t="n">
        <v>1247</v>
      </c>
      <c r="C7" s="5" t="n">
        <v>19704</v>
      </c>
      <c r="D7" s="5" t="n">
        <v>41348</v>
      </c>
      <c r="E7" s="5" t="n">
        <v>2581</v>
      </c>
      <c r="F7" s="5" t="n">
        <v>12937</v>
      </c>
      <c r="G7" s="5" t="n">
        <v>14442</v>
      </c>
      <c r="H7" s="5" t="n">
        <v>152483</v>
      </c>
      <c r="I7" s="5" t="n">
        <v>176430</v>
      </c>
      <c r="J7" s="5" t="n">
        <v>1498</v>
      </c>
      <c r="K7" s="5" t="n">
        <v>483</v>
      </c>
      <c r="L7" s="5" t="n">
        <v>54</v>
      </c>
      <c r="M7" s="5" t="n">
        <v>171</v>
      </c>
      <c r="N7" s="5" t="n">
        <v>9874</v>
      </c>
      <c r="O7" s="5" t="n">
        <v>1509</v>
      </c>
      <c r="P7" s="5" t="n">
        <v>1777</v>
      </c>
      <c r="Q7" s="5" t="n">
        <v>2140</v>
      </c>
      <c r="R7" s="5" t="n">
        <v>237</v>
      </c>
      <c r="S7" s="5" t="n">
        <v>13001</v>
      </c>
      <c r="T7" s="5" t="n">
        <v>450669</v>
      </c>
      <c r="U7" s="5" t="n">
        <v>695055</v>
      </c>
    </row>
    <row r="8" customFormat="false" ht="15" hidden="false" customHeight="false" outlineLevel="0" collapsed="false">
      <c r="A8" s="4" t="s">
        <v>58</v>
      </c>
      <c r="B8" s="5" t="n">
        <v>4181</v>
      </c>
      <c r="C8" s="5" t="n">
        <v>89881</v>
      </c>
      <c r="D8" s="5" t="n">
        <v>603512</v>
      </c>
      <c r="E8" s="5" t="n">
        <v>25208</v>
      </c>
      <c r="F8" s="5" t="n">
        <v>61412</v>
      </c>
      <c r="G8" s="5" t="n">
        <v>54305</v>
      </c>
      <c r="H8" s="5" t="n">
        <v>64401</v>
      </c>
      <c r="I8" s="5" t="n">
        <v>600842</v>
      </c>
      <c r="J8" s="5" t="n">
        <v>8261</v>
      </c>
      <c r="K8" s="5" t="n">
        <v>3406</v>
      </c>
      <c r="L8" s="5" t="n">
        <v>217</v>
      </c>
      <c r="M8" s="5" t="n">
        <v>1611</v>
      </c>
      <c r="N8" s="5" t="n">
        <v>22813</v>
      </c>
      <c r="O8" s="5" t="n">
        <v>2579</v>
      </c>
      <c r="P8" s="5" t="n">
        <v>6205</v>
      </c>
      <c r="Q8" s="5" t="n">
        <v>7742</v>
      </c>
      <c r="R8" s="5" t="n">
        <v>534</v>
      </c>
      <c r="S8" s="5" t="n">
        <v>35281</v>
      </c>
      <c r="T8" s="5" t="n">
        <v>1588210</v>
      </c>
      <c r="U8" s="5" t="n">
        <v>2414779</v>
      </c>
    </row>
    <row r="9" customFormat="false" ht="15" hidden="false" customHeight="false" outlineLevel="0" collapsed="false">
      <c r="A9" s="4" t="s">
        <v>59</v>
      </c>
      <c r="B9" s="5" t="n">
        <v>1046</v>
      </c>
      <c r="C9" s="5" t="n">
        <v>48580</v>
      </c>
      <c r="D9" s="5" t="n">
        <v>50796</v>
      </c>
      <c r="E9" s="5" t="n">
        <v>6573</v>
      </c>
      <c r="F9" s="5" t="n">
        <v>20949</v>
      </c>
      <c r="G9" s="5" t="n">
        <v>9538</v>
      </c>
      <c r="H9" s="5" t="n">
        <v>63904</v>
      </c>
      <c r="I9" s="5" t="n">
        <v>115773</v>
      </c>
      <c r="J9" s="5" t="n">
        <v>4346</v>
      </c>
      <c r="K9" s="5" t="n">
        <v>2636</v>
      </c>
      <c r="L9" s="5" t="n">
        <v>131</v>
      </c>
      <c r="M9" s="5" t="n">
        <v>194</v>
      </c>
      <c r="N9" s="5" t="n">
        <v>7697</v>
      </c>
      <c r="O9" s="5" t="n">
        <v>1077</v>
      </c>
      <c r="P9" s="5" t="n">
        <v>2131</v>
      </c>
      <c r="Q9" s="5" t="n">
        <v>1272</v>
      </c>
      <c r="R9" s="5" t="n">
        <v>250</v>
      </c>
      <c r="S9" s="5" t="n">
        <v>10523</v>
      </c>
      <c r="T9" s="5" t="n">
        <v>346370</v>
      </c>
      <c r="U9" s="5" t="n">
        <v>585647</v>
      </c>
    </row>
    <row r="10" customFormat="false" ht="15" hidden="false" customHeight="false" outlineLevel="0" collapsed="false">
      <c r="A10" s="4" t="s">
        <v>60</v>
      </c>
      <c r="B10" s="5" t="n">
        <v>6941</v>
      </c>
      <c r="C10" s="5" t="n">
        <v>117611</v>
      </c>
      <c r="D10" s="5" t="n">
        <v>229430</v>
      </c>
      <c r="E10" s="5" t="n">
        <v>36672</v>
      </c>
      <c r="F10" s="5" t="n">
        <v>524408</v>
      </c>
      <c r="G10" s="5" t="n">
        <v>259450</v>
      </c>
      <c r="H10" s="5" t="n">
        <v>139562</v>
      </c>
      <c r="I10" s="5" t="n">
        <v>942872</v>
      </c>
      <c r="J10" s="5" t="n">
        <v>11172</v>
      </c>
      <c r="K10" s="5" t="n">
        <v>2985</v>
      </c>
      <c r="L10" s="5" t="n">
        <v>628</v>
      </c>
      <c r="M10" s="5" t="n">
        <v>657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1556</v>
      </c>
      <c r="S10" s="5" t="n">
        <v>194358</v>
      </c>
      <c r="T10" s="5" t="n">
        <v>2461361</v>
      </c>
      <c r="U10" s="5" t="n">
        <v>3947162</v>
      </c>
    </row>
    <row r="11" customFormat="false" ht="15" hidden="false" customHeight="false" outlineLevel="0" collapsed="false">
      <c r="A11" s="4" t="s">
        <v>61</v>
      </c>
      <c r="B11" s="5" t="n">
        <v>5810</v>
      </c>
      <c r="C11" s="5" t="n">
        <v>396888</v>
      </c>
      <c r="D11" s="5" t="n">
        <v>152413</v>
      </c>
      <c r="E11" s="5" t="n">
        <v>19996</v>
      </c>
      <c r="F11" s="5" t="n">
        <v>67434</v>
      </c>
      <c r="G11" s="5" t="n">
        <v>55369</v>
      </c>
      <c r="H11" s="5" t="n">
        <v>128583</v>
      </c>
      <c r="I11" s="5" t="n">
        <v>682450</v>
      </c>
      <c r="J11" s="5" t="n">
        <v>21321</v>
      </c>
      <c r="K11" s="5" t="n">
        <v>8387</v>
      </c>
      <c r="L11" s="5" t="n">
        <v>784</v>
      </c>
      <c r="M11" s="5" t="n">
        <v>611</v>
      </c>
      <c r="N11" s="5" t="n">
        <v>37784</v>
      </c>
      <c r="O11" s="5" t="n">
        <v>3875</v>
      </c>
      <c r="P11" s="5" t="n">
        <v>9831</v>
      </c>
      <c r="Q11" s="5" t="n">
        <v>10812</v>
      </c>
      <c r="R11" s="5" t="n">
        <v>995</v>
      </c>
      <c r="S11" s="5" t="n">
        <v>47187</v>
      </c>
      <c r="T11" s="5" t="n">
        <v>1644720</v>
      </c>
      <c r="U11" s="5" t="n">
        <v>3089200</v>
      </c>
    </row>
    <row r="12" customFormat="false" ht="15" hidden="false" customHeight="false" outlineLevel="0" collapsed="false">
      <c r="A12" s="4" t="s">
        <v>62</v>
      </c>
      <c r="B12" s="5" t="n">
        <v>13510</v>
      </c>
      <c r="C12" s="5" t="n">
        <v>1313723</v>
      </c>
      <c r="D12" s="5" t="n">
        <v>441841</v>
      </c>
      <c r="E12" s="5" t="n">
        <v>131518</v>
      </c>
      <c r="F12" s="5" t="n">
        <v>383327</v>
      </c>
      <c r="G12" s="5" t="n">
        <v>193215</v>
      </c>
      <c r="H12" s="5" t="n">
        <v>402941</v>
      </c>
      <c r="I12" s="5" t="n">
        <v>2179268</v>
      </c>
      <c r="J12" s="5" t="n">
        <v>115120</v>
      </c>
      <c r="K12" s="5" t="n">
        <v>20293</v>
      </c>
      <c r="L12" s="5" t="n">
        <v>4307</v>
      </c>
      <c r="M12" s="5" t="n">
        <v>2122</v>
      </c>
      <c r="N12" s="5" t="n">
        <v>194099</v>
      </c>
      <c r="O12" s="5" t="n">
        <v>13595</v>
      </c>
      <c r="P12" s="5" t="n">
        <v>35614</v>
      </c>
      <c r="Q12" s="5" t="n">
        <v>31863</v>
      </c>
      <c r="R12" s="5" t="n">
        <v>5561</v>
      </c>
      <c r="S12" s="5" t="n">
        <v>121626</v>
      </c>
      <c r="T12" s="5" t="n">
        <v>5590033</v>
      </c>
      <c r="U12" s="5" t="n">
        <v>7969314</v>
      </c>
    </row>
    <row r="13" customFormat="false" ht="15" hidden="false" customHeight="false" outlineLevel="0" collapsed="false">
      <c r="A13" s="4" t="s">
        <v>63</v>
      </c>
      <c r="B13" s="5" t="n">
        <v>2643</v>
      </c>
      <c r="C13" s="5" t="n">
        <v>101064</v>
      </c>
      <c r="D13" s="5" t="n">
        <v>182439</v>
      </c>
      <c r="E13" s="5" t="n">
        <v>14332</v>
      </c>
      <c r="F13" s="5" t="n">
        <v>32152</v>
      </c>
      <c r="G13" s="5" t="n">
        <v>37260</v>
      </c>
      <c r="H13" s="5" t="n">
        <v>49477</v>
      </c>
      <c r="I13" s="5" t="n">
        <v>293268</v>
      </c>
      <c r="J13" s="5" t="n">
        <v>10226</v>
      </c>
      <c r="K13" s="5" t="n">
        <v>4826</v>
      </c>
      <c r="L13" s="5" t="n">
        <v>226</v>
      </c>
      <c r="M13" s="5" t="n">
        <v>319</v>
      </c>
      <c r="N13" s="5" t="n">
        <v>19314</v>
      </c>
      <c r="O13" s="5" t="n">
        <v>2406</v>
      </c>
      <c r="P13" s="5" t="n">
        <v>4514</v>
      </c>
      <c r="Q13" s="5" t="n">
        <v>4945</v>
      </c>
      <c r="R13" s="5" t="n">
        <v>365</v>
      </c>
      <c r="S13" s="5" t="n">
        <v>20599</v>
      </c>
      <c r="T13" s="5" t="n">
        <v>777732</v>
      </c>
      <c r="U13" s="5" t="n">
        <v>1401054</v>
      </c>
    </row>
    <row r="14" customFormat="false" ht="15" hidden="false" customHeight="false" outlineLevel="0" collapsed="false">
      <c r="A14" s="4" t="s">
        <v>64</v>
      </c>
      <c r="B14" s="5" t="n">
        <v>8207</v>
      </c>
      <c r="C14" s="5" t="n">
        <v>1083431</v>
      </c>
      <c r="D14" s="5" t="n">
        <v>163808</v>
      </c>
      <c r="E14" s="5" t="n">
        <v>27018</v>
      </c>
      <c r="F14" s="5" t="n">
        <v>132935</v>
      </c>
      <c r="G14" s="5" t="n">
        <v>56080</v>
      </c>
      <c r="H14" s="5" t="n">
        <v>196448</v>
      </c>
      <c r="I14" s="5" t="n">
        <v>940451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38738</v>
      </c>
      <c r="O14" s="5" t="n">
        <v>3743</v>
      </c>
      <c r="P14" s="5" t="n">
        <v>11033</v>
      </c>
      <c r="Q14" s="5" t="n">
        <v>7064</v>
      </c>
      <c r="R14" s="5" t="n">
        <v>1681</v>
      </c>
      <c r="S14" s="5" t="n">
        <v>88410</v>
      </c>
      <c r="T14" s="5" t="n">
        <v>2750840</v>
      </c>
      <c r="U14" s="5" t="n">
        <v>4843368</v>
      </c>
    </row>
    <row r="15" customFormat="false" ht="15" hidden="false" customHeight="false" outlineLevel="0" collapsed="false">
      <c r="A15" s="4" t="s">
        <v>65</v>
      </c>
      <c r="B15" s="5" t="n">
        <v>5164</v>
      </c>
      <c r="C15" s="5" t="n">
        <v>50914</v>
      </c>
      <c r="D15" s="5" t="n">
        <v>172064</v>
      </c>
      <c r="E15" s="5" t="n">
        <v>82325</v>
      </c>
      <c r="F15" s="5" t="n">
        <v>141956</v>
      </c>
      <c r="G15" s="5" t="n">
        <v>96045</v>
      </c>
      <c r="H15" s="5" t="n">
        <v>197363</v>
      </c>
      <c r="I15" s="5" t="n">
        <v>675365</v>
      </c>
      <c r="J15" s="5" t="n">
        <v>9262</v>
      </c>
      <c r="K15" s="5" t="n">
        <v>1663</v>
      </c>
      <c r="L15" s="5" t="n">
        <v>642</v>
      </c>
      <c r="M15" s="5" t="n">
        <v>1555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3566</v>
      </c>
      <c r="S15" s="5" t="n">
        <v>117758</v>
      </c>
      <c r="T15" s="5" t="n">
        <v>1550478</v>
      </c>
      <c r="U15" s="5" t="n">
        <v>2651380</v>
      </c>
    </row>
    <row r="16" customFormat="false" ht="15" hidden="false" customHeight="false" outlineLevel="0" collapsed="false">
      <c r="A16" s="4" t="s">
        <v>66</v>
      </c>
      <c r="B16" s="5" t="n">
        <v>4244</v>
      </c>
      <c r="C16" s="5" t="n">
        <v>109196</v>
      </c>
      <c r="D16" s="5" t="n">
        <v>176148</v>
      </c>
      <c r="E16" s="5" t="n">
        <v>20659</v>
      </c>
      <c r="F16" s="5" t="n">
        <v>123920</v>
      </c>
      <c r="G16" s="5" t="n">
        <v>163512</v>
      </c>
      <c r="H16" s="5" t="n">
        <v>138000</v>
      </c>
      <c r="I16" s="5" t="n">
        <v>723005</v>
      </c>
      <c r="J16" s="5" t="n">
        <v>8962</v>
      </c>
      <c r="K16" s="5" t="n">
        <v>2242</v>
      </c>
      <c r="L16" s="5" t="n">
        <v>312</v>
      </c>
      <c r="M16" s="5" t="n">
        <v>309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964</v>
      </c>
      <c r="S16" s="5" t="n">
        <v>79563</v>
      </c>
      <c r="T16" s="5" t="n">
        <v>1546792</v>
      </c>
      <c r="U16" s="5" t="n">
        <v>2390948</v>
      </c>
    </row>
    <row r="17" customFormat="false" ht="15" hidden="false" customHeight="false" outlineLevel="0" collapsed="false">
      <c r="A17" s="4" t="s">
        <v>67</v>
      </c>
      <c r="B17" s="5" t="n">
        <v>10947</v>
      </c>
      <c r="C17" s="5" t="n">
        <v>723323</v>
      </c>
      <c r="D17" s="5" t="n">
        <v>333059</v>
      </c>
      <c r="E17" s="5" t="n">
        <v>32452</v>
      </c>
      <c r="F17" s="5" t="n">
        <v>208403</v>
      </c>
      <c r="G17" s="5" t="n">
        <v>91566</v>
      </c>
      <c r="H17" s="5" t="n">
        <v>1052491</v>
      </c>
      <c r="I17" s="5" t="n">
        <v>1166933</v>
      </c>
      <c r="J17" s="5" t="n">
        <v>38594</v>
      </c>
      <c r="K17" s="5" t="n">
        <v>13017</v>
      </c>
      <c r="L17" s="5" t="n">
        <v>1115</v>
      </c>
      <c r="M17" s="5" t="n">
        <v>804</v>
      </c>
      <c r="N17" s="5" t="n">
        <v>59175</v>
      </c>
      <c r="O17" s="5" t="n">
        <v>5076</v>
      </c>
      <c r="P17" s="5" t="n">
        <v>15935</v>
      </c>
      <c r="Q17" s="5" t="n">
        <v>11069</v>
      </c>
      <c r="R17" s="5" t="n">
        <v>3408</v>
      </c>
      <c r="S17" s="5" t="n">
        <v>104242</v>
      </c>
      <c r="T17" s="5" t="n">
        <v>3860662</v>
      </c>
      <c r="U17" s="5" t="n">
        <v>6640163</v>
      </c>
    </row>
    <row r="18" customFormat="false" ht="15" hidden="false" customHeight="false" outlineLevel="0" collapsed="false">
      <c r="A18" s="4" t="s">
        <v>68</v>
      </c>
      <c r="B18" s="5" t="n">
        <v>21090</v>
      </c>
      <c r="C18" s="5" t="n">
        <v>1037122</v>
      </c>
      <c r="D18" s="5" t="n">
        <v>1315914</v>
      </c>
      <c r="E18" s="5" t="n">
        <v>131704</v>
      </c>
      <c r="F18" s="5" t="n">
        <v>499882</v>
      </c>
      <c r="G18" s="5" t="n">
        <v>286096</v>
      </c>
      <c r="H18" s="5" t="n">
        <v>840278</v>
      </c>
      <c r="I18" s="5" t="n">
        <v>3662238</v>
      </c>
      <c r="J18" s="5" t="n">
        <v>87342</v>
      </c>
      <c r="K18" s="5" t="n">
        <v>25080</v>
      </c>
      <c r="L18" s="5" t="n">
        <v>3037</v>
      </c>
      <c r="M18" s="5" t="n">
        <v>3532</v>
      </c>
      <c r="N18" s="5" t="n">
        <v>193805</v>
      </c>
      <c r="O18" s="5" t="n">
        <v>16452</v>
      </c>
      <c r="P18" s="5" t="n">
        <v>49512</v>
      </c>
      <c r="Q18" s="5" t="n">
        <v>38838</v>
      </c>
      <c r="R18" s="5" t="n">
        <v>6700</v>
      </c>
      <c r="S18" s="5" t="n">
        <v>232249</v>
      </c>
      <c r="T18" s="5" t="n">
        <v>8429781</v>
      </c>
      <c r="U18" s="5" t="n">
        <v>13042882</v>
      </c>
    </row>
    <row r="19" customFormat="false" ht="15" hidden="false" customHeight="false" outlineLevel="0" collapsed="false">
      <c r="A19" s="4" t="s">
        <v>69</v>
      </c>
      <c r="B19" s="5" t="n">
        <v>6517</v>
      </c>
      <c r="C19" s="5" t="n">
        <v>299713</v>
      </c>
      <c r="D19" s="5" t="n">
        <v>199092</v>
      </c>
      <c r="E19" s="5" t="n">
        <v>127308</v>
      </c>
      <c r="F19" s="5" t="n">
        <v>147647</v>
      </c>
      <c r="G19" s="5" t="n">
        <v>137000</v>
      </c>
      <c r="H19" s="5" t="n">
        <v>257578</v>
      </c>
      <c r="I19" s="5" t="n">
        <v>674578</v>
      </c>
      <c r="J19" s="5" t="n">
        <v>25146</v>
      </c>
      <c r="K19" s="5" t="n">
        <v>7484</v>
      </c>
      <c r="L19" s="5" t="n">
        <v>2727</v>
      </c>
      <c r="M19" s="5" t="n">
        <v>2175</v>
      </c>
      <c r="N19" s="5" t="n">
        <v>46501</v>
      </c>
      <c r="O19" s="5" t="n">
        <v>9068</v>
      </c>
      <c r="P19" s="5" t="n">
        <v>10496</v>
      </c>
      <c r="Q19" s="5" t="n">
        <v>11276</v>
      </c>
      <c r="R19" s="5" t="n">
        <v>2654</v>
      </c>
      <c r="S19" s="5" t="n">
        <v>101644</v>
      </c>
      <c r="T19" s="5" t="n">
        <v>2062087</v>
      </c>
      <c r="U19" s="5" t="n">
        <v>3708926</v>
      </c>
    </row>
    <row r="20" customFormat="false" ht="15" hidden="false" customHeight="false" outlineLevel="0" collapsed="false">
      <c r="A20" s="4" t="s">
        <v>70</v>
      </c>
      <c r="B20" s="5" t="n">
        <v>2616</v>
      </c>
      <c r="C20" s="5" t="n">
        <v>148458</v>
      </c>
      <c r="D20" s="5" t="n">
        <v>72835</v>
      </c>
      <c r="E20" s="5" t="n">
        <v>25359</v>
      </c>
      <c r="F20" s="5" t="n">
        <v>83105</v>
      </c>
      <c r="G20" s="5" t="n">
        <v>56967</v>
      </c>
      <c r="H20" s="5" t="n">
        <v>128974</v>
      </c>
      <c r="I20" s="5" t="n">
        <v>386078</v>
      </c>
      <c r="J20" s="5" t="n">
        <v>9950</v>
      </c>
      <c r="K20" s="5" t="n">
        <v>2644</v>
      </c>
      <c r="L20" s="5" t="n">
        <v>576</v>
      </c>
      <c r="M20" s="5" t="n">
        <v>374</v>
      </c>
      <c r="N20" s="5" t="n">
        <v>15748</v>
      </c>
      <c r="O20" s="5" t="n">
        <v>2548</v>
      </c>
      <c r="P20" s="5" t="n">
        <v>4435</v>
      </c>
      <c r="Q20" s="5" t="n">
        <v>4130</v>
      </c>
      <c r="R20" s="5" t="n">
        <v>924</v>
      </c>
      <c r="S20" s="5" t="n">
        <v>43691</v>
      </c>
      <c r="T20" s="5" t="n">
        <v>986796</v>
      </c>
      <c r="U20" s="5" t="n">
        <v>1553630</v>
      </c>
    </row>
    <row r="21" customFormat="false" ht="15" hidden="false" customHeight="false" outlineLevel="0" collapsed="false">
      <c r="A21" s="4" t="s">
        <v>71</v>
      </c>
      <c r="B21" s="5" t="n">
        <v>1832</v>
      </c>
      <c r="C21" s="5" t="n">
        <v>65675</v>
      </c>
      <c r="D21" s="5" t="n">
        <v>41110</v>
      </c>
      <c r="E21" s="5" t="n">
        <v>9038</v>
      </c>
      <c r="F21" s="5" t="n">
        <v>50314</v>
      </c>
      <c r="G21" s="5" t="n">
        <v>24974</v>
      </c>
      <c r="H21" s="5" t="n">
        <v>97514</v>
      </c>
      <c r="I21" s="5" t="n">
        <v>206120</v>
      </c>
      <c r="J21" s="5" t="n">
        <v>5381</v>
      </c>
      <c r="K21" s="5" t="n">
        <v>1251</v>
      </c>
      <c r="L21" s="5" t="n">
        <v>282</v>
      </c>
      <c r="M21" s="5" t="n">
        <v>130</v>
      </c>
      <c r="N21" s="5" t="n">
        <v>12128</v>
      </c>
      <c r="O21" s="5" t="n">
        <v>2236</v>
      </c>
      <c r="P21" s="5" t="n">
        <v>3334</v>
      </c>
      <c r="Q21" s="5" t="n">
        <v>2196</v>
      </c>
      <c r="R21" s="5" t="n">
        <v>492</v>
      </c>
      <c r="S21" s="5" t="n">
        <v>21554</v>
      </c>
      <c r="T21" s="5" t="n">
        <v>543729</v>
      </c>
      <c r="U21" s="5" t="n">
        <v>952808</v>
      </c>
    </row>
    <row r="22" customFormat="false" ht="15" hidden="false" customHeight="false" outlineLevel="0" collapsed="false">
      <c r="A22" s="4" t="s">
        <v>72</v>
      </c>
      <c r="B22" s="5" t="n">
        <v>7506</v>
      </c>
      <c r="C22" s="5" t="n">
        <v>465096</v>
      </c>
      <c r="D22" s="5" t="n">
        <v>293044</v>
      </c>
      <c r="E22" s="5" t="n">
        <v>14247</v>
      </c>
      <c r="F22" s="5" t="n">
        <v>109151</v>
      </c>
      <c r="G22" s="5" t="n">
        <v>81618</v>
      </c>
      <c r="H22" s="5" t="n">
        <v>818838</v>
      </c>
      <c r="I22" s="5" t="n">
        <v>621495</v>
      </c>
      <c r="J22" s="5" t="n">
        <v>28039</v>
      </c>
      <c r="K22" s="5" t="n">
        <v>9154</v>
      </c>
      <c r="L22" s="5" t="n">
        <v>495</v>
      </c>
      <c r="M22" s="5" t="n">
        <v>548</v>
      </c>
      <c r="N22" s="5" t="n">
        <v>36935</v>
      </c>
      <c r="O22" s="5" t="n">
        <v>4545</v>
      </c>
      <c r="P22" s="5" t="n">
        <v>8550</v>
      </c>
      <c r="Q22" s="5" t="n">
        <v>7756</v>
      </c>
      <c r="R22" s="5" t="n">
        <v>1384</v>
      </c>
      <c r="S22" s="5" t="n">
        <v>60330</v>
      </c>
      <c r="T22" s="5" t="n">
        <v>2561225</v>
      </c>
      <c r="U22" s="5" t="n">
        <v>4475131</v>
      </c>
    </row>
    <row r="23" customFormat="false" ht="15" hidden="false" customHeight="false" outlineLevel="0" collapsed="false">
      <c r="A23" s="4" t="s">
        <v>73</v>
      </c>
      <c r="B23" s="5" t="n">
        <v>5998</v>
      </c>
      <c r="C23" s="5" t="n">
        <v>78376</v>
      </c>
      <c r="D23" s="5" t="n">
        <v>156254</v>
      </c>
      <c r="E23" s="5" t="n">
        <v>49701</v>
      </c>
      <c r="F23" s="5" t="n">
        <v>241986</v>
      </c>
      <c r="G23" s="5" t="n">
        <v>218345</v>
      </c>
      <c r="H23" s="5" t="n">
        <v>112010</v>
      </c>
      <c r="I23" s="5" t="n">
        <v>904385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1441</v>
      </c>
      <c r="S23" s="5" t="n">
        <v>127231</v>
      </c>
      <c r="T23" s="5" t="n">
        <v>1889729</v>
      </c>
      <c r="U23" s="5" t="n">
        <v>3119594</v>
      </c>
    </row>
    <row r="24" customFormat="false" ht="15" hidden="false" customHeight="false" outlineLevel="0" collapsed="false">
      <c r="A24" s="4" t="s">
        <v>74</v>
      </c>
      <c r="B24" s="5" t="n">
        <v>8417</v>
      </c>
      <c r="C24" s="5" t="n">
        <v>526773</v>
      </c>
      <c r="D24" s="5" t="n">
        <v>252378</v>
      </c>
      <c r="E24" s="5" t="n">
        <v>42598</v>
      </c>
      <c r="F24" s="5" t="n">
        <v>288744</v>
      </c>
      <c r="G24" s="5" t="n">
        <v>192547</v>
      </c>
      <c r="H24" s="5" t="n">
        <v>274448</v>
      </c>
      <c r="I24" s="5" t="n">
        <v>1388352</v>
      </c>
      <c r="J24" s="5" t="n">
        <v>31688</v>
      </c>
      <c r="K24" s="5" t="n">
        <v>13594</v>
      </c>
      <c r="L24" s="5" t="n">
        <v>2453</v>
      </c>
      <c r="M24" s="5" t="n">
        <v>1044</v>
      </c>
      <c r="N24" s="5" t="n">
        <v>66731</v>
      </c>
      <c r="O24" s="5" t="n">
        <v>10093</v>
      </c>
      <c r="P24" s="5" t="n">
        <v>20817</v>
      </c>
      <c r="Q24" s="5" t="n">
        <v>17988</v>
      </c>
      <c r="R24" s="5" t="n">
        <v>2240</v>
      </c>
      <c r="S24" s="5" t="n">
        <v>149189</v>
      </c>
      <c r="T24" s="5" t="n">
        <v>3281677</v>
      </c>
      <c r="U24" s="5" t="n">
        <v>4990849</v>
      </c>
    </row>
    <row r="25" customFormat="false" ht="15" hidden="false" customHeight="false" outlineLevel="0" collapsed="false">
      <c r="A25" s="4" t="s">
        <v>75</v>
      </c>
      <c r="B25" s="5" t="n">
        <v>3204</v>
      </c>
      <c r="C25" s="5" t="n">
        <v>441230</v>
      </c>
      <c r="D25" s="5" t="n">
        <v>68843</v>
      </c>
      <c r="E25" s="5" t="n">
        <v>10907</v>
      </c>
      <c r="F25" s="5" t="n">
        <v>68025</v>
      </c>
      <c r="G25" s="5" t="n">
        <v>26866</v>
      </c>
      <c r="H25" s="5" t="n">
        <v>77603</v>
      </c>
      <c r="I25" s="5" t="n">
        <v>437134</v>
      </c>
      <c r="J25" s="5" t="n">
        <v>15288</v>
      </c>
      <c r="K25" s="5" t="n">
        <v>6620</v>
      </c>
      <c r="L25" s="5" t="n">
        <v>709</v>
      </c>
      <c r="M25" s="5" t="n">
        <v>202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1071</v>
      </c>
      <c r="S25" s="5" t="n">
        <v>61504</v>
      </c>
      <c r="T25" s="5" t="n">
        <v>1216002</v>
      </c>
      <c r="U25" s="5" t="n">
        <v>1904027</v>
      </c>
    </row>
    <row r="26" customFormat="false" ht="15" hidden="false" customHeight="false" outlineLevel="0" collapsed="false">
      <c r="A26" s="4" t="s">
        <v>76</v>
      </c>
      <c r="B26" s="5" t="n">
        <v>2519</v>
      </c>
      <c r="C26" s="5" t="n">
        <v>93476</v>
      </c>
      <c r="D26" s="5" t="n">
        <v>35157</v>
      </c>
      <c r="E26" s="5" t="n">
        <v>15700</v>
      </c>
      <c r="F26" s="5" t="n">
        <v>130648</v>
      </c>
      <c r="G26" s="5" t="n">
        <v>28202</v>
      </c>
      <c r="H26" s="5" t="n">
        <v>83183</v>
      </c>
      <c r="I26" s="5" t="n">
        <v>374308</v>
      </c>
      <c r="J26" s="5" t="n">
        <v>5105</v>
      </c>
      <c r="K26" s="5" t="n">
        <v>2712</v>
      </c>
      <c r="L26" s="5" t="n">
        <v>277</v>
      </c>
      <c r="M26" s="5" t="n">
        <v>126</v>
      </c>
      <c r="N26" s="5" t="n">
        <v>17476</v>
      </c>
      <c r="O26" s="5" t="n">
        <v>1541</v>
      </c>
      <c r="P26" s="5" t="n">
        <v>5799</v>
      </c>
      <c r="Q26" s="5" t="n">
        <v>3788</v>
      </c>
      <c r="R26" s="5" t="n">
        <v>843</v>
      </c>
      <c r="S26" s="5" t="n">
        <v>27920</v>
      </c>
      <c r="T26" s="5" t="n">
        <v>826261</v>
      </c>
      <c r="U26" s="5" t="n">
        <v>1461855</v>
      </c>
    </row>
    <row r="27" customFormat="false" ht="15" hidden="false" customHeight="false" outlineLevel="0" collapsed="false">
      <c r="A27" s="4" t="s">
        <v>77</v>
      </c>
      <c r="B27" s="5" t="n">
        <v>3945</v>
      </c>
      <c r="C27" s="5" t="n">
        <v>199034</v>
      </c>
      <c r="D27" s="5" t="n">
        <v>97859</v>
      </c>
      <c r="E27" s="5" t="n">
        <v>22651</v>
      </c>
      <c r="F27" s="5" t="n">
        <v>526706</v>
      </c>
      <c r="G27" s="5" t="n">
        <v>29357</v>
      </c>
      <c r="H27" s="5" t="n">
        <v>101286</v>
      </c>
      <c r="I27" s="5" t="n">
        <v>276459</v>
      </c>
      <c r="J27" s="5" t="n">
        <v>15384</v>
      </c>
      <c r="K27" s="5" t="n">
        <v>4528</v>
      </c>
      <c r="L27" s="5" t="n">
        <v>677</v>
      </c>
      <c r="M27" s="5" t="n">
        <v>389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1092</v>
      </c>
      <c r="S27" s="5" t="n">
        <v>89281</v>
      </c>
      <c r="T27" s="5" t="n">
        <v>1364703</v>
      </c>
      <c r="U27" s="5" t="n">
        <v>2190293</v>
      </c>
    </row>
    <row r="28" customFormat="false" ht="15" hidden="false" customHeight="false" outlineLevel="0" collapsed="false">
      <c r="A28" s="4" t="s">
        <v>78</v>
      </c>
      <c r="B28" s="5" t="n">
        <v>5206</v>
      </c>
      <c r="C28" s="5" t="n">
        <v>147917</v>
      </c>
      <c r="D28" s="5" t="n">
        <v>155916</v>
      </c>
      <c r="E28" s="5" t="n">
        <v>13991</v>
      </c>
      <c r="F28" s="5" t="n">
        <v>119514</v>
      </c>
      <c r="G28" s="5" t="n">
        <v>64226</v>
      </c>
      <c r="H28" s="5" t="n">
        <v>85853</v>
      </c>
      <c r="I28" s="5" t="n">
        <v>652774</v>
      </c>
      <c r="J28" s="5" t="n">
        <v>13333</v>
      </c>
      <c r="K28" s="5" t="n">
        <v>3963</v>
      </c>
      <c r="L28" s="5" t="n">
        <v>381</v>
      </c>
      <c r="M28" s="5" t="n">
        <v>244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652</v>
      </c>
      <c r="S28" s="5" t="n">
        <v>71139</v>
      </c>
      <c r="T28" s="5" t="n">
        <v>1329903</v>
      </c>
      <c r="U28" s="5" t="n">
        <v>2364053</v>
      </c>
    </row>
    <row r="29" customFormat="false" ht="15" hidden="false" customHeight="false" outlineLevel="0" collapsed="false">
      <c r="A29" s="4" t="s">
        <v>79</v>
      </c>
      <c r="B29" s="5" t="n">
        <v>3937</v>
      </c>
      <c r="C29" s="5" t="n">
        <v>125214</v>
      </c>
      <c r="D29" s="5" t="n">
        <v>147604</v>
      </c>
      <c r="E29" s="5" t="n">
        <v>12762</v>
      </c>
      <c r="F29" s="5" t="n">
        <v>51787</v>
      </c>
      <c r="G29" s="5" t="n">
        <v>107220</v>
      </c>
      <c r="H29" s="5" t="n">
        <v>127029</v>
      </c>
      <c r="I29" s="5" t="n">
        <v>513623</v>
      </c>
      <c r="J29" s="5" t="n">
        <v>15306</v>
      </c>
      <c r="K29" s="5" t="n">
        <v>4408</v>
      </c>
      <c r="L29" s="5" t="n">
        <v>361</v>
      </c>
      <c r="M29" s="5" t="n">
        <v>308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671</v>
      </c>
      <c r="S29" s="5" t="n">
        <v>64112</v>
      </c>
      <c r="T29" s="5" t="n">
        <v>1170405</v>
      </c>
      <c r="U29" s="5" t="n">
        <v>2294040</v>
      </c>
    </row>
    <row r="30" customFormat="false" ht="15" hidden="false" customHeight="false" outlineLevel="0" collapsed="false">
      <c r="A30" s="4" t="s">
        <v>80</v>
      </c>
      <c r="B30" s="5" t="n">
        <v>3160</v>
      </c>
      <c r="C30" s="5" t="n">
        <v>24317</v>
      </c>
      <c r="D30" s="5" t="n">
        <v>35922</v>
      </c>
      <c r="E30" s="5" t="n">
        <v>85903</v>
      </c>
      <c r="F30" s="5" t="n">
        <v>78370</v>
      </c>
      <c r="G30" s="5" t="n">
        <v>63286</v>
      </c>
      <c r="H30" s="5" t="n">
        <v>84537</v>
      </c>
      <c r="I30" s="5" t="n">
        <v>664508</v>
      </c>
      <c r="J30" s="5" t="n">
        <v>4334</v>
      </c>
      <c r="K30" s="5" t="n">
        <v>763</v>
      </c>
      <c r="L30" s="5" t="n">
        <v>348</v>
      </c>
      <c r="M30" s="5" t="n">
        <v>487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683</v>
      </c>
      <c r="S30" s="5" t="n">
        <v>69679</v>
      </c>
      <c r="T30" s="5" t="n">
        <v>1113137</v>
      </c>
      <c r="U30" s="5" t="n">
        <v>1812804</v>
      </c>
    </row>
    <row r="31" customFormat="false" ht="15" hidden="false" customHeight="false" outlineLevel="0" collapsed="false">
      <c r="A31" s="4" t="s">
        <v>81</v>
      </c>
      <c r="B31" s="5" t="n">
        <v>4986</v>
      </c>
      <c r="C31" s="5" t="n">
        <v>365024</v>
      </c>
      <c r="D31" s="5" t="n">
        <v>58936</v>
      </c>
      <c r="E31" s="5" t="n">
        <v>12922</v>
      </c>
      <c r="F31" s="5" t="n">
        <v>185163</v>
      </c>
      <c r="G31" s="5" t="n">
        <v>49394</v>
      </c>
      <c r="H31" s="5" t="n">
        <v>113027</v>
      </c>
      <c r="I31" s="5" t="n">
        <v>742661</v>
      </c>
      <c r="J31" s="5" t="n">
        <v>10198</v>
      </c>
      <c r="K31" s="5" t="n">
        <v>8918</v>
      </c>
      <c r="L31" s="5" t="n">
        <v>450</v>
      </c>
      <c r="M31" s="5" t="n">
        <v>130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910</v>
      </c>
      <c r="S31" s="5" t="n">
        <v>78268</v>
      </c>
      <c r="T31" s="5" t="n">
        <v>1626001</v>
      </c>
      <c r="U31" s="5" t="n">
        <v>2853592</v>
      </c>
    </row>
    <row r="32" customFormat="false" ht="15" hidden="false" customHeight="false" outlineLevel="0" collapsed="false">
      <c r="A32" s="4" t="s">
        <v>82</v>
      </c>
      <c r="B32" s="5" t="n">
        <v>1735</v>
      </c>
      <c r="C32" s="5" t="n">
        <v>63804</v>
      </c>
      <c r="D32" s="5" t="n">
        <v>66663</v>
      </c>
      <c r="E32" s="5" t="n">
        <v>21649</v>
      </c>
      <c r="F32" s="5" t="n">
        <v>88038</v>
      </c>
      <c r="G32" s="5" t="n">
        <v>67532</v>
      </c>
      <c r="H32" s="5" t="n">
        <v>77904</v>
      </c>
      <c r="I32" s="5" t="n">
        <v>298928</v>
      </c>
      <c r="J32" s="5" t="n">
        <v>4044</v>
      </c>
      <c r="K32" s="5" t="n">
        <v>1796</v>
      </c>
      <c r="L32" s="5" t="n">
        <v>226</v>
      </c>
      <c r="M32" s="5" t="n">
        <v>138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436</v>
      </c>
      <c r="S32" s="5" t="n">
        <v>48155</v>
      </c>
      <c r="T32" s="5" t="n">
        <v>739313</v>
      </c>
      <c r="U32" s="5" t="n">
        <v>1042685</v>
      </c>
    </row>
    <row r="33" customFormat="false" ht="15" hidden="false" customHeight="false" outlineLevel="0" collapsed="false">
      <c r="A33" s="4" t="s">
        <v>83</v>
      </c>
      <c r="B33" s="5" t="n">
        <v>11102</v>
      </c>
      <c r="C33" s="5" t="n">
        <v>601648</v>
      </c>
      <c r="D33" s="5" t="n">
        <v>314783</v>
      </c>
      <c r="E33" s="5" t="n">
        <v>70064</v>
      </c>
      <c r="F33" s="5" t="n">
        <v>192451</v>
      </c>
      <c r="G33" s="5" t="n">
        <v>104236</v>
      </c>
      <c r="H33" s="5" t="n">
        <v>282822</v>
      </c>
      <c r="I33" s="5" t="n">
        <v>1781880</v>
      </c>
      <c r="J33" s="5" t="n">
        <v>50157</v>
      </c>
      <c r="K33" s="5" t="n">
        <v>13851</v>
      </c>
      <c r="L33" s="5" t="n">
        <v>2399</v>
      </c>
      <c r="M33" s="5" t="n">
        <v>1340</v>
      </c>
      <c r="N33" s="5" t="n">
        <v>97840</v>
      </c>
      <c r="O33" s="5" t="n">
        <v>11866</v>
      </c>
      <c r="P33" s="5" t="n">
        <v>25738</v>
      </c>
      <c r="Q33" s="5" t="n">
        <v>15543</v>
      </c>
      <c r="R33" s="5" t="n">
        <v>1929</v>
      </c>
      <c r="S33" s="5" t="n">
        <v>109977</v>
      </c>
      <c r="T33" s="5" t="n">
        <v>3678524</v>
      </c>
      <c r="U33" s="5" t="n">
        <v>6089181</v>
      </c>
    </row>
    <row r="34" customFormat="false" ht="15" hidden="false" customHeight="false" outlineLevel="0" collapsed="false">
      <c r="A34" s="4" t="s">
        <v>84</v>
      </c>
      <c r="B34" s="5" t="n">
        <v>2988</v>
      </c>
      <c r="C34" s="5" t="n">
        <v>379679</v>
      </c>
      <c r="D34" s="5" t="n">
        <v>106716</v>
      </c>
      <c r="E34" s="5" t="n">
        <v>9135</v>
      </c>
      <c r="F34" s="5" t="n">
        <v>67314</v>
      </c>
      <c r="G34" s="5" t="n">
        <v>38638</v>
      </c>
      <c r="H34" s="5" t="n">
        <v>72043</v>
      </c>
      <c r="I34" s="5" t="n">
        <v>521865</v>
      </c>
      <c r="J34" s="5" t="n">
        <v>8944</v>
      </c>
      <c r="K34" s="5" t="n">
        <v>6164</v>
      </c>
      <c r="L34" s="5" t="n">
        <v>446</v>
      </c>
      <c r="M34" s="5" t="n">
        <v>182</v>
      </c>
      <c r="N34" s="5" t="n">
        <v>21998</v>
      </c>
      <c r="O34" s="5" t="n">
        <v>2361</v>
      </c>
      <c r="P34" s="5" t="n">
        <v>5361</v>
      </c>
      <c r="Q34" s="5" t="n">
        <v>4177</v>
      </c>
      <c r="R34" s="5" t="n">
        <v>605</v>
      </c>
      <c r="S34" s="5" t="n">
        <v>37396</v>
      </c>
      <c r="T34" s="5" t="n">
        <v>1283024</v>
      </c>
      <c r="U34" s="5" t="n">
        <v>1768125</v>
      </c>
    </row>
    <row r="35" customFormat="false" ht="15" hidden="false" customHeight="false" outlineLevel="0" collapsed="false">
      <c r="A35" s="4" t="s">
        <v>85</v>
      </c>
      <c r="B35" s="5" t="n">
        <v>2677</v>
      </c>
      <c r="C35" s="5" t="n">
        <v>86418</v>
      </c>
      <c r="D35" s="5" t="n">
        <v>140220</v>
      </c>
      <c r="E35" s="5" t="n">
        <v>34461</v>
      </c>
      <c r="F35" s="5" t="n">
        <v>51055</v>
      </c>
      <c r="G35" s="5" t="n">
        <v>43821</v>
      </c>
      <c r="H35" s="5" t="n">
        <v>105158</v>
      </c>
      <c r="I35" s="5" t="n">
        <v>245914</v>
      </c>
      <c r="J35" s="5" t="n">
        <v>10713</v>
      </c>
      <c r="K35" s="5" t="n">
        <v>2370</v>
      </c>
      <c r="L35" s="5" t="n">
        <v>528</v>
      </c>
      <c r="M35" s="5" t="n">
        <v>526</v>
      </c>
      <c r="N35" s="5" t="n">
        <v>8474</v>
      </c>
      <c r="O35" s="5" t="n">
        <v>2056</v>
      </c>
      <c r="P35" s="5" t="n">
        <v>3778</v>
      </c>
      <c r="Q35" s="5" t="n">
        <v>2777</v>
      </c>
      <c r="R35" s="5" t="n">
        <v>777</v>
      </c>
      <c r="S35" s="5" t="n">
        <v>31550</v>
      </c>
      <c r="T35" s="5" t="n">
        <v>770596</v>
      </c>
      <c r="U35" s="5" t="n">
        <v>1270087</v>
      </c>
    </row>
    <row r="36" customFormat="false" ht="15" hidden="false" customHeight="false" outlineLevel="0" collapsed="false">
      <c r="A36" s="14" t="s">
        <v>50</v>
      </c>
      <c r="B36" s="15" t="n">
        <f aca="false">SUM(B4:B35)</f>
        <v>171794</v>
      </c>
      <c r="C36" s="15" t="n">
        <f aca="false">SUM(C4:C35)</f>
        <v>9805205</v>
      </c>
      <c r="D36" s="15" t="n">
        <f aca="false">SUM(D4:D35)</f>
        <v>6230768</v>
      </c>
      <c r="E36" s="15" t="n">
        <f aca="false">SUM(E4:E35)</f>
        <v>1142455</v>
      </c>
      <c r="F36" s="15" t="n">
        <f aca="false">SUM(F4:F35)</f>
        <v>4886247</v>
      </c>
      <c r="G36" s="15" t="n">
        <f aca="false">SUM(G4:G35)</f>
        <v>2762522</v>
      </c>
      <c r="H36" s="15" t="n">
        <f aca="false">SUM(H4:H35)</f>
        <v>6528238</v>
      </c>
      <c r="I36" s="15" t="n">
        <f aca="false">SUM(I4:I35)</f>
        <v>23967448</v>
      </c>
      <c r="J36" s="15" t="n">
        <f aca="false">SUM(J4:J35)</f>
        <v>592577</v>
      </c>
      <c r="K36" s="15" t="n">
        <f aca="false">SUM(K4:K35)</f>
        <v>183333</v>
      </c>
      <c r="L36" s="15" t="n">
        <f aca="false">SUM(L4:L35)</f>
        <v>25989</v>
      </c>
      <c r="M36" s="15" t="n">
        <f aca="false">SUM(M4:M35)</f>
        <v>20527</v>
      </c>
      <c r="N36" s="15" t="n">
        <f aca="false">SUM(N4:N35)</f>
        <v>924587</v>
      </c>
      <c r="O36" s="15" t="n">
        <f aca="false">SUM(O4:O35)</f>
        <v>98563</v>
      </c>
      <c r="P36" s="15" t="n">
        <f aca="false">SUM(P4:P35)</f>
        <v>228516</v>
      </c>
      <c r="Q36" s="15" t="n">
        <f aca="false">SUM(Q4:Q35)</f>
        <v>189727</v>
      </c>
      <c r="R36" s="15" t="n">
        <f aca="false">SUM(R4:R35)</f>
        <v>47092</v>
      </c>
      <c r="S36" s="15" t="n">
        <f aca="false">SUM(S4:S35)</f>
        <v>2369932</v>
      </c>
      <c r="T36" s="15" t="n">
        <f aca="false">SUM(T4:T35)</f>
        <v>60003726</v>
      </c>
      <c r="U36" s="15" t="n">
        <f aca="false">SUM(U4:U35)</f>
        <v>98438250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2026-10-12T04:37:14Z</dcterms:created>
  <dc:creator>openpyxl</dc:creator>
  <dc:description/>
  <dc:language>en-US</dc:language>
  <cp:lastModifiedBy/>
  <dcterms:modified xsi:type="dcterms:W3CDTF">2026-10-12T04:37:14Z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