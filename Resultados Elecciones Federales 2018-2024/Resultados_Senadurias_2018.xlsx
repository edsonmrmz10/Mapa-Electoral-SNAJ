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umen" sheetId="1" state="visible" r:id="rId3"/>
    <sheet name="Por estado" sheetId="2" state="visible" r:id="rId4"/>
    <sheet name="Por distrito" sheetId="3" state="visible" r:id="rId5"/>
    <sheet name="Votos por partido" sheetId="4" state="visible" r:id="rId6"/>
  </sheets>
  <definedNames>
    <definedName function="false" hidden="true" localSheetId="2" name="_xlnm._FilterDatabase" vbProcedure="false">'Por distrito'!$A$3:$O$303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<sst xmlns="http://schemas.openxmlformats.org/spreadsheetml/2006/main" count="494" uniqueCount="104">
  <si>
    <t xml:space="preserve">Senadurías 2018 – Resumen</t>
  </si>
  <si>
    <t xml:space="preserve">Fuente: senadurias.csv (PREP)</t>
  </si>
  <si>
    <t xml:space="preserve">Bloque</t>
  </si>
  <si>
    <t xml:space="preserve">Votos</t>
  </si>
  <si>
    <t xml:space="preserve">% del total</t>
  </si>
  <si>
    <t xml:space="preserve">% de votos válidos</t>
  </si>
  <si>
    <t xml:space="preserve">Estados ganados (1er lugar)</t>
  </si>
  <si>
    <t xml:space="preserve">Estados en 2º lugar</t>
  </si>
  <si>
    <t xml:space="preserve">Distritos ganados</t>
  </si>
  <si>
    <t xml:space="preserve">PT-Morena-PES</t>
  </si>
  <si>
    <t xml:space="preserve">PAN-PRD-MC</t>
  </si>
  <si>
    <t xml:space="preserve">PRI-PVEM-NA</t>
  </si>
  <si>
    <t xml:space="preserve">Independientes</t>
  </si>
  <si>
    <t xml:space="preserve">No registrados</t>
  </si>
  <si>
    <t xml:space="preserve">Votos nulos</t>
  </si>
  <si>
    <t xml:space="preserve">Total votos emitidos</t>
  </si>
  <si>
    <t xml:space="preserve">Lista nominal (actas con dato)</t>
  </si>
  <si>
    <t xml:space="preserve">Participación</t>
  </si>
  <si>
    <t xml:space="preserve">Actas</t>
  </si>
  <si>
    <t xml:space="preserve">Notas:</t>
  </si>
  <si>
    <t xml:space="preserve">Cada bloque suma el voto del partido solo más las combinaciones de coalición. Las coaliciones no fueron iguales en todos los estados (PAN-PRD-MC en 30, PT-Morena-PES en 31, PRI-PVEM-NA en 17); donde no hubo, los partidos compitieron por separado. Por eso en "Por estado" se agregan las columnas de 1er y 2º lugar por candidatura real (p. ej. en Nuevo León el primer lugar fue MC, no el bloque PAN-PRD-MC).</t>
  </si>
  <si>
    <t xml:space="preserve">La senaduría se decide por estado: el primer lugar obtiene 2 escaños y el segundo (primera minoría) 1. Esta hoja no incluye las 32 senadurías de representación proporcional, ni valida los resultados oficiales del cómputo.</t>
  </si>
  <si>
    <t xml:space="preserve">Los 32 registros del voto desde el extranjero (distrito 0, 98,742 votos) están incluidos en los totales por estado, pero no en la hoja de distritos.</t>
  </si>
  <si>
    <t xml:space="preserve">Las 220 actas sin votos (paquetes no entregados o casillas no instaladas) se tomaron como cero y no tienen lista nominal; las casillas especiales tampoco. La participación calculada es 63.6%; el encabezado del archivo indica 63.52%.</t>
  </si>
  <si>
    <t xml:space="preserve">Los nombres de los estados se corrigieron porque los acentos venían dañados en el archivo.</t>
  </si>
  <si>
    <t xml:space="preserve">Resultados por estado y bloque – Senadurías 2018 (fuente: senadurias.csv)</t>
  </si>
  <si>
    <t xml:space="preserve">Bloque = partido solo + combinaciones de coalición. Las últimas 4 columnas toman en cuenta las coaliciones que realmente hubo en cada estado (valores fijos, no fórmulas).</t>
  </si>
  <si>
    <t xml:space="preserve">Estado</t>
  </si>
  <si>
    <t xml:space="preserve">Total votos</t>
  </si>
  <si>
    <t xml:space="preserve">Lista nominal</t>
  </si>
  <si>
    <t xml:space="preserve">PT-Morena-PES %</t>
  </si>
  <si>
    <t xml:space="preserve">PAN-PRD-MC %</t>
  </si>
  <si>
    <t xml:space="preserve">PRI-PVEM-NA %</t>
  </si>
  <si>
    <t xml:space="preserve">Independientes %</t>
  </si>
  <si>
    <t xml:space="preserve">No registrados %</t>
  </si>
  <si>
    <t xml:space="preserve">Votos nulos %</t>
  </si>
  <si>
    <t xml:space="preserve">Bloque ganador</t>
  </si>
  <si>
    <t xml:space="preserve">Margen (pts)</t>
  </si>
  <si>
    <t xml:space="preserve">Candidatura en 1er lugar</t>
  </si>
  <si>
    <t xml:space="preserve">% 1er lugar</t>
  </si>
  <si>
    <t xml:space="preserve">Candidatura en 2º lugar (primera minoría)</t>
  </si>
  <si>
    <t xml:space="preserve">% 2º lugar</t>
  </si>
  <si>
    <t xml:space="preserve">Morena</t>
  </si>
  <si>
    <t xml:space="preserve">MC</t>
  </si>
  <si>
    <t xml:space="preserve">PAN</t>
  </si>
  <si>
    <t xml:space="preserve">Nacional</t>
  </si>
  <si>
    <t xml:space="preserve">Votos para senadurías por distrito federal – 2018 (fuente: senadurias.csv)</t>
  </si>
  <si>
    <t xml:space="preserve">La senaduría se decide por estado; esta hoja muestra cómo votó cada distrito. No incluye los votos desde el extranjero (distrito 0).</t>
  </si>
  <si>
    <t xml:space="preserve">Distrito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</si>
  <si>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</si>
  <si>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</si>
  <si>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</si>
  <si>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</si>
  <si>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</si>
  <si>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</si>
  <si>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</si>
  <si>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</si>
  <si>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</si>
  <si>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</si>
  <si>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</si>
  <si>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</si>
  <si>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</si>
  <si>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</si>
  <si>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</si>
  <si>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</si>
  <si>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</si>
  <si>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</si>
  <si>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</si>
  <si>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</si>
  <si>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</si>
  <si>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</si>
  <si>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</si>
  <si>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</si>
  <si>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</si>
  <si>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</si>
  <si>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</si>
  <si>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</si>
  <si>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</si>
  <si>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</si>
  <si>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</si>
  <si>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</si>
  <si>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Votos por partido y combinación de coalición, por estado – Senadurías 2018 (fuente: senadurias.csv)</t>
  </si>
  <si>
    <t xml:space="preserve">PRI</t>
  </si>
  <si>
    <t xml:space="preserve">PRD</t>
  </si>
  <si>
    <t xml:space="preserve">PVEM</t>
  </si>
  <si>
    <t xml:space="preserve">PT</t>
  </si>
  <si>
    <t xml:space="preserve">MOVIMIENTO CIUDADANO</t>
  </si>
  <si>
    <t xml:space="preserve">NUEVA ALIANZA</t>
  </si>
  <si>
    <t xml:space="preserve">MORENA</t>
  </si>
  <si>
    <t xml:space="preserve">ENCUENTRO SOCIAL</t>
  </si>
  <si>
    <t xml:space="preserve">PAN-PRD</t>
  </si>
  <si>
    <t xml:space="preserve">PAN-MC</t>
  </si>
  <si>
    <t xml:space="preserve">PRD-MC</t>
  </si>
  <si>
    <t xml:space="preserve">PRI-PVEM</t>
  </si>
  <si>
    <t xml:space="preserve">PRI-NA</t>
  </si>
  <si>
    <t xml:space="preserve">PVEM-NA</t>
  </si>
  <si>
    <t xml:space="preserve">PT-MORENA-PES</t>
  </si>
  <si>
    <t xml:space="preserve">PT-MORENA</t>
  </si>
  <si>
    <t xml:space="preserve">PT-PES</t>
  </si>
  <si>
    <t xml:space="preserve">MORENA-PES</t>
  </si>
  <si>
    <t xml:space="preserve">CAND-IND-01</t>
  </si>
  <si>
    <t xml:space="preserve">CAND-IND-02</t>
  </si>
  <si>
    <t xml:space="preserve">CNR</t>
  </si>
  <si>
    <t xml:space="preserve">VN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</si>
</sst>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%"/>
    <numFmt numFmtId="167" formatCode="0.0%"/>
    <numFmt numFmtId="168" formatCode="0.0"/>
    <numFmt numFmtId="169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7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3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f aca="false">'Por estado'!B36</f>
        <v>24746578</v>
      </c>
      <c r="C5" s="6" t="n">
        <f aca="false">B5/$B$11</f>
        <v>0.4365101810279</v>
      </c>
      <c r="D5" s="6" t="n">
        <f aca="false">B5/SUM($B$5:$B$8)</f>
        <v>0.455606420332452</v>
      </c>
      <c r="E5" s="4" t="n">
        <f aca="false">COUNTIF('Por estado'!$Q$4:$Q$35,A5)</f>
        <v>25</v>
      </c>
      <c r="F5" s="4" t="n">
        <v>5</v>
      </c>
      <c r="G5" s="4" t="n">
        <f aca="false">COUNTIF('Por distrito'!$N$4:$N$303,A5)</f>
        <v>216</v>
      </c>
    </row>
    <row r="6" customFormat="false" ht="15" hidden="false" customHeight="false" outlineLevel="0" collapsed="false">
      <c r="A6" s="4" t="s">
        <v>10</v>
      </c>
      <c r="B6" s="5" t="n">
        <f aca="false">'Por estado'!C36</f>
        <v>15611117</v>
      </c>
      <c r="C6" s="6" t="n">
        <f aca="false">B6/$B$11</f>
        <v>0.275367830967083</v>
      </c>
      <c r="D6" s="6" t="n">
        <f aca="false">B6/SUM($B$5:$B$8)</f>
        <v>0.287414491561665</v>
      </c>
      <c r="E6" s="4" t="n">
        <f aca="false">COUNTIF('Por estado'!$Q$4:$Q$35,A6)</f>
        <v>6</v>
      </c>
      <c r="F6" s="4" t="n">
        <v>15</v>
      </c>
      <c r="G6" s="4" t="n">
        <f aca="false">COUNTIF('Por distrito'!$N$4:$N$303,A6)</f>
        <v>66</v>
      </c>
    </row>
    <row r="7" customFormat="false" ht="15" hidden="false" customHeight="false" outlineLevel="0" collapsed="false">
      <c r="A7" s="4" t="s">
        <v>11</v>
      </c>
      <c r="B7" s="5" t="n">
        <f aca="false">'Por estado'!D36</f>
        <v>12848848</v>
      </c>
      <c r="C7" s="6" t="n">
        <f aca="false">B7/$B$11</f>
        <v>0.226643577406136</v>
      </c>
      <c r="D7" s="6" t="n">
        <f aca="false">B7/SUM($B$5:$B$8)</f>
        <v>0.236558672583974</v>
      </c>
      <c r="E7" s="4" t="n">
        <f aca="false">COUNTIF('Por estado'!$Q$4:$Q$35,A7)</f>
        <v>1</v>
      </c>
      <c r="F7" s="4" t="n">
        <v>12</v>
      </c>
      <c r="G7" s="4" t="n">
        <f aca="false">COUNTIF('Por distrito'!$N$4:$N$303,A7)</f>
        <v>18</v>
      </c>
    </row>
    <row r="8" customFormat="false" ht="15" hidden="false" customHeight="false" outlineLevel="0" collapsed="false">
      <c r="A8" s="4" t="s">
        <v>12</v>
      </c>
      <c r="B8" s="5" t="n">
        <f aca="false">'Por estado'!E36</f>
        <v>1109149</v>
      </c>
      <c r="C8" s="6" t="n">
        <f aca="false">B8/$B$11</f>
        <v>0.0195645163859389</v>
      </c>
      <c r="D8" s="6" t="n">
        <f aca="false">B8/SUM($B$5:$B$8)</f>
        <v>0.0204204155219085</v>
      </c>
      <c r="E8" s="4"/>
      <c r="F8" s="4"/>
      <c r="G8" s="4"/>
    </row>
    <row r="9" customFormat="false" ht="15" hidden="false" customHeight="false" outlineLevel="0" collapsed="false">
      <c r="A9" s="4" t="s">
        <v>13</v>
      </c>
      <c r="B9" s="5" t="n">
        <f aca="false">'Por estado'!F36</f>
        <v>31820</v>
      </c>
      <c r="C9" s="6" t="n">
        <f aca="false">B9/$B$11</f>
        <v>0.000561279784231492</v>
      </c>
      <c r="D9" s="6"/>
      <c r="E9" s="4"/>
      <c r="F9" s="4"/>
      <c r="G9" s="4"/>
    </row>
    <row r="10" customFormat="false" ht="15" hidden="false" customHeight="false" outlineLevel="0" collapsed="false">
      <c r="A10" s="4" t="s">
        <v>14</v>
      </c>
      <c r="B10" s="5" t="n">
        <f aca="false">'Por estado'!G36</f>
        <v>2344357</v>
      </c>
      <c r="C10" s="6" t="n">
        <f aca="false">B10/$B$11</f>
        <v>0.0413526144287111</v>
      </c>
      <c r="D10" s="6"/>
      <c r="E10" s="4"/>
      <c r="F10" s="4"/>
      <c r="G10" s="4"/>
    </row>
    <row r="11" customFormat="false" ht="15" hidden="false" customHeight="false" outlineLevel="0" collapsed="false">
      <c r="A11" s="7" t="s">
        <v>15</v>
      </c>
      <c r="B11" s="5" t="n">
        <f aca="false">'Por estado'!H36</f>
        <v>56691869</v>
      </c>
      <c r="C11" s="6"/>
      <c r="D11" s="6"/>
      <c r="E11" s="4"/>
      <c r="F11" s="4"/>
      <c r="G11" s="4"/>
    </row>
    <row r="12" customFormat="false" ht="15" hidden="false" customHeight="false" outlineLevel="0" collapsed="false">
      <c r="A12" s="7" t="s">
        <v>16</v>
      </c>
      <c r="B12" s="5" t="n">
        <f aca="false">'Por estado'!I36</f>
        <v>89127226</v>
      </c>
      <c r="C12" s="6"/>
      <c r="D12" s="6"/>
      <c r="E12" s="4"/>
      <c r="F12" s="4"/>
      <c r="G12" s="4"/>
    </row>
    <row r="13" customFormat="false" ht="15" hidden="false" customHeight="false" outlineLevel="0" collapsed="false">
      <c r="A13" s="7" t="s">
        <v>17</v>
      </c>
      <c r="B13" s="6" t="n">
        <f aca="false">B11/B12</f>
        <v>0.636078015038861</v>
      </c>
      <c r="C13" s="6"/>
      <c r="D13" s="6"/>
      <c r="E13" s="4"/>
      <c r="F13" s="4"/>
      <c r="G13" s="4"/>
    </row>
    <row r="14" customFormat="false" ht="15" hidden="false" customHeight="false" outlineLevel="0" collapsed="false">
      <c r="A14" s="7" t="s">
        <v>18</v>
      </c>
      <c r="B14" s="5" t="n">
        <f aca="false">'Votos por partido'!B36</f>
        <v>157891</v>
      </c>
      <c r="C14" s="6"/>
      <c r="D14" s="6"/>
      <c r="E14" s="4"/>
      <c r="F14" s="4"/>
      <c r="G14" s="4"/>
    </row>
    <row r="16" customFormat="false" ht="15" hidden="false" customHeight="false" outlineLevel="0" collapsed="false">
      <c r="A16" s="8" t="s">
        <v>19</v>
      </c>
    </row>
    <row r="17" customFormat="false" ht="61.5" hidden="false" customHeight="true" outlineLevel="0" collapsed="false">
      <c r="A17" s="9" t="s">
        <v>20</v>
      </c>
      <c r="B17" s="9"/>
      <c r="C17" s="9"/>
      <c r="D17" s="9"/>
      <c r="E17" s="9"/>
      <c r="F17" s="9"/>
      <c r="G17" s="9"/>
    </row>
    <row r="18" customFormat="false" ht="61.5" hidden="false" customHeight="true" outlineLevel="0" collapsed="false">
      <c r="A18" s="9" t="s">
        <v>21</v>
      </c>
      <c r="B18" s="9"/>
      <c r="C18" s="9"/>
      <c r="D18" s="9"/>
      <c r="E18" s="9"/>
      <c r="F18" s="9"/>
      <c r="G18" s="9"/>
    </row>
    <row r="19" customFormat="false" ht="61.5" hidden="false" customHeight="true" outlineLevel="0" collapsed="false">
      <c r="A19" s="9" t="s">
        <v>22</v>
      </c>
      <c r="B19" s="9"/>
      <c r="C19" s="9"/>
      <c r="D19" s="9"/>
      <c r="E19" s="9"/>
      <c r="F19" s="9"/>
      <c r="G19" s="9"/>
    </row>
    <row r="20" customFormat="false" ht="61.5" hidden="false" customHeight="true" outlineLevel="0" collapsed="false">
      <c r="A20" s="9" t="s">
        <v>23</v>
      </c>
      <c r="B20" s="9"/>
      <c r="C20" s="9"/>
      <c r="D20" s="9"/>
      <c r="E20" s="9"/>
      <c r="F20" s="9"/>
      <c r="G20" s="9"/>
    </row>
    <row r="21" customFormat="false" ht="61.5" hidden="false" customHeight="true" outlineLevel="0" collapsed="false">
      <c r="A21" s="9" t="s">
        <v>24</v>
      </c>
      <c r="B21" s="9"/>
      <c r="C21" s="9"/>
      <c r="D21" s="9"/>
      <c r="E21" s="9"/>
      <c r="F21" s="9"/>
      <c r="G21" s="9"/>
    </row>
  </sheetData>
  <mergeCells count="5">
    <mergeCell ref="A17:G17"/>
    <mergeCell ref="A18:G18"/>
    <mergeCell ref="A19:G19"/>
    <mergeCell ref="A20:G20"/>
    <mergeCell ref="A21:G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16" min="2" style="0" width="14"/>
    <col collapsed="false" customWidth="true" hidden="false" outlineLevel="0" max="17" min="17" style="0" width="22"/>
    <col collapsed="false" customWidth="true" hidden="false" outlineLevel="0" max="18" min="18" style="0" width="14"/>
    <col collapsed="false" customWidth="true" hidden="false" outlineLevel="0" max="19" min="19" style="0" width="22"/>
    <col collapsed="false" customWidth="true" hidden="false" outlineLevel="0" max="20" min="20" style="0" width="14"/>
    <col collapsed="false" customWidth="true" hidden="false" outlineLevel="0" max="21" min="21" style="0" width="22"/>
    <col collapsed="false" customWidth="true" hidden="false" outlineLevel="0" max="22" min="22" style="0" width="14"/>
  </cols>
  <sheetData>
    <row r="1" customFormat="false" ht="16.15" hidden="false" customHeight="false" outlineLevel="0" collapsed="false">
      <c r="A1" s="10" t="s">
        <v>25</v>
      </c>
    </row>
    <row r="2" customFormat="false" ht="15" hidden="false" customHeight="false" outlineLevel="0" collapsed="false">
      <c r="A2" s="2" t="s">
        <v>26</v>
      </c>
    </row>
    <row r="3" customFormat="false" ht="48" hidden="false" customHeight="true" outlineLevel="0" collapsed="false">
      <c r="A3" s="3" t="s">
        <v>27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  <c r="H3" s="3" t="s">
        <v>28</v>
      </c>
      <c r="I3" s="3" t="s">
        <v>29</v>
      </c>
      <c r="J3" s="3" t="s">
        <v>17</v>
      </c>
      <c r="K3" s="3" t="s">
        <v>30</v>
      </c>
      <c r="L3" s="3" t="s">
        <v>31</v>
      </c>
      <c r="M3" s="3" t="s">
        <v>32</v>
      </c>
      <c r="N3" s="3" t="s">
        <v>33</v>
      </c>
      <c r="O3" s="3" t="s">
        <v>34</v>
      </c>
      <c r="P3" s="3" t="s">
        <v>35</v>
      </c>
      <c r="Q3" s="3" t="s">
        <v>36</v>
      </c>
      <c r="R3" s="3" t="s">
        <v>37</v>
      </c>
      <c r="S3" s="3" t="s">
        <v>38</v>
      </c>
      <c r="T3" s="3" t="s">
        <v>39</v>
      </c>
      <c r="U3" s="3" t="s">
        <v>40</v>
      </c>
      <c r="V3" s="3" t="s">
        <v>41</v>
      </c>
    </row>
    <row r="4" customFormat="false" ht="15" hidden="false" customHeight="false" outlineLevel="0" collapsed="false">
      <c r="A4" s="4" t="str">
        <f aca="false">'Votos por partido'!A4</f>
        <v>Aguascalientes</v>
      </c>
      <c r="B4" s="5" t="n">
        <f aca="false">'Votos por partido'!G4+'Votos por partido'!J4+'Votos por partido'!K4+'Votos por partido'!T4+'Votos por partido'!U4+'Votos por partido'!V4+'Votos por partido'!W4</f>
        <v>161668</v>
      </c>
      <c r="C4" s="5" t="n">
        <f aca="false">'Votos por partido'!C4+'Votos por partido'!E4+'Votos por partido'!H4+'Votos por partido'!L4+'Votos por partido'!M4+'Votos por partido'!N4+'Votos por partido'!O4</f>
        <v>200339</v>
      </c>
      <c r="D4" s="5" t="n">
        <f aca="false">'Votos por partido'!D4+'Votos por partido'!F4+'Votos por partido'!I4+'Votos por partido'!P4+'Votos por partido'!Q4+'Votos por partido'!R4+'Votos por partido'!S4</f>
        <v>177661</v>
      </c>
      <c r="E4" s="5" t="n">
        <f aca="false">'Votos por partido'!X4+'Votos por partido'!Y4</f>
        <v>0</v>
      </c>
      <c r="F4" s="5" t="n">
        <f aca="false">'Votos por partido'!Z4</f>
        <v>412</v>
      </c>
      <c r="G4" s="5" t="n">
        <f aca="false">'Votos por partido'!AA4</f>
        <v>20838</v>
      </c>
      <c r="H4" s="5" t="n">
        <f aca="false">'Votos por partido'!AB4</f>
        <v>560918</v>
      </c>
      <c r="I4" s="5" t="n">
        <f aca="false">'Votos por partido'!AC4</f>
        <v>945131</v>
      </c>
      <c r="J4" s="11" t="n">
        <f aca="false">H4/I4</f>
        <v>0.593481750148921</v>
      </c>
      <c r="K4" s="11" t="n">
        <f aca="false">B4/H4</f>
        <v>0.288220381588753</v>
      </c>
      <c r="L4" s="11" t="n">
        <f aca="false">C4/H4</f>
        <v>0.357162722536984</v>
      </c>
      <c r="M4" s="11" t="n">
        <f aca="false">D4/H4</f>
        <v>0.316732570536157</v>
      </c>
      <c r="N4" s="11" t="n">
        <f aca="false">E4/H4</f>
        <v>0</v>
      </c>
      <c r="O4" s="11" t="n">
        <f aca="false">F4/H4</f>
        <v>0.000734510213614111</v>
      </c>
      <c r="P4" s="11" t="n">
        <f aca="false">G4/H4</f>
        <v>0.0371498151244924</v>
      </c>
      <c r="Q4" s="4" t="str">
        <f aca="false">INDEX($B$3:$D$3,MATCH(MAX(B4:D4),B4:D4,0))</f>
        <v>PAN-PRD-MC</v>
      </c>
      <c r="R4" s="12" t="n">
        <f aca="false">(MAX(L4:N4)-LARGE(L4:N4,2))*100</f>
        <v>4.04301520008272</v>
      </c>
      <c r="S4" s="4" t="s">
        <v>10</v>
      </c>
      <c r="T4" s="11" t="n">
        <v>0.357162722536984</v>
      </c>
      <c r="U4" s="4" t="s">
        <v>9</v>
      </c>
      <c r="V4" s="11" t="n">
        <v>0.288220381588753</v>
      </c>
    </row>
    <row r="5" customFormat="false" ht="15" hidden="false" customHeight="false" outlineLevel="0" collapsed="false">
      <c r="A5" s="4" t="str">
        <f aca="false">'Votos por partido'!A5</f>
        <v>Baja California</v>
      </c>
      <c r="B5" s="5" t="n">
        <f aca="false">'Votos por partido'!G5+'Votos por partido'!J5+'Votos por partido'!K5+'Votos por partido'!T5+'Votos por partido'!U5+'Votos por partido'!V5+'Votos por partido'!W5</f>
        <v>836840</v>
      </c>
      <c r="C5" s="5" t="n">
        <f aca="false">'Votos por partido'!C5+'Votos por partido'!E5+'Votos por partido'!H5+'Votos por partido'!L5+'Votos por partido'!M5+'Votos por partido'!N5+'Votos por partido'!O5</f>
        <v>342035</v>
      </c>
      <c r="D5" s="5" t="n">
        <f aca="false">'Votos por partido'!D5+'Votos por partido'!F5+'Votos por partido'!I5+'Votos por partido'!P5+'Votos por partido'!Q5+'Votos por partido'!R5+'Votos por partido'!S5</f>
        <v>224287</v>
      </c>
      <c r="E5" s="5" t="n">
        <f aca="false">'Votos por partido'!X5+'Votos por partido'!Y5</f>
        <v>0</v>
      </c>
      <c r="F5" s="5" t="n">
        <f aca="false">'Votos por partido'!Z5</f>
        <v>1343</v>
      </c>
      <c r="G5" s="5" t="n">
        <f aca="false">'Votos por partido'!AA5</f>
        <v>43451</v>
      </c>
      <c r="H5" s="5" t="n">
        <f aca="false">'Votos por partido'!AB5</f>
        <v>1447956</v>
      </c>
      <c r="I5" s="5" t="n">
        <f aca="false">'Votos por partido'!AC5</f>
        <v>2734195</v>
      </c>
      <c r="J5" s="11" t="n">
        <f aca="false">H5/I5</f>
        <v>0.529573055323413</v>
      </c>
      <c r="K5" s="11" t="n">
        <f aca="false">B5/H5</f>
        <v>0.577945738682667</v>
      </c>
      <c r="L5" s="11" t="n">
        <f aca="false">C5/H5</f>
        <v>0.23621919450591</v>
      </c>
      <c r="M5" s="11" t="n">
        <f aca="false">D5/H5</f>
        <v>0.154899043893599</v>
      </c>
      <c r="N5" s="11" t="n">
        <f aca="false">E5/H5</f>
        <v>0</v>
      </c>
      <c r="O5" s="11" t="n">
        <f aca="false">F5/H5</f>
        <v>0.000927514371983679</v>
      </c>
      <c r="P5" s="11" t="n">
        <f aca="false">G5/H5</f>
        <v>0.0300085085458398</v>
      </c>
      <c r="Q5" s="4" t="str">
        <f aca="false">INDEX($B$3:$D$3,MATCH(MAX(B5:D5),B5:D5,0))</f>
        <v>PT-Morena-PES</v>
      </c>
      <c r="R5" s="12" t="n">
        <f aca="false">(MAX(L5:N5)-LARGE(L5:N5,2))*100</f>
        <v>8.13201506123114</v>
      </c>
      <c r="S5" s="4" t="s">
        <v>9</v>
      </c>
      <c r="T5" s="11" t="n">
        <v>0.577945738682667</v>
      </c>
      <c r="U5" s="4" t="s">
        <v>10</v>
      </c>
      <c r="V5" s="11" t="n">
        <v>0.23621919450591</v>
      </c>
    </row>
    <row r="6" customFormat="false" ht="15" hidden="false" customHeight="false" outlineLevel="0" collapsed="false">
      <c r="A6" s="4" t="str">
        <f aca="false">'Votos por partido'!A6</f>
        <v>Baja California Sur</v>
      </c>
      <c r="B6" s="5" t="n">
        <f aca="false">'Votos por partido'!G6+'Votos por partido'!J6+'Votos por partido'!K6+'Votos por partido'!T6+'Votos por partido'!U6+'Votos por partido'!V6+'Votos por partido'!W6</f>
        <v>148597</v>
      </c>
      <c r="C6" s="5" t="n">
        <f aca="false">'Votos por partido'!C6+'Votos por partido'!E6+'Votos por partido'!H6+'Votos por partido'!L6+'Votos por partido'!M6+'Votos por partido'!N6+'Votos por partido'!O6</f>
        <v>85524</v>
      </c>
      <c r="D6" s="5" t="n">
        <f aca="false">'Votos por partido'!D6+'Votos por partido'!F6+'Votos por partido'!I6+'Votos por partido'!P6+'Votos por partido'!Q6+'Votos por partido'!R6+'Votos por partido'!S6</f>
        <v>43578</v>
      </c>
      <c r="E6" s="5" t="n">
        <f aca="false">'Votos por partido'!X6+'Votos por partido'!Y6</f>
        <v>14740</v>
      </c>
      <c r="F6" s="5" t="n">
        <f aca="false">'Votos por partido'!Z6</f>
        <v>255</v>
      </c>
      <c r="G6" s="5" t="n">
        <f aca="false">'Votos por partido'!AA6</f>
        <v>10573</v>
      </c>
      <c r="H6" s="5" t="n">
        <f aca="false">'Votos por partido'!AB6</f>
        <v>303267</v>
      </c>
      <c r="I6" s="5" t="n">
        <f aca="false">'Votos por partido'!AC6</f>
        <v>516365</v>
      </c>
      <c r="J6" s="11" t="n">
        <f aca="false">H6/I6</f>
        <v>0.587311301114522</v>
      </c>
      <c r="K6" s="11" t="n">
        <f aca="false">B6/H6</f>
        <v>0.489987370864618</v>
      </c>
      <c r="L6" s="11" t="n">
        <f aca="false">C6/H6</f>
        <v>0.282008922830377</v>
      </c>
      <c r="M6" s="11" t="n">
        <f aca="false">D6/H6</f>
        <v>0.14369515971075</v>
      </c>
      <c r="N6" s="11" t="n">
        <f aca="false">E6/H6</f>
        <v>0.0486040353879585</v>
      </c>
      <c r="O6" s="11" t="n">
        <f aca="false">F6/H6</f>
        <v>0.000840843217362918</v>
      </c>
      <c r="P6" s="11" t="n">
        <f aca="false">G6/H6</f>
        <v>0.0348636679889338</v>
      </c>
      <c r="Q6" s="4" t="str">
        <f aca="false">INDEX($B$3:$D$3,MATCH(MAX(B6:D6),B6:D6,0))</f>
        <v>PT-Morena-PES</v>
      </c>
      <c r="R6" s="12" t="n">
        <f aca="false">(MAX(L6:N6)-LARGE(L6:N6,2))*100</f>
        <v>13.8313763119627</v>
      </c>
      <c r="S6" s="4" t="s">
        <v>9</v>
      </c>
      <c r="T6" s="11" t="n">
        <v>0.489987370864618</v>
      </c>
      <c r="U6" s="4" t="s">
        <v>10</v>
      </c>
      <c r="V6" s="11" t="n">
        <v>0.282008922830377</v>
      </c>
    </row>
    <row r="7" customFormat="false" ht="15" hidden="false" customHeight="false" outlineLevel="0" collapsed="false">
      <c r="A7" s="4" t="str">
        <f aca="false">'Votos por partido'!A7</f>
        <v>Campeche</v>
      </c>
      <c r="B7" s="5" t="n">
        <f aca="false">'Votos por partido'!G7+'Votos por partido'!J7+'Votos por partido'!K7+'Votos por partido'!T7+'Votos por partido'!U7+'Votos por partido'!V7+'Votos por partido'!W7</f>
        <v>208310</v>
      </c>
      <c r="C7" s="5" t="n">
        <f aca="false">'Votos por partido'!C7+'Votos por partido'!E7+'Votos por partido'!H7+'Votos por partido'!L7+'Votos por partido'!M7+'Votos por partido'!N7+'Votos por partido'!O7</f>
        <v>89607</v>
      </c>
      <c r="D7" s="5" t="n">
        <f aca="false">'Votos por partido'!D7+'Votos por partido'!F7+'Votos por partido'!I7+'Votos por partido'!P7+'Votos por partido'!Q7+'Votos por partido'!R7+'Votos por partido'!S7</f>
        <v>137428</v>
      </c>
      <c r="E7" s="5" t="n">
        <f aca="false">'Votos por partido'!X7+'Votos por partido'!Y7</f>
        <v>0</v>
      </c>
      <c r="F7" s="5" t="n">
        <f aca="false">'Votos por partido'!Z7</f>
        <v>158</v>
      </c>
      <c r="G7" s="5" t="n">
        <f aca="false">'Votos por partido'!AA7</f>
        <v>15837</v>
      </c>
      <c r="H7" s="5" t="n">
        <f aca="false">'Votos por partido'!AB7</f>
        <v>451340</v>
      </c>
      <c r="I7" s="5" t="n">
        <f aca="false">'Votos por partido'!AC7</f>
        <v>642407</v>
      </c>
      <c r="J7" s="11" t="n">
        <f aca="false">H7/I7</f>
        <v>0.702576404055373</v>
      </c>
      <c r="K7" s="11" t="n">
        <f aca="false">B7/H7</f>
        <v>0.461536757211858</v>
      </c>
      <c r="L7" s="11" t="n">
        <f aca="false">C7/H7</f>
        <v>0.198535472149599</v>
      </c>
      <c r="M7" s="11" t="n">
        <f aca="false">D7/H7</f>
        <v>0.30448885540834</v>
      </c>
      <c r="N7" s="11" t="n">
        <f aca="false">E7/H7</f>
        <v>0</v>
      </c>
      <c r="O7" s="11" t="n">
        <f aca="false">F7/H7</f>
        <v>0.000350068684362122</v>
      </c>
      <c r="P7" s="11" t="n">
        <f aca="false">G7/H7</f>
        <v>0.0350888465458413</v>
      </c>
      <c r="Q7" s="4" t="str">
        <f aca="false">INDEX($B$3:$D$3,MATCH(MAX(B7:D7),B7:D7,0))</f>
        <v>PT-Morena-PES</v>
      </c>
      <c r="R7" s="12" t="n">
        <f aca="false">(MAX(L7:N7)-LARGE(L7:N7,2))*100</f>
        <v>10.5953383258741</v>
      </c>
      <c r="S7" s="4" t="s">
        <v>9</v>
      </c>
      <c r="T7" s="11" t="n">
        <v>0.461536757211858</v>
      </c>
      <c r="U7" s="4" t="s">
        <v>11</v>
      </c>
      <c r="V7" s="11" t="n">
        <v>0.30448885540834</v>
      </c>
    </row>
    <row r="8" customFormat="false" ht="15" hidden="false" customHeight="false" outlineLevel="0" collapsed="false">
      <c r="A8" s="4" t="str">
        <f aca="false">'Votos por partido'!A8</f>
        <v>Coahuila</v>
      </c>
      <c r="B8" s="5" t="n">
        <f aca="false">'Votos por partido'!G8+'Votos por partido'!J8+'Votos por partido'!K8+'Votos por partido'!T8+'Votos por partido'!U8+'Votos por partido'!V8+'Votos por partido'!W8</f>
        <v>500135</v>
      </c>
      <c r="C8" s="5" t="n">
        <f aca="false">'Votos por partido'!C8+'Votos por partido'!E8+'Votos por partido'!H8+'Votos por partido'!L8+'Votos por partido'!M8+'Votos por partido'!N8+'Votos por partido'!O8</f>
        <v>395845</v>
      </c>
      <c r="D8" s="5" t="n">
        <f aca="false">'Votos por partido'!D8+'Votos por partido'!F8+'Votos por partido'!I8+'Votos por partido'!P8+'Votos por partido'!Q8+'Votos por partido'!R8+'Votos por partido'!S8</f>
        <v>444056</v>
      </c>
      <c r="E8" s="5" t="n">
        <f aca="false">'Votos por partido'!X8+'Votos por partido'!Y8</f>
        <v>0</v>
      </c>
      <c r="F8" s="5" t="n">
        <f aca="false">'Votos por partido'!Z8</f>
        <v>435</v>
      </c>
      <c r="G8" s="5" t="n">
        <f aca="false">'Votos por partido'!AA8</f>
        <v>34589</v>
      </c>
      <c r="H8" s="5" t="n">
        <f aca="false">'Votos por partido'!AB8</f>
        <v>1375060</v>
      </c>
      <c r="I8" s="5" t="n">
        <f aca="false">'Votos por partido'!AC8</f>
        <v>2157244</v>
      </c>
      <c r="J8" s="11" t="n">
        <f aca="false">H8/I8</f>
        <v>0.637415146362674</v>
      </c>
      <c r="K8" s="11" t="n">
        <f aca="false">B8/H8</f>
        <v>0.363718674094221</v>
      </c>
      <c r="L8" s="11" t="n">
        <f aca="false">C8/H8</f>
        <v>0.287874710921705</v>
      </c>
      <c r="M8" s="11" t="n">
        <f aca="false">D8/H8</f>
        <v>0.322935726441028</v>
      </c>
      <c r="N8" s="11" t="n">
        <f aca="false">E8/H8</f>
        <v>0</v>
      </c>
      <c r="O8" s="11" t="n">
        <f aca="false">F8/H8</f>
        <v>0.000316349832007331</v>
      </c>
      <c r="P8" s="11" t="n">
        <f aca="false">G8/H8</f>
        <v>0.0251545387110381</v>
      </c>
      <c r="Q8" s="4" t="str">
        <f aca="false">INDEX($B$3:$D$3,MATCH(MAX(B8:D8),B8:D8,0))</f>
        <v>PT-Morena-PES</v>
      </c>
      <c r="R8" s="12" t="n">
        <f aca="false">(MAX(L8:N8)-LARGE(L8:N8,2))*100</f>
        <v>3.50610155193228</v>
      </c>
      <c r="S8" s="4" t="s">
        <v>9</v>
      </c>
      <c r="T8" s="11" t="n">
        <v>0.363718674094221</v>
      </c>
      <c r="U8" s="4" t="s">
        <v>11</v>
      </c>
      <c r="V8" s="11" t="n">
        <v>0.322935726441028</v>
      </c>
    </row>
    <row r="9" customFormat="false" ht="15" hidden="false" customHeight="false" outlineLevel="0" collapsed="false">
      <c r="A9" s="4" t="str">
        <f aca="false">'Votos por partido'!A9</f>
        <v>Colima</v>
      </c>
      <c r="B9" s="5" t="n">
        <f aca="false">'Votos por partido'!G9+'Votos por partido'!J9+'Votos por partido'!K9+'Votos por partido'!T9+'Votos por partido'!U9+'Votos por partido'!V9+'Votos por partido'!W9</f>
        <v>150037</v>
      </c>
      <c r="C9" s="5" t="n">
        <f aca="false">'Votos por partido'!C9+'Votos por partido'!E9+'Votos por partido'!H9+'Votos por partido'!L9+'Votos por partido'!M9+'Votos por partido'!N9+'Votos por partido'!O9</f>
        <v>79243</v>
      </c>
      <c r="D9" s="5" t="n">
        <f aca="false">'Votos por partido'!D9+'Votos por partido'!F9+'Votos por partido'!I9+'Votos por partido'!P9+'Votos por partido'!Q9+'Votos por partido'!R9+'Votos por partido'!S9</f>
        <v>98727</v>
      </c>
      <c r="E9" s="5" t="n">
        <f aca="false">'Votos por partido'!X9+'Votos por partido'!Y9</f>
        <v>0</v>
      </c>
      <c r="F9" s="5" t="n">
        <f aca="false">'Votos por partido'!Z9</f>
        <v>196</v>
      </c>
      <c r="G9" s="5" t="n">
        <f aca="false">'Votos por partido'!AA9</f>
        <v>12612</v>
      </c>
      <c r="H9" s="5" t="n">
        <f aca="false">'Votos por partido'!AB9</f>
        <v>340815</v>
      </c>
      <c r="I9" s="5" t="n">
        <f aca="false">'Votos por partido'!AC9</f>
        <v>531888</v>
      </c>
      <c r="J9" s="11" t="n">
        <f aca="false">H9/I9</f>
        <v>0.640764597058027</v>
      </c>
      <c r="K9" s="11" t="n">
        <f aca="false">B9/H9</f>
        <v>0.440230036823497</v>
      </c>
      <c r="L9" s="11" t="n">
        <f aca="false">C9/H9</f>
        <v>0.232510306177838</v>
      </c>
      <c r="M9" s="11" t="n">
        <f aca="false">D9/H9</f>
        <v>0.289679151445799</v>
      </c>
      <c r="N9" s="11" t="n">
        <f aca="false">E9/H9</f>
        <v>0</v>
      </c>
      <c r="O9" s="11" t="n">
        <f aca="false">F9/H9</f>
        <v>0.000575092058741546</v>
      </c>
      <c r="P9" s="11" t="n">
        <f aca="false">G9/H9</f>
        <v>0.0370054134941244</v>
      </c>
      <c r="Q9" s="4" t="str">
        <f aca="false">INDEX($B$3:$D$3,MATCH(MAX(B9:D9),B9:D9,0))</f>
        <v>PT-Morena-PES</v>
      </c>
      <c r="R9" s="12" t="n">
        <f aca="false">(MAX(L9:N9)-LARGE(L9:N9,2))*100</f>
        <v>5.71688452679606</v>
      </c>
      <c r="S9" s="4" t="s">
        <v>9</v>
      </c>
      <c r="T9" s="11" t="n">
        <v>0.440230036823497</v>
      </c>
      <c r="U9" s="4" t="s">
        <v>11</v>
      </c>
      <c r="V9" s="11" t="n">
        <v>0.289679151445799</v>
      </c>
    </row>
    <row r="10" customFormat="false" ht="15" hidden="false" customHeight="false" outlineLevel="0" collapsed="false">
      <c r="A10" s="4" t="str">
        <f aca="false">'Votos por partido'!A10</f>
        <v>Chiapas</v>
      </c>
      <c r="B10" s="5" t="n">
        <f aca="false">'Votos por partido'!G10+'Votos por partido'!J10+'Votos por partido'!K10+'Votos por partido'!T10+'Votos por partido'!U10+'Votos por partido'!V10+'Votos por partido'!W10</f>
        <v>1167456</v>
      </c>
      <c r="C10" s="5" t="n">
        <f aca="false">'Votos por partido'!C10+'Votos por partido'!E10+'Votos por partido'!H10+'Votos por partido'!L10+'Votos por partido'!M10+'Votos por partido'!N10+'Votos por partido'!O10</f>
        <v>239823</v>
      </c>
      <c r="D10" s="5" t="n">
        <f aca="false">'Votos por partido'!D10+'Votos por partido'!F10+'Votos por partido'!I10+'Votos por partido'!P10+'Votos por partido'!Q10+'Votos por partido'!R10+'Votos por partido'!S10</f>
        <v>708890</v>
      </c>
      <c r="E10" s="5" t="n">
        <f aca="false">'Votos por partido'!X10+'Votos por partido'!Y10</f>
        <v>98459</v>
      </c>
      <c r="F10" s="5" t="n">
        <f aca="false">'Votos por partido'!Z10</f>
        <v>1407</v>
      </c>
      <c r="G10" s="5" t="n">
        <f aca="false">'Votos por partido'!AA10</f>
        <v>195923</v>
      </c>
      <c r="H10" s="5" t="n">
        <f aca="false">'Votos por partido'!AB10</f>
        <v>2411958</v>
      </c>
      <c r="I10" s="5" t="n">
        <f aca="false">'Votos por partido'!AC10</f>
        <v>3496664</v>
      </c>
      <c r="J10" s="11" t="n">
        <f aca="false">H10/I10</f>
        <v>0.689788323956777</v>
      </c>
      <c r="K10" s="11" t="n">
        <f aca="false">B10/H10</f>
        <v>0.484028328851497</v>
      </c>
      <c r="L10" s="11" t="n">
        <f aca="false">C10/H10</f>
        <v>0.0994308358603259</v>
      </c>
      <c r="M10" s="11" t="n">
        <f aca="false">D10/H10</f>
        <v>0.293906444473743</v>
      </c>
      <c r="N10" s="11" t="n">
        <f aca="false">E10/H10</f>
        <v>0.0408211917454616</v>
      </c>
      <c r="O10" s="11" t="n">
        <f aca="false">F10/H10</f>
        <v>0.000583343491055814</v>
      </c>
      <c r="P10" s="11" t="n">
        <f aca="false">G10/H10</f>
        <v>0.0812298555779164</v>
      </c>
      <c r="Q10" s="4" t="str">
        <f aca="false">INDEX($B$3:$D$3,MATCH(MAX(B10:D10),B10:D10,0))</f>
        <v>PT-Morena-PES</v>
      </c>
      <c r="R10" s="12" t="n">
        <f aca="false">(MAX(L10:N10)-LARGE(L10:N10,2))*100</f>
        <v>19.4475608613417</v>
      </c>
      <c r="S10" s="4" t="s">
        <v>9</v>
      </c>
      <c r="T10" s="11" t="n">
        <v>0.484028328851497</v>
      </c>
      <c r="U10" s="4" t="s">
        <v>11</v>
      </c>
      <c r="V10" s="11" t="n">
        <v>0.293906444473743</v>
      </c>
    </row>
    <row r="11" customFormat="false" ht="15" hidden="false" customHeight="false" outlineLevel="0" collapsed="false">
      <c r="A11" s="4" t="str">
        <f aca="false">'Votos por partido'!A11</f>
        <v>Chihuahua</v>
      </c>
      <c r="B11" s="5" t="n">
        <f aca="false">'Votos por partido'!G11+'Votos por partido'!J11+'Votos por partido'!K11+'Votos por partido'!T11+'Votos por partido'!U11+'Votos por partido'!V11+'Votos por partido'!W11</f>
        <v>544537</v>
      </c>
      <c r="C11" s="5" t="n">
        <f aca="false">'Votos por partido'!C11+'Votos por partido'!E11+'Votos por partido'!H11+'Votos por partido'!L11+'Votos por partido'!M11+'Votos por partido'!N11+'Votos por partido'!O11</f>
        <v>451370</v>
      </c>
      <c r="D11" s="5" t="n">
        <f aca="false">'Votos por partido'!D11+'Votos por partido'!F11+'Votos por partido'!I11+'Votos por partido'!P11+'Votos por partido'!Q11+'Votos por partido'!R11+'Votos por partido'!S11</f>
        <v>428376</v>
      </c>
      <c r="E11" s="5" t="n">
        <f aca="false">'Votos por partido'!X11+'Votos por partido'!Y11</f>
        <v>0</v>
      </c>
      <c r="F11" s="5" t="n">
        <f aca="false">'Votos por partido'!Z11</f>
        <v>1275</v>
      </c>
      <c r="G11" s="5" t="n">
        <f aca="false">'Votos por partido'!AA11</f>
        <v>73578</v>
      </c>
      <c r="H11" s="5" t="n">
        <f aca="false">'Votos por partido'!AB11</f>
        <v>1499136</v>
      </c>
      <c r="I11" s="5" t="n">
        <f aca="false">'Votos por partido'!AC11</f>
        <v>2746512</v>
      </c>
      <c r="J11" s="11" t="n">
        <f aca="false">H11/I11</f>
        <v>0.545832677956623</v>
      </c>
      <c r="K11" s="11" t="n">
        <f aca="false">B11/H11</f>
        <v>0.363233889386954</v>
      </c>
      <c r="L11" s="11" t="n">
        <f aca="false">C11/H11</f>
        <v>0.301086759306694</v>
      </c>
      <c r="M11" s="11" t="n">
        <f aca="false">D11/H11</f>
        <v>0.285748591188525</v>
      </c>
      <c r="N11" s="11" t="n">
        <f aca="false">E11/H11</f>
        <v>0</v>
      </c>
      <c r="O11" s="11" t="n">
        <f aca="false">F11/H11</f>
        <v>0.000850489882172131</v>
      </c>
      <c r="P11" s="11" t="n">
        <f aca="false">G11/H11</f>
        <v>0.0490802702356557</v>
      </c>
      <c r="Q11" s="4" t="str">
        <f aca="false">INDEX($B$3:$D$3,MATCH(MAX(B11:D11),B11:D11,0))</f>
        <v>PT-Morena-PES</v>
      </c>
      <c r="R11" s="12" t="n">
        <f aca="false">(MAX(L11:N11)-LARGE(L11:N11,2))*100</f>
        <v>1.53381681181694</v>
      </c>
      <c r="S11" s="4" t="s">
        <v>9</v>
      </c>
      <c r="T11" s="11" t="n">
        <v>0.363233889386954</v>
      </c>
      <c r="U11" s="4" t="s">
        <v>10</v>
      </c>
      <c r="V11" s="11" t="n">
        <v>0.301086759306694</v>
      </c>
    </row>
    <row r="12" customFormat="false" ht="15" hidden="false" customHeight="false" outlineLevel="0" collapsed="false">
      <c r="A12" s="4" t="str">
        <f aca="false">'Votos por partido'!A12</f>
        <v>Ciudad de México</v>
      </c>
      <c r="B12" s="5" t="n">
        <f aca="false">'Votos por partido'!G12+'Votos por partido'!J12+'Votos por partido'!K12+'Votos por partido'!T12+'Votos por partido'!U12+'Votos por partido'!V12+'Votos por partido'!W12</f>
        <v>2775603</v>
      </c>
      <c r="C12" s="5" t="n">
        <f aca="false">'Votos por partido'!C12+'Votos por partido'!E12+'Votos por partido'!H12+'Votos por partido'!L12+'Votos por partido'!M12+'Votos por partido'!N12+'Votos por partido'!O12</f>
        <v>1562399</v>
      </c>
      <c r="D12" s="5" t="n">
        <f aca="false">'Votos por partido'!D12+'Votos por partido'!F12+'Votos por partido'!I12+'Votos por partido'!P12+'Votos por partido'!Q12+'Votos por partido'!R12+'Votos por partido'!S12</f>
        <v>861079</v>
      </c>
      <c r="E12" s="5" t="n">
        <f aca="false">'Votos por partido'!X12+'Votos por partido'!Y12</f>
        <v>0</v>
      </c>
      <c r="F12" s="5" t="n">
        <f aca="false">'Votos por partido'!Z12</f>
        <v>4556</v>
      </c>
      <c r="G12" s="5" t="n">
        <f aca="false">'Votos por partido'!AA12</f>
        <v>205589</v>
      </c>
      <c r="H12" s="5" t="n">
        <f aca="false">'Votos por partido'!AB12</f>
        <v>5409226</v>
      </c>
      <c r="I12" s="5" t="n">
        <f aca="false">'Votos por partido'!AC12</f>
        <v>7655601</v>
      </c>
      <c r="J12" s="11" t="n">
        <f aca="false">H12/I12</f>
        <v>0.706571045173331</v>
      </c>
      <c r="K12" s="11" t="n">
        <f aca="false">B12/H12</f>
        <v>0.513123873914678</v>
      </c>
      <c r="L12" s="11" t="n">
        <f aca="false">C12/H12</f>
        <v>0.288839660239746</v>
      </c>
      <c r="M12" s="11" t="n">
        <f aca="false">D12/H12</f>
        <v>0.159187099965873</v>
      </c>
      <c r="N12" s="11" t="n">
        <f aca="false">E12/H12</f>
        <v>0</v>
      </c>
      <c r="O12" s="11" t="n">
        <f aca="false">F12/H12</f>
        <v>0.000842264678902305</v>
      </c>
      <c r="P12" s="11" t="n">
        <f aca="false">G12/H12</f>
        <v>0.0380071012008003</v>
      </c>
      <c r="Q12" s="4" t="str">
        <f aca="false">INDEX($B$3:$D$3,MATCH(MAX(B12:D12),B12:D12,0))</f>
        <v>PT-Morena-PES</v>
      </c>
      <c r="R12" s="12" t="n">
        <f aca="false">(MAX(L12:N12)-LARGE(L12:N12,2))*100</f>
        <v>12.9652560273873</v>
      </c>
      <c r="S12" s="4" t="s">
        <v>9</v>
      </c>
      <c r="T12" s="11" t="n">
        <v>0.513123873914678</v>
      </c>
      <c r="U12" s="4" t="s">
        <v>10</v>
      </c>
      <c r="V12" s="11" t="n">
        <v>0.288839660239746</v>
      </c>
    </row>
    <row r="13" customFormat="false" ht="15" hidden="false" customHeight="false" outlineLevel="0" collapsed="false">
      <c r="A13" s="4" t="str">
        <f aca="false">'Votos por partido'!A13</f>
        <v>Durango</v>
      </c>
      <c r="B13" s="5" t="n">
        <f aca="false">'Votos por partido'!G13+'Votos por partido'!J13+'Votos por partido'!K13+'Votos por partido'!T13+'Votos por partido'!U13+'Votos por partido'!V13+'Votos por partido'!W13</f>
        <v>287011</v>
      </c>
      <c r="C13" s="5" t="n">
        <f aca="false">'Votos por partido'!C13+'Votos por partido'!E13+'Votos por partido'!H13+'Votos por partido'!L13+'Votos por partido'!M13+'Votos por partido'!N13+'Votos por partido'!O13</f>
        <v>224728</v>
      </c>
      <c r="D13" s="5" t="n">
        <f aca="false">'Votos por partido'!D13+'Votos por partido'!F13+'Votos por partido'!I13+'Votos por partido'!P13+'Votos por partido'!Q13+'Votos por partido'!R13+'Votos por partido'!S13</f>
        <v>198992</v>
      </c>
      <c r="E13" s="5" t="n">
        <f aca="false">'Votos por partido'!X13+'Votos por partido'!Y13</f>
        <v>0</v>
      </c>
      <c r="F13" s="5" t="n">
        <f aca="false">'Votos por partido'!Z13</f>
        <v>295</v>
      </c>
      <c r="G13" s="5" t="n">
        <f aca="false">'Votos por partido'!AA13</f>
        <v>25958</v>
      </c>
      <c r="H13" s="5" t="n">
        <f aca="false">'Votos por partido'!AB13</f>
        <v>736984</v>
      </c>
      <c r="I13" s="5" t="n">
        <f aca="false">'Votos por partido'!AC13</f>
        <v>1284462</v>
      </c>
      <c r="J13" s="11" t="n">
        <f aca="false">H13/I13</f>
        <v>0.573768628421861</v>
      </c>
      <c r="K13" s="11" t="n">
        <f aca="false">B13/H13</f>
        <v>0.389439933567079</v>
      </c>
      <c r="L13" s="11" t="n">
        <f aca="false">C13/H13</f>
        <v>0.304929279333066</v>
      </c>
      <c r="M13" s="11" t="n">
        <f aca="false">D13/H13</f>
        <v>0.270008575491463</v>
      </c>
      <c r="N13" s="11" t="n">
        <f aca="false">E13/H13</f>
        <v>0</v>
      </c>
      <c r="O13" s="11" t="n">
        <f aca="false">F13/H13</f>
        <v>0.000400280060354092</v>
      </c>
      <c r="P13" s="11" t="n">
        <f aca="false">G13/H13</f>
        <v>0.035221931548039</v>
      </c>
      <c r="Q13" s="4" t="str">
        <f aca="false">INDEX($B$3:$D$3,MATCH(MAX(B13:D13),B13:D13,0))</f>
        <v>PT-Morena-PES</v>
      </c>
      <c r="R13" s="12" t="n">
        <f aca="false">(MAX(L13:N13)-LARGE(L13:N13,2))*100</f>
        <v>3.49207038416031</v>
      </c>
      <c r="S13" s="4" t="s">
        <v>9</v>
      </c>
      <c r="T13" s="11" t="n">
        <v>0.389439933567079</v>
      </c>
      <c r="U13" s="4" t="s">
        <v>10</v>
      </c>
      <c r="V13" s="11" t="n">
        <v>0.304929279333066</v>
      </c>
    </row>
    <row r="14" customFormat="false" ht="15" hidden="false" customHeight="false" outlineLevel="0" collapsed="false">
      <c r="A14" s="4" t="str">
        <f aca="false">'Votos por partido'!A14</f>
        <v>Guanajuato</v>
      </c>
      <c r="B14" s="5" t="n">
        <f aca="false">'Votos por partido'!G14+'Votos por partido'!J14+'Votos por partido'!K14+'Votos por partido'!T14+'Votos por partido'!U14+'Votos por partido'!V14+'Votos por partido'!W14</f>
        <v>601944</v>
      </c>
      <c r="C14" s="5" t="n">
        <f aca="false">'Votos por partido'!C14+'Votos por partido'!E14+'Votos por partido'!H14+'Votos por partido'!L14+'Votos por partido'!M14+'Votos por partido'!N14+'Votos por partido'!O14</f>
        <v>1022457</v>
      </c>
      <c r="D14" s="5" t="n">
        <f aca="false">'Votos por partido'!D14+'Votos por partido'!F14+'Votos por partido'!I14+'Votos por partido'!P14+'Votos por partido'!Q14+'Votos por partido'!R14+'Votos por partido'!S14</f>
        <v>586890</v>
      </c>
      <c r="E14" s="5" t="n">
        <f aca="false">'Votos por partido'!X14+'Votos por partido'!Y14</f>
        <v>0</v>
      </c>
      <c r="F14" s="5" t="n">
        <f aca="false">'Votos por partido'!Z14</f>
        <v>1726</v>
      </c>
      <c r="G14" s="5" t="n">
        <f aca="false">'Votos por partido'!AA14</f>
        <v>112823</v>
      </c>
      <c r="H14" s="5" t="n">
        <f aca="false">'Votos por partido'!AB14</f>
        <v>2325840</v>
      </c>
      <c r="I14" s="5" t="n">
        <f aca="false">'Votos por partido'!AC14</f>
        <v>4369877</v>
      </c>
      <c r="J14" s="11" t="n">
        <f aca="false">H14/I14</f>
        <v>0.53224381372748</v>
      </c>
      <c r="K14" s="11" t="n">
        <f aca="false">B14/H14</f>
        <v>0.25880714064596</v>
      </c>
      <c r="L14" s="11" t="n">
        <f aca="false">C14/H14</f>
        <v>0.43960762563203</v>
      </c>
      <c r="M14" s="11" t="n">
        <f aca="false">D14/H14</f>
        <v>0.252334640387989</v>
      </c>
      <c r="N14" s="11" t="n">
        <f aca="false">E14/H14</f>
        <v>0</v>
      </c>
      <c r="O14" s="11" t="n">
        <f aca="false">F14/H14</f>
        <v>0.000742097478760362</v>
      </c>
      <c r="P14" s="11" t="n">
        <f aca="false">G14/H14</f>
        <v>0.0485084958552609</v>
      </c>
      <c r="Q14" s="4" t="str">
        <f aca="false">INDEX($B$3:$D$3,MATCH(MAX(B14:D14),B14:D14,0))</f>
        <v>PAN-PRD-MC</v>
      </c>
      <c r="R14" s="12" t="n">
        <f aca="false">(MAX(L14:N14)-LARGE(L14:N14,2))*100</f>
        <v>18.7272985244041</v>
      </c>
      <c r="S14" s="4" t="s">
        <v>10</v>
      </c>
      <c r="T14" s="11" t="n">
        <v>0.43960762563203</v>
      </c>
      <c r="U14" s="4" t="s">
        <v>9</v>
      </c>
      <c r="V14" s="11" t="n">
        <v>0.25880714064596</v>
      </c>
    </row>
    <row r="15" customFormat="false" ht="15" hidden="false" customHeight="false" outlineLevel="0" collapsed="false">
      <c r="A15" s="4" t="str">
        <f aca="false">'Votos por partido'!A15</f>
        <v>Guerrero</v>
      </c>
      <c r="B15" s="5" t="n">
        <f aca="false">'Votos por partido'!G15+'Votos por partido'!J15+'Votos por partido'!K15+'Votos por partido'!T15+'Votos por partido'!U15+'Votos por partido'!V15+'Votos por partido'!W15</f>
        <v>776044</v>
      </c>
      <c r="C15" s="5" t="n">
        <f aca="false">'Votos por partido'!C15+'Votos por partido'!E15+'Votos por partido'!H15+'Votos por partido'!L15+'Votos por partido'!M15+'Votos por partido'!N15+'Votos por partido'!O15</f>
        <v>361899</v>
      </c>
      <c r="D15" s="5" t="n">
        <f aca="false">'Votos por partido'!D15+'Votos por partido'!F15+'Votos por partido'!I15+'Votos por partido'!P15+'Votos por partido'!Q15+'Votos por partido'!R15+'Votos por partido'!S15</f>
        <v>370421</v>
      </c>
      <c r="E15" s="5" t="n">
        <f aca="false">'Votos por partido'!X15+'Votos por partido'!Y15</f>
        <v>20801</v>
      </c>
      <c r="F15" s="5" t="n">
        <f aca="false">'Votos por partido'!Z15</f>
        <v>753</v>
      </c>
      <c r="G15" s="5" t="n">
        <f aca="false">'Votos por partido'!AA15</f>
        <v>86952</v>
      </c>
      <c r="H15" s="5" t="n">
        <f aca="false">'Votos por partido'!AB15</f>
        <v>1616870</v>
      </c>
      <c r="I15" s="5" t="n">
        <f aca="false">'Votos por partido'!AC15</f>
        <v>2513278</v>
      </c>
      <c r="J15" s="11" t="n">
        <f aca="false">H15/I15</f>
        <v>0.643331139651085</v>
      </c>
      <c r="K15" s="11" t="n">
        <f aca="false">B15/H15</f>
        <v>0.479966849530265</v>
      </c>
      <c r="L15" s="11" t="n">
        <f aca="false">C15/H15</f>
        <v>0.22382690012184</v>
      </c>
      <c r="M15" s="11" t="n">
        <f aca="false">D15/H15</f>
        <v>0.229097577418098</v>
      </c>
      <c r="N15" s="11" t="n">
        <f aca="false">E15/H15</f>
        <v>0.0128649798685114</v>
      </c>
      <c r="O15" s="11" t="n">
        <f aca="false">F15/H15</f>
        <v>0.000465714621459981</v>
      </c>
      <c r="P15" s="11" t="n">
        <f aca="false">G15/H15</f>
        <v>0.0537779784398251</v>
      </c>
      <c r="Q15" s="4" t="str">
        <f aca="false">INDEX($B$3:$D$3,MATCH(MAX(B15:D15),B15:D15,0))</f>
        <v>PT-Morena-PES</v>
      </c>
      <c r="R15" s="12" t="n">
        <f aca="false">(MAX(L15:N15)-LARGE(L15:N15,2))*100</f>
        <v>0.52706772962576</v>
      </c>
      <c r="S15" s="4" t="s">
        <v>9</v>
      </c>
      <c r="T15" s="11" t="n">
        <v>0.479966849530265</v>
      </c>
      <c r="U15" s="4" t="s">
        <v>11</v>
      </c>
      <c r="V15" s="11" t="n">
        <v>0.229097577418098</v>
      </c>
    </row>
    <row r="16" customFormat="false" ht="15" hidden="false" customHeight="false" outlineLevel="0" collapsed="false">
      <c r="A16" s="4" t="str">
        <f aca="false">'Votos por partido'!A16</f>
        <v>Hidalgo</v>
      </c>
      <c r="B16" s="5" t="n">
        <f aca="false">'Votos por partido'!G16+'Votos por partido'!J16+'Votos por partido'!K16+'Votos por partido'!T16+'Votos por partido'!U16+'Votos por partido'!V16+'Votos por partido'!W16</f>
        <v>746357</v>
      </c>
      <c r="C16" s="5" t="n">
        <f aca="false">'Votos por partido'!C16+'Votos por partido'!E16+'Votos por partido'!H16+'Votos por partido'!L16+'Votos por partido'!M16+'Votos por partido'!N16+'Votos por partido'!O16</f>
        <v>202662</v>
      </c>
      <c r="D16" s="5" t="n">
        <f aca="false">'Votos por partido'!D16+'Votos por partido'!F16+'Votos por partido'!I16+'Votos por partido'!P16+'Votos por partido'!Q16+'Votos por partido'!R16+'Votos por partido'!S16</f>
        <v>376597</v>
      </c>
      <c r="E16" s="5" t="n">
        <f aca="false">'Votos por partido'!X16+'Votos por partido'!Y16</f>
        <v>0</v>
      </c>
      <c r="F16" s="5" t="n">
        <f aca="false">'Votos por partido'!Z16</f>
        <v>527</v>
      </c>
      <c r="G16" s="5" t="n">
        <f aca="false">'Votos por partido'!AA16</f>
        <v>69013</v>
      </c>
      <c r="H16" s="5" t="n">
        <f aca="false">'Votos por partido'!AB16</f>
        <v>1395156</v>
      </c>
      <c r="I16" s="5" t="n">
        <f aca="false">'Votos por partido'!AC16</f>
        <v>2122657</v>
      </c>
      <c r="J16" s="11" t="n">
        <f aca="false">H16/I16</f>
        <v>0.657268696732444</v>
      </c>
      <c r="K16" s="11" t="n">
        <f aca="false">B16/H16</f>
        <v>0.534963115235859</v>
      </c>
      <c r="L16" s="11" t="n">
        <f aca="false">C16/H16</f>
        <v>0.145261175094398</v>
      </c>
      <c r="M16" s="11" t="n">
        <f aca="false">D16/H16</f>
        <v>0.269931821244363</v>
      </c>
      <c r="N16" s="11" t="n">
        <f aca="false">E16/H16</f>
        <v>0</v>
      </c>
      <c r="O16" s="11" t="n">
        <f aca="false">F16/H16</f>
        <v>0.000377735536384462</v>
      </c>
      <c r="P16" s="11" t="n">
        <f aca="false">G16/H16</f>
        <v>0.0494661528889959</v>
      </c>
      <c r="Q16" s="4" t="str">
        <f aca="false">INDEX($B$3:$D$3,MATCH(MAX(B16:D16),B16:D16,0))</f>
        <v>PT-Morena-PES</v>
      </c>
      <c r="R16" s="12" t="n">
        <f aca="false">(MAX(L16:N16)-LARGE(L16:N16,2))*100</f>
        <v>12.4670646149965</v>
      </c>
      <c r="S16" s="4" t="s">
        <v>42</v>
      </c>
      <c r="T16" s="11" t="n">
        <v>0.477295728936406</v>
      </c>
      <c r="U16" s="4" t="s">
        <v>11</v>
      </c>
      <c r="V16" s="11" t="n">
        <v>0.269931821244363</v>
      </c>
    </row>
    <row r="17" customFormat="false" ht="15" hidden="false" customHeight="false" outlineLevel="0" collapsed="false">
      <c r="A17" s="4" t="str">
        <f aca="false">'Votos por partido'!A17</f>
        <v>Jalisco</v>
      </c>
      <c r="B17" s="5" t="n">
        <f aca="false">'Votos por partido'!G17+'Votos por partido'!J17+'Votos por partido'!K17+'Votos por partido'!T17+'Votos por partido'!U17+'Votos por partido'!V17+'Votos por partido'!W17</f>
        <v>848942</v>
      </c>
      <c r="C17" s="5" t="n">
        <f aca="false">'Votos por partido'!C17+'Votos por partido'!E17+'Votos por partido'!H17+'Votos por partido'!L17+'Votos por partido'!M17+'Votos por partido'!N17+'Votos por partido'!O17</f>
        <v>1158658</v>
      </c>
      <c r="D17" s="5" t="n">
        <f aca="false">'Votos por partido'!D17+'Votos por partido'!F17+'Votos por partido'!I17+'Votos por partido'!P17+'Votos por partido'!Q17+'Votos por partido'!R17+'Votos por partido'!S17</f>
        <v>609408</v>
      </c>
      <c r="E17" s="5" t="n">
        <f aca="false">'Votos por partido'!X17+'Votos por partido'!Y17</f>
        <v>761812</v>
      </c>
      <c r="F17" s="5" t="n">
        <f aca="false">'Votos por partido'!Z17</f>
        <v>2156</v>
      </c>
      <c r="G17" s="5" t="n">
        <f aca="false">'Votos por partido'!AA17</f>
        <v>125703</v>
      </c>
      <c r="H17" s="5" t="n">
        <f aca="false">'Votos por partido'!AB17</f>
        <v>3506679</v>
      </c>
      <c r="I17" s="5" t="n">
        <f aca="false">'Votos por partido'!AC17</f>
        <v>5912865</v>
      </c>
      <c r="J17" s="11" t="n">
        <f aca="false">H17/I17</f>
        <v>0.593059202264892</v>
      </c>
      <c r="K17" s="11" t="n">
        <f aca="false">B17/H17</f>
        <v>0.242092874768406</v>
      </c>
      <c r="L17" s="11" t="n">
        <f aca="false">C17/H17</f>
        <v>0.330414617363038</v>
      </c>
      <c r="M17" s="11" t="n">
        <f aca="false">D17/H17</f>
        <v>0.173784940110002</v>
      </c>
      <c r="N17" s="11" t="n">
        <f aca="false">E17/H17</f>
        <v>0.217246003982686</v>
      </c>
      <c r="O17" s="11" t="n">
        <f aca="false">F17/H17</f>
        <v>0.000614826734924982</v>
      </c>
      <c r="P17" s="11" t="n">
        <f aca="false">G17/H17</f>
        <v>0.0358467370409439</v>
      </c>
      <c r="Q17" s="4" t="str">
        <f aca="false">INDEX($B$3:$D$3,MATCH(MAX(B17:D17),B17:D17,0))</f>
        <v>PAN-PRD-MC</v>
      </c>
      <c r="R17" s="12" t="n">
        <f aca="false">(MAX(L17:N17)-LARGE(L17:N17,2))*100</f>
        <v>11.3168613380352</v>
      </c>
      <c r="S17" s="4" t="s">
        <v>10</v>
      </c>
      <c r="T17" s="11" t="n">
        <v>0.330414617363038</v>
      </c>
      <c r="U17" s="4" t="s">
        <v>9</v>
      </c>
      <c r="V17" s="11" t="n">
        <v>0.242092874768406</v>
      </c>
    </row>
    <row r="18" customFormat="false" ht="15" hidden="false" customHeight="false" outlineLevel="0" collapsed="false">
      <c r="A18" s="4" t="str">
        <f aca="false">'Votos por partido'!A18</f>
        <v>México</v>
      </c>
      <c r="B18" s="5" t="n">
        <f aca="false">'Votos por partido'!G18+'Votos por partido'!J18+'Votos por partido'!K18+'Votos por partido'!T18+'Votos por partido'!U18+'Votos por partido'!V18+'Votos por partido'!W18</f>
        <v>3856688</v>
      </c>
      <c r="C18" s="5" t="n">
        <f aca="false">'Votos por partido'!C18+'Votos por partido'!E18+'Votos por partido'!H18+'Votos por partido'!L18+'Votos por partido'!M18+'Votos por partido'!N18+'Votos por partido'!O18</f>
        <v>1988954</v>
      </c>
      <c r="D18" s="5" t="n">
        <f aca="false">'Votos por partido'!D18+'Votos por partido'!F18+'Votos por partido'!I18+'Votos por partido'!P18+'Votos por partido'!Q18+'Votos por partido'!R18+'Votos por partido'!S18</f>
        <v>1948436</v>
      </c>
      <c r="E18" s="5" t="n">
        <f aca="false">'Votos por partido'!X18+'Votos por partido'!Y18</f>
        <v>0</v>
      </c>
      <c r="F18" s="5" t="n">
        <f aca="false">'Votos por partido'!Z18</f>
        <v>4237</v>
      </c>
      <c r="G18" s="5" t="n">
        <f aca="false">'Votos por partido'!AA18</f>
        <v>247203</v>
      </c>
      <c r="H18" s="5" t="n">
        <f aca="false">'Votos por partido'!AB18</f>
        <v>8045518</v>
      </c>
      <c r="I18" s="5" t="n">
        <f aca="false">'Votos por partido'!AC18</f>
        <v>11842184</v>
      </c>
      <c r="J18" s="11" t="n">
        <f aca="false">H18/I18</f>
        <v>0.67939478055737</v>
      </c>
      <c r="K18" s="11" t="n">
        <f aca="false">B18/H18</f>
        <v>0.479358569578739</v>
      </c>
      <c r="L18" s="11" t="n">
        <f aca="false">C18/H18</f>
        <v>0.247212671701188</v>
      </c>
      <c r="M18" s="11" t="n">
        <f aca="false">D18/H18</f>
        <v>0.242176575827684</v>
      </c>
      <c r="N18" s="11" t="n">
        <f aca="false">E18/H18</f>
        <v>0</v>
      </c>
      <c r="O18" s="11" t="n">
        <f aca="false">F18/H18</f>
        <v>0.000526628614838721</v>
      </c>
      <c r="P18" s="11" t="n">
        <f aca="false">G18/H18</f>
        <v>0.0307255542775493</v>
      </c>
      <c r="Q18" s="4" t="str">
        <f aca="false">INDEX($B$3:$D$3,MATCH(MAX(B18:D18),B18:D18,0))</f>
        <v>PT-Morena-PES</v>
      </c>
      <c r="R18" s="12" t="n">
        <f aca="false">(MAX(L18:N18)-LARGE(L18:N18,2))*100</f>
        <v>0.503609587350373</v>
      </c>
      <c r="S18" s="4" t="s">
        <v>9</v>
      </c>
      <c r="T18" s="11" t="n">
        <v>0.479358569578739</v>
      </c>
      <c r="U18" s="4" t="s">
        <v>10</v>
      </c>
      <c r="V18" s="11" t="n">
        <v>0.247212671701188</v>
      </c>
    </row>
    <row r="19" customFormat="false" ht="15" hidden="false" customHeight="false" outlineLevel="0" collapsed="false">
      <c r="A19" s="4" t="str">
        <f aca="false">'Votos por partido'!A19</f>
        <v>Michoacán</v>
      </c>
      <c r="B19" s="5" t="n">
        <f aca="false">'Votos por partido'!G19+'Votos por partido'!J19+'Votos por partido'!K19+'Votos por partido'!T19+'Votos por partido'!U19+'Votos por partido'!V19+'Votos por partido'!W19</f>
        <v>753176</v>
      </c>
      <c r="C19" s="5" t="n">
        <f aca="false">'Votos por partido'!C19+'Votos por partido'!E19+'Votos por partido'!H19+'Votos por partido'!L19+'Votos por partido'!M19+'Votos por partido'!N19+'Votos por partido'!O19</f>
        <v>577137</v>
      </c>
      <c r="D19" s="5" t="n">
        <f aca="false">'Votos por partido'!D19+'Votos por partido'!F19+'Votos por partido'!I19+'Votos por partido'!P19+'Votos por partido'!Q19+'Votos por partido'!R19+'Votos por partido'!S19</f>
        <v>525805</v>
      </c>
      <c r="E19" s="5" t="n">
        <f aca="false">'Votos por partido'!X19+'Votos por partido'!Y19</f>
        <v>0</v>
      </c>
      <c r="F19" s="5" t="n">
        <f aca="false">'Votos por partido'!Z19</f>
        <v>1292</v>
      </c>
      <c r="G19" s="5" t="n">
        <f aca="false">'Votos por partido'!AA19</f>
        <v>128206</v>
      </c>
      <c r="H19" s="5" t="n">
        <f aca="false">'Votos por partido'!AB19</f>
        <v>1985616</v>
      </c>
      <c r="I19" s="5" t="n">
        <f aca="false">'Votos por partido'!AC19</f>
        <v>3381606</v>
      </c>
      <c r="J19" s="11" t="n">
        <f aca="false">H19/I19</f>
        <v>0.587181357023852</v>
      </c>
      <c r="K19" s="11" t="n">
        <f aca="false">B19/H19</f>
        <v>0.379316040966632</v>
      </c>
      <c r="L19" s="11" t="n">
        <f aca="false">C19/H19</f>
        <v>0.290658918945053</v>
      </c>
      <c r="M19" s="11" t="n">
        <f aca="false">D19/H19</f>
        <v>0.264806991885642</v>
      </c>
      <c r="N19" s="11" t="n">
        <f aca="false">E19/H19</f>
        <v>0</v>
      </c>
      <c r="O19" s="11" t="n">
        <f aca="false">F19/H19</f>
        <v>0.000650679688318386</v>
      </c>
      <c r="P19" s="11" t="n">
        <f aca="false">G19/H19</f>
        <v>0.0645673685143552</v>
      </c>
      <c r="Q19" s="4" t="str">
        <f aca="false">INDEX($B$3:$D$3,MATCH(MAX(B19:D19),B19:D19,0))</f>
        <v>PT-Morena-PES</v>
      </c>
      <c r="R19" s="12" t="n">
        <f aca="false">(MAX(L19:N19)-LARGE(L19:N19,2))*100</f>
        <v>2.58519270594113</v>
      </c>
      <c r="S19" s="4" t="s">
        <v>9</v>
      </c>
      <c r="T19" s="11" t="n">
        <v>0.379316040966632</v>
      </c>
      <c r="U19" s="4" t="s">
        <v>10</v>
      </c>
      <c r="V19" s="11" t="n">
        <v>0.290658918945053</v>
      </c>
    </row>
    <row r="20" customFormat="false" ht="15" hidden="false" customHeight="false" outlineLevel="0" collapsed="false">
      <c r="A20" s="4" t="str">
        <f aca="false">'Votos por partido'!A20</f>
        <v>Morelos</v>
      </c>
      <c r="B20" s="5" t="n">
        <f aca="false">'Votos por partido'!G20+'Votos por partido'!J20+'Votos por partido'!K20+'Votos por partido'!T20+'Votos por partido'!U20+'Votos por partido'!V20+'Votos por partido'!W20</f>
        <v>497289</v>
      </c>
      <c r="C20" s="5" t="n">
        <f aca="false">'Votos por partido'!C20+'Votos por partido'!E20+'Votos por partido'!H20+'Votos por partido'!L20+'Votos por partido'!M20+'Votos por partido'!N20+'Votos por partido'!O20</f>
        <v>216878</v>
      </c>
      <c r="D20" s="5" t="n">
        <f aca="false">'Votos por partido'!D20+'Votos por partido'!F20+'Votos por partido'!I20+'Votos por partido'!P20+'Votos por partido'!Q20+'Votos por partido'!R20+'Votos por partido'!S20</f>
        <v>195388</v>
      </c>
      <c r="E20" s="5" t="n">
        <f aca="false">'Votos por partido'!X20+'Votos por partido'!Y20</f>
        <v>0</v>
      </c>
      <c r="F20" s="5" t="n">
        <f aca="false">'Votos por partido'!Z20</f>
        <v>814</v>
      </c>
      <c r="G20" s="5" t="n">
        <f aca="false">'Votos por partido'!AA20</f>
        <v>58939</v>
      </c>
      <c r="H20" s="5" t="n">
        <f aca="false">'Votos por partido'!AB20</f>
        <v>969308</v>
      </c>
      <c r="I20" s="5" t="n">
        <f aca="false">'Votos por partido'!AC20</f>
        <v>1442849</v>
      </c>
      <c r="J20" s="11" t="n">
        <f aca="false">H20/I20</f>
        <v>0.671801415116897</v>
      </c>
      <c r="K20" s="11" t="n">
        <f aca="false">B20/H20</f>
        <v>0.513035072443434</v>
      </c>
      <c r="L20" s="11" t="n">
        <f aca="false">C20/H20</f>
        <v>0.223745187288251</v>
      </c>
      <c r="M20" s="11" t="n">
        <f aca="false">D20/H20</f>
        <v>0.201574731664239</v>
      </c>
      <c r="N20" s="11" t="n">
        <f aca="false">E20/H20</f>
        <v>0</v>
      </c>
      <c r="O20" s="11" t="n">
        <f aca="false">F20/H20</f>
        <v>0.000839774354487944</v>
      </c>
      <c r="P20" s="11" t="n">
        <f aca="false">G20/H20</f>
        <v>0.0608052342495884</v>
      </c>
      <c r="Q20" s="4" t="str">
        <f aca="false">INDEX($B$3:$D$3,MATCH(MAX(B20:D20),B20:D20,0))</f>
        <v>PT-Morena-PES</v>
      </c>
      <c r="R20" s="12" t="n">
        <f aca="false">(MAX(L20:N20)-LARGE(L20:N20,2))*100</f>
        <v>2.21704556240122</v>
      </c>
      <c r="S20" s="4" t="s">
        <v>9</v>
      </c>
      <c r="T20" s="11" t="n">
        <v>0.513035072443434</v>
      </c>
      <c r="U20" s="4" t="s">
        <v>11</v>
      </c>
      <c r="V20" s="11" t="n">
        <v>0.201574731664239</v>
      </c>
    </row>
    <row r="21" customFormat="false" ht="15" hidden="false" customHeight="false" outlineLevel="0" collapsed="false">
      <c r="A21" s="4" t="str">
        <f aca="false">'Votos por partido'!A21</f>
        <v>Nayarit</v>
      </c>
      <c r="B21" s="5" t="n">
        <f aca="false">'Votos por partido'!G21+'Votos por partido'!J21+'Votos por partido'!K21+'Votos por partido'!T21+'Votos por partido'!U21+'Votos por partido'!V21+'Votos por partido'!W21</f>
        <v>271142</v>
      </c>
      <c r="C21" s="5" t="n">
        <f aca="false">'Votos por partido'!C21+'Votos por partido'!E21+'Votos por partido'!H21+'Votos por partido'!L21+'Votos por partido'!M21+'Votos por partido'!N21+'Votos por partido'!O21</f>
        <v>106841</v>
      </c>
      <c r="D21" s="5" t="n">
        <f aca="false">'Votos por partido'!D21+'Votos por partido'!F21+'Votos por partido'!I21+'Votos por partido'!P21+'Votos por partido'!Q21+'Votos por partido'!R21+'Votos por partido'!S21</f>
        <v>90152</v>
      </c>
      <c r="E21" s="5" t="n">
        <f aca="false">'Votos por partido'!X21+'Votos por partido'!Y21</f>
        <v>0</v>
      </c>
      <c r="F21" s="5" t="n">
        <f aca="false">'Votos por partido'!Z21</f>
        <v>210</v>
      </c>
      <c r="G21" s="5" t="n">
        <f aca="false">'Votos por partido'!AA21</f>
        <v>17595</v>
      </c>
      <c r="H21" s="5" t="n">
        <f aca="false">'Votos por partido'!AB21</f>
        <v>485940</v>
      </c>
      <c r="I21" s="5" t="n">
        <f aca="false">'Votos por partido'!AC21</f>
        <v>848895</v>
      </c>
      <c r="J21" s="11" t="n">
        <f aca="false">H21/I21</f>
        <v>0.572438287420706</v>
      </c>
      <c r="K21" s="11" t="n">
        <f aca="false">B21/H21</f>
        <v>0.557974235502325</v>
      </c>
      <c r="L21" s="11" t="n">
        <f aca="false">C21/H21</f>
        <v>0.219864592336502</v>
      </c>
      <c r="M21" s="11" t="n">
        <f aca="false">D21/H21</f>
        <v>0.185520846195004</v>
      </c>
      <c r="N21" s="11" t="n">
        <f aca="false">E21/H21</f>
        <v>0</v>
      </c>
      <c r="O21" s="11" t="n">
        <f aca="false">F21/H21</f>
        <v>0.000432152117545376</v>
      </c>
      <c r="P21" s="11" t="n">
        <f aca="false">G21/H21</f>
        <v>0.0362081738486233</v>
      </c>
      <c r="Q21" s="4" t="str">
        <f aca="false">INDEX($B$3:$D$3,MATCH(MAX(B21:D21),B21:D21,0))</f>
        <v>PT-Morena-PES</v>
      </c>
      <c r="R21" s="12" t="n">
        <f aca="false">(MAX(L21:N21)-LARGE(L21:N21,2))*100</f>
        <v>3.4343746141499</v>
      </c>
      <c r="S21" s="4" t="s">
        <v>9</v>
      </c>
      <c r="T21" s="11" t="n">
        <v>0.557974235502325</v>
      </c>
      <c r="U21" s="4" t="s">
        <v>10</v>
      </c>
      <c r="V21" s="11" t="n">
        <v>0.219864592336503</v>
      </c>
    </row>
    <row r="22" customFormat="false" ht="15" hidden="false" customHeight="false" outlineLevel="0" collapsed="false">
      <c r="A22" s="4" t="str">
        <f aca="false">'Votos por partido'!A22</f>
        <v>Nuevo León</v>
      </c>
      <c r="B22" s="5" t="n">
        <f aca="false">'Votos por partido'!G22+'Votos por partido'!J22+'Votos por partido'!K22+'Votos por partido'!T22+'Votos por partido'!U22+'Votos por partido'!V22+'Votos por partido'!W22</f>
        <v>479465</v>
      </c>
      <c r="C22" s="5" t="n">
        <f aca="false">'Votos por partido'!C22+'Votos por partido'!E22+'Votos por partido'!H22+'Votos por partido'!L22+'Votos por partido'!M22+'Votos por partido'!N22+'Votos por partido'!O22</f>
        <v>1062589</v>
      </c>
      <c r="D22" s="5" t="n">
        <f aca="false">'Votos por partido'!D22+'Votos por partido'!F22+'Votos por partido'!I22+'Votos por partido'!P22+'Votos por partido'!Q22+'Votos por partido'!R22+'Votos por partido'!S22</f>
        <v>475429</v>
      </c>
      <c r="E22" s="5" t="n">
        <f aca="false">'Votos por partido'!X22+'Votos por partido'!Y22</f>
        <v>105422</v>
      </c>
      <c r="F22" s="5" t="n">
        <f aca="false">'Votos por partido'!Z22</f>
        <v>1207</v>
      </c>
      <c r="G22" s="5" t="n">
        <f aca="false">'Votos por partido'!AA22</f>
        <v>67469</v>
      </c>
      <c r="H22" s="5" t="n">
        <f aca="false">'Votos por partido'!AB22</f>
        <v>2191581</v>
      </c>
      <c r="I22" s="5" t="n">
        <f aca="false">'Votos por partido'!AC22</f>
        <v>3905494</v>
      </c>
      <c r="J22" s="11" t="n">
        <f aca="false">H22/I22</f>
        <v>0.561153339372689</v>
      </c>
      <c r="K22" s="11" t="n">
        <f aca="false">B22/H22</f>
        <v>0.218775851770936</v>
      </c>
      <c r="L22" s="11" t="n">
        <f aca="false">C22/H22</f>
        <v>0.484850434458047</v>
      </c>
      <c r="M22" s="11" t="n">
        <f aca="false">D22/H22</f>
        <v>0.216934258875214</v>
      </c>
      <c r="N22" s="11" t="n">
        <f aca="false">E22/H22</f>
        <v>0.048103173006154</v>
      </c>
      <c r="O22" s="11" t="n">
        <f aca="false">F22/H22</f>
        <v>0.000550743960638462</v>
      </c>
      <c r="P22" s="11" t="n">
        <f aca="false">G22/H22</f>
        <v>0.0307855379290111</v>
      </c>
      <c r="Q22" s="4" t="str">
        <f aca="false">INDEX($B$3:$D$3,MATCH(MAX(B22:D22),B22:D22,0))</f>
        <v>PAN-PRD-MC</v>
      </c>
      <c r="R22" s="12" t="n">
        <f aca="false">(MAX(L22:N22)-LARGE(L22:N22,2))*100</f>
        <v>26.7916175582833</v>
      </c>
      <c r="S22" s="4" t="s">
        <v>43</v>
      </c>
      <c r="T22" s="11" t="n">
        <v>0.241322132287148</v>
      </c>
      <c r="U22" s="4" t="s">
        <v>44</v>
      </c>
      <c r="V22" s="11" t="n">
        <v>0.235840245010337</v>
      </c>
    </row>
    <row r="23" customFormat="false" ht="15" hidden="false" customHeight="false" outlineLevel="0" collapsed="false">
      <c r="A23" s="4" t="str">
        <f aca="false">'Votos por partido'!A23</f>
        <v>Oaxaca</v>
      </c>
      <c r="B23" s="5" t="n">
        <f aca="false">'Votos por partido'!G23+'Votos por partido'!J23+'Votos por partido'!K23+'Votos por partido'!T23+'Votos por partido'!U23+'Votos por partido'!V23+'Votos por partido'!W23</f>
        <v>1100071</v>
      </c>
      <c r="C23" s="5" t="n">
        <f aca="false">'Votos por partido'!C23+'Votos por partido'!E23+'Votos por partido'!H23+'Votos por partido'!L23+'Votos por partido'!M23+'Votos por partido'!N23+'Votos por partido'!O23</f>
        <v>305211</v>
      </c>
      <c r="D23" s="5" t="n">
        <f aca="false">'Votos por partido'!D23+'Votos por partido'!F23+'Votos por partido'!I23+'Votos por partido'!P23+'Votos por partido'!Q23+'Votos por partido'!R23+'Votos por partido'!S23</f>
        <v>439853</v>
      </c>
      <c r="E23" s="5" t="n">
        <f aca="false">'Votos por partido'!X23+'Votos por partido'!Y23</f>
        <v>0</v>
      </c>
      <c r="F23" s="5" t="n">
        <f aca="false">'Votos por partido'!Z23</f>
        <v>563</v>
      </c>
      <c r="G23" s="5" t="n">
        <f aca="false">'Votos por partido'!AA23</f>
        <v>88353</v>
      </c>
      <c r="H23" s="5" t="n">
        <f aca="false">'Votos por partido'!AB23</f>
        <v>1934051</v>
      </c>
      <c r="I23" s="5" t="n">
        <f aca="false">'Votos por partido'!AC23</f>
        <v>2867315</v>
      </c>
      <c r="J23" s="11" t="n">
        <f aca="false">H23/I23</f>
        <v>0.674516402976304</v>
      </c>
      <c r="K23" s="11" t="n">
        <f aca="false">B23/H23</f>
        <v>0.568791102199477</v>
      </c>
      <c r="L23" s="11" t="n">
        <f aca="false">C23/H23</f>
        <v>0.157809178765193</v>
      </c>
      <c r="M23" s="11" t="n">
        <f aca="false">D23/H23</f>
        <v>0.227425750406789</v>
      </c>
      <c r="N23" s="11" t="n">
        <f aca="false">E23/H23</f>
        <v>0</v>
      </c>
      <c r="O23" s="11" t="n">
        <f aca="false">F23/H23</f>
        <v>0.000291098838655237</v>
      </c>
      <c r="P23" s="11" t="n">
        <f aca="false">G23/H23</f>
        <v>0.0456828697898866</v>
      </c>
      <c r="Q23" s="4" t="str">
        <f aca="false">INDEX($B$3:$D$3,MATCH(MAX(B23:D23),B23:D23,0))</f>
        <v>PT-Morena-PES</v>
      </c>
      <c r="R23" s="12" t="n">
        <f aca="false">(MAX(L23:N23)-LARGE(L23:N23,2))*100</f>
        <v>6.96165716415958</v>
      </c>
      <c r="S23" s="4" t="s">
        <v>9</v>
      </c>
      <c r="T23" s="11" t="n">
        <v>0.568791102199477</v>
      </c>
      <c r="U23" s="4" t="s">
        <v>11</v>
      </c>
      <c r="V23" s="11" t="n">
        <v>0.227425750406789</v>
      </c>
    </row>
    <row r="24" customFormat="false" ht="15" hidden="false" customHeight="false" outlineLevel="0" collapsed="false">
      <c r="A24" s="4" t="str">
        <f aca="false">'Votos por partido'!A24</f>
        <v>Puebla</v>
      </c>
      <c r="B24" s="5" t="n">
        <f aca="false">'Votos por partido'!G24+'Votos por partido'!J24+'Votos por partido'!K24+'Votos por partido'!T24+'Votos por partido'!U24+'Votos por partido'!V24+'Votos por partido'!W24</f>
        <v>1451459</v>
      </c>
      <c r="C24" s="5" t="n">
        <f aca="false">'Votos por partido'!C24+'Votos por partido'!E24+'Votos por partido'!H24+'Votos por partido'!L24+'Votos por partido'!M24+'Votos por partido'!N24+'Votos por partido'!O24</f>
        <v>781555</v>
      </c>
      <c r="D24" s="5" t="n">
        <f aca="false">'Votos por partido'!D24+'Votos por partido'!F24+'Votos por partido'!I24+'Votos por partido'!P24+'Votos por partido'!Q24+'Votos por partido'!R24+'Votos por partido'!S24</f>
        <v>685482</v>
      </c>
      <c r="E24" s="5" t="n">
        <f aca="false">'Votos por partido'!X24+'Votos por partido'!Y24</f>
        <v>0</v>
      </c>
      <c r="F24" s="5" t="n">
        <f aca="false">'Votos por partido'!Z24</f>
        <v>1385</v>
      </c>
      <c r="G24" s="5" t="n">
        <f aca="false">'Votos por partido'!AA24</f>
        <v>158313</v>
      </c>
      <c r="H24" s="5" t="n">
        <f aca="false">'Votos por partido'!AB24</f>
        <v>3078194</v>
      </c>
      <c r="I24" s="5" t="n">
        <f aca="false">'Votos por partido'!AC24</f>
        <v>4468274</v>
      </c>
      <c r="J24" s="11" t="n">
        <f aca="false">H24/I24</f>
        <v>0.688900009265323</v>
      </c>
      <c r="K24" s="11" t="n">
        <f aca="false">B24/H24</f>
        <v>0.471529409777291</v>
      </c>
      <c r="L24" s="11" t="n">
        <f aca="false">C24/H24</f>
        <v>0.253900501397898</v>
      </c>
      <c r="M24" s="11" t="n">
        <f aca="false">D24/H24</f>
        <v>0.222689668032619</v>
      </c>
      <c r="N24" s="11" t="n">
        <f aca="false">E24/H24</f>
        <v>0</v>
      </c>
      <c r="O24" s="11" t="n">
        <f aca="false">F24/H24</f>
        <v>0.000449939152633005</v>
      </c>
      <c r="P24" s="11" t="n">
        <f aca="false">G24/H24</f>
        <v>0.0514304816395588</v>
      </c>
      <c r="Q24" s="4" t="str">
        <f aca="false">INDEX($B$3:$D$3,MATCH(MAX(B24:D24),B24:D24,0))</f>
        <v>PT-Morena-PES</v>
      </c>
      <c r="R24" s="12" t="n">
        <f aca="false">(MAX(L24:N24)-LARGE(L24:N24,2))*100</f>
        <v>3.12108333652785</v>
      </c>
      <c r="S24" s="4" t="s">
        <v>9</v>
      </c>
      <c r="T24" s="11" t="n">
        <v>0.471529409777292</v>
      </c>
      <c r="U24" s="4" t="s">
        <v>10</v>
      </c>
      <c r="V24" s="11" t="n">
        <v>0.253900501397898</v>
      </c>
    </row>
    <row r="25" customFormat="false" ht="15" hidden="false" customHeight="false" outlineLevel="0" collapsed="false">
      <c r="A25" s="4" t="str">
        <f aca="false">'Votos por partido'!A25</f>
        <v>Querétaro</v>
      </c>
      <c r="B25" s="5" t="n">
        <f aca="false">'Votos por partido'!G25+'Votos por partido'!J25+'Votos por partido'!K25+'Votos por partido'!T25+'Votos por partido'!U25+'Votos por partido'!V25+'Votos por partido'!W25</f>
        <v>366370</v>
      </c>
      <c r="C25" s="5" t="n">
        <f aca="false">'Votos por partido'!C25+'Votos por partido'!E25+'Votos por partido'!H25+'Votos por partido'!L25+'Votos por partido'!M25+'Votos por partido'!N25+'Votos por partido'!O25</f>
        <v>398878</v>
      </c>
      <c r="D25" s="5" t="n">
        <f aca="false">'Votos por partido'!D25+'Votos por partido'!F25+'Votos por partido'!I25+'Votos por partido'!P25+'Votos por partido'!Q25+'Votos por partido'!R25+'Votos por partido'!S25</f>
        <v>211904</v>
      </c>
      <c r="E25" s="5" t="n">
        <f aca="false">'Votos por partido'!X25+'Votos por partido'!Y25</f>
        <v>0</v>
      </c>
      <c r="F25" s="5" t="n">
        <f aca="false">'Votos por partido'!Z25</f>
        <v>796</v>
      </c>
      <c r="G25" s="5" t="n">
        <f aca="false">'Votos por partido'!AA25</f>
        <v>50137</v>
      </c>
      <c r="H25" s="5" t="n">
        <f aca="false">'Votos por partido'!AB25</f>
        <v>1028085</v>
      </c>
      <c r="I25" s="5" t="n">
        <f aca="false">'Votos por partido'!AC25</f>
        <v>1585370</v>
      </c>
      <c r="J25" s="11" t="n">
        <f aca="false">H25/I25</f>
        <v>0.648482688583738</v>
      </c>
      <c r="K25" s="11" t="n">
        <f aca="false">B25/H25</f>
        <v>0.356361584888409</v>
      </c>
      <c r="L25" s="11" t="n">
        <f aca="false">C25/H25</f>
        <v>0.387981538491467</v>
      </c>
      <c r="M25" s="11" t="n">
        <f aca="false">D25/H25</f>
        <v>0.206115253116231</v>
      </c>
      <c r="N25" s="11" t="n">
        <f aca="false">E25/H25</f>
        <v>0</v>
      </c>
      <c r="O25" s="11" t="n">
        <f aca="false">F25/H25</f>
        <v>0.000774255047004868</v>
      </c>
      <c r="P25" s="11" t="n">
        <f aca="false">G25/H25</f>
        <v>0.0487673684568883</v>
      </c>
      <c r="Q25" s="4" t="str">
        <f aca="false">INDEX($B$3:$D$3,MATCH(MAX(B25:D25),B25:D25,0))</f>
        <v>PAN-PRD-MC</v>
      </c>
      <c r="R25" s="12" t="n">
        <f aca="false">(MAX(L25:N25)-LARGE(L25:N25,2))*100</f>
        <v>18.1866285375237</v>
      </c>
      <c r="S25" s="4" t="s">
        <v>10</v>
      </c>
      <c r="T25" s="11" t="n">
        <v>0.387981538491467</v>
      </c>
      <c r="U25" s="4" t="s">
        <v>9</v>
      </c>
      <c r="V25" s="11" t="n">
        <v>0.356361584888409</v>
      </c>
    </row>
    <row r="26" customFormat="false" ht="15" hidden="false" customHeight="false" outlineLevel="0" collapsed="false">
      <c r="A26" s="4" t="str">
        <f aca="false">'Votos por partido'!A26</f>
        <v>Quintana Roo</v>
      </c>
      <c r="B26" s="5" t="n">
        <f aca="false">'Votos por partido'!G26+'Votos por partido'!J26+'Votos por partido'!K26+'Votos por partido'!T26+'Votos por partido'!U26+'Votos por partido'!V26+'Votos por partido'!W26</f>
        <v>433960</v>
      </c>
      <c r="C26" s="5" t="n">
        <f aca="false">'Votos por partido'!C26+'Votos por partido'!E26+'Votos por partido'!H26+'Votos por partido'!L26+'Votos por partido'!M26+'Votos por partido'!N26+'Votos por partido'!O26</f>
        <v>153100</v>
      </c>
      <c r="D26" s="5" t="n">
        <f aca="false">'Votos por partido'!D26+'Votos por partido'!F26+'Votos por partido'!I26+'Votos por partido'!P26+'Votos por partido'!Q26+'Votos por partido'!R26+'Votos por partido'!S26</f>
        <v>113876</v>
      </c>
      <c r="E26" s="5" t="n">
        <f aca="false">'Votos por partido'!X26+'Votos por partido'!Y26</f>
        <v>0</v>
      </c>
      <c r="F26" s="5" t="n">
        <f aca="false">'Votos por partido'!Z26</f>
        <v>774</v>
      </c>
      <c r="G26" s="5" t="n">
        <f aca="false">'Votos por partido'!AA26</f>
        <v>27619</v>
      </c>
      <c r="H26" s="5" t="n">
        <f aca="false">'Votos por partido'!AB26</f>
        <v>729329</v>
      </c>
      <c r="I26" s="5" t="n">
        <f aca="false">'Votos por partido'!AC26</f>
        <v>1209354</v>
      </c>
      <c r="J26" s="11" t="n">
        <f aca="false">H26/I26</f>
        <v>0.603073210987023</v>
      </c>
      <c r="K26" s="11" t="n">
        <f aca="false">B26/H26</f>
        <v>0.595012676035095</v>
      </c>
      <c r="L26" s="11" t="n">
        <f aca="false">C26/H26</f>
        <v>0.209918980323009</v>
      </c>
      <c r="M26" s="11" t="n">
        <f aca="false">D26/H26</f>
        <v>0.156138039211385</v>
      </c>
      <c r="N26" s="11" t="n">
        <f aca="false">E26/H26</f>
        <v>0</v>
      </c>
      <c r="O26" s="11" t="n">
        <f aca="false">F26/H26</f>
        <v>0.00106124944983677</v>
      </c>
      <c r="P26" s="11" t="n">
        <f aca="false">G26/H26</f>
        <v>0.037869054980674</v>
      </c>
      <c r="Q26" s="4" t="str">
        <f aca="false">INDEX($B$3:$D$3,MATCH(MAX(B26:D26),B26:D26,0))</f>
        <v>PT-Morena-PES</v>
      </c>
      <c r="R26" s="12" t="n">
        <f aca="false">(MAX(L26:N26)-LARGE(L26:N26,2))*100</f>
        <v>5.37809411116245</v>
      </c>
      <c r="S26" s="4" t="s">
        <v>9</v>
      </c>
      <c r="T26" s="11" t="n">
        <v>0.595012676035095</v>
      </c>
      <c r="U26" s="4" t="s">
        <v>10</v>
      </c>
      <c r="V26" s="11" t="n">
        <v>0.209918980323009</v>
      </c>
    </row>
    <row r="27" customFormat="false" ht="15" hidden="false" customHeight="false" outlineLevel="0" collapsed="false">
      <c r="A27" s="4" t="str">
        <f aca="false">'Votos por partido'!A27</f>
        <v>San Luis Potosí</v>
      </c>
      <c r="B27" s="5" t="n">
        <f aca="false">'Votos por partido'!G27+'Votos por partido'!J27+'Votos por partido'!K27+'Votos por partido'!T27+'Votos por partido'!U27+'Votos por partido'!V27+'Votos por partido'!W27</f>
        <v>385917</v>
      </c>
      <c r="C27" s="5" t="n">
        <f aca="false">'Votos por partido'!C27+'Votos por partido'!E27+'Votos por partido'!H27+'Votos por partido'!L27+'Votos por partido'!M27+'Votos por partido'!N27+'Votos por partido'!O27</f>
        <v>432414</v>
      </c>
      <c r="D27" s="5" t="n">
        <f aca="false">'Votos por partido'!D27+'Votos por partido'!F27+'Votos por partido'!I27+'Votos por partido'!P27+'Votos por partido'!Q27+'Votos por partido'!R27+'Votos por partido'!S27</f>
        <v>356603</v>
      </c>
      <c r="E27" s="5" t="n">
        <f aca="false">'Votos por partido'!X27+'Votos por partido'!Y27</f>
        <v>0</v>
      </c>
      <c r="F27" s="5" t="n">
        <f aca="false">'Votos por partido'!Z27</f>
        <v>1014</v>
      </c>
      <c r="G27" s="5" t="n">
        <f aca="false">'Votos por partido'!AA27</f>
        <v>82743</v>
      </c>
      <c r="H27" s="5" t="n">
        <f aca="false">'Votos por partido'!AB27</f>
        <v>1258691</v>
      </c>
      <c r="I27" s="5" t="n">
        <f aca="false">'Votos por partido'!AC27</f>
        <v>1979480</v>
      </c>
      <c r="J27" s="11" t="n">
        <f aca="false">H27/I27</f>
        <v>0.635869521288419</v>
      </c>
      <c r="K27" s="11" t="n">
        <f aca="false">B27/H27</f>
        <v>0.306601858597543</v>
      </c>
      <c r="L27" s="11" t="n">
        <f aca="false">C27/H27</f>
        <v>0.343542616893265</v>
      </c>
      <c r="M27" s="11" t="n">
        <f aca="false">D27/H27</f>
        <v>0.283312584264128</v>
      </c>
      <c r="N27" s="11" t="n">
        <f aca="false">E27/H27</f>
        <v>0</v>
      </c>
      <c r="O27" s="11" t="n">
        <f aca="false">F27/H27</f>
        <v>0.000805598832437826</v>
      </c>
      <c r="P27" s="11" t="n">
        <f aca="false">G27/H27</f>
        <v>0.0657373414126263</v>
      </c>
      <c r="Q27" s="4" t="str">
        <f aca="false">INDEX($B$3:$D$3,MATCH(MAX(B27:D27),B27:D27,0))</f>
        <v>PAN-PRD-MC</v>
      </c>
      <c r="R27" s="12" t="n">
        <f aca="false">(MAX(L27:N27)-LARGE(L27:N27,2))*100</f>
        <v>6.02300326291361</v>
      </c>
      <c r="S27" s="4" t="s">
        <v>10</v>
      </c>
      <c r="T27" s="11" t="n">
        <v>0.343542616893265</v>
      </c>
      <c r="U27" s="4" t="s">
        <v>9</v>
      </c>
      <c r="V27" s="11" t="n">
        <v>0.306601858597543</v>
      </c>
    </row>
    <row r="28" customFormat="false" ht="15" hidden="false" customHeight="false" outlineLevel="0" collapsed="false">
      <c r="A28" s="4" t="str">
        <f aca="false">'Votos por partido'!A28</f>
        <v>Sinaloa</v>
      </c>
      <c r="B28" s="5" t="n">
        <f aca="false">'Votos por partido'!G28+'Votos por partido'!J28+'Votos por partido'!K28+'Votos por partido'!T28+'Votos por partido'!U28+'Votos por partido'!V28+'Votos por partido'!W28</f>
        <v>611123</v>
      </c>
      <c r="C28" s="5" t="n">
        <f aca="false">'Votos por partido'!C28+'Votos por partido'!E28+'Votos por partido'!H28+'Votos por partido'!L28+'Votos por partido'!M28+'Votos por partido'!N28+'Votos por partido'!O28</f>
        <v>246642</v>
      </c>
      <c r="D28" s="5" t="n">
        <f aca="false">'Votos por partido'!D28+'Votos por partido'!F28+'Votos por partido'!I28+'Votos por partido'!P28+'Votos por partido'!Q28+'Votos por partido'!R28+'Votos por partido'!S28</f>
        <v>308508</v>
      </c>
      <c r="E28" s="5" t="n">
        <f aca="false">'Votos por partido'!X28+'Votos por partido'!Y28</f>
        <v>93894</v>
      </c>
      <c r="F28" s="5" t="n">
        <f aca="false">'Votos por partido'!Z28</f>
        <v>456</v>
      </c>
      <c r="G28" s="5" t="n">
        <f aca="false">'Votos por partido'!AA28</f>
        <v>38088</v>
      </c>
      <c r="H28" s="5" t="n">
        <f aca="false">'Votos por partido'!AB28</f>
        <v>1298711</v>
      </c>
      <c r="I28" s="5" t="n">
        <f aca="false">'Votos por partido'!AC28</f>
        <v>2138197</v>
      </c>
      <c r="J28" s="11" t="n">
        <f aca="false">H28/I28</f>
        <v>0.607386035992006</v>
      </c>
      <c r="K28" s="11" t="n">
        <f aca="false">B28/H28</f>
        <v>0.470561194907874</v>
      </c>
      <c r="L28" s="11" t="n">
        <f aca="false">C28/H28</f>
        <v>0.189912921350478</v>
      </c>
      <c r="M28" s="11" t="n">
        <f aca="false">D28/H28</f>
        <v>0.23754938550609</v>
      </c>
      <c r="N28" s="11" t="n">
        <f aca="false">E28/H28</f>
        <v>0.0722978399351357</v>
      </c>
      <c r="O28" s="11" t="n">
        <f aca="false">F28/H28</f>
        <v>0.000351117377153193</v>
      </c>
      <c r="P28" s="11" t="n">
        <f aca="false">G28/H28</f>
        <v>0.0293275409232693</v>
      </c>
      <c r="Q28" s="4" t="str">
        <f aca="false">INDEX($B$3:$D$3,MATCH(MAX(B28:D28),B28:D28,0))</f>
        <v>PT-Morena-PES</v>
      </c>
      <c r="R28" s="12" t="n">
        <f aca="false">(MAX(L28:N28)-LARGE(L28:N28,2))*100</f>
        <v>4.76364641556128</v>
      </c>
      <c r="S28" s="4" t="s">
        <v>9</v>
      </c>
      <c r="T28" s="11" t="n">
        <v>0.470561194907874</v>
      </c>
      <c r="U28" s="4" t="s">
        <v>11</v>
      </c>
      <c r="V28" s="11" t="n">
        <v>0.23754938550609</v>
      </c>
    </row>
    <row r="29" customFormat="false" ht="15" hidden="false" customHeight="false" outlineLevel="0" collapsed="false">
      <c r="A29" s="4" t="str">
        <f aca="false">'Votos por partido'!A29</f>
        <v>Sonora</v>
      </c>
      <c r="B29" s="5" t="n">
        <f aca="false">'Votos por partido'!G29+'Votos por partido'!J29+'Votos por partido'!K29+'Votos por partido'!T29+'Votos por partido'!U29+'Votos por partido'!V29+'Votos por partido'!W29</f>
        <v>517343</v>
      </c>
      <c r="C29" s="5" t="n">
        <f aca="false">'Votos por partido'!C29+'Votos por partido'!E29+'Votos por partido'!H29+'Votos por partido'!L29+'Votos por partido'!M29+'Votos por partido'!N29+'Votos por partido'!O29</f>
        <v>238924</v>
      </c>
      <c r="D29" s="5" t="n">
        <f aca="false">'Votos por partido'!D29+'Votos por partido'!F29+'Votos por partido'!I29+'Votos por partido'!P29+'Votos por partido'!Q29+'Votos por partido'!R29+'Votos por partido'!S29</f>
        <v>303877</v>
      </c>
      <c r="E29" s="5" t="n">
        <f aca="false">'Votos por partido'!X29+'Votos por partido'!Y29</f>
        <v>0</v>
      </c>
      <c r="F29" s="5" t="n">
        <f aca="false">'Votos por partido'!Z29</f>
        <v>390</v>
      </c>
      <c r="G29" s="5" t="n">
        <f aca="false">'Votos por partido'!AA29</f>
        <v>36822</v>
      </c>
      <c r="H29" s="5" t="n">
        <f aca="false">'Votos por partido'!AB29</f>
        <v>1097356</v>
      </c>
      <c r="I29" s="5" t="n">
        <f aca="false">'Votos por partido'!AC29</f>
        <v>2093671</v>
      </c>
      <c r="J29" s="11" t="n">
        <f aca="false">H29/I29</f>
        <v>0.524130104491107</v>
      </c>
      <c r="K29" s="11" t="n">
        <f aca="false">B29/H29</f>
        <v>0.471445000528543</v>
      </c>
      <c r="L29" s="11" t="n">
        <f aca="false">C29/H29</f>
        <v>0.217726972832882</v>
      </c>
      <c r="M29" s="11" t="n">
        <f aca="false">D29/H29</f>
        <v>0.27691742697903</v>
      </c>
      <c r="N29" s="11" t="n">
        <f aca="false">E29/H29</f>
        <v>0</v>
      </c>
      <c r="O29" s="11" t="n">
        <f aca="false">F29/H29</f>
        <v>0.00035539970620291</v>
      </c>
      <c r="P29" s="11" t="n">
        <f aca="false">G29/H29</f>
        <v>0.0335551999533424</v>
      </c>
      <c r="Q29" s="4" t="str">
        <f aca="false">INDEX($B$3:$D$3,MATCH(MAX(B29:D29),B29:D29,0))</f>
        <v>PT-Morena-PES</v>
      </c>
      <c r="R29" s="12" t="n">
        <f aca="false">(MAX(L29:N29)-LARGE(L29:N29,2))*100</f>
        <v>5.91904541461477</v>
      </c>
      <c r="S29" s="4" t="s">
        <v>9</v>
      </c>
      <c r="T29" s="11" t="n">
        <v>0.471445000528543</v>
      </c>
      <c r="U29" s="4" t="s">
        <v>11</v>
      </c>
      <c r="V29" s="11" t="n">
        <v>0.27691742697903</v>
      </c>
    </row>
    <row r="30" customFormat="false" ht="15" hidden="false" customHeight="false" outlineLevel="0" collapsed="false">
      <c r="A30" s="4" t="str">
        <f aca="false">'Votos por partido'!A30</f>
        <v>Tabasco</v>
      </c>
      <c r="B30" s="5" t="n">
        <f aca="false">'Votos por partido'!G30+'Votos por partido'!J30+'Votos por partido'!K30+'Votos por partido'!T30+'Votos por partido'!U30+'Votos por partido'!V30+'Votos por partido'!W30</f>
        <v>817483</v>
      </c>
      <c r="C30" s="5" t="n">
        <f aca="false">'Votos por partido'!C30+'Votos por partido'!E30+'Votos por partido'!H30+'Votos por partido'!L30+'Votos por partido'!M30+'Votos por partido'!N30+'Votos por partido'!O30</f>
        <v>150788</v>
      </c>
      <c r="D30" s="5" t="n">
        <f aca="false">'Votos por partido'!D30+'Votos por partido'!F30+'Votos por partido'!I30+'Votos por partido'!P30+'Votos por partido'!Q30+'Votos por partido'!R30+'Votos por partido'!S30</f>
        <v>194929</v>
      </c>
      <c r="E30" s="5" t="n">
        <f aca="false">'Votos por partido'!X30+'Votos por partido'!Y30</f>
        <v>0</v>
      </c>
      <c r="F30" s="5" t="n">
        <f aca="false">'Votos por partido'!Z30</f>
        <v>389</v>
      </c>
      <c r="G30" s="5" t="n">
        <f aca="false">'Votos por partido'!AA30</f>
        <v>42130</v>
      </c>
      <c r="H30" s="5" t="n">
        <f aca="false">'Votos por partido'!AB30</f>
        <v>1205719</v>
      </c>
      <c r="I30" s="5" t="n">
        <f aca="false">'Votos por partido'!AC30</f>
        <v>1688647</v>
      </c>
      <c r="J30" s="11" t="n">
        <f aca="false">H30/I30</f>
        <v>0.714014829623953</v>
      </c>
      <c r="K30" s="11" t="n">
        <f aca="false">B30/H30</f>
        <v>0.67800457652239</v>
      </c>
      <c r="L30" s="11" t="n">
        <f aca="false">C30/H30</f>
        <v>0.12506064845955</v>
      </c>
      <c r="M30" s="11" t="n">
        <f aca="false">D30/H30</f>
        <v>0.161670339440616</v>
      </c>
      <c r="N30" s="11" t="n">
        <f aca="false">E30/H30</f>
        <v>0</v>
      </c>
      <c r="O30" s="11" t="n">
        <f aca="false">F30/H30</f>
        <v>0.00032262907028918</v>
      </c>
      <c r="P30" s="11" t="n">
        <f aca="false">G30/H30</f>
        <v>0.0349418065071547</v>
      </c>
      <c r="Q30" s="4" t="str">
        <f aca="false">INDEX($B$3:$D$3,MATCH(MAX(B30:D30),B30:D30,0))</f>
        <v>PT-Morena-PES</v>
      </c>
      <c r="R30" s="12" t="n">
        <f aca="false">(MAX(L30:N30)-LARGE(L30:N30,2))*100</f>
        <v>3.66096909810661</v>
      </c>
      <c r="S30" s="4" t="s">
        <v>9</v>
      </c>
      <c r="T30" s="11" t="n">
        <v>0.67800457652239</v>
      </c>
      <c r="U30" s="4" t="s">
        <v>10</v>
      </c>
      <c r="V30" s="11" t="n">
        <v>0.12506064845955</v>
      </c>
    </row>
    <row r="31" customFormat="false" ht="15" hidden="false" customHeight="false" outlineLevel="0" collapsed="false">
      <c r="A31" s="4" t="str">
        <f aca="false">'Votos por partido'!A31</f>
        <v>Tamaulipas</v>
      </c>
      <c r="B31" s="5" t="n">
        <f aca="false">'Votos por partido'!G31+'Votos por partido'!J31+'Votos por partido'!K31+'Votos por partido'!T31+'Votos por partido'!U31+'Votos por partido'!V31+'Votos por partido'!W31</f>
        <v>619634</v>
      </c>
      <c r="C31" s="5" t="n">
        <f aca="false">'Votos por partido'!C31+'Votos por partido'!E31+'Votos por partido'!H31+'Votos por partido'!L31+'Votos por partido'!M31+'Votos por partido'!N31+'Votos por partido'!O31</f>
        <v>610644</v>
      </c>
      <c r="D31" s="5" t="n">
        <f aca="false">'Votos por partido'!D31+'Votos por partido'!F31+'Votos por partido'!I31+'Votos por partido'!P31+'Votos por partido'!Q31+'Votos por partido'!R31+'Votos por partido'!S31</f>
        <v>359810</v>
      </c>
      <c r="E31" s="5" t="n">
        <f aca="false">'Votos por partido'!X31+'Votos por partido'!Y31</f>
        <v>0</v>
      </c>
      <c r="F31" s="5" t="n">
        <f aca="false">'Votos por partido'!Z31</f>
        <v>608</v>
      </c>
      <c r="G31" s="5" t="n">
        <f aca="false">'Votos por partido'!AA31</f>
        <v>49212</v>
      </c>
      <c r="H31" s="5" t="n">
        <f aca="false">'Votos por partido'!AB31</f>
        <v>1639908</v>
      </c>
      <c r="I31" s="5" t="n">
        <f aca="false">'Votos por partido'!AC31</f>
        <v>2633030</v>
      </c>
      <c r="J31" s="11" t="n">
        <f aca="false">H31/I31</f>
        <v>0.622821616160849</v>
      </c>
      <c r="K31" s="11" t="n">
        <f aca="false">B31/H31</f>
        <v>0.377846806040339</v>
      </c>
      <c r="L31" s="11" t="n">
        <f aca="false">C31/H31</f>
        <v>0.372364791195604</v>
      </c>
      <c r="M31" s="11" t="n">
        <f aca="false">D31/H31</f>
        <v>0.219408649753523</v>
      </c>
      <c r="N31" s="11" t="n">
        <f aca="false">E31/H31</f>
        <v>0</v>
      </c>
      <c r="O31" s="11" t="n">
        <f aca="false">F31/H31</f>
        <v>0.000370752505628365</v>
      </c>
      <c r="P31" s="11" t="n">
        <f aca="false">G31/H31</f>
        <v>0.0300090005049064</v>
      </c>
      <c r="Q31" s="4" t="str">
        <f aca="false">INDEX($B$3:$D$3,MATCH(MAX(B31:D31),B31:D31,0))</f>
        <v>PT-Morena-PES</v>
      </c>
      <c r="R31" s="12" t="n">
        <f aca="false">(MAX(L31:N31)-LARGE(L31:N31,2))*100</f>
        <v>15.2956141442081</v>
      </c>
      <c r="S31" s="4" t="s">
        <v>9</v>
      </c>
      <c r="T31" s="11" t="n">
        <v>0.377846806040339</v>
      </c>
      <c r="U31" s="4" t="s">
        <v>10</v>
      </c>
      <c r="V31" s="11" t="n">
        <v>0.372364791195604</v>
      </c>
    </row>
    <row r="32" customFormat="false" ht="15" hidden="false" customHeight="false" outlineLevel="0" collapsed="false">
      <c r="A32" s="4" t="str">
        <f aca="false">'Votos por partido'!A32</f>
        <v>Tlaxcala</v>
      </c>
      <c r="B32" s="5" t="n">
        <f aca="false">'Votos por partido'!G32+'Votos por partido'!J32+'Votos por partido'!K32+'Votos por partido'!T32+'Votos por partido'!U32+'Votos por partido'!V32+'Votos por partido'!W32</f>
        <v>360567</v>
      </c>
      <c r="C32" s="5" t="n">
        <f aca="false">'Votos por partido'!C32+'Votos por partido'!E32+'Votos por partido'!H32+'Votos por partido'!L32+'Votos por partido'!M32+'Votos por partido'!N32+'Votos por partido'!O32</f>
        <v>108832</v>
      </c>
      <c r="D32" s="5" t="n">
        <f aca="false">'Votos por partido'!D32+'Votos por partido'!F32+'Votos por partido'!I32+'Votos por partido'!P32+'Votos por partido'!Q32+'Votos por partido'!R32+'Votos por partido'!S32</f>
        <v>106886</v>
      </c>
      <c r="E32" s="5" t="n">
        <f aca="false">'Votos por partido'!X32+'Votos por partido'!Y32</f>
        <v>14021</v>
      </c>
      <c r="F32" s="5" t="n">
        <f aca="false">'Votos por partido'!Z32</f>
        <v>532</v>
      </c>
      <c r="G32" s="5" t="n">
        <f aca="false">'Votos por partido'!AA32</f>
        <v>24865</v>
      </c>
      <c r="H32" s="5" t="n">
        <f aca="false">'Votos por partido'!AB32</f>
        <v>615703</v>
      </c>
      <c r="I32" s="5" t="n">
        <f aca="false">'Votos por partido'!AC32</f>
        <v>923272</v>
      </c>
      <c r="J32" s="11" t="n">
        <f aca="false">H32/I32</f>
        <v>0.666870651335684</v>
      </c>
      <c r="K32" s="11" t="n">
        <f aca="false">B32/H32</f>
        <v>0.585618390685119</v>
      </c>
      <c r="L32" s="11" t="n">
        <f aca="false">C32/H32</f>
        <v>0.176760548511214</v>
      </c>
      <c r="M32" s="11" t="n">
        <f aca="false">D32/H32</f>
        <v>0.173599933734284</v>
      </c>
      <c r="N32" s="11" t="n">
        <f aca="false">E32/H32</f>
        <v>0.0227723431589581</v>
      </c>
      <c r="O32" s="11" t="n">
        <f aca="false">F32/H32</f>
        <v>0.00086405296059951</v>
      </c>
      <c r="P32" s="11" t="n">
        <f aca="false">G32/H32</f>
        <v>0.0403847309498248</v>
      </c>
      <c r="Q32" s="4" t="str">
        <f aca="false">INDEX($B$3:$D$3,MATCH(MAX(B32:D32),B32:D32,0))</f>
        <v>PT-Morena-PES</v>
      </c>
      <c r="R32" s="12" t="n">
        <f aca="false">(MAX(L32:N32)-LARGE(L32:N32,2))*100</f>
        <v>0.316061477692978</v>
      </c>
      <c r="S32" s="4" t="s">
        <v>9</v>
      </c>
      <c r="T32" s="11" t="n">
        <v>0.585618390685119</v>
      </c>
      <c r="U32" s="4" t="s">
        <v>10</v>
      </c>
      <c r="V32" s="11" t="n">
        <v>0.176760548511214</v>
      </c>
    </row>
    <row r="33" customFormat="false" ht="15" hidden="false" customHeight="false" outlineLevel="0" collapsed="false">
      <c r="A33" s="4" t="str">
        <f aca="false">'Votos por partido'!A33</f>
        <v>Veracruz</v>
      </c>
      <c r="B33" s="5" t="n">
        <f aca="false">'Votos por partido'!G33+'Votos por partido'!J33+'Votos por partido'!K33+'Votos por partido'!T33+'Votos por partido'!U33+'Votos por partido'!V33+'Votos por partido'!W33</f>
        <v>1841328</v>
      </c>
      <c r="C33" s="5" t="n">
        <f aca="false">'Votos por partido'!C33+'Votos por partido'!E33+'Votos por partido'!H33+'Votos por partido'!L33+'Votos por partido'!M33+'Votos por partido'!N33+'Votos por partido'!O33</f>
        <v>1268602</v>
      </c>
      <c r="D33" s="5" t="n">
        <f aca="false">'Votos por partido'!D33+'Votos por partido'!F33+'Votos por partido'!I33+'Votos por partido'!P33+'Votos por partido'!Q33+'Votos por partido'!R33+'Votos por partido'!S33</f>
        <v>579935</v>
      </c>
      <c r="E33" s="5" t="n">
        <f aca="false">'Votos por partido'!X33+'Votos por partido'!Y33</f>
        <v>0</v>
      </c>
      <c r="F33" s="5" t="n">
        <f aca="false">'Votos por partido'!Z33</f>
        <v>1114</v>
      </c>
      <c r="G33" s="5" t="n">
        <f aca="false">'Votos por partido'!AA33</f>
        <v>128194</v>
      </c>
      <c r="H33" s="5" t="n">
        <f aca="false">'Votos por partido'!AB33</f>
        <v>3819173</v>
      </c>
      <c r="I33" s="5" t="n">
        <f aca="false">'Votos por partido'!AC33</f>
        <v>5781779</v>
      </c>
      <c r="J33" s="11" t="n">
        <f aca="false">H33/I33</f>
        <v>0.660553265699018</v>
      </c>
      <c r="K33" s="11" t="n">
        <f aca="false">B33/H33</f>
        <v>0.482127413447885</v>
      </c>
      <c r="L33" s="11" t="n">
        <f aca="false">C33/H33</f>
        <v>0.332166675874594</v>
      </c>
      <c r="M33" s="11" t="n">
        <f aca="false">D33/H33</f>
        <v>0.151848318994714</v>
      </c>
      <c r="N33" s="11" t="n">
        <f aca="false">E33/H33</f>
        <v>0</v>
      </c>
      <c r="O33" s="11" t="n">
        <f aca="false">F33/H33</f>
        <v>0.000291686184417412</v>
      </c>
      <c r="P33" s="11" t="n">
        <f aca="false">G33/H33</f>
        <v>0.0335659054983893</v>
      </c>
      <c r="Q33" s="4" t="str">
        <f aca="false">INDEX($B$3:$D$3,MATCH(MAX(B33:D33),B33:D33,0))</f>
        <v>PT-Morena-PES</v>
      </c>
      <c r="R33" s="12" t="n">
        <f aca="false">(MAX(L33:N33)-LARGE(L33:N33,2))*100</f>
        <v>18.031835687988</v>
      </c>
      <c r="S33" s="4" t="s">
        <v>9</v>
      </c>
      <c r="T33" s="11" t="n">
        <v>0.482127413447885</v>
      </c>
      <c r="U33" s="4" t="s">
        <v>10</v>
      </c>
      <c r="V33" s="11" t="n">
        <v>0.332166675874594</v>
      </c>
    </row>
    <row r="34" customFormat="false" ht="15" hidden="false" customHeight="false" outlineLevel="0" collapsed="false">
      <c r="A34" s="4" t="str">
        <f aca="false">'Votos por partido'!A34</f>
        <v>Yucatán</v>
      </c>
      <c r="B34" s="5" t="n">
        <f aca="false">'Votos por partido'!G34+'Votos por partido'!J34+'Votos por partido'!K34+'Votos por partido'!T34+'Votos por partido'!U34+'Votos por partido'!V34+'Votos por partido'!W34</f>
        <v>312312</v>
      </c>
      <c r="C34" s="5" t="n">
        <f aca="false">'Votos por partido'!C34+'Votos por partido'!E34+'Votos por partido'!H34+'Votos por partido'!L34+'Votos por partido'!M34+'Votos por partido'!N34+'Votos por partido'!O34</f>
        <v>386698</v>
      </c>
      <c r="D34" s="5" t="n">
        <f aca="false">'Votos por partido'!D34+'Votos por partido'!F34+'Votos por partido'!I34+'Votos por partido'!P34+'Votos por partido'!Q34+'Votos por partido'!R34+'Votos por partido'!S34</f>
        <v>429620</v>
      </c>
      <c r="E34" s="5" t="n">
        <f aca="false">'Votos por partido'!X34+'Votos por partido'!Y34</f>
        <v>0</v>
      </c>
      <c r="F34" s="5" t="n">
        <f aca="false">'Votos por partido'!Z34</f>
        <v>287</v>
      </c>
      <c r="G34" s="5" t="n">
        <f aca="false">'Votos por partido'!AA34</f>
        <v>33040</v>
      </c>
      <c r="H34" s="5" t="n">
        <f aca="false">'Votos por partido'!AB34</f>
        <v>1161957</v>
      </c>
      <c r="I34" s="5" t="n">
        <f aca="false">'Votos por partido'!AC34</f>
        <v>1541166</v>
      </c>
      <c r="J34" s="11" t="n">
        <f aca="false">H34/I34</f>
        <v>0.753946687118714</v>
      </c>
      <c r="K34" s="11" t="n">
        <f aca="false">B34/H34</f>
        <v>0.268781030623336</v>
      </c>
      <c r="L34" s="11" t="n">
        <f aca="false">C34/H34</f>
        <v>0.332798890148259</v>
      </c>
      <c r="M34" s="11" t="n">
        <f aca="false">D34/H34</f>
        <v>0.369738294962722</v>
      </c>
      <c r="N34" s="11" t="n">
        <f aca="false">E34/H34</f>
        <v>0</v>
      </c>
      <c r="O34" s="11" t="n">
        <f aca="false">F34/H34</f>
        <v>0.000246997091975004</v>
      </c>
      <c r="P34" s="11" t="n">
        <f aca="false">G34/H34</f>
        <v>0.0284347871737078</v>
      </c>
      <c r="Q34" s="4" t="str">
        <f aca="false">INDEX($B$3:$D$3,MATCH(MAX(B34:D34),B34:D34,0))</f>
        <v>PRI-PVEM-NA</v>
      </c>
      <c r="R34" s="12" t="n">
        <f aca="false">(MAX(L34:N34)-LARGE(L34:N34,2))*100</f>
        <v>3.69394048144639</v>
      </c>
      <c r="S34" s="4" t="s">
        <v>11</v>
      </c>
      <c r="T34" s="11" t="n">
        <v>0.369738294962722</v>
      </c>
      <c r="U34" s="4" t="s">
        <v>10</v>
      </c>
      <c r="V34" s="11" t="n">
        <v>0.332798890148259</v>
      </c>
    </row>
    <row r="35" customFormat="false" ht="15" hidden="false" customHeight="false" outlineLevel="0" collapsed="false">
      <c r="A35" s="4" t="str">
        <f aca="false">'Votos por partido'!A35</f>
        <v>Zacatecas</v>
      </c>
      <c r="B35" s="5" t="n">
        <f aca="false">'Votos por partido'!G35+'Votos por partido'!J35+'Votos por partido'!K35+'Votos por partido'!T35+'Votos por partido'!U35+'Votos por partido'!V35+'Votos por partido'!W35</f>
        <v>317770</v>
      </c>
      <c r="C35" s="5" t="n">
        <f aca="false">'Votos por partido'!C35+'Votos por partido'!E35+'Votos por partido'!H35+'Votos por partido'!L35+'Votos por partido'!M35+'Votos por partido'!N35+'Votos por partido'!O35</f>
        <v>159841</v>
      </c>
      <c r="D35" s="5" t="n">
        <f aca="false">'Votos por partido'!D35+'Votos por partido'!F35+'Votos por partido'!I35+'Votos por partido'!P35+'Votos por partido'!Q35+'Votos por partido'!R35+'Votos por partido'!S35</f>
        <v>255965</v>
      </c>
      <c r="E35" s="5" t="n">
        <f aca="false">'Votos por partido'!X35+'Votos por partido'!Y35</f>
        <v>0</v>
      </c>
      <c r="F35" s="5" t="n">
        <f aca="false">'Votos por partido'!Z35</f>
        <v>258</v>
      </c>
      <c r="G35" s="5" t="n">
        <f aca="false">'Votos por partido'!AA35</f>
        <v>31990</v>
      </c>
      <c r="H35" s="5" t="n">
        <f aca="false">'Votos por partido'!AB35</f>
        <v>765824</v>
      </c>
      <c r="I35" s="5" t="n">
        <f aca="false">'Votos por partido'!AC35</f>
        <v>1167497</v>
      </c>
      <c r="J35" s="11" t="n">
        <f aca="false">H35/I35</f>
        <v>0.655953719795426</v>
      </c>
      <c r="K35" s="11" t="n">
        <f aca="false">B35/H35</f>
        <v>0.414938680427879</v>
      </c>
      <c r="L35" s="11" t="n">
        <f aca="false">C35/H35</f>
        <v>0.208717668811633</v>
      </c>
      <c r="M35" s="11" t="n">
        <f aca="false">D35/H35</f>
        <v>0.334234758900217</v>
      </c>
      <c r="N35" s="11" t="n">
        <f aca="false">E35/H35</f>
        <v>0</v>
      </c>
      <c r="O35" s="11" t="n">
        <f aca="false">F35/H35</f>
        <v>0.000336892027410998</v>
      </c>
      <c r="P35" s="11" t="n">
        <f aca="false">G35/H35</f>
        <v>0.0417719998328598</v>
      </c>
      <c r="Q35" s="4" t="str">
        <f aca="false">INDEX($B$3:$D$3,MATCH(MAX(B35:D35),B35:D35,0))</f>
        <v>PT-Morena-PES</v>
      </c>
      <c r="R35" s="12" t="n">
        <f aca="false">(MAX(L35:N35)-LARGE(L35:N35,2))*100</f>
        <v>12.5517090088584</v>
      </c>
      <c r="S35" s="4" t="s">
        <v>9</v>
      </c>
      <c r="T35" s="11" t="n">
        <v>0.414938680427879</v>
      </c>
      <c r="U35" s="4" t="s">
        <v>11</v>
      </c>
      <c r="V35" s="11" t="n">
        <v>0.334234758900217</v>
      </c>
    </row>
    <row r="36" customFormat="false" ht="15" hidden="false" customHeight="false" outlineLevel="0" collapsed="false">
      <c r="A36" s="13" t="s">
        <v>45</v>
      </c>
      <c r="B36" s="14" t="n">
        <f aca="false">'Votos por partido'!G36+'Votos por partido'!J36+'Votos por partido'!K36+'Votos por partido'!T36+'Votos por partido'!U36+'Votos por partido'!V36+'Votos por partido'!W36</f>
        <v>24746578</v>
      </c>
      <c r="C36" s="14" t="n">
        <f aca="false">'Votos por partido'!C36+'Votos por partido'!E36+'Votos por partido'!H36+'Votos por partido'!L36+'Votos por partido'!M36+'Votos por partido'!N36+'Votos por partido'!O36</f>
        <v>15611117</v>
      </c>
      <c r="D36" s="14" t="n">
        <f aca="false">'Votos por partido'!D36+'Votos por partido'!F36+'Votos por partido'!I36+'Votos por partido'!P36+'Votos por partido'!Q36+'Votos por partido'!R36+'Votos por partido'!S36</f>
        <v>12848848</v>
      </c>
      <c r="E36" s="14" t="n">
        <f aca="false">'Votos por partido'!X36+'Votos por partido'!Y36</f>
        <v>1109149</v>
      </c>
      <c r="F36" s="14" t="n">
        <f aca="false">'Votos por partido'!Z36</f>
        <v>31820</v>
      </c>
      <c r="G36" s="14" t="n">
        <f aca="false">'Votos por partido'!AA36</f>
        <v>2344357</v>
      </c>
      <c r="H36" s="14" t="n">
        <f aca="false">'Votos por partido'!AB36</f>
        <v>56691869</v>
      </c>
      <c r="I36" s="14" t="n">
        <f aca="false">'Votos por partido'!AC36</f>
        <v>89127226</v>
      </c>
      <c r="J36" s="15" t="n">
        <f aca="false">H36/I36</f>
        <v>0.636078015038861</v>
      </c>
      <c r="K36" s="15" t="n">
        <f aca="false">B36/H36</f>
        <v>0.4365101810279</v>
      </c>
      <c r="L36" s="15" t="n">
        <f aca="false">C36/H36</f>
        <v>0.275367830967083</v>
      </c>
      <c r="M36" s="15" t="n">
        <f aca="false">D36/H36</f>
        <v>0.226643577406136</v>
      </c>
      <c r="N36" s="15" t="n">
        <f aca="false">E36/H36</f>
        <v>0.0195645163859389</v>
      </c>
      <c r="O36" s="15" t="n">
        <f aca="false">F36/H36</f>
        <v>0.000561279784231492</v>
      </c>
      <c r="P36" s="15" t="n">
        <f aca="false">G36/H36</f>
        <v>0.0413526144287111</v>
      </c>
      <c r="Q36" s="13" t="str">
        <f aca="false">INDEX($B$3:$D$3,MATCH(MAX(B36:D36),B36:D36,0))</f>
        <v>PT-Morena-PES</v>
      </c>
      <c r="R36" s="16" t="n">
        <f aca="false">(MAX(L36:N36)-LARGE(L36:N36,2))*100</f>
        <v>4.87242535609472</v>
      </c>
      <c r="S36" s="13"/>
      <c r="T36" s="15"/>
      <c r="U36" s="13"/>
      <c r="V36" s="1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13" min="2" style="0" width="14"/>
    <col collapsed="false" customWidth="true" hidden="false" outlineLevel="0" max="14" min="14" style="0" width="16"/>
    <col collapsed="false" customWidth="true" hidden="false" outlineLevel="0" max="15" min="15" style="0" width="14"/>
  </cols>
  <sheetData>
    <row r="1" customFormat="false" ht="16.15" hidden="false" customHeight="false" outlineLevel="0" collapsed="false">
      <c r="A1" s="10" t="s">
        <v>46</v>
      </c>
    </row>
    <row r="2" customFormat="false" ht="15" hidden="false" customHeight="false" outlineLevel="0" collapsed="false">
      <c r="A2" s="2" t="s">
        <v>47</v>
      </c>
    </row>
    <row r="3" customFormat="false" ht="33.75" hidden="false" customHeight="true" outlineLevel="0" collapsed="false">
      <c r="A3" s="3" t="s">
        <v>27</v>
      </c>
      <c r="B3" s="3" t="s">
        <v>48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28</v>
      </c>
      <c r="J3" s="3" t="s">
        <v>30</v>
      </c>
      <c r="K3" s="3" t="s">
        <v>31</v>
      </c>
      <c r="L3" s="3" t="s">
        <v>32</v>
      </c>
      <c r="M3" s="3" t="s">
        <v>35</v>
      </c>
      <c r="N3" s="3" t="s">
        <v>36</v>
      </c>
      <c r="O3" s="3" t="s">
        <v>37</v>
      </c>
    </row>
    <row r="4" customFormat="false" ht="15" hidden="false" customHeight="false" outlineLevel="0" collapsed="false">
      <c r="A4" s="4" t="s">
        <v>49</v>
      </c>
      <c r="B4" s="4" t="n">
        <v>1</v>
      </c>
      <c r="C4" s="5" t="n">
        <v>52921</v>
      </c>
      <c r="D4" s="5" t="n">
        <v>60614</v>
      </c>
      <c r="E4" s="5" t="n">
        <v>58083</v>
      </c>
      <c r="F4" s="5" t="n">
        <v>0</v>
      </c>
      <c r="G4" s="5" t="n">
        <v>103</v>
      </c>
      <c r="H4" s="5" t="n">
        <v>7469</v>
      </c>
      <c r="I4" s="5" t="n">
        <v>179190</v>
      </c>
      <c r="J4" s="11" t="n">
        <f aca="false">IF(I4=0,0,C4/I4)</f>
        <v>0.295334561080417</v>
      </c>
      <c r="K4" s="11" t="n">
        <f aca="false">IF(I4=0,0,D4/I4)</f>
        <v>0.338266644343992</v>
      </c>
      <c r="L4" s="11" t="n">
        <f aca="false">IF(I4=0,0,E4/I4)</f>
        <v>0.324141972208271</v>
      </c>
      <c r="M4" s="11" t="n">
        <f aca="false">IF(I4=0,0,H4/I4)</f>
        <v>0.0416820135052179</v>
      </c>
      <c r="N4" s="4" t="str">
        <f aca="false">INDEX($C$3:$E$3,MATCH(MAX(C4:E4),C4:E4,0))</f>
        <v>PAN-PRD-MC</v>
      </c>
      <c r="O4" s="17" t="n">
        <f aca="false">(MAX(J4:L4)-LARGE(J4:L4,2))*100</f>
        <v>1.41246721357218</v>
      </c>
    </row>
    <row r="5" customFormat="false" ht="15" hidden="false" customHeight="false" outlineLevel="0" collapsed="false">
      <c r="A5" s="4" t="s">
        <v>49</v>
      </c>
      <c r="B5" s="4" t="n">
        <v>2</v>
      </c>
      <c r="C5" s="5" t="n">
        <v>54889</v>
      </c>
      <c r="D5" s="5" t="n">
        <v>55048</v>
      </c>
      <c r="E5" s="5" t="n">
        <v>56058</v>
      </c>
      <c r="F5" s="5" t="n">
        <v>0</v>
      </c>
      <c r="G5" s="5" t="n">
        <v>115</v>
      </c>
      <c r="H5" s="5" t="n">
        <v>5982</v>
      </c>
      <c r="I5" s="5" t="n">
        <v>172092</v>
      </c>
      <c r="J5" s="11" t="n">
        <f aca="false">IF(I5=0,0,C5/I5)</f>
        <v>0.31895149106292</v>
      </c>
      <c r="K5" s="11" t="n">
        <f aca="false">IF(I5=0,0,D5/I5)</f>
        <v>0.319875415475443</v>
      </c>
      <c r="L5" s="11" t="n">
        <f aca="false">IF(I5=0,0,E5/I5)</f>
        <v>0.325744369290844</v>
      </c>
      <c r="M5" s="11" t="n">
        <f aca="false">IF(I5=0,0,H5/I5)</f>
        <v>0.0347604769541873</v>
      </c>
      <c r="N5" s="4" t="str">
        <f aca="false">INDEX($C$3:$E$3,MATCH(MAX(C5:E5),C5:E5,0))</f>
        <v>PRI-PVEM-NA</v>
      </c>
      <c r="O5" s="17" t="n">
        <f aca="false">(MAX(J5:L5)-LARGE(J5:L5,2))*100</f>
        <v>0.586895381540109</v>
      </c>
    </row>
    <row r="6" customFormat="false" ht="15" hidden="false" customHeight="false" outlineLevel="0" collapsed="false">
      <c r="A6" s="4" t="s">
        <v>49</v>
      </c>
      <c r="B6" s="4" t="n">
        <v>3</v>
      </c>
      <c r="C6" s="5" t="n">
        <v>53468</v>
      </c>
      <c r="D6" s="5" t="n">
        <v>84390</v>
      </c>
      <c r="E6" s="5" t="n">
        <v>63381</v>
      </c>
      <c r="F6" s="5" t="n">
        <v>0</v>
      </c>
      <c r="G6" s="5" t="n">
        <v>189</v>
      </c>
      <c r="H6" s="5" t="n">
        <v>7373</v>
      </c>
      <c r="I6" s="5" t="n">
        <v>208801</v>
      </c>
      <c r="J6" s="11" t="n">
        <f aca="false">IF(I6=0,0,C6/I6)</f>
        <v>0.256071570538455</v>
      </c>
      <c r="K6" s="11" t="n">
        <f aca="false">IF(I6=0,0,D6/I6)</f>
        <v>0.404164731011825</v>
      </c>
      <c r="L6" s="11" t="n">
        <f aca="false">IF(I6=0,0,E6/I6)</f>
        <v>0.303547396803655</v>
      </c>
      <c r="M6" s="11" t="n">
        <f aca="false">IF(I6=0,0,H6/I6)</f>
        <v>0.035311133567368</v>
      </c>
      <c r="N6" s="4" t="str">
        <f aca="false">INDEX($C$3:$E$3,MATCH(MAX(C6:E6),C6:E6,0))</f>
        <v>PAN-PRD-MC</v>
      </c>
      <c r="O6" s="17" t="n">
        <f aca="false">(MAX(J6:L6)-LARGE(J6:L6,2))*100</f>
        <v>10.0617334208169</v>
      </c>
    </row>
    <row r="7" customFormat="false" ht="15" hidden="false" customHeight="false" outlineLevel="0" collapsed="false">
      <c r="A7" s="4" t="s">
        <v>50</v>
      </c>
      <c r="B7" s="4" t="n">
        <v>1</v>
      </c>
      <c r="C7" s="5" t="n">
        <v>99618</v>
      </c>
      <c r="D7" s="5" t="n">
        <v>47417</v>
      </c>
      <c r="E7" s="5" t="n">
        <v>24847</v>
      </c>
      <c r="F7" s="5" t="n">
        <v>0</v>
      </c>
      <c r="G7" s="5" t="n">
        <v>134</v>
      </c>
      <c r="H7" s="5" t="n">
        <v>5578</v>
      </c>
      <c r="I7" s="5" t="n">
        <v>177594</v>
      </c>
      <c r="J7" s="11" t="n">
        <f aca="false">IF(I7=0,0,C7/I7)</f>
        <v>0.560931112537586</v>
      </c>
      <c r="K7" s="11" t="n">
        <f aca="false">IF(I7=0,0,D7/I7)</f>
        <v>0.266996632769125</v>
      </c>
      <c r="L7" s="11" t="n">
        <f aca="false">IF(I7=0,0,E7/I7)</f>
        <v>0.139909005934885</v>
      </c>
      <c r="M7" s="11" t="n">
        <f aca="false">IF(I7=0,0,H7/I7)</f>
        <v>0.0314087187630213</v>
      </c>
      <c r="N7" s="4" t="str">
        <f aca="false">INDEX($C$3:$E$3,MATCH(MAX(C7:E7),C7:E7,0))</f>
        <v>PT-Morena-PES</v>
      </c>
      <c r="O7" s="17" t="n">
        <f aca="false">(MAX(J7:L7)-LARGE(J7:L7,2))*100</f>
        <v>29.3934479768461</v>
      </c>
    </row>
    <row r="8" customFormat="false" ht="15" hidden="false" customHeight="false" outlineLevel="0" collapsed="false">
      <c r="A8" s="4" t="s">
        <v>50</v>
      </c>
      <c r="B8" s="4" t="n">
        <v>2</v>
      </c>
      <c r="C8" s="5" t="n">
        <v>93258</v>
      </c>
      <c r="D8" s="5" t="n">
        <v>53853</v>
      </c>
      <c r="E8" s="5" t="n">
        <v>29891</v>
      </c>
      <c r="F8" s="5" t="n">
        <v>0</v>
      </c>
      <c r="G8" s="5" t="n">
        <v>185</v>
      </c>
      <c r="H8" s="5" t="n">
        <v>5945</v>
      </c>
      <c r="I8" s="5" t="n">
        <v>183132</v>
      </c>
      <c r="J8" s="11" t="n">
        <f aca="false">IF(I8=0,0,C8/I8)</f>
        <v>0.509239237271476</v>
      </c>
      <c r="K8" s="11" t="n">
        <f aca="false">IF(I8=0,0,D8/I8)</f>
        <v>0.294066574929559</v>
      </c>
      <c r="L8" s="11" t="n">
        <f aca="false">IF(I8=0,0,E8/I8)</f>
        <v>0.163221064587292</v>
      </c>
      <c r="M8" s="11" t="n">
        <f aca="false">IF(I8=0,0,H8/I8)</f>
        <v>0.0324629229189874</v>
      </c>
      <c r="N8" s="4" t="str">
        <f aca="false">INDEX($C$3:$E$3,MATCH(MAX(C8:E8),C8:E8,0))</f>
        <v>PT-Morena-PES</v>
      </c>
      <c r="O8" s="17" t="n">
        <f aca="false">(MAX(J8:L8)-LARGE(J8:L8,2))*100</f>
        <v>21.5172662341917</v>
      </c>
    </row>
    <row r="9" customFormat="false" ht="15" hidden="false" customHeight="false" outlineLevel="0" collapsed="false">
      <c r="A9" s="4" t="s">
        <v>50</v>
      </c>
      <c r="B9" s="4" t="n">
        <v>3</v>
      </c>
      <c r="C9" s="5" t="n">
        <v>100073</v>
      </c>
      <c r="D9" s="5" t="n">
        <v>38847</v>
      </c>
      <c r="E9" s="5" t="n">
        <v>38463</v>
      </c>
      <c r="F9" s="5" t="n">
        <v>0</v>
      </c>
      <c r="G9" s="5" t="n">
        <v>332</v>
      </c>
      <c r="H9" s="5" t="n">
        <v>6480</v>
      </c>
      <c r="I9" s="5" t="n">
        <v>184195</v>
      </c>
      <c r="J9" s="11" t="n">
        <f aca="false">IF(I9=0,0,C9/I9)</f>
        <v>0.543299220934336</v>
      </c>
      <c r="K9" s="11" t="n">
        <f aca="false">IF(I9=0,0,D9/I9)</f>
        <v>0.210901490268466</v>
      </c>
      <c r="L9" s="11" t="n">
        <f aca="false">IF(I9=0,0,E9/I9)</f>
        <v>0.208816743125492</v>
      </c>
      <c r="M9" s="11" t="n">
        <f aca="false">IF(I9=0,0,H9/I9)</f>
        <v>0.0351801080376775</v>
      </c>
      <c r="N9" s="4" t="str">
        <f aca="false">INDEX($C$3:$E$3,MATCH(MAX(C9:E9),C9:E9,0))</f>
        <v>PT-Morena-PES</v>
      </c>
      <c r="O9" s="17" t="n">
        <f aca="false">(MAX(J9:L9)-LARGE(J9:L9,2))*100</f>
        <v>33.239773066587</v>
      </c>
    </row>
    <row r="10" customFormat="false" ht="15" hidden="false" customHeight="false" outlineLevel="0" collapsed="false">
      <c r="A10" s="4" t="s">
        <v>50</v>
      </c>
      <c r="B10" s="4" t="n">
        <v>4</v>
      </c>
      <c r="C10" s="5" t="n">
        <v>124132</v>
      </c>
      <c r="D10" s="5" t="n">
        <v>31277</v>
      </c>
      <c r="E10" s="5" t="n">
        <v>19904</v>
      </c>
      <c r="F10" s="5" t="n">
        <v>0</v>
      </c>
      <c r="G10" s="5" t="n">
        <v>106</v>
      </c>
      <c r="H10" s="5" t="n">
        <v>4285</v>
      </c>
      <c r="I10" s="5" t="n">
        <v>179704</v>
      </c>
      <c r="J10" s="11" t="n">
        <f aca="false">IF(I10=0,0,C10/I10)</f>
        <v>0.690758135600766</v>
      </c>
      <c r="K10" s="11" t="n">
        <f aca="false">IF(I10=0,0,D10/I10)</f>
        <v>0.174047322263277</v>
      </c>
      <c r="L10" s="11" t="n">
        <f aca="false">IF(I10=0,0,E10/I10)</f>
        <v>0.110759916306816</v>
      </c>
      <c r="M10" s="11" t="n">
        <f aca="false">IF(I10=0,0,H10/I10)</f>
        <v>0.0238447669500957</v>
      </c>
      <c r="N10" s="4" t="str">
        <f aca="false">INDEX($C$3:$E$3,MATCH(MAX(C10:E10),C10:E10,0))</f>
        <v>PT-Morena-PES</v>
      </c>
      <c r="O10" s="17" t="n">
        <f aca="false">(MAX(J10:L10)-LARGE(J10:L10,2))*100</f>
        <v>51.6710813337488</v>
      </c>
    </row>
    <row r="11" customFormat="false" ht="15" hidden="false" customHeight="false" outlineLevel="0" collapsed="false">
      <c r="A11" s="4" t="s">
        <v>50</v>
      </c>
      <c r="B11" s="4" t="n">
        <v>5</v>
      </c>
      <c r="C11" s="5" t="n">
        <v>104877</v>
      </c>
      <c r="D11" s="5" t="n">
        <v>52696</v>
      </c>
      <c r="E11" s="5" t="n">
        <v>30162</v>
      </c>
      <c r="F11" s="5" t="n">
        <v>0</v>
      </c>
      <c r="G11" s="5" t="n">
        <v>172</v>
      </c>
      <c r="H11" s="5" t="n">
        <v>5340</v>
      </c>
      <c r="I11" s="5" t="n">
        <v>193247</v>
      </c>
      <c r="J11" s="11" t="n">
        <f aca="false">IF(I11=0,0,C11/I11)</f>
        <v>0.54270958928211</v>
      </c>
      <c r="K11" s="11" t="n">
        <f aca="false">IF(I11=0,0,D11/I11)</f>
        <v>0.272687286219191</v>
      </c>
      <c r="L11" s="11" t="n">
        <f aca="false">IF(I11=0,0,E11/I11)</f>
        <v>0.156080042639731</v>
      </c>
      <c r="M11" s="11" t="n">
        <f aca="false">IF(I11=0,0,H11/I11)</f>
        <v>0.0276330292320191</v>
      </c>
      <c r="N11" s="4" t="str">
        <f aca="false">INDEX($C$3:$E$3,MATCH(MAX(C11:E11),C11:E11,0))</f>
        <v>PT-Morena-PES</v>
      </c>
      <c r="O11" s="17" t="n">
        <f aca="false">(MAX(J11:L11)-LARGE(J11:L11,2))*100</f>
        <v>27.0022303062919</v>
      </c>
    </row>
    <row r="12" customFormat="false" ht="15" hidden="false" customHeight="false" outlineLevel="0" collapsed="false">
      <c r="A12" s="4" t="s">
        <v>50</v>
      </c>
      <c r="B12" s="4" t="n">
        <v>6</v>
      </c>
      <c r="C12" s="5" t="n">
        <v>99788</v>
      </c>
      <c r="D12" s="5" t="n">
        <v>43682</v>
      </c>
      <c r="E12" s="5" t="n">
        <v>29873</v>
      </c>
      <c r="F12" s="5" t="n">
        <v>0</v>
      </c>
      <c r="G12" s="5" t="n">
        <v>168</v>
      </c>
      <c r="H12" s="5" t="n">
        <v>5672</v>
      </c>
      <c r="I12" s="5" t="n">
        <v>179183</v>
      </c>
      <c r="J12" s="11" t="n">
        <f aca="false">IF(I12=0,0,C12/I12)</f>
        <v>0.55690551000932</v>
      </c>
      <c r="K12" s="11" t="n">
        <f aca="false">IF(I12=0,0,D12/I12)</f>
        <v>0.243784287571924</v>
      </c>
      <c r="L12" s="11" t="n">
        <f aca="false">IF(I12=0,0,E12/I12)</f>
        <v>0.166717824793647</v>
      </c>
      <c r="M12" s="11" t="n">
        <f aca="false">IF(I12=0,0,H12/I12)</f>
        <v>0.0316547886797297</v>
      </c>
      <c r="N12" s="4" t="str">
        <f aca="false">INDEX($C$3:$E$3,MATCH(MAX(C12:E12),C12:E12,0))</f>
        <v>PT-Morena-PES</v>
      </c>
      <c r="O12" s="17" t="n">
        <f aca="false">(MAX(J12:L12)-LARGE(J12:L12,2))*100</f>
        <v>31.3121222437396</v>
      </c>
    </row>
    <row r="13" customFormat="false" ht="15" hidden="false" customHeight="false" outlineLevel="0" collapsed="false">
      <c r="A13" s="4" t="s">
        <v>50</v>
      </c>
      <c r="B13" s="4" t="n">
        <v>7</v>
      </c>
      <c r="C13" s="5" t="n">
        <v>98165</v>
      </c>
      <c r="D13" s="5" t="n">
        <v>38640</v>
      </c>
      <c r="E13" s="5" t="n">
        <v>27369</v>
      </c>
      <c r="F13" s="5" t="n">
        <v>0</v>
      </c>
      <c r="G13" s="5" t="n">
        <v>125</v>
      </c>
      <c r="H13" s="5" t="n">
        <v>5374</v>
      </c>
      <c r="I13" s="5" t="n">
        <v>169673</v>
      </c>
      <c r="J13" s="11" t="n">
        <f aca="false">IF(I13=0,0,C13/I13)</f>
        <v>0.57855404218703</v>
      </c>
      <c r="K13" s="11" t="n">
        <f aca="false">IF(I13=0,0,D13/I13)</f>
        <v>0.227732167168613</v>
      </c>
      <c r="L13" s="11" t="n">
        <f aca="false">IF(I13=0,0,E13/I13)</f>
        <v>0.161304391388141</v>
      </c>
      <c r="M13" s="11" t="n">
        <f aca="false">IF(I13=0,0,H13/I13)</f>
        <v>0.0316726880529018</v>
      </c>
      <c r="N13" s="4" t="str">
        <f aca="false">INDEX($C$3:$E$3,MATCH(MAX(C13:E13),C13:E13,0))</f>
        <v>PT-Morena-PES</v>
      </c>
      <c r="O13" s="17" t="n">
        <f aca="false">(MAX(J13:L13)-LARGE(J13:L13,2))*100</f>
        <v>35.0821875018418</v>
      </c>
    </row>
    <row r="14" customFormat="false" ht="15" hidden="false" customHeight="false" outlineLevel="0" collapsed="false">
      <c r="A14" s="4" t="s">
        <v>50</v>
      </c>
      <c r="B14" s="4" t="n">
        <v>8</v>
      </c>
      <c r="C14" s="5" t="n">
        <v>116042</v>
      </c>
      <c r="D14" s="5" t="n">
        <v>35185</v>
      </c>
      <c r="E14" s="5" t="n">
        <v>23640</v>
      </c>
      <c r="F14" s="5" t="n">
        <v>0</v>
      </c>
      <c r="G14" s="5" t="n">
        <v>118</v>
      </c>
      <c r="H14" s="5" t="n">
        <v>4745</v>
      </c>
      <c r="I14" s="5" t="n">
        <v>179730</v>
      </c>
      <c r="J14" s="11" t="n">
        <f aca="false">IF(I14=0,0,C14/I14)</f>
        <v>0.645646247148501</v>
      </c>
      <c r="K14" s="11" t="n">
        <f aca="false">IF(I14=0,0,D14/I14)</f>
        <v>0.195765871028765</v>
      </c>
      <c r="L14" s="11" t="n">
        <f aca="false">IF(I14=0,0,E14/I14)</f>
        <v>0.131530629277249</v>
      </c>
      <c r="M14" s="11" t="n">
        <f aca="false">IF(I14=0,0,H14/I14)</f>
        <v>0.0264007121793802</v>
      </c>
      <c r="N14" s="4" t="str">
        <f aca="false">INDEX($C$3:$E$3,MATCH(MAX(C14:E14),C14:E14,0))</f>
        <v>PT-Morena-PES</v>
      </c>
      <c r="O14" s="17" t="n">
        <f aca="false">(MAX(J14:L14)-LARGE(J14:L14,2))*100</f>
        <v>44.9880376119735</v>
      </c>
    </row>
    <row r="15" customFormat="false" ht="15" hidden="false" customHeight="false" outlineLevel="0" collapsed="false">
      <c r="A15" s="4" t="s">
        <v>51</v>
      </c>
      <c r="B15" s="4" t="n">
        <v>1</v>
      </c>
      <c r="C15" s="5" t="n">
        <v>77432</v>
      </c>
      <c r="D15" s="5" t="n">
        <v>50219</v>
      </c>
      <c r="E15" s="5" t="n">
        <v>29647</v>
      </c>
      <c r="F15" s="5" t="n">
        <v>10308</v>
      </c>
      <c r="G15" s="5" t="n">
        <v>191</v>
      </c>
      <c r="H15" s="5" t="n">
        <v>6205</v>
      </c>
      <c r="I15" s="5" t="n">
        <v>174002</v>
      </c>
      <c r="J15" s="11" t="n">
        <f aca="false">IF(I15=0,0,C15/I15)</f>
        <v>0.44500637923702</v>
      </c>
      <c r="K15" s="11" t="n">
        <f aca="false">IF(I15=0,0,D15/I15)</f>
        <v>0.288611625153734</v>
      </c>
      <c r="L15" s="11" t="n">
        <f aca="false">IF(I15=0,0,E15/I15)</f>
        <v>0.170383099044839</v>
      </c>
      <c r="M15" s="11" t="n">
        <f aca="false">IF(I15=0,0,H15/I15)</f>
        <v>0.0356605096493144</v>
      </c>
      <c r="N15" s="4" t="str">
        <f aca="false">INDEX($C$3:$E$3,MATCH(MAX(C15:E15),C15:E15,0))</f>
        <v>PT-Morena-PES</v>
      </c>
      <c r="O15" s="17" t="n">
        <f aca="false">(MAX(J15:L15)-LARGE(J15:L15,2))*100</f>
        <v>15.6394754083286</v>
      </c>
    </row>
    <row r="16" customFormat="false" ht="15" hidden="false" customHeight="false" outlineLevel="0" collapsed="false">
      <c r="A16" s="4" t="s">
        <v>51</v>
      </c>
      <c r="B16" s="4" t="n">
        <v>2</v>
      </c>
      <c r="C16" s="5" t="n">
        <v>71087</v>
      </c>
      <c r="D16" s="5" t="n">
        <v>35263</v>
      </c>
      <c r="E16" s="5" t="n">
        <v>13921</v>
      </c>
      <c r="F16" s="5" t="n">
        <v>4419</v>
      </c>
      <c r="G16" s="5" t="n">
        <v>64</v>
      </c>
      <c r="H16" s="5" t="n">
        <v>4365</v>
      </c>
      <c r="I16" s="5" t="n">
        <v>129119</v>
      </c>
      <c r="J16" s="11" t="n">
        <f aca="false">IF(I16=0,0,C16/I16)</f>
        <v>0.550554139979399</v>
      </c>
      <c r="K16" s="11" t="n">
        <f aca="false">IF(I16=0,0,D16/I16)</f>
        <v>0.27310465539541</v>
      </c>
      <c r="L16" s="11" t="n">
        <f aca="false">IF(I16=0,0,E16/I16)</f>
        <v>0.107815271183947</v>
      </c>
      <c r="M16" s="11" t="n">
        <f aca="false">IF(I16=0,0,H16/I16)</f>
        <v>0.0338060239004329</v>
      </c>
      <c r="N16" s="4" t="str">
        <f aca="false">INDEX($C$3:$E$3,MATCH(MAX(C16:E16),C16:E16,0))</f>
        <v>PT-Morena-PES</v>
      </c>
      <c r="O16" s="17" t="n">
        <f aca="false">(MAX(J16:L16)-LARGE(J16:L16,2))*100</f>
        <v>27.7449484583988</v>
      </c>
    </row>
    <row r="17" customFormat="false" ht="15" hidden="false" customHeight="false" outlineLevel="0" collapsed="false">
      <c r="A17" s="4" t="s">
        <v>52</v>
      </c>
      <c r="B17" s="4" t="n">
        <v>1</v>
      </c>
      <c r="C17" s="5" t="n">
        <v>100593</v>
      </c>
      <c r="D17" s="5" t="n">
        <v>52263</v>
      </c>
      <c r="E17" s="5" t="n">
        <v>79010</v>
      </c>
      <c r="F17" s="5" t="n">
        <v>0</v>
      </c>
      <c r="G17" s="5" t="n">
        <v>102</v>
      </c>
      <c r="H17" s="5" t="n">
        <v>7977</v>
      </c>
      <c r="I17" s="5" t="n">
        <v>239945</v>
      </c>
      <c r="J17" s="11" t="n">
        <f aca="false">IF(I17=0,0,C17/I17)</f>
        <v>0.419233574360791</v>
      </c>
      <c r="K17" s="11" t="n">
        <f aca="false">IF(I17=0,0,D17/I17)</f>
        <v>0.217812415345183</v>
      </c>
      <c r="L17" s="11" t="n">
        <f aca="false">IF(I17=0,0,E17/I17)</f>
        <v>0.329283794202838</v>
      </c>
      <c r="M17" s="11" t="n">
        <f aca="false">IF(I17=0,0,H17/I17)</f>
        <v>0.0332451186730292</v>
      </c>
      <c r="N17" s="4" t="str">
        <f aca="false">INDEX($C$3:$E$3,MATCH(MAX(C17:E17),C17:E17,0))</f>
        <v>PT-Morena-PES</v>
      </c>
      <c r="O17" s="17" t="n">
        <f aca="false">(MAX(J17:L17)-LARGE(J17:L17,2))*100</f>
        <v>8.99497801579529</v>
      </c>
    </row>
    <row r="18" customFormat="false" ht="15" hidden="false" customHeight="false" outlineLevel="0" collapsed="false">
      <c r="A18" s="4" t="s">
        <v>52</v>
      </c>
      <c r="B18" s="4" t="n">
        <v>2</v>
      </c>
      <c r="C18" s="5" t="n">
        <v>107567</v>
      </c>
      <c r="D18" s="5" t="n">
        <v>37308</v>
      </c>
      <c r="E18" s="5" t="n">
        <v>58395</v>
      </c>
      <c r="F18" s="5" t="n">
        <v>0</v>
      </c>
      <c r="G18" s="5" t="n">
        <v>56</v>
      </c>
      <c r="H18" s="5" t="n">
        <v>7858</v>
      </c>
      <c r="I18" s="5" t="n">
        <v>211184</v>
      </c>
      <c r="J18" s="11" t="n">
        <f aca="false">IF(I18=0,0,C18/I18)</f>
        <v>0.509352034245019</v>
      </c>
      <c r="K18" s="11" t="n">
        <f aca="false">IF(I18=0,0,D18/I18)</f>
        <v>0.176661110690204</v>
      </c>
      <c r="L18" s="11" t="n">
        <f aca="false">IF(I18=0,0,E18/I18)</f>
        <v>0.276512425183726</v>
      </c>
      <c r="M18" s="11" t="n">
        <f aca="false">IF(I18=0,0,H18/I18)</f>
        <v>0.0372092582771422</v>
      </c>
      <c r="N18" s="4" t="str">
        <f aca="false">INDEX($C$3:$E$3,MATCH(MAX(C18:E18),C18:E18,0))</f>
        <v>PT-Morena-PES</v>
      </c>
      <c r="O18" s="17" t="n">
        <f aca="false">(MAX(J18:L18)-LARGE(J18:L18,2))*100</f>
        <v>23.2839609061293</v>
      </c>
    </row>
    <row r="19" customFormat="false" ht="15" hidden="false" customHeight="false" outlineLevel="0" collapsed="false">
      <c r="A19" s="4" t="s">
        <v>53</v>
      </c>
      <c r="B19" s="4" t="n">
        <v>1</v>
      </c>
      <c r="C19" s="5" t="n">
        <v>64347</v>
      </c>
      <c r="D19" s="5" t="n">
        <v>60804</v>
      </c>
      <c r="E19" s="5" t="n">
        <v>56001</v>
      </c>
      <c r="F19" s="5" t="n">
        <v>0</v>
      </c>
      <c r="G19" s="5" t="n">
        <v>44</v>
      </c>
      <c r="H19" s="5" t="n">
        <v>4831</v>
      </c>
      <c r="I19" s="5" t="n">
        <v>186027</v>
      </c>
      <c r="J19" s="11" t="n">
        <f aca="false">IF(I19=0,0,C19/I19)</f>
        <v>0.345901401409473</v>
      </c>
      <c r="K19" s="11" t="n">
        <f aca="false">IF(I19=0,0,D19/I19)</f>
        <v>0.326855778999823</v>
      </c>
      <c r="L19" s="11" t="n">
        <f aca="false">IF(I19=0,0,E19/I19)</f>
        <v>0.301036946249738</v>
      </c>
      <c r="M19" s="11" t="n">
        <f aca="false">IF(I19=0,0,H19/I19)</f>
        <v>0.0259693485354277</v>
      </c>
      <c r="N19" s="4" t="str">
        <f aca="false">INDEX($C$3:$E$3,MATCH(MAX(C19:E19),C19:E19,0))</f>
        <v>PT-Morena-PES</v>
      </c>
      <c r="O19" s="17" t="n">
        <f aca="false">(MAX(J19:L19)-LARGE(J19:L19,2))*100</f>
        <v>1.90456224096502</v>
      </c>
    </row>
    <row r="20" customFormat="false" ht="15" hidden="false" customHeight="false" outlineLevel="0" collapsed="false">
      <c r="A20" s="4" t="s">
        <v>53</v>
      </c>
      <c r="B20" s="4" t="n">
        <v>2</v>
      </c>
      <c r="C20" s="5" t="n">
        <v>75840</v>
      </c>
      <c r="D20" s="5" t="n">
        <v>48407</v>
      </c>
      <c r="E20" s="5" t="n">
        <v>66369</v>
      </c>
      <c r="F20" s="5" t="n">
        <v>0</v>
      </c>
      <c r="G20" s="5" t="n">
        <v>61</v>
      </c>
      <c r="H20" s="5" t="n">
        <v>5561</v>
      </c>
      <c r="I20" s="5" t="n">
        <v>196238</v>
      </c>
      <c r="J20" s="11" t="n">
        <f aca="false">IF(I20=0,0,C20/I20)</f>
        <v>0.38646949112812</v>
      </c>
      <c r="K20" s="11" t="n">
        <f aca="false">IF(I20=0,0,D20/I20)</f>
        <v>0.246674955920872</v>
      </c>
      <c r="L20" s="11" t="n">
        <f aca="false">IF(I20=0,0,E20/I20)</f>
        <v>0.338206667414058</v>
      </c>
      <c r="M20" s="11" t="n">
        <f aca="false">IF(I20=0,0,H20/I20)</f>
        <v>0.0283380385042652</v>
      </c>
      <c r="N20" s="4" t="str">
        <f aca="false">INDEX($C$3:$E$3,MATCH(MAX(C20:E20),C20:E20,0))</f>
        <v>PT-Morena-PES</v>
      </c>
      <c r="O20" s="17" t="n">
        <f aca="false">(MAX(J20:L20)-LARGE(J20:L20,2))*100</f>
        <v>4.82628237140616</v>
      </c>
    </row>
    <row r="21" customFormat="false" ht="15" hidden="false" customHeight="false" outlineLevel="0" collapsed="false">
      <c r="A21" s="4" t="s">
        <v>53</v>
      </c>
      <c r="B21" s="4" t="n">
        <v>3</v>
      </c>
      <c r="C21" s="5" t="n">
        <v>76900</v>
      </c>
      <c r="D21" s="5" t="n">
        <v>59367</v>
      </c>
      <c r="E21" s="5" t="n">
        <v>58020</v>
      </c>
      <c r="F21" s="5" t="n">
        <v>0</v>
      </c>
      <c r="G21" s="5" t="n">
        <v>73</v>
      </c>
      <c r="H21" s="5" t="n">
        <v>5904</v>
      </c>
      <c r="I21" s="5" t="n">
        <v>200264</v>
      </c>
      <c r="J21" s="11" t="n">
        <f aca="false">IF(I21=0,0,C21/I21)</f>
        <v>0.383993129069628</v>
      </c>
      <c r="K21" s="11" t="n">
        <f aca="false">IF(I21=0,0,D21/I21)</f>
        <v>0.296443694323493</v>
      </c>
      <c r="L21" s="11" t="n">
        <f aca="false">IF(I21=0,0,E21/I21)</f>
        <v>0.289717572803899</v>
      </c>
      <c r="M21" s="11" t="n">
        <f aca="false">IF(I21=0,0,H21/I21)</f>
        <v>0.0294810849678425</v>
      </c>
      <c r="N21" s="4" t="str">
        <f aca="false">INDEX($C$3:$E$3,MATCH(MAX(C21:E21),C21:E21,0))</f>
        <v>PT-Morena-PES</v>
      </c>
      <c r="O21" s="17" t="n">
        <f aca="false">(MAX(J21:L21)-LARGE(J21:L21,2))*100</f>
        <v>8.75494347461351</v>
      </c>
    </row>
    <row r="22" customFormat="false" ht="15" hidden="false" customHeight="false" outlineLevel="0" collapsed="false">
      <c r="A22" s="4" t="s">
        <v>53</v>
      </c>
      <c r="B22" s="4" t="n">
        <v>4</v>
      </c>
      <c r="C22" s="5" t="n">
        <v>64754</v>
      </c>
      <c r="D22" s="5" t="n">
        <v>59541</v>
      </c>
      <c r="E22" s="5" t="n">
        <v>70532</v>
      </c>
      <c r="F22" s="5" t="n">
        <v>0</v>
      </c>
      <c r="G22" s="5" t="n">
        <v>96</v>
      </c>
      <c r="H22" s="5" t="n">
        <v>5264</v>
      </c>
      <c r="I22" s="5" t="n">
        <v>200187</v>
      </c>
      <c r="J22" s="11" t="n">
        <f aca="false">IF(I22=0,0,C22/I22)</f>
        <v>0.323467557833426</v>
      </c>
      <c r="K22" s="11" t="n">
        <f aca="false">IF(I22=0,0,D22/I22)</f>
        <v>0.297426905843037</v>
      </c>
      <c r="L22" s="11" t="n">
        <f aca="false">IF(I22=0,0,E22/I22)</f>
        <v>0.352330570916193</v>
      </c>
      <c r="M22" s="11" t="n">
        <f aca="false">IF(I22=0,0,H22/I22)</f>
        <v>0.0262954137881081</v>
      </c>
      <c r="N22" s="4" t="str">
        <f aca="false">INDEX($C$3:$E$3,MATCH(MAX(C22:E22),C22:E22,0))</f>
        <v>PRI-PVEM-NA</v>
      </c>
      <c r="O22" s="17" t="n">
        <f aca="false">(MAX(J22:L22)-LARGE(J22:L22,2))*100</f>
        <v>2.88630130827676</v>
      </c>
    </row>
    <row r="23" customFormat="false" ht="15" hidden="false" customHeight="false" outlineLevel="0" collapsed="false">
      <c r="A23" s="4" t="s">
        <v>53</v>
      </c>
      <c r="B23" s="4" t="n">
        <v>5</v>
      </c>
      <c r="C23" s="5" t="n">
        <v>69778</v>
      </c>
      <c r="D23" s="5" t="n">
        <v>76243</v>
      </c>
      <c r="E23" s="5" t="n">
        <v>60396</v>
      </c>
      <c r="F23" s="5" t="n">
        <v>0</v>
      </c>
      <c r="G23" s="5" t="n">
        <v>51</v>
      </c>
      <c r="H23" s="5" t="n">
        <v>3866</v>
      </c>
      <c r="I23" s="5" t="n">
        <v>210334</v>
      </c>
      <c r="J23" s="11" t="n">
        <f aca="false">IF(I23=0,0,C23/I23)</f>
        <v>0.331748552302528</v>
      </c>
      <c r="K23" s="11" t="n">
        <f aca="false">IF(I23=0,0,D23/I23)</f>
        <v>0.362485380394991</v>
      </c>
      <c r="L23" s="11" t="n">
        <f aca="false">IF(I23=0,0,E23/I23)</f>
        <v>0.287143305409492</v>
      </c>
      <c r="M23" s="11" t="n">
        <f aca="false">IF(I23=0,0,H23/I23)</f>
        <v>0.0183802903952761</v>
      </c>
      <c r="N23" s="4" t="str">
        <f aca="false">INDEX($C$3:$E$3,MATCH(MAX(C23:E23),C23:E23,0))</f>
        <v>PAN-PRD-MC</v>
      </c>
      <c r="O23" s="17" t="n">
        <f aca="false">(MAX(J23:L23)-LARGE(J23:L23,2))*100</f>
        <v>3.07368280924625</v>
      </c>
    </row>
    <row r="24" customFormat="false" ht="15" hidden="false" customHeight="false" outlineLevel="0" collapsed="false">
      <c r="A24" s="4" t="s">
        <v>53</v>
      </c>
      <c r="B24" s="4" t="n">
        <v>6</v>
      </c>
      <c r="C24" s="5" t="n">
        <v>78339</v>
      </c>
      <c r="D24" s="5" t="n">
        <v>45723</v>
      </c>
      <c r="E24" s="5" t="n">
        <v>59458</v>
      </c>
      <c r="F24" s="5" t="n">
        <v>0</v>
      </c>
      <c r="G24" s="5" t="n">
        <v>40</v>
      </c>
      <c r="H24" s="5" t="n">
        <v>3336</v>
      </c>
      <c r="I24" s="5" t="n">
        <v>186896</v>
      </c>
      <c r="J24" s="11" t="n">
        <f aca="false">IF(I24=0,0,C24/I24)</f>
        <v>0.419158248437634</v>
      </c>
      <c r="K24" s="11" t="n">
        <f aca="false">IF(I24=0,0,D24/I24)</f>
        <v>0.244644080130126</v>
      </c>
      <c r="L24" s="11" t="n">
        <f aca="false">IF(I24=0,0,E24/I24)</f>
        <v>0.318134149473504</v>
      </c>
      <c r="M24" s="11" t="n">
        <f aca="false">IF(I24=0,0,H24/I24)</f>
        <v>0.0178494991867135</v>
      </c>
      <c r="N24" s="4" t="str">
        <f aca="false">INDEX($C$3:$E$3,MATCH(MAX(C24:E24),C24:E24,0))</f>
        <v>PT-Morena-PES</v>
      </c>
      <c r="O24" s="17" t="n">
        <f aca="false">(MAX(J24:L24)-LARGE(J24:L24,2))*100</f>
        <v>10.102409896413</v>
      </c>
    </row>
    <row r="25" customFormat="false" ht="15" hidden="false" customHeight="false" outlineLevel="0" collapsed="false">
      <c r="A25" s="4" t="s">
        <v>53</v>
      </c>
      <c r="B25" s="4" t="n">
        <v>7</v>
      </c>
      <c r="C25" s="5" t="n">
        <v>69306</v>
      </c>
      <c r="D25" s="5" t="n">
        <v>45047</v>
      </c>
      <c r="E25" s="5" t="n">
        <v>73139</v>
      </c>
      <c r="F25" s="5" t="n">
        <v>0</v>
      </c>
      <c r="G25" s="5" t="n">
        <v>69</v>
      </c>
      <c r="H25" s="5" t="n">
        <v>5796</v>
      </c>
      <c r="I25" s="5" t="n">
        <v>193357</v>
      </c>
      <c r="J25" s="11" t="n">
        <f aca="false">IF(I25=0,0,C25/I25)</f>
        <v>0.358435432903903</v>
      </c>
      <c r="K25" s="11" t="n">
        <f aca="false">IF(I25=0,0,D25/I25)</f>
        <v>0.232973205004215</v>
      </c>
      <c r="L25" s="11" t="n">
        <f aca="false">IF(I25=0,0,E25/I25)</f>
        <v>0.378258868310948</v>
      </c>
      <c r="M25" s="11" t="n">
        <f aca="false">IF(I25=0,0,H25/I25)</f>
        <v>0.0299756409129227</v>
      </c>
      <c r="N25" s="4" t="str">
        <f aca="false">INDEX($C$3:$E$3,MATCH(MAX(C25:E25),C25:E25,0))</f>
        <v>PRI-PVEM-NA</v>
      </c>
      <c r="O25" s="17" t="n">
        <f aca="false">(MAX(J25:L25)-LARGE(J25:L25,2))*100</f>
        <v>1.9823435407045</v>
      </c>
    </row>
    <row r="26" customFormat="false" ht="15" hidden="false" customHeight="false" outlineLevel="0" collapsed="false">
      <c r="A26" s="4" t="s">
        <v>54</v>
      </c>
      <c r="B26" s="4" t="n">
        <v>1</v>
      </c>
      <c r="C26" s="5" t="n">
        <v>71518</v>
      </c>
      <c r="D26" s="5" t="n">
        <v>51839</v>
      </c>
      <c r="E26" s="5" t="n">
        <v>54010</v>
      </c>
      <c r="F26" s="5" t="n">
        <v>0</v>
      </c>
      <c r="G26" s="5" t="n">
        <v>96</v>
      </c>
      <c r="H26" s="5" t="n">
        <v>6493</v>
      </c>
      <c r="I26" s="5" t="n">
        <v>183956</v>
      </c>
      <c r="J26" s="11" t="n">
        <f aca="false">IF(I26=0,0,C26/I26)</f>
        <v>0.388777751201374</v>
      </c>
      <c r="K26" s="11" t="n">
        <f aca="false">IF(I26=0,0,D26/I26)</f>
        <v>0.281801082867642</v>
      </c>
      <c r="L26" s="11" t="n">
        <f aca="false">IF(I26=0,0,E26/I26)</f>
        <v>0.29360281806519</v>
      </c>
      <c r="M26" s="11" t="n">
        <f aca="false">IF(I26=0,0,H26/I26)</f>
        <v>0.0352964839418122</v>
      </c>
      <c r="N26" s="4" t="str">
        <f aca="false">INDEX($C$3:$E$3,MATCH(MAX(C26:E26),C26:E26,0))</f>
        <v>PT-Morena-PES</v>
      </c>
      <c r="O26" s="17" t="n">
        <f aca="false">(MAX(J26:L26)-LARGE(J26:L26,2))*100</f>
        <v>9.51749331361848</v>
      </c>
    </row>
    <row r="27" customFormat="false" ht="15" hidden="false" customHeight="false" outlineLevel="0" collapsed="false">
      <c r="A27" s="4" t="s">
        <v>54</v>
      </c>
      <c r="B27" s="4" t="n">
        <v>2</v>
      </c>
      <c r="C27" s="5" t="n">
        <v>78113</v>
      </c>
      <c r="D27" s="5" t="n">
        <v>27287</v>
      </c>
      <c r="E27" s="5" t="n">
        <v>44668</v>
      </c>
      <c r="F27" s="5" t="n">
        <v>0</v>
      </c>
      <c r="G27" s="5" t="n">
        <v>99</v>
      </c>
      <c r="H27" s="5" t="n">
        <v>6108</v>
      </c>
      <c r="I27" s="5" t="n">
        <v>156275</v>
      </c>
      <c r="J27" s="11" t="n">
        <f aca="false">IF(I27=0,0,C27/I27)</f>
        <v>0.499843225083987</v>
      </c>
      <c r="K27" s="11" t="n">
        <f aca="false">IF(I27=0,0,D27/I27)</f>
        <v>0.174608862581987</v>
      </c>
      <c r="L27" s="11" t="n">
        <f aca="false">IF(I27=0,0,E27/I27)</f>
        <v>0.285829467285234</v>
      </c>
      <c r="M27" s="11" t="n">
        <f aca="false">IF(I27=0,0,H27/I27)</f>
        <v>0.0390849464085746</v>
      </c>
      <c r="N27" s="4" t="str">
        <f aca="false">INDEX($C$3:$E$3,MATCH(MAX(C27:E27),C27:E27,0))</f>
        <v>PT-Morena-PES</v>
      </c>
      <c r="O27" s="17" t="n">
        <f aca="false">(MAX(J27:L27)-LARGE(J27:L27,2))*100</f>
        <v>21.4013757798752</v>
      </c>
    </row>
    <row r="28" customFormat="false" ht="15" hidden="false" customHeight="false" outlineLevel="0" collapsed="false">
      <c r="A28" s="4" t="s">
        <v>55</v>
      </c>
      <c r="B28" s="4" t="n">
        <v>1</v>
      </c>
      <c r="C28" s="5" t="n">
        <v>88948</v>
      </c>
      <c r="D28" s="5" t="n">
        <v>13362</v>
      </c>
      <c r="E28" s="5" t="n">
        <v>54625</v>
      </c>
      <c r="F28" s="5" t="n">
        <v>4050</v>
      </c>
      <c r="G28" s="5" t="n">
        <v>41</v>
      </c>
      <c r="H28" s="5" t="n">
        <v>19295</v>
      </c>
      <c r="I28" s="5" t="n">
        <v>180321</v>
      </c>
      <c r="J28" s="11" t="n">
        <f aca="false">IF(I28=0,0,C28/I28)</f>
        <v>0.493275880235802</v>
      </c>
      <c r="K28" s="11" t="n">
        <f aca="false">IF(I28=0,0,D28/I28)</f>
        <v>0.0741011862179114</v>
      </c>
      <c r="L28" s="11" t="n">
        <f aca="false">IF(I28=0,0,E28/I28)</f>
        <v>0.30293199350048</v>
      </c>
      <c r="M28" s="11" t="n">
        <f aca="false">IF(I28=0,0,H28/I28)</f>
        <v>0.107003621319758</v>
      </c>
      <c r="N28" s="4" t="str">
        <f aca="false">INDEX($C$3:$E$3,MATCH(MAX(C28:E28),C28:E28,0))</f>
        <v>PT-Morena-PES</v>
      </c>
      <c r="O28" s="17" t="n">
        <f aca="false">(MAX(J28:L28)-LARGE(J28:L28,2))*100</f>
        <v>19.0343886735322</v>
      </c>
    </row>
    <row r="29" customFormat="false" ht="15" hidden="false" customHeight="false" outlineLevel="0" collapsed="false">
      <c r="A29" s="4" t="s">
        <v>55</v>
      </c>
      <c r="B29" s="4" t="n">
        <v>2</v>
      </c>
      <c r="C29" s="5" t="n">
        <v>56169</v>
      </c>
      <c r="D29" s="5" t="n">
        <v>21171</v>
      </c>
      <c r="E29" s="5" t="n">
        <v>77197</v>
      </c>
      <c r="F29" s="5" t="n">
        <v>4202</v>
      </c>
      <c r="G29" s="5" t="n">
        <v>134</v>
      </c>
      <c r="H29" s="5" t="n">
        <v>16779</v>
      </c>
      <c r="I29" s="5" t="n">
        <v>175652</v>
      </c>
      <c r="J29" s="11" t="n">
        <f aca="false">IF(I29=0,0,C29/I29)</f>
        <v>0.319774326509234</v>
      </c>
      <c r="K29" s="11" t="n">
        <f aca="false">IF(I29=0,0,D29/I29)</f>
        <v>0.120528089631772</v>
      </c>
      <c r="L29" s="11" t="n">
        <f aca="false">IF(I29=0,0,E29/I29)</f>
        <v>0.439488306424066</v>
      </c>
      <c r="M29" s="11" t="n">
        <f aca="false">IF(I29=0,0,H29/I29)</f>
        <v>0.0955241044793114</v>
      </c>
      <c r="N29" s="4" t="str">
        <f aca="false">INDEX($C$3:$E$3,MATCH(MAX(C29:E29),C29:E29,0))</f>
        <v>PRI-PVEM-NA</v>
      </c>
      <c r="O29" s="17" t="n">
        <f aca="false">(MAX(J29:L29)-LARGE(J29:L29,2))*100</f>
        <v>11.9713979914832</v>
      </c>
    </row>
    <row r="30" customFormat="false" ht="15" hidden="false" customHeight="false" outlineLevel="0" collapsed="false">
      <c r="A30" s="4" t="s">
        <v>55</v>
      </c>
      <c r="B30" s="4" t="n">
        <v>3</v>
      </c>
      <c r="C30" s="5" t="n">
        <v>67994</v>
      </c>
      <c r="D30" s="5" t="n">
        <v>10581</v>
      </c>
      <c r="E30" s="5" t="n">
        <v>60290</v>
      </c>
      <c r="F30" s="5" t="n">
        <v>4108</v>
      </c>
      <c r="G30" s="5" t="n">
        <v>95</v>
      </c>
      <c r="H30" s="5" t="n">
        <v>12212</v>
      </c>
      <c r="I30" s="5" t="n">
        <v>155280</v>
      </c>
      <c r="J30" s="11" t="n">
        <f aca="false">IF(I30=0,0,C30/I30)</f>
        <v>0.437879958784132</v>
      </c>
      <c r="K30" s="11" t="n">
        <f aca="false">IF(I30=0,0,D30/I30)</f>
        <v>0.0681414219474498</v>
      </c>
      <c r="L30" s="11" t="n">
        <f aca="false">IF(I30=0,0,E30/I30)</f>
        <v>0.388266357547656</v>
      </c>
      <c r="M30" s="11" t="n">
        <f aca="false">IF(I30=0,0,H30/I30)</f>
        <v>0.0786450283359093</v>
      </c>
      <c r="N30" s="4" t="str">
        <f aca="false">INDEX($C$3:$E$3,MATCH(MAX(C30:E30),C30:E30,0))</f>
        <v>PT-Morena-PES</v>
      </c>
      <c r="O30" s="17" t="n">
        <f aca="false">(MAX(J30:L30)-LARGE(J30:L30,2))*100</f>
        <v>4.9613601236476</v>
      </c>
    </row>
    <row r="31" customFormat="false" ht="15" hidden="false" customHeight="false" outlineLevel="0" collapsed="false">
      <c r="A31" s="4" t="s">
        <v>55</v>
      </c>
      <c r="B31" s="4" t="n">
        <v>4</v>
      </c>
      <c r="C31" s="5" t="n">
        <v>93842</v>
      </c>
      <c r="D31" s="5" t="n">
        <v>19403</v>
      </c>
      <c r="E31" s="5" t="n">
        <v>55392</v>
      </c>
      <c r="F31" s="5" t="n">
        <v>5149</v>
      </c>
      <c r="G31" s="5" t="n">
        <v>118</v>
      </c>
      <c r="H31" s="5" t="n">
        <v>16382</v>
      </c>
      <c r="I31" s="5" t="n">
        <v>190286</v>
      </c>
      <c r="J31" s="11" t="n">
        <f aca="false">IF(I31=0,0,C31/I31)</f>
        <v>0.493162923178794</v>
      </c>
      <c r="K31" s="11" t="n">
        <f aca="false">IF(I31=0,0,D31/I31)</f>
        <v>0.101967564613266</v>
      </c>
      <c r="L31" s="11" t="n">
        <f aca="false">IF(I31=0,0,E31/I31)</f>
        <v>0.291098662014021</v>
      </c>
      <c r="M31" s="11" t="n">
        <f aca="false">IF(I31=0,0,H31/I31)</f>
        <v>0.0860914623251316</v>
      </c>
      <c r="N31" s="4" t="str">
        <f aca="false">INDEX($C$3:$E$3,MATCH(MAX(C31:E31),C31:E31,0))</f>
        <v>PT-Morena-PES</v>
      </c>
      <c r="O31" s="17" t="n">
        <f aca="false">(MAX(J31:L31)-LARGE(J31:L31,2))*100</f>
        <v>20.2064261164773</v>
      </c>
    </row>
    <row r="32" customFormat="false" ht="15" hidden="false" customHeight="false" outlineLevel="0" collapsed="false">
      <c r="A32" s="4" t="s">
        <v>55</v>
      </c>
      <c r="B32" s="4" t="n">
        <v>5</v>
      </c>
      <c r="C32" s="5" t="n">
        <v>99582</v>
      </c>
      <c r="D32" s="5" t="n">
        <v>16951</v>
      </c>
      <c r="E32" s="5" t="n">
        <v>62314</v>
      </c>
      <c r="F32" s="5" t="n">
        <v>5652</v>
      </c>
      <c r="G32" s="5" t="n">
        <v>116</v>
      </c>
      <c r="H32" s="5" t="n">
        <v>13881</v>
      </c>
      <c r="I32" s="5" t="n">
        <v>198496</v>
      </c>
      <c r="J32" s="11" t="n">
        <f aca="false">IF(I32=0,0,C32/I32)</f>
        <v>0.501682653554732</v>
      </c>
      <c r="K32" s="11" t="n">
        <f aca="false">IF(I32=0,0,D32/I32)</f>
        <v>0.085397186845075</v>
      </c>
      <c r="L32" s="11" t="n">
        <f aca="false">IF(I32=0,0,E32/I32)</f>
        <v>0.313930759310011</v>
      </c>
      <c r="M32" s="11" t="n">
        <f aca="false">IF(I32=0,0,H32/I32)</f>
        <v>0.0699308802192487</v>
      </c>
      <c r="N32" s="4" t="str">
        <f aca="false">INDEX($C$3:$E$3,MATCH(MAX(C32:E32),C32:E32,0))</f>
        <v>PT-Morena-PES</v>
      </c>
      <c r="O32" s="17" t="n">
        <f aca="false">(MAX(J32:L32)-LARGE(J32:L32,2))*100</f>
        <v>18.775189424472</v>
      </c>
    </row>
    <row r="33" customFormat="false" ht="15" hidden="false" customHeight="false" outlineLevel="0" collapsed="false">
      <c r="A33" s="4" t="s">
        <v>55</v>
      </c>
      <c r="B33" s="4" t="n">
        <v>6</v>
      </c>
      <c r="C33" s="5" t="n">
        <v>109675</v>
      </c>
      <c r="D33" s="5" t="n">
        <v>28309</v>
      </c>
      <c r="E33" s="5" t="n">
        <v>35606</v>
      </c>
      <c r="F33" s="5" t="n">
        <v>16793</v>
      </c>
      <c r="G33" s="5" t="n">
        <v>80</v>
      </c>
      <c r="H33" s="5" t="n">
        <v>13906</v>
      </c>
      <c r="I33" s="5" t="n">
        <v>204369</v>
      </c>
      <c r="J33" s="11" t="n">
        <f aca="false">IF(I33=0,0,C33/I33)</f>
        <v>0.536651840543331</v>
      </c>
      <c r="K33" s="11" t="n">
        <f aca="false">IF(I33=0,0,D33/I33)</f>
        <v>0.138519051323831</v>
      </c>
      <c r="L33" s="11" t="n">
        <f aca="false">IF(I33=0,0,E33/I33)</f>
        <v>0.17422407507988</v>
      </c>
      <c r="M33" s="11" t="n">
        <f aca="false">IF(I33=0,0,H33/I33)</f>
        <v>0.0680435878239851</v>
      </c>
      <c r="N33" s="4" t="str">
        <f aca="false">INDEX($C$3:$E$3,MATCH(MAX(C33:E33),C33:E33,0))</f>
        <v>PT-Morena-PES</v>
      </c>
      <c r="O33" s="17" t="n">
        <f aca="false">(MAX(J33:L33)-LARGE(J33:L33,2))*100</f>
        <v>36.2427765463451</v>
      </c>
    </row>
    <row r="34" customFormat="false" ht="15" hidden="false" customHeight="false" outlineLevel="0" collapsed="false">
      <c r="A34" s="4" t="s">
        <v>55</v>
      </c>
      <c r="B34" s="4" t="n">
        <v>7</v>
      </c>
      <c r="C34" s="5" t="n">
        <v>101686</v>
      </c>
      <c r="D34" s="5" t="n">
        <v>15532</v>
      </c>
      <c r="E34" s="5" t="n">
        <v>46882</v>
      </c>
      <c r="F34" s="5" t="n">
        <v>5697</v>
      </c>
      <c r="G34" s="5" t="n">
        <v>135</v>
      </c>
      <c r="H34" s="5" t="n">
        <v>12192</v>
      </c>
      <c r="I34" s="5" t="n">
        <v>182124</v>
      </c>
      <c r="J34" s="11" t="n">
        <f aca="false">IF(I34=0,0,C34/I34)</f>
        <v>0.558333882409787</v>
      </c>
      <c r="K34" s="11" t="n">
        <f aca="false">IF(I34=0,0,D34/I34)</f>
        <v>0.0852825547429224</v>
      </c>
      <c r="L34" s="11" t="n">
        <f aca="false">IF(I34=0,0,E34/I34)</f>
        <v>0.257418022885507</v>
      </c>
      <c r="M34" s="11" t="n">
        <f aca="false">IF(I34=0,0,H34/I34)</f>
        <v>0.066943401199183</v>
      </c>
      <c r="N34" s="4" t="str">
        <f aca="false">INDEX($C$3:$E$3,MATCH(MAX(C34:E34),C34:E34,0))</f>
        <v>PT-Morena-PES</v>
      </c>
      <c r="O34" s="17" t="n">
        <f aca="false">(MAX(J34:L34)-LARGE(J34:L34,2))*100</f>
        <v>30.091585952428</v>
      </c>
    </row>
    <row r="35" customFormat="false" ht="15" hidden="false" customHeight="false" outlineLevel="0" collapsed="false">
      <c r="A35" s="4" t="s">
        <v>55</v>
      </c>
      <c r="B35" s="4" t="n">
        <v>8</v>
      </c>
      <c r="C35" s="5" t="n">
        <v>93027</v>
      </c>
      <c r="D35" s="5" t="n">
        <v>15113</v>
      </c>
      <c r="E35" s="5" t="n">
        <v>70376</v>
      </c>
      <c r="F35" s="5" t="n">
        <v>6811</v>
      </c>
      <c r="G35" s="5" t="n">
        <v>46</v>
      </c>
      <c r="H35" s="5" t="n">
        <v>19935</v>
      </c>
      <c r="I35" s="5" t="n">
        <v>205308</v>
      </c>
      <c r="J35" s="11" t="n">
        <f aca="false">IF(I35=0,0,C35/I35)</f>
        <v>0.453109474545561</v>
      </c>
      <c r="K35" s="11" t="n">
        <f aca="false">IF(I35=0,0,D35/I35)</f>
        <v>0.0736113546476513</v>
      </c>
      <c r="L35" s="11" t="n">
        <f aca="false">IF(I35=0,0,E35/I35)</f>
        <v>0.342782551093966</v>
      </c>
      <c r="M35" s="11" t="n">
        <f aca="false">IF(I35=0,0,H35/I35)</f>
        <v>0.0970980185867088</v>
      </c>
      <c r="N35" s="4" t="str">
        <f aca="false">INDEX($C$3:$E$3,MATCH(MAX(C35:E35),C35:E35,0))</f>
        <v>PT-Morena-PES</v>
      </c>
      <c r="O35" s="17" t="n">
        <f aca="false">(MAX(J35:L35)-LARGE(J35:L35,2))*100</f>
        <v>11.0326923451595</v>
      </c>
    </row>
    <row r="36" customFormat="false" ht="15" hidden="false" customHeight="false" outlineLevel="0" collapsed="false">
      <c r="A36" s="4" t="s">
        <v>55</v>
      </c>
      <c r="B36" s="4" t="n">
        <v>9</v>
      </c>
      <c r="C36" s="5" t="n">
        <v>118183</v>
      </c>
      <c r="D36" s="5" t="n">
        <v>19908</v>
      </c>
      <c r="E36" s="5" t="n">
        <v>18752</v>
      </c>
      <c r="F36" s="5" t="n">
        <v>31181</v>
      </c>
      <c r="G36" s="5" t="n">
        <v>257</v>
      </c>
      <c r="H36" s="5" t="n">
        <v>9158</v>
      </c>
      <c r="I36" s="5" t="n">
        <v>197439</v>
      </c>
      <c r="J36" s="11" t="n">
        <f aca="false">IF(I36=0,0,C36/I36)</f>
        <v>0.598579814524993</v>
      </c>
      <c r="K36" s="11" t="n">
        <f aca="false">IF(I36=0,0,D36/I36)</f>
        <v>0.100831142783341</v>
      </c>
      <c r="L36" s="11" t="n">
        <f aca="false">IF(I36=0,0,E36/I36)</f>
        <v>0.0949761698549932</v>
      </c>
      <c r="M36" s="11" t="n">
        <f aca="false">IF(I36=0,0,H36/I36)</f>
        <v>0.0463839464340885</v>
      </c>
      <c r="N36" s="4" t="str">
        <f aca="false">INDEX($C$3:$E$3,MATCH(MAX(C36:E36),C36:E36,0))</f>
        <v>PT-Morena-PES</v>
      </c>
      <c r="O36" s="17" t="n">
        <f aca="false">(MAX(J36:L36)-LARGE(J36:L36,2))*100</f>
        <v>49.7748671741652</v>
      </c>
    </row>
    <row r="37" customFormat="false" ht="15" hidden="false" customHeight="false" outlineLevel="0" collapsed="false">
      <c r="A37" s="4" t="s">
        <v>55</v>
      </c>
      <c r="B37" s="4" t="n">
        <v>10</v>
      </c>
      <c r="C37" s="5" t="n">
        <v>89756</v>
      </c>
      <c r="D37" s="5" t="n">
        <v>13153</v>
      </c>
      <c r="E37" s="5" t="n">
        <v>64527</v>
      </c>
      <c r="F37" s="5" t="n">
        <v>6701</v>
      </c>
      <c r="G37" s="5" t="n">
        <v>155</v>
      </c>
      <c r="H37" s="5" t="n">
        <v>16765</v>
      </c>
      <c r="I37" s="5" t="n">
        <v>191057</v>
      </c>
      <c r="J37" s="11" t="n">
        <f aca="false">IF(I37=0,0,C37/I37)</f>
        <v>0.46978650350419</v>
      </c>
      <c r="K37" s="11" t="n">
        <f aca="false">IF(I37=0,0,D37/I37)</f>
        <v>0.0688433294775905</v>
      </c>
      <c r="L37" s="11" t="n">
        <f aca="false">IF(I37=0,0,E37/I37)</f>
        <v>0.337736905740172</v>
      </c>
      <c r="M37" s="11" t="n">
        <f aca="false">IF(I37=0,0,H37/I37)</f>
        <v>0.087748682330404</v>
      </c>
      <c r="N37" s="4" t="str">
        <f aca="false">INDEX($C$3:$E$3,MATCH(MAX(C37:E37),C37:E37,0))</f>
        <v>PT-Morena-PES</v>
      </c>
      <c r="O37" s="17" t="n">
        <f aca="false">(MAX(J37:L37)-LARGE(J37:L37,2))*100</f>
        <v>13.2049597764018</v>
      </c>
    </row>
    <row r="38" customFormat="false" ht="15" hidden="false" customHeight="false" outlineLevel="0" collapsed="false">
      <c r="A38" s="4" t="s">
        <v>55</v>
      </c>
      <c r="B38" s="4" t="n">
        <v>11</v>
      </c>
      <c r="C38" s="5" t="n">
        <v>45333</v>
      </c>
      <c r="D38" s="5" t="n">
        <v>28308</v>
      </c>
      <c r="E38" s="5" t="n">
        <v>68886</v>
      </c>
      <c r="F38" s="5" t="n">
        <v>1757</v>
      </c>
      <c r="G38" s="5" t="n">
        <v>53</v>
      </c>
      <c r="H38" s="5" t="n">
        <v>16975</v>
      </c>
      <c r="I38" s="5" t="n">
        <v>161312</v>
      </c>
      <c r="J38" s="11" t="n">
        <f aca="false">IF(I38=0,0,C38/I38)</f>
        <v>0.281026829994049</v>
      </c>
      <c r="K38" s="11" t="n">
        <f aca="false">IF(I38=0,0,D38/I38)</f>
        <v>0.175486014679627</v>
      </c>
      <c r="L38" s="11" t="n">
        <f aca="false">IF(I38=0,0,E38/I38)</f>
        <v>0.427035806387622</v>
      </c>
      <c r="M38" s="11" t="n">
        <f aca="false">IF(I38=0,0,H38/I38)</f>
        <v>0.105230856972823</v>
      </c>
      <c r="N38" s="4" t="str">
        <f aca="false">INDEX($C$3:$E$3,MATCH(MAX(C38:E38),C38:E38,0))</f>
        <v>PRI-PVEM-NA</v>
      </c>
      <c r="O38" s="17" t="n">
        <f aca="false">(MAX(J38:L38)-LARGE(J38:L38,2))*100</f>
        <v>14.6008976393573</v>
      </c>
    </row>
    <row r="39" customFormat="false" ht="15" hidden="false" customHeight="false" outlineLevel="0" collapsed="false">
      <c r="A39" s="4" t="s">
        <v>55</v>
      </c>
      <c r="B39" s="4" t="n">
        <v>12</v>
      </c>
      <c r="C39" s="5" t="n">
        <v>119947</v>
      </c>
      <c r="D39" s="5" t="n">
        <v>19600</v>
      </c>
      <c r="E39" s="5" t="n">
        <v>36416</v>
      </c>
      <c r="F39" s="5" t="n">
        <v>4002</v>
      </c>
      <c r="G39" s="5" t="n">
        <v>86</v>
      </c>
      <c r="H39" s="5" t="n">
        <v>10755</v>
      </c>
      <c r="I39" s="5" t="n">
        <v>190806</v>
      </c>
      <c r="J39" s="11" t="n">
        <f aca="false">IF(I39=0,0,C39/I39)</f>
        <v>0.628633271490414</v>
      </c>
      <c r="K39" s="11" t="n">
        <f aca="false">IF(I39=0,0,D39/I39)</f>
        <v>0.102722136620442</v>
      </c>
      <c r="L39" s="11" t="n">
        <f aca="false">IF(I39=0,0,E39/I39)</f>
        <v>0.19085353710051</v>
      </c>
      <c r="M39" s="11" t="n">
        <f aca="false">IF(I39=0,0,H39/I39)</f>
        <v>0.0563661520077985</v>
      </c>
      <c r="N39" s="4" t="str">
        <f aca="false">INDEX($C$3:$E$3,MATCH(MAX(C39:E39),C39:E39,0))</f>
        <v>PT-Morena-PES</v>
      </c>
      <c r="O39" s="17" t="n">
        <f aca="false">(MAX(J39:L39)-LARGE(J39:L39,2))*100</f>
        <v>43.7779734389904</v>
      </c>
    </row>
    <row r="40" customFormat="false" ht="15" hidden="false" customHeight="false" outlineLevel="0" collapsed="false">
      <c r="A40" s="4" t="s">
        <v>55</v>
      </c>
      <c r="B40" s="4" t="n">
        <v>13</v>
      </c>
      <c r="C40" s="5" t="n">
        <v>82481</v>
      </c>
      <c r="D40" s="5" t="n">
        <v>18320</v>
      </c>
      <c r="E40" s="5" t="n">
        <v>57582</v>
      </c>
      <c r="F40" s="5" t="n">
        <v>2288</v>
      </c>
      <c r="G40" s="5" t="n">
        <v>90</v>
      </c>
      <c r="H40" s="5" t="n">
        <v>17655</v>
      </c>
      <c r="I40" s="5" t="n">
        <v>178416</v>
      </c>
      <c r="J40" s="11" t="n">
        <f aca="false">IF(I40=0,0,C40/I40)</f>
        <v>0.462295982423101</v>
      </c>
      <c r="K40" s="11" t="n">
        <f aca="false">IF(I40=0,0,D40/I40)</f>
        <v>0.102681373867815</v>
      </c>
      <c r="L40" s="11" t="n">
        <f aca="false">IF(I40=0,0,E40/I40)</f>
        <v>0.32274011299435</v>
      </c>
      <c r="M40" s="11" t="n">
        <f aca="false">IF(I40=0,0,H40/I40)</f>
        <v>0.0989541296744687</v>
      </c>
      <c r="N40" s="4" t="str">
        <f aca="false">INDEX($C$3:$E$3,MATCH(MAX(C40:E40),C40:E40,0))</f>
        <v>PT-Morena-PES</v>
      </c>
      <c r="O40" s="17" t="n">
        <f aca="false">(MAX(J40:L40)-LARGE(J40:L40,2))*100</f>
        <v>13.9555869428751</v>
      </c>
    </row>
    <row r="41" customFormat="false" ht="15" hidden="false" customHeight="false" outlineLevel="0" collapsed="false">
      <c r="A41" s="4" t="s">
        <v>56</v>
      </c>
      <c r="B41" s="4" t="n">
        <v>1</v>
      </c>
      <c r="C41" s="5" t="n">
        <v>82955</v>
      </c>
      <c r="D41" s="5" t="n">
        <v>25030</v>
      </c>
      <c r="E41" s="5" t="n">
        <v>31392</v>
      </c>
      <c r="F41" s="5" t="n">
        <v>0</v>
      </c>
      <c r="G41" s="5" t="n">
        <v>158</v>
      </c>
      <c r="H41" s="5" t="n">
        <v>6129</v>
      </c>
      <c r="I41" s="5" t="n">
        <v>145664</v>
      </c>
      <c r="J41" s="11" t="n">
        <f aca="false">IF(I41=0,0,C41/I41)</f>
        <v>0.569495551405975</v>
      </c>
      <c r="K41" s="11" t="n">
        <f aca="false">IF(I41=0,0,D41/I41)</f>
        <v>0.171833809314587</v>
      </c>
      <c r="L41" s="11" t="n">
        <f aca="false">IF(I41=0,0,E41/I41)</f>
        <v>0.215509666080844</v>
      </c>
      <c r="M41" s="11" t="n">
        <f aca="false">IF(I41=0,0,H41/I41)</f>
        <v>0.0420762851493849</v>
      </c>
      <c r="N41" s="4" t="str">
        <f aca="false">INDEX($C$3:$E$3,MATCH(MAX(C41:E41),C41:E41,0))</f>
        <v>PT-Morena-PES</v>
      </c>
      <c r="O41" s="17" t="n">
        <f aca="false">(MAX(J41:L41)-LARGE(J41:L41,2))*100</f>
        <v>35.3985885325132</v>
      </c>
    </row>
    <row r="42" customFormat="false" ht="15" hidden="false" customHeight="false" outlineLevel="0" collapsed="false">
      <c r="A42" s="4" t="s">
        <v>56</v>
      </c>
      <c r="B42" s="4" t="n">
        <v>2</v>
      </c>
      <c r="C42" s="5" t="n">
        <v>61932</v>
      </c>
      <c r="D42" s="5" t="n">
        <v>37181</v>
      </c>
      <c r="E42" s="5" t="n">
        <v>37041</v>
      </c>
      <c r="F42" s="5" t="n">
        <v>0</v>
      </c>
      <c r="G42" s="5" t="n">
        <v>168</v>
      </c>
      <c r="H42" s="5" t="n">
        <v>8231</v>
      </c>
      <c r="I42" s="5" t="n">
        <v>144553</v>
      </c>
      <c r="J42" s="11" t="n">
        <f aca="false">IF(I42=0,0,C42/I42)</f>
        <v>0.42843801235533</v>
      </c>
      <c r="K42" s="11" t="n">
        <f aca="false">IF(I42=0,0,D42/I42)</f>
        <v>0.257213617150803</v>
      </c>
      <c r="L42" s="11" t="n">
        <f aca="false">IF(I42=0,0,E42/I42)</f>
        <v>0.256245114248753</v>
      </c>
      <c r="M42" s="11" t="n">
        <f aca="false">IF(I42=0,0,H42/I42)</f>
        <v>0.0569410527626545</v>
      </c>
      <c r="N42" s="4" t="str">
        <f aca="false">INDEX($C$3:$E$3,MATCH(MAX(C42:E42),C42:E42,0))</f>
        <v>PT-Morena-PES</v>
      </c>
      <c r="O42" s="17" t="n">
        <f aca="false">(MAX(J42:L42)-LARGE(J42:L42,2))*100</f>
        <v>17.1224395204527</v>
      </c>
    </row>
    <row r="43" customFormat="false" ht="15" hidden="false" customHeight="false" outlineLevel="0" collapsed="false">
      <c r="A43" s="4" t="s">
        <v>56</v>
      </c>
      <c r="B43" s="4" t="n">
        <v>3</v>
      </c>
      <c r="C43" s="5" t="n">
        <v>62362</v>
      </c>
      <c r="D43" s="5" t="n">
        <v>23993</v>
      </c>
      <c r="E43" s="5" t="n">
        <v>33742</v>
      </c>
      <c r="F43" s="5" t="n">
        <v>0</v>
      </c>
      <c r="G43" s="5" t="n">
        <v>299</v>
      </c>
      <c r="H43" s="5" t="n">
        <v>7175</v>
      </c>
      <c r="I43" s="5" t="n">
        <v>127571</v>
      </c>
      <c r="J43" s="11" t="n">
        <f aca="false">IF(I43=0,0,C43/I43)</f>
        <v>0.488841507866208</v>
      </c>
      <c r="K43" s="11" t="n">
        <f aca="false">IF(I43=0,0,D43/I43)</f>
        <v>0.188075659828644</v>
      </c>
      <c r="L43" s="11" t="n">
        <f aca="false">IF(I43=0,0,E43/I43)</f>
        <v>0.264495849370155</v>
      </c>
      <c r="M43" s="11" t="n">
        <f aca="false">IF(I43=0,0,H43/I43)</f>
        <v>0.056243190066708</v>
      </c>
      <c r="N43" s="4" t="str">
        <f aca="false">INDEX($C$3:$E$3,MATCH(MAX(C43:E43),C43:E43,0))</f>
        <v>PT-Morena-PES</v>
      </c>
      <c r="O43" s="17" t="n">
        <f aca="false">(MAX(J43:L43)-LARGE(J43:L43,2))*100</f>
        <v>22.4345658496053</v>
      </c>
    </row>
    <row r="44" customFormat="false" ht="15" hidden="false" customHeight="false" outlineLevel="0" collapsed="false">
      <c r="A44" s="4" t="s">
        <v>56</v>
      </c>
      <c r="B44" s="4" t="n">
        <v>4</v>
      </c>
      <c r="C44" s="5" t="n">
        <v>75058</v>
      </c>
      <c r="D44" s="5" t="n">
        <v>52947</v>
      </c>
      <c r="E44" s="5" t="n">
        <v>44074</v>
      </c>
      <c r="F44" s="5" t="n">
        <v>0</v>
      </c>
      <c r="G44" s="5" t="n">
        <v>200</v>
      </c>
      <c r="H44" s="5" t="n">
        <v>7794</v>
      </c>
      <c r="I44" s="5" t="n">
        <v>180073</v>
      </c>
      <c r="J44" s="11" t="n">
        <f aca="false">IF(I44=0,0,C44/I44)</f>
        <v>0.416819845284968</v>
      </c>
      <c r="K44" s="11" t="n">
        <f aca="false">IF(I44=0,0,D44/I44)</f>
        <v>0.294030754194132</v>
      </c>
      <c r="L44" s="11" t="n">
        <f aca="false">IF(I44=0,0,E44/I44)</f>
        <v>0.244756293281058</v>
      </c>
      <c r="M44" s="11" t="n">
        <f aca="false">IF(I44=0,0,H44/I44)</f>
        <v>0.0432824465633382</v>
      </c>
      <c r="N44" s="4" t="str">
        <f aca="false">INDEX($C$3:$E$3,MATCH(MAX(C44:E44),C44:E44,0))</f>
        <v>PT-Morena-PES</v>
      </c>
      <c r="O44" s="17" t="n">
        <f aca="false">(MAX(J44:L44)-LARGE(J44:L44,2))*100</f>
        <v>12.2789091090835</v>
      </c>
    </row>
    <row r="45" customFormat="false" ht="15" hidden="false" customHeight="false" outlineLevel="0" collapsed="false">
      <c r="A45" s="4" t="s">
        <v>56</v>
      </c>
      <c r="B45" s="4" t="n">
        <v>5</v>
      </c>
      <c r="C45" s="5" t="n">
        <v>56137</v>
      </c>
      <c r="D45" s="5" t="n">
        <v>58455</v>
      </c>
      <c r="E45" s="5" t="n">
        <v>63370</v>
      </c>
      <c r="F45" s="5" t="n">
        <v>0</v>
      </c>
      <c r="G45" s="5" t="n">
        <v>46</v>
      </c>
      <c r="H45" s="5" t="n">
        <v>8073</v>
      </c>
      <c r="I45" s="5" t="n">
        <v>186081</v>
      </c>
      <c r="J45" s="11" t="n">
        <f aca="false">IF(I45=0,0,C45/I45)</f>
        <v>0.301680450986398</v>
      </c>
      <c r="K45" s="11" t="n">
        <f aca="false">IF(I45=0,0,D45/I45)</f>
        <v>0.314137391780999</v>
      </c>
      <c r="L45" s="11" t="n">
        <f aca="false">IF(I45=0,0,E45/I45)</f>
        <v>0.340550620428738</v>
      </c>
      <c r="M45" s="11" t="n">
        <f aca="false">IF(I45=0,0,H45/I45)</f>
        <v>0.0433843326293388</v>
      </c>
      <c r="N45" s="4" t="str">
        <f aca="false">INDEX($C$3:$E$3,MATCH(MAX(C45:E45),C45:E45,0))</f>
        <v>PRI-PVEM-NA</v>
      </c>
      <c r="O45" s="17" t="n">
        <f aca="false">(MAX(J45:L45)-LARGE(J45:L45,2))*100</f>
        <v>2.64132286477394</v>
      </c>
    </row>
    <row r="46" customFormat="false" ht="15" hidden="false" customHeight="false" outlineLevel="0" collapsed="false">
      <c r="A46" s="4" t="s">
        <v>56</v>
      </c>
      <c r="B46" s="4" t="n">
        <v>6</v>
      </c>
      <c r="C46" s="5" t="n">
        <v>56276</v>
      </c>
      <c r="D46" s="5" t="n">
        <v>94146</v>
      </c>
      <c r="E46" s="5" t="n">
        <v>60208</v>
      </c>
      <c r="F46" s="5" t="n">
        <v>0</v>
      </c>
      <c r="G46" s="5" t="n">
        <v>129</v>
      </c>
      <c r="H46" s="5" t="n">
        <v>7096</v>
      </c>
      <c r="I46" s="5" t="n">
        <v>217855</v>
      </c>
      <c r="J46" s="11" t="n">
        <f aca="false">IF(I46=0,0,C46/I46)</f>
        <v>0.258318606412522</v>
      </c>
      <c r="K46" s="11" t="n">
        <f aca="false">IF(I46=0,0,D46/I46)</f>
        <v>0.432149824424503</v>
      </c>
      <c r="L46" s="11" t="n">
        <f aca="false">IF(I46=0,0,E46/I46)</f>
        <v>0.276367308530904</v>
      </c>
      <c r="M46" s="11" t="n">
        <f aca="false">IF(I46=0,0,H46/I46)</f>
        <v>0.0325721236602327</v>
      </c>
      <c r="N46" s="4" t="str">
        <f aca="false">INDEX($C$3:$E$3,MATCH(MAX(C46:E46),C46:E46,0))</f>
        <v>PAN-PRD-MC</v>
      </c>
      <c r="O46" s="17" t="n">
        <f aca="false">(MAX(J46:L46)-LARGE(J46:L46,2))*100</f>
        <v>15.5782515893599</v>
      </c>
    </row>
    <row r="47" customFormat="false" ht="15" hidden="false" customHeight="false" outlineLevel="0" collapsed="false">
      <c r="A47" s="4" t="s">
        <v>56</v>
      </c>
      <c r="B47" s="4" t="n">
        <v>7</v>
      </c>
      <c r="C47" s="5" t="n">
        <v>56346</v>
      </c>
      <c r="D47" s="5" t="n">
        <v>46266</v>
      </c>
      <c r="E47" s="5" t="n">
        <v>43399</v>
      </c>
      <c r="F47" s="5" t="n">
        <v>0</v>
      </c>
      <c r="G47" s="5" t="n">
        <v>60</v>
      </c>
      <c r="H47" s="5" t="n">
        <v>10007</v>
      </c>
      <c r="I47" s="5" t="n">
        <v>156078</v>
      </c>
      <c r="J47" s="11" t="n">
        <f aca="false">IF(I47=0,0,C47/I47)</f>
        <v>0.361011801791412</v>
      </c>
      <c r="K47" s="11" t="n">
        <f aca="false">IF(I47=0,0,D47/I47)</f>
        <v>0.296428708722562</v>
      </c>
      <c r="L47" s="11" t="n">
        <f aca="false">IF(I47=0,0,E47/I47)</f>
        <v>0.278059688104666</v>
      </c>
      <c r="M47" s="11" t="n">
        <f aca="false">IF(I47=0,0,H47/I47)</f>
        <v>0.0641153782083317</v>
      </c>
      <c r="N47" s="4" t="str">
        <f aca="false">INDEX($C$3:$E$3,MATCH(MAX(C47:E47),C47:E47,0))</f>
        <v>PT-Morena-PES</v>
      </c>
      <c r="O47" s="17" t="n">
        <f aca="false">(MAX(J47:L47)-LARGE(J47:L47,2))*100</f>
        <v>6.45830930688502</v>
      </c>
    </row>
    <row r="48" customFormat="false" ht="15" hidden="false" customHeight="false" outlineLevel="0" collapsed="false">
      <c r="A48" s="4" t="s">
        <v>56</v>
      </c>
      <c r="B48" s="4" t="n">
        <v>8</v>
      </c>
      <c r="C48" s="5" t="n">
        <v>58799</v>
      </c>
      <c r="D48" s="5" t="n">
        <v>65020</v>
      </c>
      <c r="E48" s="5" t="n">
        <v>51726</v>
      </c>
      <c r="F48" s="5" t="n">
        <v>0</v>
      </c>
      <c r="G48" s="5" t="n">
        <v>132</v>
      </c>
      <c r="H48" s="5" t="n">
        <v>7085</v>
      </c>
      <c r="I48" s="5" t="n">
        <v>182762</v>
      </c>
      <c r="J48" s="11" t="n">
        <f aca="false">IF(I48=0,0,C48/I48)</f>
        <v>0.3217244284917</v>
      </c>
      <c r="K48" s="11" t="n">
        <f aca="false">IF(I48=0,0,D48/I48)</f>
        <v>0.3557632330572</v>
      </c>
      <c r="L48" s="11" t="n">
        <f aca="false">IF(I48=0,0,E48/I48)</f>
        <v>0.283023823333078</v>
      </c>
      <c r="M48" s="11" t="n">
        <f aca="false">IF(I48=0,0,H48/I48)</f>
        <v>0.038766264321905</v>
      </c>
      <c r="N48" s="4" t="str">
        <f aca="false">INDEX($C$3:$E$3,MATCH(MAX(C48:E48),C48:E48,0))</f>
        <v>PAN-PRD-MC</v>
      </c>
      <c r="O48" s="17" t="n">
        <f aca="false">(MAX(J48:L48)-LARGE(J48:L48,2))*100</f>
        <v>3.40388045655005</v>
      </c>
    </row>
    <row r="49" customFormat="false" ht="15" hidden="false" customHeight="false" outlineLevel="0" collapsed="false">
      <c r="A49" s="4" t="s">
        <v>56</v>
      </c>
      <c r="B49" s="4" t="n">
        <v>9</v>
      </c>
      <c r="C49" s="5" t="n">
        <v>33387</v>
      </c>
      <c r="D49" s="5" t="n">
        <v>47342</v>
      </c>
      <c r="E49" s="5" t="n">
        <v>63109</v>
      </c>
      <c r="F49" s="5" t="n">
        <v>0</v>
      </c>
      <c r="G49" s="5" t="n">
        <v>78</v>
      </c>
      <c r="H49" s="5" t="n">
        <v>11951</v>
      </c>
      <c r="I49" s="5" t="n">
        <v>155867</v>
      </c>
      <c r="J49" s="11" t="n">
        <f aca="false">IF(I49=0,0,C49/I49)</f>
        <v>0.214201851578589</v>
      </c>
      <c r="K49" s="11" t="n">
        <f aca="false">IF(I49=0,0,D49/I49)</f>
        <v>0.303733311092149</v>
      </c>
      <c r="L49" s="11" t="n">
        <f aca="false">IF(I49=0,0,E49/I49)</f>
        <v>0.404890066531081</v>
      </c>
      <c r="M49" s="11" t="n">
        <f aca="false">IF(I49=0,0,H49/I49)</f>
        <v>0.0766743441523863</v>
      </c>
      <c r="N49" s="4" t="str">
        <f aca="false">INDEX($C$3:$E$3,MATCH(MAX(C49:E49),C49:E49,0))</f>
        <v>PRI-PVEM-NA</v>
      </c>
      <c r="O49" s="17" t="n">
        <f aca="false">(MAX(J49:L49)-LARGE(J49:L49,2))*100</f>
        <v>10.1156755438932</v>
      </c>
    </row>
    <row r="50" customFormat="false" ht="15" hidden="false" customHeight="false" outlineLevel="0" collapsed="false">
      <c r="A50" s="4" t="s">
        <v>57</v>
      </c>
      <c r="B50" s="4" t="n">
        <v>1</v>
      </c>
      <c r="C50" s="5" t="n">
        <v>127015</v>
      </c>
      <c r="D50" s="5" t="n">
        <v>49145</v>
      </c>
      <c r="E50" s="5" t="n">
        <v>27158</v>
      </c>
      <c r="F50" s="5" t="n">
        <v>0</v>
      </c>
      <c r="G50" s="5" t="n">
        <v>155</v>
      </c>
      <c r="H50" s="5" t="n">
        <v>7854</v>
      </c>
      <c r="I50" s="5" t="n">
        <v>211327</v>
      </c>
      <c r="J50" s="11" t="n">
        <f aca="false">IF(I50=0,0,C50/I50)</f>
        <v>0.60103536225849</v>
      </c>
      <c r="K50" s="11" t="n">
        <f aca="false">IF(I50=0,0,D50/I50)</f>
        <v>0.232554287904527</v>
      </c>
      <c r="L50" s="11" t="n">
        <f aca="false">IF(I50=0,0,E50/I50)</f>
        <v>0.128511737733465</v>
      </c>
      <c r="M50" s="11" t="n">
        <f aca="false">IF(I50=0,0,H50/I50)</f>
        <v>0.0371651516370364</v>
      </c>
      <c r="N50" s="4" t="str">
        <f aca="false">INDEX($C$3:$E$3,MATCH(MAX(C50:E50),C50:E50,0))</f>
        <v>PT-Morena-PES</v>
      </c>
      <c r="O50" s="17" t="n">
        <f aca="false">(MAX(J50:L50)-LARGE(J50:L50,2))*100</f>
        <v>36.8481074353963</v>
      </c>
    </row>
    <row r="51" customFormat="false" ht="15" hidden="false" customHeight="false" outlineLevel="0" collapsed="false">
      <c r="A51" s="4" t="s">
        <v>57</v>
      </c>
      <c r="B51" s="4" t="n">
        <v>2</v>
      </c>
      <c r="C51" s="5" t="n">
        <v>130710</v>
      </c>
      <c r="D51" s="5" t="n">
        <v>74864</v>
      </c>
      <c r="E51" s="5" t="n">
        <v>45146</v>
      </c>
      <c r="F51" s="5" t="n">
        <v>0</v>
      </c>
      <c r="G51" s="5" t="n">
        <v>208</v>
      </c>
      <c r="H51" s="5" t="n">
        <v>9509</v>
      </c>
      <c r="I51" s="5" t="n">
        <v>260437</v>
      </c>
      <c r="J51" s="11" t="n">
        <f aca="false">IF(I51=0,0,C51/I51)</f>
        <v>0.501887212646437</v>
      </c>
      <c r="K51" s="11" t="n">
        <f aca="false">IF(I51=0,0,D51/I51)</f>
        <v>0.287455315488967</v>
      </c>
      <c r="L51" s="11" t="n">
        <f aca="false">IF(I51=0,0,E51/I51)</f>
        <v>0.173347105058037</v>
      </c>
      <c r="M51" s="11" t="n">
        <f aca="false">IF(I51=0,0,H51/I51)</f>
        <v>0.0365117091657483</v>
      </c>
      <c r="N51" s="4" t="str">
        <f aca="false">INDEX($C$3:$E$3,MATCH(MAX(C51:E51),C51:E51,0))</f>
        <v>PT-Morena-PES</v>
      </c>
      <c r="O51" s="17" t="n">
        <f aca="false">(MAX(J51:L51)-LARGE(J51:L51,2))*100</f>
        <v>21.443189715747</v>
      </c>
    </row>
    <row r="52" customFormat="false" ht="15" hidden="false" customHeight="false" outlineLevel="0" collapsed="false">
      <c r="A52" s="4" t="s">
        <v>57</v>
      </c>
      <c r="B52" s="4" t="n">
        <v>3</v>
      </c>
      <c r="C52" s="5" t="n">
        <v>143903</v>
      </c>
      <c r="D52" s="5" t="n">
        <v>75268</v>
      </c>
      <c r="E52" s="5" t="n">
        <v>44681</v>
      </c>
      <c r="F52" s="5" t="n">
        <v>0</v>
      </c>
      <c r="G52" s="5" t="n">
        <v>265</v>
      </c>
      <c r="H52" s="5" t="n">
        <v>9946</v>
      </c>
      <c r="I52" s="5" t="n">
        <v>274063</v>
      </c>
      <c r="J52" s="11" t="n">
        <f aca="false">IF(I52=0,0,C52/I52)</f>
        <v>0.525072702261889</v>
      </c>
      <c r="K52" s="11" t="n">
        <f aca="false">IF(I52=0,0,D52/I52)</f>
        <v>0.274637583329381</v>
      </c>
      <c r="L52" s="11" t="n">
        <f aca="false">IF(I52=0,0,E52/I52)</f>
        <v>0.163031857638572</v>
      </c>
      <c r="M52" s="11" t="n">
        <f aca="false">IF(I52=0,0,H52/I52)</f>
        <v>0.0362909258090293</v>
      </c>
      <c r="N52" s="4" t="str">
        <f aca="false">INDEX($C$3:$E$3,MATCH(MAX(C52:E52),C52:E52,0))</f>
        <v>PT-Morena-PES</v>
      </c>
      <c r="O52" s="17" t="n">
        <f aca="false">(MAX(J52:L52)-LARGE(J52:L52,2))*100</f>
        <v>25.0435118932508</v>
      </c>
    </row>
    <row r="53" customFormat="false" ht="15" hidden="false" customHeight="false" outlineLevel="0" collapsed="false">
      <c r="A53" s="4" t="s">
        <v>57</v>
      </c>
      <c r="B53" s="4" t="n">
        <v>4</v>
      </c>
      <c r="C53" s="5" t="n">
        <v>113508</v>
      </c>
      <c r="D53" s="5" t="n">
        <v>49418</v>
      </c>
      <c r="E53" s="5" t="n">
        <v>23974</v>
      </c>
      <c r="F53" s="5" t="n">
        <v>0</v>
      </c>
      <c r="G53" s="5" t="n">
        <v>118</v>
      </c>
      <c r="H53" s="5" t="n">
        <v>7443</v>
      </c>
      <c r="I53" s="5" t="n">
        <v>194461</v>
      </c>
      <c r="J53" s="11" t="n">
        <f aca="false">IF(I53=0,0,C53/I53)</f>
        <v>0.583705730197829</v>
      </c>
      <c r="K53" s="11" t="n">
        <f aca="false">IF(I53=0,0,D53/I53)</f>
        <v>0.25412807709515</v>
      </c>
      <c r="L53" s="11" t="n">
        <f aca="false">IF(I53=0,0,E53/I53)</f>
        <v>0.123284360360175</v>
      </c>
      <c r="M53" s="11" t="n">
        <f aca="false">IF(I53=0,0,H53/I53)</f>
        <v>0.0382750268691409</v>
      </c>
      <c r="N53" s="4" t="str">
        <f aca="false">INDEX($C$3:$E$3,MATCH(MAX(C53:E53),C53:E53,0))</f>
        <v>PT-Morena-PES</v>
      </c>
      <c r="O53" s="17" t="n">
        <f aca="false">(MAX(J53:L53)-LARGE(J53:L53,2))*100</f>
        <v>32.9577653102679</v>
      </c>
    </row>
    <row r="54" customFormat="false" ht="15" hidden="false" customHeight="false" outlineLevel="0" collapsed="false">
      <c r="A54" s="4" t="s">
        <v>57</v>
      </c>
      <c r="B54" s="4" t="n">
        <v>5</v>
      </c>
      <c r="C54" s="5" t="n">
        <v>97221</v>
      </c>
      <c r="D54" s="5" t="n">
        <v>54569</v>
      </c>
      <c r="E54" s="5" t="n">
        <v>32245</v>
      </c>
      <c r="F54" s="5" t="n">
        <v>0</v>
      </c>
      <c r="G54" s="5" t="n">
        <v>154</v>
      </c>
      <c r="H54" s="5" t="n">
        <v>7759</v>
      </c>
      <c r="I54" s="5" t="n">
        <v>191948</v>
      </c>
      <c r="J54" s="11" t="n">
        <f aca="false">IF(I54=0,0,C54/I54)</f>
        <v>0.50649655114927</v>
      </c>
      <c r="K54" s="11" t="n">
        <f aca="false">IF(I54=0,0,D54/I54)</f>
        <v>0.284290537020443</v>
      </c>
      <c r="L54" s="11" t="n">
        <f aca="false">IF(I54=0,0,E54/I54)</f>
        <v>0.167988205138892</v>
      </c>
      <c r="M54" s="11" t="n">
        <f aca="false">IF(I54=0,0,H54/I54)</f>
        <v>0.0404224060683102</v>
      </c>
      <c r="N54" s="4" t="str">
        <f aca="false">INDEX($C$3:$E$3,MATCH(MAX(C54:E54),C54:E54,0))</f>
        <v>PT-Morena-PES</v>
      </c>
      <c r="O54" s="17" t="n">
        <f aca="false">(MAX(J54:L54)-LARGE(J54:L54,2))*100</f>
        <v>22.2206014128827</v>
      </c>
    </row>
    <row r="55" customFormat="false" ht="15" hidden="false" customHeight="false" outlineLevel="0" collapsed="false">
      <c r="A55" s="4" t="s">
        <v>57</v>
      </c>
      <c r="B55" s="4" t="n">
        <v>6</v>
      </c>
      <c r="C55" s="5" t="n">
        <v>108084</v>
      </c>
      <c r="D55" s="5" t="n">
        <v>67099</v>
      </c>
      <c r="E55" s="5" t="n">
        <v>43259</v>
      </c>
      <c r="F55" s="5" t="n">
        <v>0</v>
      </c>
      <c r="G55" s="5" t="n">
        <v>158</v>
      </c>
      <c r="H55" s="5" t="n">
        <v>8466</v>
      </c>
      <c r="I55" s="5" t="n">
        <v>227066</v>
      </c>
      <c r="J55" s="11" t="n">
        <f aca="false">IF(I55=0,0,C55/I55)</f>
        <v>0.476002571939436</v>
      </c>
      <c r="K55" s="11" t="n">
        <f aca="false">IF(I55=0,0,D55/I55)</f>
        <v>0.295504390793866</v>
      </c>
      <c r="L55" s="11" t="n">
        <f aca="false">IF(I55=0,0,E55/I55)</f>
        <v>0.190512890525222</v>
      </c>
      <c r="M55" s="11" t="n">
        <f aca="false">IF(I55=0,0,H55/I55)</f>
        <v>0.0372843138118433</v>
      </c>
      <c r="N55" s="4" t="str">
        <f aca="false">INDEX($C$3:$E$3,MATCH(MAX(C55:E55),C55:E55,0))</f>
        <v>PT-Morena-PES</v>
      </c>
      <c r="O55" s="17" t="n">
        <f aca="false">(MAX(J55:L55)-LARGE(J55:L55,2))*100</f>
        <v>18.049818114557</v>
      </c>
    </row>
    <row r="56" customFormat="false" ht="15" hidden="false" customHeight="false" outlineLevel="0" collapsed="false">
      <c r="A56" s="4" t="s">
        <v>57</v>
      </c>
      <c r="B56" s="4" t="n">
        <v>7</v>
      </c>
      <c r="C56" s="5" t="n">
        <v>141889</v>
      </c>
      <c r="D56" s="5" t="n">
        <v>70783</v>
      </c>
      <c r="E56" s="5" t="n">
        <v>40172</v>
      </c>
      <c r="F56" s="5" t="n">
        <v>0</v>
      </c>
      <c r="G56" s="5" t="n">
        <v>218</v>
      </c>
      <c r="H56" s="5" t="n">
        <v>9652</v>
      </c>
      <c r="I56" s="5" t="n">
        <v>262714</v>
      </c>
      <c r="J56" s="11" t="n">
        <f aca="false">IF(I56=0,0,C56/I56)</f>
        <v>0.540089222500514</v>
      </c>
      <c r="K56" s="11" t="n">
        <f aca="false">IF(I56=0,0,D56/I56)</f>
        <v>0.269429874311989</v>
      </c>
      <c r="L56" s="11" t="n">
        <f aca="false">IF(I56=0,0,E56/I56)</f>
        <v>0.152911531170779</v>
      </c>
      <c r="M56" s="11" t="n">
        <f aca="false">IF(I56=0,0,H56/I56)</f>
        <v>0.0367395723105735</v>
      </c>
      <c r="N56" s="4" t="str">
        <f aca="false">INDEX($C$3:$E$3,MATCH(MAX(C56:E56),C56:E56,0))</f>
        <v>PT-Morena-PES</v>
      </c>
      <c r="O56" s="17" t="n">
        <f aca="false">(MAX(J56:L56)-LARGE(J56:L56,2))*100</f>
        <v>27.0659348188524</v>
      </c>
    </row>
    <row r="57" customFormat="false" ht="15" hidden="false" customHeight="false" outlineLevel="0" collapsed="false">
      <c r="A57" s="4" t="s">
        <v>57</v>
      </c>
      <c r="B57" s="4" t="n">
        <v>8</v>
      </c>
      <c r="C57" s="5" t="n">
        <v>98382</v>
      </c>
      <c r="D57" s="5" t="n">
        <v>47189</v>
      </c>
      <c r="E57" s="5" t="n">
        <v>34999</v>
      </c>
      <c r="F57" s="5" t="n">
        <v>0</v>
      </c>
      <c r="G57" s="5" t="n">
        <v>206</v>
      </c>
      <c r="H57" s="5" t="n">
        <v>7616</v>
      </c>
      <c r="I57" s="5" t="n">
        <v>188392</v>
      </c>
      <c r="J57" s="11" t="n">
        <f aca="false">IF(I57=0,0,C57/I57)</f>
        <v>0.522219627160389</v>
      </c>
      <c r="K57" s="11" t="n">
        <f aca="false">IF(I57=0,0,D57/I57)</f>
        <v>0.250483035373052</v>
      </c>
      <c r="L57" s="11" t="n">
        <f aca="false">IF(I57=0,0,E57/I57)</f>
        <v>0.185777527708183</v>
      </c>
      <c r="M57" s="11" t="n">
        <f aca="false">IF(I57=0,0,H57/I57)</f>
        <v>0.0404263450677311</v>
      </c>
      <c r="N57" s="4" t="str">
        <f aca="false">INDEX($C$3:$E$3,MATCH(MAX(C57:E57),C57:E57,0))</f>
        <v>PT-Morena-PES</v>
      </c>
      <c r="O57" s="17" t="n">
        <f aca="false">(MAX(J57:L57)-LARGE(J57:L57,2))*100</f>
        <v>27.1736591787337</v>
      </c>
    </row>
    <row r="58" customFormat="false" ht="15" hidden="false" customHeight="false" outlineLevel="0" collapsed="false">
      <c r="A58" s="4" t="s">
        <v>57</v>
      </c>
      <c r="B58" s="4" t="n">
        <v>9</v>
      </c>
      <c r="C58" s="5" t="n">
        <v>116632</v>
      </c>
      <c r="D58" s="5" t="n">
        <v>37612</v>
      </c>
      <c r="E58" s="5" t="n">
        <v>35471</v>
      </c>
      <c r="F58" s="5" t="n">
        <v>0</v>
      </c>
      <c r="G58" s="5" t="n">
        <v>132</v>
      </c>
      <c r="H58" s="5" t="n">
        <v>8859</v>
      </c>
      <c r="I58" s="5" t="n">
        <v>198706</v>
      </c>
      <c r="J58" s="11" t="n">
        <f aca="false">IF(I58=0,0,C58/I58)</f>
        <v>0.586957615774058</v>
      </c>
      <c r="K58" s="11" t="n">
        <f aca="false">IF(I58=0,0,D58/I58)</f>
        <v>0.189284671826719</v>
      </c>
      <c r="L58" s="11" t="n">
        <f aca="false">IF(I58=0,0,E58/I58)</f>
        <v>0.178509959437561</v>
      </c>
      <c r="M58" s="11" t="n">
        <f aca="false">IF(I58=0,0,H58/I58)</f>
        <v>0.0445834549535495</v>
      </c>
      <c r="N58" s="4" t="str">
        <f aca="false">INDEX($C$3:$E$3,MATCH(MAX(C58:E58),C58:E58,0))</f>
        <v>PT-Morena-PES</v>
      </c>
      <c r="O58" s="17" t="n">
        <f aca="false">(MAX(J58:L58)-LARGE(J58:L58,2))*100</f>
        <v>39.7672943947339</v>
      </c>
    </row>
    <row r="59" customFormat="false" ht="15" hidden="false" customHeight="false" outlineLevel="0" collapsed="false">
      <c r="A59" s="4" t="s">
        <v>57</v>
      </c>
      <c r="B59" s="4" t="n">
        <v>10</v>
      </c>
      <c r="C59" s="5" t="n">
        <v>94358</v>
      </c>
      <c r="D59" s="5" t="n">
        <v>82636</v>
      </c>
      <c r="E59" s="5" t="n">
        <v>40589</v>
      </c>
      <c r="F59" s="5" t="n">
        <v>0</v>
      </c>
      <c r="G59" s="5" t="n">
        <v>204</v>
      </c>
      <c r="H59" s="5" t="n">
        <v>7603</v>
      </c>
      <c r="I59" s="5" t="n">
        <v>225390</v>
      </c>
      <c r="J59" s="11" t="n">
        <f aca="false">IF(I59=0,0,C59/I59)</f>
        <v>0.418643240605173</v>
      </c>
      <c r="K59" s="11" t="n">
        <f aca="false">IF(I59=0,0,D59/I59)</f>
        <v>0.366635609388172</v>
      </c>
      <c r="L59" s="11" t="n">
        <f aca="false">IF(I59=0,0,E59/I59)</f>
        <v>0.18008341097653</v>
      </c>
      <c r="M59" s="11" t="n">
        <f aca="false">IF(I59=0,0,H59/I59)</f>
        <v>0.0337326411996983</v>
      </c>
      <c r="N59" s="4" t="str">
        <f aca="false">INDEX($C$3:$E$3,MATCH(MAX(C59:E59),C59:E59,0))</f>
        <v>PT-Morena-PES</v>
      </c>
      <c r="O59" s="17" t="n">
        <f aca="false">(MAX(J59:L59)-LARGE(J59:L59,2))*100</f>
        <v>5.20076312170016</v>
      </c>
    </row>
    <row r="60" customFormat="false" ht="15" hidden="false" customHeight="false" outlineLevel="0" collapsed="false">
      <c r="A60" s="4" t="s">
        <v>57</v>
      </c>
      <c r="B60" s="4" t="n">
        <v>11</v>
      </c>
      <c r="C60" s="5" t="n">
        <v>105864</v>
      </c>
      <c r="D60" s="5" t="n">
        <v>71143</v>
      </c>
      <c r="E60" s="5" t="n">
        <v>33068</v>
      </c>
      <c r="F60" s="5" t="n">
        <v>0</v>
      </c>
      <c r="G60" s="5" t="n">
        <v>157</v>
      </c>
      <c r="H60" s="5" t="n">
        <v>8152</v>
      </c>
      <c r="I60" s="5" t="n">
        <v>218384</v>
      </c>
      <c r="J60" s="11" t="n">
        <f aca="false">IF(I60=0,0,C60/I60)</f>
        <v>0.484760788336142</v>
      </c>
      <c r="K60" s="11" t="n">
        <f aca="false">IF(I60=0,0,D60/I60)</f>
        <v>0.325770202945271</v>
      </c>
      <c r="L60" s="11" t="n">
        <f aca="false">IF(I60=0,0,E60/I60)</f>
        <v>0.151421349549418</v>
      </c>
      <c r="M60" s="11" t="n">
        <f aca="false">IF(I60=0,0,H60/I60)</f>
        <v>0.0373287420323833</v>
      </c>
      <c r="N60" s="4" t="str">
        <f aca="false">INDEX($C$3:$E$3,MATCH(MAX(C60:E60),C60:E60,0))</f>
        <v>PT-Morena-PES</v>
      </c>
      <c r="O60" s="17" t="n">
        <f aca="false">(MAX(J60:L60)-LARGE(J60:L60,2))*100</f>
        <v>15.8990585390871</v>
      </c>
    </row>
    <row r="61" customFormat="false" ht="15" hidden="false" customHeight="false" outlineLevel="0" collapsed="false">
      <c r="A61" s="4" t="s">
        <v>57</v>
      </c>
      <c r="B61" s="4" t="n">
        <v>12</v>
      </c>
      <c r="C61" s="5" t="n">
        <v>100326</v>
      </c>
      <c r="D61" s="5" t="n">
        <v>54697</v>
      </c>
      <c r="E61" s="5" t="n">
        <v>38627</v>
      </c>
      <c r="F61" s="5" t="n">
        <v>0</v>
      </c>
      <c r="G61" s="5" t="n">
        <v>251</v>
      </c>
      <c r="H61" s="5" t="n">
        <v>7404</v>
      </c>
      <c r="I61" s="5" t="n">
        <v>201305</v>
      </c>
      <c r="J61" s="11" t="n">
        <f aca="false">IF(I61=0,0,C61/I61)</f>
        <v>0.49837808300837</v>
      </c>
      <c r="K61" s="11" t="n">
        <f aca="false">IF(I61=0,0,D61/I61)</f>
        <v>0.27171207868657</v>
      </c>
      <c r="L61" s="11" t="n">
        <f aca="false">IF(I61=0,0,E61/I61)</f>
        <v>0.191882963662105</v>
      </c>
      <c r="M61" s="11" t="n">
        <f aca="false">IF(I61=0,0,H61/I61)</f>
        <v>0.0367800104319316</v>
      </c>
      <c r="N61" s="4" t="str">
        <f aca="false">INDEX($C$3:$E$3,MATCH(MAX(C61:E61),C61:E61,0))</f>
        <v>PT-Morena-PES</v>
      </c>
      <c r="O61" s="17" t="n">
        <f aca="false">(MAX(J61:L61)-LARGE(J61:L61,2))*100</f>
        <v>22.66660043218</v>
      </c>
    </row>
    <row r="62" customFormat="false" ht="15" hidden="false" customHeight="false" outlineLevel="0" collapsed="false">
      <c r="A62" s="4" t="s">
        <v>57</v>
      </c>
      <c r="B62" s="4" t="n">
        <v>13</v>
      </c>
      <c r="C62" s="5" t="n">
        <v>135955</v>
      </c>
      <c r="D62" s="5" t="n">
        <v>72716</v>
      </c>
      <c r="E62" s="5" t="n">
        <v>38149</v>
      </c>
      <c r="F62" s="5" t="n">
        <v>0</v>
      </c>
      <c r="G62" s="5" t="n">
        <v>181</v>
      </c>
      <c r="H62" s="5" t="n">
        <v>9259</v>
      </c>
      <c r="I62" s="5" t="n">
        <v>256260</v>
      </c>
      <c r="J62" s="11" t="n">
        <f aca="false">IF(I62=0,0,C62/I62)</f>
        <v>0.530535393740732</v>
      </c>
      <c r="K62" s="11" t="n">
        <f aca="false">IF(I62=0,0,D62/I62)</f>
        <v>0.283758682587997</v>
      </c>
      <c r="L62" s="11" t="n">
        <f aca="false">IF(I62=0,0,E62/I62)</f>
        <v>0.148868336845391</v>
      </c>
      <c r="M62" s="11" t="n">
        <f aca="false">IF(I62=0,0,H62/I62)</f>
        <v>0.0361312729259346</v>
      </c>
      <c r="N62" s="4" t="str">
        <f aca="false">INDEX($C$3:$E$3,MATCH(MAX(C62:E62),C62:E62,0))</f>
        <v>PT-Morena-PES</v>
      </c>
      <c r="O62" s="17" t="n">
        <f aca="false">(MAX(J62:L62)-LARGE(J62:L62,2))*100</f>
        <v>24.6776711152736</v>
      </c>
    </row>
    <row r="63" customFormat="false" ht="15" hidden="false" customHeight="false" outlineLevel="0" collapsed="false">
      <c r="A63" s="4" t="s">
        <v>57</v>
      </c>
      <c r="B63" s="4" t="n">
        <v>14</v>
      </c>
      <c r="C63" s="5" t="n">
        <v>106875</v>
      </c>
      <c r="D63" s="5" t="n">
        <v>47592</v>
      </c>
      <c r="E63" s="5" t="n">
        <v>29205</v>
      </c>
      <c r="F63" s="5" t="n">
        <v>0</v>
      </c>
      <c r="G63" s="5" t="n">
        <v>189</v>
      </c>
      <c r="H63" s="5" t="n">
        <v>7226</v>
      </c>
      <c r="I63" s="5" t="n">
        <v>191087</v>
      </c>
      <c r="J63" s="11" t="n">
        <f aca="false">IF(I63=0,0,C63/I63)</f>
        <v>0.559300214038632</v>
      </c>
      <c r="K63" s="11" t="n">
        <f aca="false">IF(I63=0,0,D63/I63)</f>
        <v>0.24905932899674</v>
      </c>
      <c r="L63" s="11" t="n">
        <f aca="false">IF(I63=0,0,E63/I63)</f>
        <v>0.152836142699399</v>
      </c>
      <c r="M63" s="11" t="n">
        <f aca="false">IF(I63=0,0,H63/I63)</f>
        <v>0.0378152359919827</v>
      </c>
      <c r="N63" s="4" t="str">
        <f aca="false">INDEX($C$3:$E$3,MATCH(MAX(C63:E63),C63:E63,0))</f>
        <v>PT-Morena-PES</v>
      </c>
      <c r="O63" s="17" t="n">
        <f aca="false">(MAX(J63:L63)-LARGE(J63:L63,2))*100</f>
        <v>31.0240885041892</v>
      </c>
    </row>
    <row r="64" customFormat="false" ht="15" hidden="false" customHeight="false" outlineLevel="0" collapsed="false">
      <c r="A64" s="4" t="s">
        <v>57</v>
      </c>
      <c r="B64" s="4" t="n">
        <v>15</v>
      </c>
      <c r="C64" s="5" t="n">
        <v>98933</v>
      </c>
      <c r="D64" s="5" t="n">
        <v>115689</v>
      </c>
      <c r="E64" s="5" t="n">
        <v>50216</v>
      </c>
      <c r="F64" s="5" t="n">
        <v>0</v>
      </c>
      <c r="G64" s="5" t="n">
        <v>296</v>
      </c>
      <c r="H64" s="5" t="n">
        <v>8653</v>
      </c>
      <c r="I64" s="5" t="n">
        <v>273787</v>
      </c>
      <c r="J64" s="11" t="n">
        <f aca="false">IF(I64=0,0,C64/I64)</f>
        <v>0.361350246724644</v>
      </c>
      <c r="K64" s="11" t="n">
        <f aca="false">IF(I64=0,0,D64/I64)</f>
        <v>0.422551107247605</v>
      </c>
      <c r="L64" s="11" t="n">
        <f aca="false">IF(I64=0,0,E64/I64)</f>
        <v>0.183412652901708</v>
      </c>
      <c r="M64" s="11" t="n">
        <f aca="false">IF(I64=0,0,H64/I64)</f>
        <v>0.03160486071289</v>
      </c>
      <c r="N64" s="4" t="str">
        <f aca="false">INDEX($C$3:$E$3,MATCH(MAX(C64:E64),C64:E64,0))</f>
        <v>PAN-PRD-MC</v>
      </c>
      <c r="O64" s="17" t="n">
        <f aca="false">(MAX(J64:L64)-LARGE(J64:L64,2))*100</f>
        <v>6.12008605229613</v>
      </c>
    </row>
    <row r="65" customFormat="false" ht="15" hidden="false" customHeight="false" outlineLevel="0" collapsed="false">
      <c r="A65" s="4" t="s">
        <v>57</v>
      </c>
      <c r="B65" s="4" t="n">
        <v>16</v>
      </c>
      <c r="C65" s="5" t="n">
        <v>114524</v>
      </c>
      <c r="D65" s="5" t="n">
        <v>73212</v>
      </c>
      <c r="E65" s="5" t="n">
        <v>34426</v>
      </c>
      <c r="F65" s="5" t="n">
        <v>0</v>
      </c>
      <c r="G65" s="5" t="n">
        <v>194</v>
      </c>
      <c r="H65" s="5" t="n">
        <v>9091</v>
      </c>
      <c r="I65" s="5" t="n">
        <v>231447</v>
      </c>
      <c r="J65" s="11" t="n">
        <f aca="false">IF(I65=0,0,C65/I65)</f>
        <v>0.494817387998116</v>
      </c>
      <c r="K65" s="11" t="n">
        <f aca="false">IF(I65=0,0,D65/I65)</f>
        <v>0.316322959468042</v>
      </c>
      <c r="L65" s="11" t="n">
        <f aca="false">IF(I65=0,0,E65/I65)</f>
        <v>0.148742476679326</v>
      </c>
      <c r="M65" s="11" t="n">
        <f aca="false">IF(I65=0,0,H65/I65)</f>
        <v>0.0392789709955195</v>
      </c>
      <c r="N65" s="4" t="str">
        <f aca="false">INDEX($C$3:$E$3,MATCH(MAX(C65:E65),C65:E65,0))</f>
        <v>PT-Morena-PES</v>
      </c>
      <c r="O65" s="17" t="n">
        <f aca="false">(MAX(J65:L65)-LARGE(J65:L65,2))*100</f>
        <v>17.8494428530074</v>
      </c>
    </row>
    <row r="66" customFormat="false" ht="15" hidden="false" customHeight="false" outlineLevel="0" collapsed="false">
      <c r="A66" s="4" t="s">
        <v>57</v>
      </c>
      <c r="B66" s="4" t="n">
        <v>17</v>
      </c>
      <c r="C66" s="5" t="n">
        <v>100499</v>
      </c>
      <c r="D66" s="5" t="n">
        <v>75383</v>
      </c>
      <c r="E66" s="5" t="n">
        <v>44310</v>
      </c>
      <c r="F66" s="5" t="n">
        <v>0</v>
      </c>
      <c r="G66" s="5" t="n">
        <v>97</v>
      </c>
      <c r="H66" s="5" t="n">
        <v>8609</v>
      </c>
      <c r="I66" s="5" t="n">
        <v>228898</v>
      </c>
      <c r="J66" s="11" t="n">
        <f aca="false">IF(I66=0,0,C66/I66)</f>
        <v>0.439055823991472</v>
      </c>
      <c r="K66" s="11" t="n">
        <f aca="false">IF(I66=0,0,D66/I66)</f>
        <v>0.329330094627301</v>
      </c>
      <c r="L66" s="11" t="n">
        <f aca="false">IF(I66=0,0,E66/I66)</f>
        <v>0.193579673042141</v>
      </c>
      <c r="M66" s="11" t="n">
        <f aca="false">IF(I66=0,0,H66/I66)</f>
        <v>0.0376106387998148</v>
      </c>
      <c r="N66" s="4" t="str">
        <f aca="false">INDEX($C$3:$E$3,MATCH(MAX(C66:E66),C66:E66,0))</f>
        <v>PT-Morena-PES</v>
      </c>
      <c r="O66" s="17" t="n">
        <f aca="false">(MAX(J66:L66)-LARGE(J66:L66,2))*100</f>
        <v>10.9725729364171</v>
      </c>
    </row>
    <row r="67" customFormat="false" ht="15" hidden="false" customHeight="false" outlineLevel="0" collapsed="false">
      <c r="A67" s="4" t="s">
        <v>57</v>
      </c>
      <c r="B67" s="4" t="n">
        <v>18</v>
      </c>
      <c r="C67" s="5" t="n">
        <v>120644</v>
      </c>
      <c r="D67" s="5" t="n">
        <v>67948</v>
      </c>
      <c r="E67" s="5" t="n">
        <v>34860</v>
      </c>
      <c r="F67" s="5" t="n">
        <v>0</v>
      </c>
      <c r="G67" s="5" t="n">
        <v>241</v>
      </c>
      <c r="H67" s="5" t="n">
        <v>9126</v>
      </c>
      <c r="I67" s="5" t="n">
        <v>232819</v>
      </c>
      <c r="J67" s="11" t="n">
        <f aca="false">IF(I67=0,0,C67/I67)</f>
        <v>0.51818794857808</v>
      </c>
      <c r="K67" s="11" t="n">
        <f aca="false">IF(I67=0,0,D67/I67)</f>
        <v>0.291849032939752</v>
      </c>
      <c r="L67" s="11" t="n">
        <f aca="false">IF(I67=0,0,E67/I67)</f>
        <v>0.149730047805377</v>
      </c>
      <c r="M67" s="11" t="n">
        <f aca="false">IF(I67=0,0,H67/I67)</f>
        <v>0.0391978317920788</v>
      </c>
      <c r="N67" s="4" t="str">
        <f aca="false">INDEX($C$3:$E$3,MATCH(MAX(C67:E67),C67:E67,0))</f>
        <v>PT-Morena-PES</v>
      </c>
      <c r="O67" s="17" t="n">
        <f aca="false">(MAX(J67:L67)-LARGE(J67:L67,2))*100</f>
        <v>22.6338915638328</v>
      </c>
    </row>
    <row r="68" customFormat="false" ht="15" hidden="false" customHeight="false" outlineLevel="0" collapsed="false">
      <c r="A68" s="4" t="s">
        <v>57</v>
      </c>
      <c r="B68" s="4" t="n">
        <v>19</v>
      </c>
      <c r="C68" s="5" t="n">
        <v>122388</v>
      </c>
      <c r="D68" s="5" t="n">
        <v>55606</v>
      </c>
      <c r="E68" s="5" t="n">
        <v>28685</v>
      </c>
      <c r="F68" s="5" t="n">
        <v>0</v>
      </c>
      <c r="G68" s="5" t="n">
        <v>198</v>
      </c>
      <c r="H68" s="5" t="n">
        <v>8419</v>
      </c>
      <c r="I68" s="5" t="n">
        <v>215296</v>
      </c>
      <c r="J68" s="11" t="n">
        <f aca="false">IF(I68=0,0,C68/I68)</f>
        <v>0.568463882282996</v>
      </c>
      <c r="K68" s="11" t="n">
        <f aca="false">IF(I68=0,0,D68/I68)</f>
        <v>0.258276976813317</v>
      </c>
      <c r="L68" s="11" t="n">
        <f aca="false">IF(I68=0,0,E68/I68)</f>
        <v>0.133235173900119</v>
      </c>
      <c r="M68" s="11" t="n">
        <f aca="false">IF(I68=0,0,H68/I68)</f>
        <v>0.0391043029131986</v>
      </c>
      <c r="N68" s="4" t="str">
        <f aca="false">INDEX($C$3:$E$3,MATCH(MAX(C68:E68),C68:E68,0))</f>
        <v>PT-Morena-PES</v>
      </c>
      <c r="O68" s="17" t="n">
        <f aca="false">(MAX(J68:L68)-LARGE(J68:L68,2))*100</f>
        <v>31.0186905469679</v>
      </c>
    </row>
    <row r="69" customFormat="false" ht="15" hidden="false" customHeight="false" outlineLevel="0" collapsed="false">
      <c r="A69" s="4" t="s">
        <v>57</v>
      </c>
      <c r="B69" s="4" t="n">
        <v>20</v>
      </c>
      <c r="C69" s="5" t="n">
        <v>114282</v>
      </c>
      <c r="D69" s="5" t="n">
        <v>52887</v>
      </c>
      <c r="E69" s="5" t="n">
        <v>25732</v>
      </c>
      <c r="F69" s="5" t="n">
        <v>0</v>
      </c>
      <c r="G69" s="5" t="n">
        <v>111</v>
      </c>
      <c r="H69" s="5" t="n">
        <v>7851</v>
      </c>
      <c r="I69" s="5" t="n">
        <v>200863</v>
      </c>
      <c r="J69" s="11" t="n">
        <f aca="false">IF(I69=0,0,C69/I69)</f>
        <v>0.568954959350403</v>
      </c>
      <c r="K69" s="11" t="n">
        <f aca="false">IF(I69=0,0,D69/I69)</f>
        <v>0.263298865395817</v>
      </c>
      <c r="L69" s="11" t="n">
        <f aca="false">IF(I69=0,0,E69/I69)</f>
        <v>0.128107217357104</v>
      </c>
      <c r="M69" s="11" t="n">
        <f aca="false">IF(I69=0,0,H69/I69)</f>
        <v>0.0390863424324042</v>
      </c>
      <c r="N69" s="4" t="str">
        <f aca="false">INDEX($C$3:$E$3,MATCH(MAX(C69:E69),C69:E69,0))</f>
        <v>PT-Morena-PES</v>
      </c>
      <c r="O69" s="17" t="n">
        <f aca="false">(MAX(J69:L69)-LARGE(J69:L69,2))*100</f>
        <v>30.5656093954586</v>
      </c>
    </row>
    <row r="70" customFormat="false" ht="15" hidden="false" customHeight="false" outlineLevel="0" collapsed="false">
      <c r="A70" s="4" t="s">
        <v>57</v>
      </c>
      <c r="B70" s="4" t="n">
        <v>21</v>
      </c>
      <c r="C70" s="5" t="n">
        <v>121684</v>
      </c>
      <c r="D70" s="5" t="n">
        <v>38724</v>
      </c>
      <c r="E70" s="5" t="n">
        <v>34438</v>
      </c>
      <c r="F70" s="5" t="n">
        <v>0</v>
      </c>
      <c r="G70" s="5" t="n">
        <v>165</v>
      </c>
      <c r="H70" s="5" t="n">
        <v>10082</v>
      </c>
      <c r="I70" s="5" t="n">
        <v>205093</v>
      </c>
      <c r="J70" s="11" t="n">
        <f aca="false">IF(I70=0,0,C70/I70)</f>
        <v>0.593311327056506</v>
      </c>
      <c r="K70" s="11" t="n">
        <f aca="false">IF(I70=0,0,D70/I70)</f>
        <v>0.188811904843169</v>
      </c>
      <c r="L70" s="11" t="n">
        <f aca="false">IF(I70=0,0,E70/I70)</f>
        <v>0.167914068251964</v>
      </c>
      <c r="M70" s="11" t="n">
        <f aca="false">IF(I70=0,0,H70/I70)</f>
        <v>0.0491581867738051</v>
      </c>
      <c r="N70" s="4" t="str">
        <f aca="false">INDEX($C$3:$E$3,MATCH(MAX(C70:E70),C70:E70,0))</f>
        <v>PT-Morena-PES</v>
      </c>
      <c r="O70" s="17" t="n">
        <f aca="false">(MAX(J70:L70)-LARGE(J70:L70,2))*100</f>
        <v>40.4499422213337</v>
      </c>
    </row>
    <row r="71" customFormat="false" ht="15" hidden="false" customHeight="false" outlineLevel="0" collapsed="false">
      <c r="A71" s="4" t="s">
        <v>57</v>
      </c>
      <c r="B71" s="4" t="n">
        <v>22</v>
      </c>
      <c r="C71" s="5" t="n">
        <v>113004</v>
      </c>
      <c r="D71" s="5" t="n">
        <v>49109</v>
      </c>
      <c r="E71" s="5" t="n">
        <v>19222</v>
      </c>
      <c r="F71" s="5" t="n">
        <v>0</v>
      </c>
      <c r="G71" s="5" t="n">
        <v>115</v>
      </c>
      <c r="H71" s="5" t="n">
        <v>7653</v>
      </c>
      <c r="I71" s="5" t="n">
        <v>189103</v>
      </c>
      <c r="J71" s="11" t="n">
        <f aca="false">IF(I71=0,0,C71/I71)</f>
        <v>0.59757909710581</v>
      </c>
      <c r="K71" s="11" t="n">
        <f aca="false">IF(I71=0,0,D71/I71)</f>
        <v>0.259694452229737</v>
      </c>
      <c r="L71" s="11" t="n">
        <f aca="false">IF(I71=0,0,E71/I71)</f>
        <v>0.101648308064917</v>
      </c>
      <c r="M71" s="11" t="n">
        <f aca="false">IF(I71=0,0,H71/I71)</f>
        <v>0.0404700084081162</v>
      </c>
      <c r="N71" s="4" t="str">
        <f aca="false">INDEX($C$3:$E$3,MATCH(MAX(C71:E71),C71:E71,0))</f>
        <v>PT-Morena-PES</v>
      </c>
      <c r="O71" s="17" t="n">
        <f aca="false">(MAX(J71:L71)-LARGE(J71:L71,2))*100</f>
        <v>33.7884644876073</v>
      </c>
    </row>
    <row r="72" customFormat="false" ht="15" hidden="false" customHeight="false" outlineLevel="0" collapsed="false">
      <c r="A72" s="4" t="s">
        <v>57</v>
      </c>
      <c r="B72" s="4" t="n">
        <v>23</v>
      </c>
      <c r="C72" s="5" t="n">
        <v>127144</v>
      </c>
      <c r="D72" s="5" t="n">
        <v>88658</v>
      </c>
      <c r="E72" s="5" t="n">
        <v>37398</v>
      </c>
      <c r="F72" s="5" t="n">
        <v>0</v>
      </c>
      <c r="G72" s="5" t="n">
        <v>199</v>
      </c>
      <c r="H72" s="5" t="n">
        <v>9648</v>
      </c>
      <c r="I72" s="5" t="n">
        <v>263047</v>
      </c>
      <c r="J72" s="11" t="n">
        <f aca="false">IF(I72=0,0,C72/I72)</f>
        <v>0.483350884062544</v>
      </c>
      <c r="K72" s="11" t="n">
        <f aca="false">IF(I72=0,0,D72/I72)</f>
        <v>0.337042429679867</v>
      </c>
      <c r="L72" s="11" t="n">
        <f aca="false">IF(I72=0,0,E72/I72)</f>
        <v>0.142172311412029</v>
      </c>
      <c r="M72" s="11" t="n">
        <f aca="false">IF(I72=0,0,H72/I72)</f>
        <v>0.0366778560485389</v>
      </c>
      <c r="N72" s="4" t="str">
        <f aca="false">INDEX($C$3:$E$3,MATCH(MAX(C72:E72),C72:E72,0))</f>
        <v>PT-Morena-PES</v>
      </c>
      <c r="O72" s="17" t="n">
        <f aca="false">(MAX(J72:L72)-LARGE(J72:L72,2))*100</f>
        <v>14.6308454382677</v>
      </c>
    </row>
    <row r="73" customFormat="false" ht="15" hidden="false" customHeight="false" outlineLevel="0" collapsed="false">
      <c r="A73" s="4" t="s">
        <v>57</v>
      </c>
      <c r="B73" s="4" t="n">
        <v>24</v>
      </c>
      <c r="C73" s="5" t="n">
        <v>110894</v>
      </c>
      <c r="D73" s="5" t="n">
        <v>80883</v>
      </c>
      <c r="E73" s="5" t="n">
        <v>43364</v>
      </c>
      <c r="F73" s="5" t="n">
        <v>0</v>
      </c>
      <c r="G73" s="5" t="n">
        <v>295</v>
      </c>
      <c r="H73" s="5" t="n">
        <v>9494</v>
      </c>
      <c r="I73" s="5" t="n">
        <v>244930</v>
      </c>
      <c r="J73" s="11" t="n">
        <f aca="false">IF(I73=0,0,C73/I73)</f>
        <v>0.452757930837382</v>
      </c>
      <c r="K73" s="11" t="n">
        <f aca="false">IF(I73=0,0,D73/I73)</f>
        <v>0.330229045033275</v>
      </c>
      <c r="L73" s="11" t="n">
        <f aca="false">IF(I73=0,0,E73/I73)</f>
        <v>0.177046503082513</v>
      </c>
      <c r="M73" s="11" t="n">
        <f aca="false">IF(I73=0,0,H73/I73)</f>
        <v>0.0387620952925326</v>
      </c>
      <c r="N73" s="4" t="str">
        <f aca="false">INDEX($C$3:$E$3,MATCH(MAX(C73:E73),C73:E73,0))</f>
        <v>PT-Morena-PES</v>
      </c>
      <c r="O73" s="17" t="n">
        <f aca="false">(MAX(J73:L73)-LARGE(J73:L73,2))*100</f>
        <v>12.2528885804107</v>
      </c>
    </row>
    <row r="74" customFormat="false" ht="15" hidden="false" customHeight="false" outlineLevel="0" collapsed="false">
      <c r="A74" s="4" t="s">
        <v>58</v>
      </c>
      <c r="B74" s="4" t="n">
        <v>1</v>
      </c>
      <c r="C74" s="5" t="n">
        <v>60445</v>
      </c>
      <c r="D74" s="5" t="n">
        <v>52998</v>
      </c>
      <c r="E74" s="5" t="n">
        <v>53998</v>
      </c>
      <c r="F74" s="5" t="n">
        <v>0</v>
      </c>
      <c r="G74" s="5" t="n">
        <v>75</v>
      </c>
      <c r="H74" s="5" t="n">
        <v>7091</v>
      </c>
      <c r="I74" s="5" t="n">
        <v>174607</v>
      </c>
      <c r="J74" s="11" t="n">
        <f aca="false">IF(I74=0,0,C74/I74)</f>
        <v>0.346177415567532</v>
      </c>
      <c r="K74" s="11" t="n">
        <f aca="false">IF(I74=0,0,D74/I74)</f>
        <v>0.303527349991696</v>
      </c>
      <c r="L74" s="11" t="n">
        <f aca="false">IF(I74=0,0,E74/I74)</f>
        <v>0.309254497242379</v>
      </c>
      <c r="M74" s="11" t="n">
        <f aca="false">IF(I74=0,0,H74/I74)</f>
        <v>0.0406112011545929</v>
      </c>
      <c r="N74" s="4" t="str">
        <f aca="false">INDEX($C$3:$E$3,MATCH(MAX(C74:E74),C74:E74,0))</f>
        <v>PT-Morena-PES</v>
      </c>
      <c r="O74" s="17" t="n">
        <f aca="false">(MAX(J74:L74)-LARGE(J74:L74,2))*100</f>
        <v>3.69229183251531</v>
      </c>
    </row>
    <row r="75" customFormat="false" ht="15" hidden="false" customHeight="false" outlineLevel="0" collapsed="false">
      <c r="A75" s="4" t="s">
        <v>58</v>
      </c>
      <c r="B75" s="4" t="n">
        <v>2</v>
      </c>
      <c r="C75" s="5" t="n">
        <v>85561</v>
      </c>
      <c r="D75" s="5" t="n">
        <v>46141</v>
      </c>
      <c r="E75" s="5" t="n">
        <v>50741</v>
      </c>
      <c r="F75" s="5" t="n">
        <v>0</v>
      </c>
      <c r="G75" s="5" t="n">
        <v>56</v>
      </c>
      <c r="H75" s="5" t="n">
        <v>5675</v>
      </c>
      <c r="I75" s="5" t="n">
        <v>188174</v>
      </c>
      <c r="J75" s="11" t="n">
        <f aca="false">IF(I75=0,0,C75/I75)</f>
        <v>0.454690871214939</v>
      </c>
      <c r="K75" s="11" t="n">
        <f aca="false">IF(I75=0,0,D75/I75)</f>
        <v>0.245203907022224</v>
      </c>
      <c r="L75" s="11" t="n">
        <f aca="false">IF(I75=0,0,E75/I75)</f>
        <v>0.269649367075154</v>
      </c>
      <c r="M75" s="11" t="n">
        <f aca="false">IF(I75=0,0,H75/I75)</f>
        <v>0.0301582577826905</v>
      </c>
      <c r="N75" s="4" t="str">
        <f aca="false">INDEX($C$3:$E$3,MATCH(MAX(C75:E75),C75:E75,0))</f>
        <v>PT-Morena-PES</v>
      </c>
      <c r="O75" s="17" t="n">
        <f aca="false">(MAX(J75:L75)-LARGE(J75:L75,2))*100</f>
        <v>18.5041504139786</v>
      </c>
    </row>
    <row r="76" customFormat="false" ht="15" hidden="false" customHeight="false" outlineLevel="0" collapsed="false">
      <c r="A76" s="4" t="s">
        <v>58</v>
      </c>
      <c r="B76" s="4" t="n">
        <v>3</v>
      </c>
      <c r="C76" s="5" t="n">
        <v>71004</v>
      </c>
      <c r="D76" s="5" t="n">
        <v>50640</v>
      </c>
      <c r="E76" s="5" t="n">
        <v>51089</v>
      </c>
      <c r="F76" s="5" t="n">
        <v>0</v>
      </c>
      <c r="G76" s="5" t="n">
        <v>54</v>
      </c>
      <c r="H76" s="5" t="n">
        <v>6977</v>
      </c>
      <c r="I76" s="5" t="n">
        <v>179764</v>
      </c>
      <c r="J76" s="11" t="n">
        <f aca="false">IF(I76=0,0,C76/I76)</f>
        <v>0.394984535279589</v>
      </c>
      <c r="K76" s="11" t="n">
        <f aca="false">IF(I76=0,0,D76/I76)</f>
        <v>0.281702676842972</v>
      </c>
      <c r="L76" s="11" t="n">
        <f aca="false">IF(I76=0,0,E76/I76)</f>
        <v>0.284200396074854</v>
      </c>
      <c r="M76" s="11" t="n">
        <f aca="false">IF(I76=0,0,H76/I76)</f>
        <v>0.0388119979528715</v>
      </c>
      <c r="N76" s="4" t="str">
        <f aca="false">INDEX($C$3:$E$3,MATCH(MAX(C76:E76),C76:E76,0))</f>
        <v>PT-Morena-PES</v>
      </c>
      <c r="O76" s="17" t="n">
        <f aca="false">(MAX(J76:L76)-LARGE(J76:L76,2))*100</f>
        <v>11.0784139204735</v>
      </c>
    </row>
    <row r="77" customFormat="false" ht="15" hidden="false" customHeight="false" outlineLevel="0" collapsed="false">
      <c r="A77" s="4" t="s">
        <v>58</v>
      </c>
      <c r="B77" s="4" t="n">
        <v>4</v>
      </c>
      <c r="C77" s="5" t="n">
        <v>68760</v>
      </c>
      <c r="D77" s="5" t="n">
        <v>74423</v>
      </c>
      <c r="E77" s="5" t="n">
        <v>42985</v>
      </c>
      <c r="F77" s="5" t="n">
        <v>0</v>
      </c>
      <c r="G77" s="5" t="n">
        <v>109</v>
      </c>
      <c r="H77" s="5" t="n">
        <v>6178</v>
      </c>
      <c r="I77" s="5" t="n">
        <v>192455</v>
      </c>
      <c r="J77" s="11" t="n">
        <f aca="false">IF(I77=0,0,C77/I77)</f>
        <v>0.357278324803201</v>
      </c>
      <c r="K77" s="11" t="n">
        <f aca="false">IF(I77=0,0,D77/I77)</f>
        <v>0.386703385206932</v>
      </c>
      <c r="L77" s="11" t="n">
        <f aca="false">IF(I77=0,0,E77/I77)</f>
        <v>0.223350913200488</v>
      </c>
      <c r="M77" s="11" t="n">
        <f aca="false">IF(I77=0,0,H77/I77)</f>
        <v>0.0321010106258606</v>
      </c>
      <c r="N77" s="4" t="str">
        <f aca="false">INDEX($C$3:$E$3,MATCH(MAX(C77:E77),C77:E77,0))</f>
        <v>PAN-PRD-MC</v>
      </c>
      <c r="O77" s="17" t="n">
        <f aca="false">(MAX(J77:L77)-LARGE(J77:L77,2))*100</f>
        <v>2.94250604037307</v>
      </c>
    </row>
    <row r="78" customFormat="false" ht="15" hidden="false" customHeight="false" outlineLevel="0" collapsed="false">
      <c r="A78" s="4" t="s">
        <v>59</v>
      </c>
      <c r="B78" s="4" t="n">
        <v>1</v>
      </c>
      <c r="C78" s="5" t="n">
        <v>33861</v>
      </c>
      <c r="D78" s="5" t="n">
        <v>57470</v>
      </c>
      <c r="E78" s="5" t="n">
        <v>45357</v>
      </c>
      <c r="F78" s="5" t="n">
        <v>0</v>
      </c>
      <c r="G78" s="5" t="n">
        <v>95</v>
      </c>
      <c r="H78" s="5" t="n">
        <v>10088</v>
      </c>
      <c r="I78" s="5" t="n">
        <v>146871</v>
      </c>
      <c r="J78" s="11" t="n">
        <f aca="false">IF(I78=0,0,C78/I78)</f>
        <v>0.230549257511694</v>
      </c>
      <c r="K78" s="11" t="n">
        <f aca="false">IF(I78=0,0,D78/I78)</f>
        <v>0.391295762948438</v>
      </c>
      <c r="L78" s="11" t="n">
        <f aca="false">IF(I78=0,0,E78/I78)</f>
        <v>0.308822027493515</v>
      </c>
      <c r="M78" s="11" t="n">
        <f aca="false">IF(I78=0,0,H78/I78)</f>
        <v>0.0686861259200251</v>
      </c>
      <c r="N78" s="4" t="str">
        <f aca="false">INDEX($C$3:$E$3,MATCH(MAX(C78:E78),C78:E78,0))</f>
        <v>PAN-PRD-MC</v>
      </c>
      <c r="O78" s="17" t="n">
        <f aca="false">(MAX(J78:L78)-LARGE(J78:L78,2))*100</f>
        <v>8.2473735454923</v>
      </c>
    </row>
    <row r="79" customFormat="false" ht="15" hidden="false" customHeight="false" outlineLevel="0" collapsed="false">
      <c r="A79" s="4" t="s">
        <v>59</v>
      </c>
      <c r="B79" s="4" t="n">
        <v>2</v>
      </c>
      <c r="C79" s="5" t="n">
        <v>48894</v>
      </c>
      <c r="D79" s="5" t="n">
        <v>60718</v>
      </c>
      <c r="E79" s="5" t="n">
        <v>33206</v>
      </c>
      <c r="F79" s="5" t="n">
        <v>0</v>
      </c>
      <c r="G79" s="5" t="n">
        <v>142</v>
      </c>
      <c r="H79" s="5" t="n">
        <v>9299</v>
      </c>
      <c r="I79" s="5" t="n">
        <v>152259</v>
      </c>
      <c r="J79" s="11" t="n">
        <f aca="false">IF(I79=0,0,C79/I79)</f>
        <v>0.321123874450771</v>
      </c>
      <c r="K79" s="11" t="n">
        <f aca="false">IF(I79=0,0,D79/I79)</f>
        <v>0.398781024438621</v>
      </c>
      <c r="L79" s="11" t="n">
        <f aca="false">IF(I79=0,0,E79/I79)</f>
        <v>0.218088914284213</v>
      </c>
      <c r="M79" s="11" t="n">
        <f aca="false">IF(I79=0,0,H79/I79)</f>
        <v>0.0610735654378395</v>
      </c>
      <c r="N79" s="4" t="str">
        <f aca="false">INDEX($C$3:$E$3,MATCH(MAX(C79:E79),C79:E79,0))</f>
        <v>PAN-PRD-MC</v>
      </c>
      <c r="O79" s="17" t="n">
        <f aca="false">(MAX(J79:L79)-LARGE(J79:L79,2))*100</f>
        <v>7.76571499878496</v>
      </c>
    </row>
    <row r="80" customFormat="false" ht="15" hidden="false" customHeight="false" outlineLevel="0" collapsed="false">
      <c r="A80" s="4" t="s">
        <v>59</v>
      </c>
      <c r="B80" s="4" t="n">
        <v>3</v>
      </c>
      <c r="C80" s="5" t="n">
        <v>29550</v>
      </c>
      <c r="D80" s="5" t="n">
        <v>96382</v>
      </c>
      <c r="E80" s="5" t="n">
        <v>34293</v>
      </c>
      <c r="F80" s="5" t="n">
        <v>0</v>
      </c>
      <c r="G80" s="5" t="n">
        <v>101</v>
      </c>
      <c r="H80" s="5" t="n">
        <v>6276</v>
      </c>
      <c r="I80" s="5" t="n">
        <v>166602</v>
      </c>
      <c r="J80" s="11" t="n">
        <f aca="false">IF(I80=0,0,C80/I80)</f>
        <v>0.177368819101812</v>
      </c>
      <c r="K80" s="11" t="n">
        <f aca="false">IF(I80=0,0,D80/I80)</f>
        <v>0.578516464388183</v>
      </c>
      <c r="L80" s="11" t="n">
        <f aca="false">IF(I80=0,0,E80/I80)</f>
        <v>0.205837865091656</v>
      </c>
      <c r="M80" s="11" t="n">
        <f aca="false">IF(I80=0,0,H80/I80)</f>
        <v>0.0376706161990852</v>
      </c>
      <c r="N80" s="4" t="str">
        <f aca="false">INDEX($C$3:$E$3,MATCH(MAX(C80:E80),C80:E80,0))</f>
        <v>PAN-PRD-MC</v>
      </c>
      <c r="O80" s="17" t="n">
        <f aca="false">(MAX(J80:L80)-LARGE(J80:L80,2))*100</f>
        <v>37.2678599296527</v>
      </c>
    </row>
    <row r="81" customFormat="false" ht="15" hidden="false" customHeight="false" outlineLevel="0" collapsed="false">
      <c r="A81" s="4" t="s">
        <v>59</v>
      </c>
      <c r="B81" s="4" t="n">
        <v>4</v>
      </c>
      <c r="C81" s="5" t="n">
        <v>28975</v>
      </c>
      <c r="D81" s="5" t="n">
        <v>54220</v>
      </c>
      <c r="E81" s="5" t="n">
        <v>45163</v>
      </c>
      <c r="F81" s="5" t="n">
        <v>0</v>
      </c>
      <c r="G81" s="5" t="n">
        <v>91</v>
      </c>
      <c r="H81" s="5" t="n">
        <v>7497</v>
      </c>
      <c r="I81" s="5" t="n">
        <v>135946</v>
      </c>
      <c r="J81" s="11" t="n">
        <f aca="false">IF(I81=0,0,C81/I81)</f>
        <v>0.213136098156621</v>
      </c>
      <c r="K81" s="11" t="n">
        <f aca="false">IF(I81=0,0,D81/I81)</f>
        <v>0.398834831477204</v>
      </c>
      <c r="L81" s="11" t="n">
        <f aca="false">IF(I81=0,0,E81/I81)</f>
        <v>0.332212790372648</v>
      </c>
      <c r="M81" s="11" t="n">
        <f aca="false">IF(I81=0,0,H81/I81)</f>
        <v>0.0551468965618702</v>
      </c>
      <c r="N81" s="4" t="str">
        <f aca="false">INDEX($C$3:$E$3,MATCH(MAX(C81:E81),C81:E81,0))</f>
        <v>PAN-PRD-MC</v>
      </c>
      <c r="O81" s="17" t="n">
        <f aca="false">(MAX(J81:L81)-LARGE(J81:L81,2))*100</f>
        <v>6.66220411045562</v>
      </c>
    </row>
    <row r="82" customFormat="false" ht="15" hidden="false" customHeight="false" outlineLevel="0" collapsed="false">
      <c r="A82" s="4" t="s">
        <v>59</v>
      </c>
      <c r="B82" s="4" t="n">
        <v>5</v>
      </c>
      <c r="C82" s="5" t="n">
        <v>29999</v>
      </c>
      <c r="D82" s="5" t="n">
        <v>83982</v>
      </c>
      <c r="E82" s="5" t="n">
        <v>33842</v>
      </c>
      <c r="F82" s="5" t="n">
        <v>0</v>
      </c>
      <c r="G82" s="5" t="n">
        <v>92</v>
      </c>
      <c r="H82" s="5" t="n">
        <v>6221</v>
      </c>
      <c r="I82" s="5" t="n">
        <v>154136</v>
      </c>
      <c r="J82" s="11" t="n">
        <f aca="false">IF(I82=0,0,C82/I82)</f>
        <v>0.194626823065345</v>
      </c>
      <c r="K82" s="11" t="n">
        <f aca="false">IF(I82=0,0,D82/I82)</f>
        <v>0.544856490372139</v>
      </c>
      <c r="L82" s="11" t="n">
        <f aca="false">IF(I82=0,0,E82/I82)</f>
        <v>0.219559350184253</v>
      </c>
      <c r="M82" s="11" t="n">
        <f aca="false">IF(I82=0,0,H82/I82)</f>
        <v>0.0403604608916801</v>
      </c>
      <c r="N82" s="4" t="str">
        <f aca="false">INDEX($C$3:$E$3,MATCH(MAX(C82:E82),C82:E82,0))</f>
        <v>PAN-PRD-MC</v>
      </c>
      <c r="O82" s="17" t="n">
        <f aca="false">(MAX(J82:L82)-LARGE(J82:L82,2))*100</f>
        <v>32.5297140187886</v>
      </c>
    </row>
    <row r="83" customFormat="false" ht="15" hidden="false" customHeight="false" outlineLevel="0" collapsed="false">
      <c r="A83" s="4" t="s">
        <v>59</v>
      </c>
      <c r="B83" s="4" t="n">
        <v>6</v>
      </c>
      <c r="C83" s="5" t="n">
        <v>30929</v>
      </c>
      <c r="D83" s="5" t="n">
        <v>79595</v>
      </c>
      <c r="E83" s="5" t="n">
        <v>33138</v>
      </c>
      <c r="F83" s="5" t="n">
        <v>0</v>
      </c>
      <c r="G83" s="5" t="n">
        <v>106</v>
      </c>
      <c r="H83" s="5" t="n">
        <v>5815</v>
      </c>
      <c r="I83" s="5" t="n">
        <v>149583</v>
      </c>
      <c r="J83" s="11" t="n">
        <f aca="false">IF(I83=0,0,C83/I83)</f>
        <v>0.206768148786961</v>
      </c>
      <c r="K83" s="11" t="n">
        <f aca="false">IF(I83=0,0,D83/I83)</f>
        <v>0.532112606379067</v>
      </c>
      <c r="L83" s="11" t="n">
        <f aca="false">IF(I83=0,0,E83/I83)</f>
        <v>0.221535869717816</v>
      </c>
      <c r="M83" s="11" t="n">
        <f aca="false">IF(I83=0,0,H83/I83)</f>
        <v>0.0388747384395286</v>
      </c>
      <c r="N83" s="4" t="str">
        <f aca="false">INDEX($C$3:$E$3,MATCH(MAX(C83:E83),C83:E83,0))</f>
        <v>PAN-PRD-MC</v>
      </c>
      <c r="O83" s="17" t="n">
        <f aca="false">(MAX(J83:L83)-LARGE(J83:L83,2))*100</f>
        <v>31.0576736661252</v>
      </c>
    </row>
    <row r="84" customFormat="false" ht="15" hidden="false" customHeight="false" outlineLevel="0" collapsed="false">
      <c r="A84" s="4" t="s">
        <v>59</v>
      </c>
      <c r="B84" s="4" t="n">
        <v>7</v>
      </c>
      <c r="C84" s="5" t="n">
        <v>27157</v>
      </c>
      <c r="D84" s="5" t="n">
        <v>71649</v>
      </c>
      <c r="E84" s="5" t="n">
        <v>46105</v>
      </c>
      <c r="F84" s="5" t="n">
        <v>0</v>
      </c>
      <c r="G84" s="5" t="n">
        <v>63</v>
      </c>
      <c r="H84" s="5" t="n">
        <v>6691</v>
      </c>
      <c r="I84" s="5" t="n">
        <v>151665</v>
      </c>
      <c r="J84" s="11" t="n">
        <f aca="false">IF(I84=0,0,C84/I84)</f>
        <v>0.179059110539676</v>
      </c>
      <c r="K84" s="11" t="n">
        <f aca="false">IF(I84=0,0,D84/I84)</f>
        <v>0.472416180397587</v>
      </c>
      <c r="L84" s="11" t="n">
        <f aca="false">IF(I84=0,0,E84/I84)</f>
        <v>0.303992351564303</v>
      </c>
      <c r="M84" s="11" t="n">
        <f aca="false">IF(I84=0,0,H84/I84)</f>
        <v>0.0441169683183332</v>
      </c>
      <c r="N84" s="4" t="str">
        <f aca="false">INDEX($C$3:$E$3,MATCH(MAX(C84:E84),C84:E84,0))</f>
        <v>PAN-PRD-MC</v>
      </c>
      <c r="O84" s="17" t="n">
        <f aca="false">(MAX(J84:L84)-LARGE(J84:L84,2))*100</f>
        <v>16.8423828833284</v>
      </c>
    </row>
    <row r="85" customFormat="false" ht="15" hidden="false" customHeight="false" outlineLevel="0" collapsed="false">
      <c r="A85" s="4" t="s">
        <v>59</v>
      </c>
      <c r="B85" s="4" t="n">
        <v>8</v>
      </c>
      <c r="C85" s="5" t="n">
        <v>65309</v>
      </c>
      <c r="D85" s="5" t="n">
        <v>67202</v>
      </c>
      <c r="E85" s="5" t="n">
        <v>38868</v>
      </c>
      <c r="F85" s="5" t="n">
        <v>0</v>
      </c>
      <c r="G85" s="5" t="n">
        <v>148</v>
      </c>
      <c r="H85" s="5" t="n">
        <v>8032</v>
      </c>
      <c r="I85" s="5" t="n">
        <v>179559</v>
      </c>
      <c r="J85" s="11" t="n">
        <f aca="false">IF(I85=0,0,C85/I85)</f>
        <v>0.363718889055965</v>
      </c>
      <c r="K85" s="11" t="n">
        <f aca="false">IF(I85=0,0,D85/I85)</f>
        <v>0.374261384837296</v>
      </c>
      <c r="L85" s="11" t="n">
        <f aca="false">IF(I85=0,0,E85/I85)</f>
        <v>0.216463669323175</v>
      </c>
      <c r="M85" s="11" t="n">
        <f aca="false">IF(I85=0,0,H85/I85)</f>
        <v>0.0447318151693872</v>
      </c>
      <c r="N85" s="4" t="str">
        <f aca="false">INDEX($C$3:$E$3,MATCH(MAX(C85:E85),C85:E85,0))</f>
        <v>PAN-PRD-MC</v>
      </c>
      <c r="O85" s="17" t="n">
        <f aca="false">(MAX(J85:L85)-LARGE(J85:L85,2))*100</f>
        <v>1.05424957813309</v>
      </c>
    </row>
    <row r="86" customFormat="false" ht="15" hidden="false" customHeight="false" outlineLevel="0" collapsed="false">
      <c r="A86" s="4" t="s">
        <v>59</v>
      </c>
      <c r="B86" s="4" t="n">
        <v>9</v>
      </c>
      <c r="C86" s="5" t="n">
        <v>39673</v>
      </c>
      <c r="D86" s="5" t="n">
        <v>57763</v>
      </c>
      <c r="E86" s="5" t="n">
        <v>34706</v>
      </c>
      <c r="F86" s="5" t="n">
        <v>0</v>
      </c>
      <c r="G86" s="5" t="n">
        <v>113</v>
      </c>
      <c r="H86" s="5" t="n">
        <v>5652</v>
      </c>
      <c r="I86" s="5" t="n">
        <v>137907</v>
      </c>
      <c r="J86" s="11" t="n">
        <f aca="false">IF(I86=0,0,C86/I86)</f>
        <v>0.287679378131639</v>
      </c>
      <c r="K86" s="11" t="n">
        <f aca="false">IF(I86=0,0,D86/I86)</f>
        <v>0.41885473543765</v>
      </c>
      <c r="L86" s="11" t="n">
        <f aca="false">IF(I86=0,0,E86/I86)</f>
        <v>0.251662352164865</v>
      </c>
      <c r="M86" s="11" t="n">
        <f aca="false">IF(I86=0,0,H86/I86)</f>
        <v>0.0409841414866541</v>
      </c>
      <c r="N86" s="4" t="str">
        <f aca="false">INDEX($C$3:$E$3,MATCH(MAX(C86:E86),C86:E86,0))</f>
        <v>PAN-PRD-MC</v>
      </c>
      <c r="O86" s="17" t="n">
        <f aca="false">(MAX(J86:L86)-LARGE(J86:L86,2))*100</f>
        <v>13.1175357306011</v>
      </c>
    </row>
    <row r="87" customFormat="false" ht="15" hidden="false" customHeight="false" outlineLevel="0" collapsed="false">
      <c r="A87" s="4" t="s">
        <v>59</v>
      </c>
      <c r="B87" s="4" t="n">
        <v>10</v>
      </c>
      <c r="C87" s="5" t="n">
        <v>44378</v>
      </c>
      <c r="D87" s="5" t="n">
        <v>75862</v>
      </c>
      <c r="E87" s="5" t="n">
        <v>47801</v>
      </c>
      <c r="F87" s="5" t="n">
        <v>0</v>
      </c>
      <c r="G87" s="5" t="n">
        <v>115</v>
      </c>
      <c r="H87" s="5" t="n">
        <v>8985</v>
      </c>
      <c r="I87" s="5" t="n">
        <v>177141</v>
      </c>
      <c r="J87" s="11" t="n">
        <f aca="false">IF(I87=0,0,C87/I87)</f>
        <v>0.250523594198971</v>
      </c>
      <c r="K87" s="11" t="n">
        <f aca="false">IF(I87=0,0,D87/I87)</f>
        <v>0.428257715605083</v>
      </c>
      <c r="L87" s="11" t="n">
        <f aca="false">IF(I87=0,0,E87/I87)</f>
        <v>0.269847183881767</v>
      </c>
      <c r="M87" s="11" t="n">
        <f aca="false">IF(I87=0,0,H87/I87)</f>
        <v>0.0507223059596593</v>
      </c>
      <c r="N87" s="4" t="str">
        <f aca="false">INDEX($C$3:$E$3,MATCH(MAX(C87:E87),C87:E87,0))</f>
        <v>PAN-PRD-MC</v>
      </c>
      <c r="O87" s="17" t="n">
        <f aca="false">(MAX(J87:L87)-LARGE(J87:L87,2))*100</f>
        <v>15.8410531723316</v>
      </c>
    </row>
    <row r="88" customFormat="false" ht="15" hidden="false" customHeight="false" outlineLevel="0" collapsed="false">
      <c r="A88" s="4" t="s">
        <v>59</v>
      </c>
      <c r="B88" s="4" t="n">
        <v>11</v>
      </c>
      <c r="C88" s="5" t="n">
        <v>30457</v>
      </c>
      <c r="D88" s="5" t="n">
        <v>73894</v>
      </c>
      <c r="E88" s="5" t="n">
        <v>32748</v>
      </c>
      <c r="F88" s="5" t="n">
        <v>0</v>
      </c>
      <c r="G88" s="5" t="n">
        <v>98</v>
      </c>
      <c r="H88" s="5" t="n">
        <v>5344</v>
      </c>
      <c r="I88" s="5" t="n">
        <v>142541</v>
      </c>
      <c r="J88" s="11" t="n">
        <f aca="false">IF(I88=0,0,C88/I88)</f>
        <v>0.213671855816923</v>
      </c>
      <c r="K88" s="11" t="n">
        <f aca="false">IF(I88=0,0,D88/I88)</f>
        <v>0.518405230775707</v>
      </c>
      <c r="L88" s="11" t="n">
        <f aca="false">IF(I88=0,0,E88/I88)</f>
        <v>0.229744424411222</v>
      </c>
      <c r="M88" s="11" t="n">
        <f aca="false">IF(I88=0,0,H88/I88)</f>
        <v>0.0374909675111021</v>
      </c>
      <c r="N88" s="4" t="str">
        <f aca="false">INDEX($C$3:$E$3,MATCH(MAX(C88:E88),C88:E88,0))</f>
        <v>PAN-PRD-MC</v>
      </c>
      <c r="O88" s="17" t="n">
        <f aca="false">(MAX(J88:L88)-LARGE(J88:L88,2))*100</f>
        <v>28.8660806364485</v>
      </c>
    </row>
    <row r="89" customFormat="false" ht="15" hidden="false" customHeight="false" outlineLevel="0" collapsed="false">
      <c r="A89" s="4" t="s">
        <v>59</v>
      </c>
      <c r="B89" s="4" t="n">
        <v>12</v>
      </c>
      <c r="C89" s="5" t="n">
        <v>56916</v>
      </c>
      <c r="D89" s="5" t="n">
        <v>69225</v>
      </c>
      <c r="E89" s="5" t="n">
        <v>35557</v>
      </c>
      <c r="F89" s="5" t="n">
        <v>0</v>
      </c>
      <c r="G89" s="5" t="n">
        <v>223</v>
      </c>
      <c r="H89" s="5" t="n">
        <v>8556</v>
      </c>
      <c r="I89" s="5" t="n">
        <v>170477</v>
      </c>
      <c r="J89" s="11" t="n">
        <f aca="false">IF(I89=0,0,C89/I89)</f>
        <v>0.333863219085273</v>
      </c>
      <c r="K89" s="11" t="n">
        <f aca="false">IF(I89=0,0,D89/I89)</f>
        <v>0.406066507505411</v>
      </c>
      <c r="L89" s="11" t="n">
        <f aca="false">IF(I89=0,0,E89/I89)</f>
        <v>0.208573590572335</v>
      </c>
      <c r="M89" s="11" t="n">
        <f aca="false">IF(I89=0,0,H89/I89)</f>
        <v>0.0501885884899429</v>
      </c>
      <c r="N89" s="4" t="str">
        <f aca="false">INDEX($C$3:$E$3,MATCH(MAX(C89:E89),C89:E89,0))</f>
        <v>PAN-PRD-MC</v>
      </c>
      <c r="O89" s="17" t="n">
        <f aca="false">(MAX(J89:L89)-LARGE(J89:L89,2))*100</f>
        <v>7.22032884201388</v>
      </c>
    </row>
    <row r="90" customFormat="false" ht="15" hidden="false" customHeight="false" outlineLevel="0" collapsed="false">
      <c r="A90" s="4" t="s">
        <v>59</v>
      </c>
      <c r="B90" s="4" t="n">
        <v>13</v>
      </c>
      <c r="C90" s="5" t="n">
        <v>42305</v>
      </c>
      <c r="D90" s="5" t="n">
        <v>62461</v>
      </c>
      <c r="E90" s="5" t="n">
        <v>50907</v>
      </c>
      <c r="F90" s="5" t="n">
        <v>0</v>
      </c>
      <c r="G90" s="5" t="n">
        <v>75</v>
      </c>
      <c r="H90" s="5" t="n">
        <v>8314</v>
      </c>
      <c r="I90" s="5" t="n">
        <v>164062</v>
      </c>
      <c r="J90" s="11" t="n">
        <f aca="false">IF(I90=0,0,C90/I90)</f>
        <v>0.257859833477588</v>
      </c>
      <c r="K90" s="11" t="n">
        <f aca="false">IF(I90=0,0,D90/I90)</f>
        <v>0.380715826943473</v>
      </c>
      <c r="L90" s="11" t="n">
        <f aca="false">IF(I90=0,0,E90/I90)</f>
        <v>0.310291231363753</v>
      </c>
      <c r="M90" s="11" t="n">
        <f aca="false">IF(I90=0,0,H90/I90)</f>
        <v>0.0506759639648426</v>
      </c>
      <c r="N90" s="4" t="str">
        <f aca="false">INDEX($C$3:$E$3,MATCH(MAX(C90:E90),C90:E90,0))</f>
        <v>PAN-PRD-MC</v>
      </c>
      <c r="O90" s="17" t="n">
        <f aca="false">(MAX(J90:L90)-LARGE(J90:L90,2))*100</f>
        <v>7.04245955797199</v>
      </c>
    </row>
    <row r="91" customFormat="false" ht="15" hidden="false" customHeight="false" outlineLevel="0" collapsed="false">
      <c r="A91" s="4" t="s">
        <v>59</v>
      </c>
      <c r="B91" s="4" t="n">
        <v>14</v>
      </c>
      <c r="C91" s="5" t="n">
        <v>45637</v>
      </c>
      <c r="D91" s="5" t="n">
        <v>57213</v>
      </c>
      <c r="E91" s="5" t="n">
        <v>42613</v>
      </c>
      <c r="F91" s="5" t="n">
        <v>0</v>
      </c>
      <c r="G91" s="5" t="n">
        <v>78</v>
      </c>
      <c r="H91" s="5" t="n">
        <v>9850</v>
      </c>
      <c r="I91" s="5" t="n">
        <v>155391</v>
      </c>
      <c r="J91" s="11" t="n">
        <f aca="false">IF(I91=0,0,C91/I91)</f>
        <v>0.293691397828703</v>
      </c>
      <c r="K91" s="11" t="n">
        <f aca="false">IF(I91=0,0,D91/I91)</f>
        <v>0.368187346757534</v>
      </c>
      <c r="L91" s="11" t="n">
        <f aca="false">IF(I91=0,0,E91/I91)</f>
        <v>0.274230811308248</v>
      </c>
      <c r="M91" s="11" t="n">
        <f aca="false">IF(I91=0,0,H91/I91)</f>
        <v>0.0633884845325662</v>
      </c>
      <c r="N91" s="4" t="str">
        <f aca="false">INDEX($C$3:$E$3,MATCH(MAX(C91:E91),C91:E91,0))</f>
        <v>PAN-PRD-MC</v>
      </c>
      <c r="O91" s="17" t="n">
        <f aca="false">(MAX(J91:L91)-LARGE(J91:L91,2))*100</f>
        <v>7.44959489288312</v>
      </c>
    </row>
    <row r="92" customFormat="false" ht="15" hidden="false" customHeight="false" outlineLevel="0" collapsed="false">
      <c r="A92" s="4" t="s">
        <v>59</v>
      </c>
      <c r="B92" s="4" t="n">
        <v>15</v>
      </c>
      <c r="C92" s="5" t="n">
        <v>45153</v>
      </c>
      <c r="D92" s="5" t="n">
        <v>53490</v>
      </c>
      <c r="E92" s="5" t="n">
        <v>32220</v>
      </c>
      <c r="F92" s="5" t="n">
        <v>0</v>
      </c>
      <c r="G92" s="5" t="n">
        <v>177</v>
      </c>
      <c r="H92" s="5" t="n">
        <v>6141</v>
      </c>
      <c r="I92" s="5" t="n">
        <v>137181</v>
      </c>
      <c r="J92" s="11" t="n">
        <f aca="false">IF(I92=0,0,C92/I92)</f>
        <v>0.32914908041201</v>
      </c>
      <c r="K92" s="11" t="n">
        <f aca="false">IF(I92=0,0,D92/I92)</f>
        <v>0.389922802720493</v>
      </c>
      <c r="L92" s="11" t="n">
        <f aca="false">IF(I92=0,0,E92/I92)</f>
        <v>0.234872176176001</v>
      </c>
      <c r="M92" s="11" t="n">
        <f aca="false">IF(I92=0,0,H92/I92)</f>
        <v>0.0447656745467667</v>
      </c>
      <c r="N92" s="4" t="str">
        <f aca="false">INDEX($C$3:$E$3,MATCH(MAX(C92:E92),C92:E92,0))</f>
        <v>PAN-PRD-MC</v>
      </c>
      <c r="O92" s="17" t="n">
        <f aca="false">(MAX(J92:L92)-LARGE(J92:L92,2))*100</f>
        <v>6.07737223084829</v>
      </c>
    </row>
    <row r="93" customFormat="false" ht="15" hidden="false" customHeight="false" outlineLevel="0" collapsed="false">
      <c r="A93" s="4" t="s">
        <v>60</v>
      </c>
      <c r="B93" s="4" t="n">
        <v>1</v>
      </c>
      <c r="C93" s="5" t="n">
        <v>65371</v>
      </c>
      <c r="D93" s="5" t="n">
        <v>51373</v>
      </c>
      <c r="E93" s="5" t="n">
        <v>41297</v>
      </c>
      <c r="F93" s="5" t="n">
        <v>499</v>
      </c>
      <c r="G93" s="5" t="n">
        <v>72</v>
      </c>
      <c r="H93" s="5" t="n">
        <v>8859</v>
      </c>
      <c r="I93" s="5" t="n">
        <v>167471</v>
      </c>
      <c r="J93" s="11" t="n">
        <f aca="false">IF(I93=0,0,C93/I93)</f>
        <v>0.390342208501771</v>
      </c>
      <c r="K93" s="11" t="n">
        <f aca="false">IF(I93=0,0,D93/I93)</f>
        <v>0.306757587880887</v>
      </c>
      <c r="L93" s="11" t="n">
        <f aca="false">IF(I93=0,0,E93/I93)</f>
        <v>0.246591947262511</v>
      </c>
      <c r="M93" s="11" t="n">
        <f aca="false">IF(I93=0,0,H93/I93)</f>
        <v>0.0528987108215751</v>
      </c>
      <c r="N93" s="4" t="str">
        <f aca="false">INDEX($C$3:$E$3,MATCH(MAX(C93:E93),C93:E93,0))</f>
        <v>PT-Morena-PES</v>
      </c>
      <c r="O93" s="17" t="n">
        <f aca="false">(MAX(J93:L93)-LARGE(J93:L93,2))*100</f>
        <v>8.35846206208836</v>
      </c>
    </row>
    <row r="94" customFormat="false" ht="15" hidden="false" customHeight="false" outlineLevel="0" collapsed="false">
      <c r="A94" s="4" t="s">
        <v>60</v>
      </c>
      <c r="B94" s="4" t="n">
        <v>2</v>
      </c>
      <c r="C94" s="5" t="n">
        <v>80412</v>
      </c>
      <c r="D94" s="5" t="n">
        <v>45923</v>
      </c>
      <c r="E94" s="5" t="n">
        <v>48456</v>
      </c>
      <c r="F94" s="5" t="n">
        <v>2968</v>
      </c>
      <c r="G94" s="5" t="n">
        <v>87</v>
      </c>
      <c r="H94" s="5" t="n">
        <v>9755</v>
      </c>
      <c r="I94" s="5" t="n">
        <v>187601</v>
      </c>
      <c r="J94" s="11" t="n">
        <f aca="false">IF(I94=0,0,C94/I94)</f>
        <v>0.428633109631612</v>
      </c>
      <c r="K94" s="11" t="n">
        <f aca="false">IF(I94=0,0,D94/I94)</f>
        <v>0.244790806019158</v>
      </c>
      <c r="L94" s="11" t="n">
        <f aca="false">IF(I94=0,0,E94/I94)</f>
        <v>0.258292866242717</v>
      </c>
      <c r="M94" s="11" t="n">
        <f aca="false">IF(I94=0,0,H94/I94)</f>
        <v>0.0519986567235782</v>
      </c>
      <c r="N94" s="4" t="str">
        <f aca="false">INDEX($C$3:$E$3,MATCH(MAX(C94:E94),C94:E94,0))</f>
        <v>PT-Morena-PES</v>
      </c>
      <c r="O94" s="17" t="n">
        <f aca="false">(MAX(J94:L94)-LARGE(J94:L94,2))*100</f>
        <v>17.0340243388895</v>
      </c>
    </row>
    <row r="95" customFormat="false" ht="15" hidden="false" customHeight="false" outlineLevel="0" collapsed="false">
      <c r="A95" s="4" t="s">
        <v>60</v>
      </c>
      <c r="B95" s="4" t="n">
        <v>3</v>
      </c>
      <c r="C95" s="5" t="n">
        <v>94784</v>
      </c>
      <c r="D95" s="5" t="n">
        <v>44600</v>
      </c>
      <c r="E95" s="5" t="n">
        <v>49121</v>
      </c>
      <c r="F95" s="5" t="n">
        <v>2466</v>
      </c>
      <c r="G95" s="5" t="n">
        <v>35</v>
      </c>
      <c r="H95" s="5" t="n">
        <v>10679</v>
      </c>
      <c r="I95" s="5" t="n">
        <v>201685</v>
      </c>
      <c r="J95" s="11" t="n">
        <f aca="false">IF(I95=0,0,C95/I95)</f>
        <v>0.469960582095843</v>
      </c>
      <c r="K95" s="11" t="n">
        <f aca="false">IF(I95=0,0,D95/I95)</f>
        <v>0.221136921436894</v>
      </c>
      <c r="L95" s="11" t="n">
        <f aca="false">IF(I95=0,0,E95/I95)</f>
        <v>0.243553065423804</v>
      </c>
      <c r="M95" s="11" t="n">
        <f aca="false">IF(I95=0,0,H95/I95)</f>
        <v>0.0529489054714034</v>
      </c>
      <c r="N95" s="4" t="str">
        <f aca="false">INDEX($C$3:$E$3,MATCH(MAX(C95:E95),C95:E95,0))</f>
        <v>PT-Morena-PES</v>
      </c>
      <c r="O95" s="17" t="n">
        <f aca="false">(MAX(J95:L95)-LARGE(J95:L95,2))*100</f>
        <v>22.6407516672038</v>
      </c>
    </row>
    <row r="96" customFormat="false" ht="15" hidden="false" customHeight="false" outlineLevel="0" collapsed="false">
      <c r="A96" s="4" t="s">
        <v>60</v>
      </c>
      <c r="B96" s="4" t="n">
        <v>4</v>
      </c>
      <c r="C96" s="5" t="n">
        <v>112040</v>
      </c>
      <c r="D96" s="5" t="n">
        <v>29516</v>
      </c>
      <c r="E96" s="5" t="n">
        <v>30005</v>
      </c>
      <c r="F96" s="5" t="n">
        <v>4966</v>
      </c>
      <c r="G96" s="5" t="n">
        <v>84</v>
      </c>
      <c r="H96" s="5" t="n">
        <v>7023</v>
      </c>
      <c r="I96" s="5" t="n">
        <v>183634</v>
      </c>
      <c r="J96" s="11" t="n">
        <f aca="false">IF(I96=0,0,C96/I96)</f>
        <v>0.610126664996678</v>
      </c>
      <c r="K96" s="11" t="n">
        <f aca="false">IF(I96=0,0,D96/I96)</f>
        <v>0.160732761906836</v>
      </c>
      <c r="L96" s="11" t="n">
        <f aca="false">IF(I96=0,0,E96/I96)</f>
        <v>0.163395667468987</v>
      </c>
      <c r="M96" s="11" t="n">
        <f aca="false">IF(I96=0,0,H96/I96)</f>
        <v>0.0382445516625462</v>
      </c>
      <c r="N96" s="4" t="str">
        <f aca="false">INDEX($C$3:$E$3,MATCH(MAX(C96:E96),C96:E96,0))</f>
        <v>PT-Morena-PES</v>
      </c>
      <c r="O96" s="17" t="n">
        <f aca="false">(MAX(J96:L96)-LARGE(J96:L96,2))*100</f>
        <v>44.6730997527691</v>
      </c>
    </row>
    <row r="97" customFormat="false" ht="15" hidden="false" customHeight="false" outlineLevel="0" collapsed="false">
      <c r="A97" s="4" t="s">
        <v>60</v>
      </c>
      <c r="B97" s="4" t="n">
        <v>5</v>
      </c>
      <c r="C97" s="5" t="n">
        <v>96922</v>
      </c>
      <c r="D97" s="5" t="n">
        <v>25954</v>
      </c>
      <c r="E97" s="5" t="n">
        <v>40925</v>
      </c>
      <c r="F97" s="5" t="n">
        <v>2733</v>
      </c>
      <c r="G97" s="5" t="n">
        <v>82</v>
      </c>
      <c r="H97" s="5" t="n">
        <v>12341</v>
      </c>
      <c r="I97" s="5" t="n">
        <v>178957</v>
      </c>
      <c r="J97" s="11" t="n">
        <f aca="false">IF(I97=0,0,C97/I97)</f>
        <v>0.541593790687148</v>
      </c>
      <c r="K97" s="11" t="n">
        <f aca="false">IF(I97=0,0,D97/I97)</f>
        <v>0.145029252837274</v>
      </c>
      <c r="L97" s="11" t="n">
        <f aca="false">IF(I97=0,0,E97/I97)</f>
        <v>0.228686220712238</v>
      </c>
      <c r="M97" s="11" t="n">
        <f aca="false">IF(I97=0,0,H97/I97)</f>
        <v>0.0689607000564382</v>
      </c>
      <c r="N97" s="4" t="str">
        <f aca="false">INDEX($C$3:$E$3,MATCH(MAX(C97:E97),C97:E97,0))</f>
        <v>PT-Morena-PES</v>
      </c>
      <c r="O97" s="17" t="n">
        <f aca="false">(MAX(J97:L97)-LARGE(J97:L97,2))*100</f>
        <v>31.290756997491</v>
      </c>
    </row>
    <row r="98" customFormat="false" ht="15" hidden="false" customHeight="false" outlineLevel="0" collapsed="false">
      <c r="A98" s="4" t="s">
        <v>60</v>
      </c>
      <c r="B98" s="4" t="n">
        <v>6</v>
      </c>
      <c r="C98" s="5" t="n">
        <v>60335</v>
      </c>
      <c r="D98" s="5" t="n">
        <v>64845</v>
      </c>
      <c r="E98" s="5" t="n">
        <v>42381</v>
      </c>
      <c r="F98" s="5" t="n">
        <v>765</v>
      </c>
      <c r="G98" s="5" t="n">
        <v>86</v>
      </c>
      <c r="H98" s="5" t="n">
        <v>13191</v>
      </c>
      <c r="I98" s="5" t="n">
        <v>181603</v>
      </c>
      <c r="J98" s="11" t="n">
        <f aca="false">IF(I98=0,0,C98/I98)</f>
        <v>0.332235700952077</v>
      </c>
      <c r="K98" s="11" t="n">
        <f aca="false">IF(I98=0,0,D98/I98)</f>
        <v>0.35707009245442</v>
      </c>
      <c r="L98" s="11" t="n">
        <f aca="false">IF(I98=0,0,E98/I98)</f>
        <v>0.233371695401508</v>
      </c>
      <c r="M98" s="11" t="n">
        <f aca="false">IF(I98=0,0,H98/I98)</f>
        <v>0.0726364652566312</v>
      </c>
      <c r="N98" s="4" t="str">
        <f aca="false">INDEX($C$3:$E$3,MATCH(MAX(C98:E98),C98:E98,0))</f>
        <v>PAN-PRD-MC</v>
      </c>
      <c r="O98" s="17" t="n">
        <f aca="false">(MAX(J98:L98)-LARGE(J98:L98,2))*100</f>
        <v>2.4834391502343</v>
      </c>
    </row>
    <row r="99" customFormat="false" ht="15" hidden="false" customHeight="false" outlineLevel="0" collapsed="false">
      <c r="A99" s="4" t="s">
        <v>60</v>
      </c>
      <c r="B99" s="4" t="n">
        <v>7</v>
      </c>
      <c r="C99" s="5" t="n">
        <v>92312</v>
      </c>
      <c r="D99" s="5" t="n">
        <v>29134</v>
      </c>
      <c r="E99" s="5" t="n">
        <v>38683</v>
      </c>
      <c r="F99" s="5" t="n">
        <v>3021</v>
      </c>
      <c r="G99" s="5" t="n">
        <v>117</v>
      </c>
      <c r="H99" s="5" t="n">
        <v>7099</v>
      </c>
      <c r="I99" s="5" t="n">
        <v>170366</v>
      </c>
      <c r="J99" s="11" t="n">
        <f aca="false">IF(I99=0,0,C99/I99)</f>
        <v>0.541845203855229</v>
      </c>
      <c r="K99" s="11" t="n">
        <f aca="false">IF(I99=0,0,D99/I99)</f>
        <v>0.171008299778125</v>
      </c>
      <c r="L99" s="11" t="n">
        <f aca="false">IF(I99=0,0,E99/I99)</f>
        <v>0.227058215841189</v>
      </c>
      <c r="M99" s="11" t="n">
        <f aca="false">IF(I99=0,0,H99/I99)</f>
        <v>0.0416691123815785</v>
      </c>
      <c r="N99" s="4" t="str">
        <f aca="false">INDEX($C$3:$E$3,MATCH(MAX(C99:E99),C99:E99,0))</f>
        <v>PT-Morena-PES</v>
      </c>
      <c r="O99" s="17" t="n">
        <f aca="false">(MAX(J99:L99)-LARGE(J99:L99,2))*100</f>
        <v>31.478698801404</v>
      </c>
    </row>
    <row r="100" customFormat="false" ht="15" hidden="false" customHeight="false" outlineLevel="0" collapsed="false">
      <c r="A100" s="4" t="s">
        <v>60</v>
      </c>
      <c r="B100" s="4" t="n">
        <v>8</v>
      </c>
      <c r="C100" s="5" t="n">
        <v>80251</v>
      </c>
      <c r="D100" s="5" t="n">
        <v>41155</v>
      </c>
      <c r="E100" s="5" t="n">
        <v>43903</v>
      </c>
      <c r="F100" s="5" t="n">
        <v>664</v>
      </c>
      <c r="G100" s="5" t="n">
        <v>19</v>
      </c>
      <c r="H100" s="5" t="n">
        <v>10770</v>
      </c>
      <c r="I100" s="5" t="n">
        <v>176762</v>
      </c>
      <c r="J100" s="11" t="n">
        <f aca="false">IF(I100=0,0,C100/I100)</f>
        <v>0.454005951505414</v>
      </c>
      <c r="K100" s="11" t="n">
        <f aca="false">IF(I100=0,0,D100/I100)</f>
        <v>0.23282719136466</v>
      </c>
      <c r="L100" s="11" t="n">
        <f aca="false">IF(I100=0,0,E100/I100)</f>
        <v>0.248373519195302</v>
      </c>
      <c r="M100" s="11" t="n">
        <f aca="false">IF(I100=0,0,H100/I100)</f>
        <v>0.0609293852751157</v>
      </c>
      <c r="N100" s="4" t="str">
        <f aca="false">INDEX($C$3:$E$3,MATCH(MAX(C100:E100),C100:E100,0))</f>
        <v>PT-Morena-PES</v>
      </c>
      <c r="O100" s="17" t="n">
        <f aca="false">(MAX(J100:L100)-LARGE(J100:L100,2))*100</f>
        <v>20.5632432310112</v>
      </c>
    </row>
    <row r="101" customFormat="false" ht="15" hidden="false" customHeight="false" outlineLevel="0" collapsed="false">
      <c r="A101" s="4" t="s">
        <v>60</v>
      </c>
      <c r="B101" s="4" t="n">
        <v>9</v>
      </c>
      <c r="C101" s="5" t="n">
        <v>89877</v>
      </c>
      <c r="D101" s="5" t="n">
        <v>29079</v>
      </c>
      <c r="E101" s="5" t="n">
        <v>35517</v>
      </c>
      <c r="F101" s="5" t="n">
        <v>2636</v>
      </c>
      <c r="G101" s="5" t="n">
        <v>165</v>
      </c>
      <c r="H101" s="5" t="n">
        <v>7194</v>
      </c>
      <c r="I101" s="5" t="n">
        <v>164468</v>
      </c>
      <c r="J101" s="11" t="n">
        <f aca="false">IF(I101=0,0,C101/I101)</f>
        <v>0.546471046039351</v>
      </c>
      <c r="K101" s="11" t="n">
        <f aca="false">IF(I101=0,0,D101/I101)</f>
        <v>0.176806430430236</v>
      </c>
      <c r="L101" s="11" t="n">
        <f aca="false">IF(I101=0,0,E101/I101)</f>
        <v>0.215950823260452</v>
      </c>
      <c r="M101" s="11" t="n">
        <f aca="false">IF(I101=0,0,H101/I101)</f>
        <v>0.0437410316900552</v>
      </c>
      <c r="N101" s="4" t="str">
        <f aca="false">INDEX($C$3:$E$3,MATCH(MAX(C101:E101),C101:E101,0))</f>
        <v>PT-Morena-PES</v>
      </c>
      <c r="O101" s="17" t="n">
        <f aca="false">(MAX(J101:L101)-LARGE(J101:L101,2))*100</f>
        <v>33.0520222778899</v>
      </c>
    </row>
    <row r="102" customFormat="false" ht="15" hidden="false" customHeight="false" outlineLevel="0" collapsed="false">
      <c r="A102" s="4" t="s">
        <v>61</v>
      </c>
      <c r="B102" s="4" t="n">
        <v>1</v>
      </c>
      <c r="C102" s="5" t="n">
        <v>91826</v>
      </c>
      <c r="D102" s="5" t="n">
        <v>24194</v>
      </c>
      <c r="E102" s="5" t="n">
        <v>65944</v>
      </c>
      <c r="F102" s="5" t="n">
        <v>0</v>
      </c>
      <c r="G102" s="5" t="n">
        <v>21</v>
      </c>
      <c r="H102" s="5" t="n">
        <v>14488</v>
      </c>
      <c r="I102" s="5" t="n">
        <v>196473</v>
      </c>
      <c r="J102" s="11" t="n">
        <f aca="false">IF(I102=0,0,C102/I102)</f>
        <v>0.467372107108865</v>
      </c>
      <c r="K102" s="11" t="n">
        <f aca="false">IF(I102=0,0,D102/I102)</f>
        <v>0.123141602153986</v>
      </c>
      <c r="L102" s="11" t="n">
        <f aca="false">IF(I102=0,0,E102/I102)</f>
        <v>0.335638993653072</v>
      </c>
      <c r="M102" s="11" t="n">
        <f aca="false">IF(I102=0,0,H102/I102)</f>
        <v>0.0737404121685931</v>
      </c>
      <c r="N102" s="4" t="str">
        <f aca="false">INDEX($C$3:$E$3,MATCH(MAX(C102:E102),C102:E102,0))</f>
        <v>PT-Morena-PES</v>
      </c>
      <c r="O102" s="17" t="n">
        <f aca="false">(MAX(J102:L102)-LARGE(J102:L102,2))*100</f>
        <v>13.1733113455793</v>
      </c>
    </row>
    <row r="103" customFormat="false" ht="15" hidden="false" customHeight="false" outlineLevel="0" collapsed="false">
      <c r="A103" s="4" t="s">
        <v>61</v>
      </c>
      <c r="B103" s="4" t="n">
        <v>2</v>
      </c>
      <c r="C103" s="5" t="n">
        <v>105952</v>
      </c>
      <c r="D103" s="5" t="n">
        <v>28573</v>
      </c>
      <c r="E103" s="5" t="n">
        <v>49278</v>
      </c>
      <c r="F103" s="5" t="n">
        <v>0</v>
      </c>
      <c r="G103" s="5" t="n">
        <v>61</v>
      </c>
      <c r="H103" s="5" t="n">
        <v>9486</v>
      </c>
      <c r="I103" s="5" t="n">
        <v>193350</v>
      </c>
      <c r="J103" s="11" t="n">
        <f aca="false">IF(I103=0,0,C103/I103)</f>
        <v>0.547980346521852</v>
      </c>
      <c r="K103" s="11" t="n">
        <f aca="false">IF(I103=0,0,D103/I103)</f>
        <v>0.147778639772433</v>
      </c>
      <c r="L103" s="11" t="n">
        <f aca="false">IF(I103=0,0,E103/I103)</f>
        <v>0.254864235841738</v>
      </c>
      <c r="M103" s="11" t="n">
        <f aca="false">IF(I103=0,0,H103/I103)</f>
        <v>0.0490612878200155</v>
      </c>
      <c r="N103" s="4" t="str">
        <f aca="false">INDEX($C$3:$E$3,MATCH(MAX(C103:E103),C103:E103,0))</f>
        <v>PT-Morena-PES</v>
      </c>
      <c r="O103" s="17" t="n">
        <f aca="false">(MAX(J103:L103)-LARGE(J103:L103,2))*100</f>
        <v>29.3116110680114</v>
      </c>
    </row>
    <row r="104" customFormat="false" ht="15" hidden="false" customHeight="false" outlineLevel="0" collapsed="false">
      <c r="A104" s="4" t="s">
        <v>61</v>
      </c>
      <c r="B104" s="4" t="n">
        <v>3</v>
      </c>
      <c r="C104" s="5" t="n">
        <v>108641</v>
      </c>
      <c r="D104" s="5" t="n">
        <v>21964</v>
      </c>
      <c r="E104" s="5" t="n">
        <v>58054</v>
      </c>
      <c r="F104" s="5" t="n">
        <v>0</v>
      </c>
      <c r="G104" s="5" t="n">
        <v>71</v>
      </c>
      <c r="H104" s="5" t="n">
        <v>8957</v>
      </c>
      <c r="I104" s="5" t="n">
        <v>197687</v>
      </c>
      <c r="J104" s="11" t="n">
        <f aca="false">IF(I104=0,0,C104/I104)</f>
        <v>0.549560669138588</v>
      </c>
      <c r="K104" s="11" t="n">
        <f aca="false">IF(I104=0,0,D104/I104)</f>
        <v>0.11110492849808</v>
      </c>
      <c r="L104" s="11" t="n">
        <f aca="false">IF(I104=0,0,E104/I104)</f>
        <v>0.293666250183371</v>
      </c>
      <c r="M104" s="11" t="n">
        <f aca="false">IF(I104=0,0,H104/I104)</f>
        <v>0.0453089985684441</v>
      </c>
      <c r="N104" s="4" t="str">
        <f aca="false">INDEX($C$3:$E$3,MATCH(MAX(C104:E104),C104:E104,0))</f>
        <v>PT-Morena-PES</v>
      </c>
      <c r="O104" s="17" t="n">
        <f aca="false">(MAX(J104:L104)-LARGE(J104:L104,2))*100</f>
        <v>25.5894418955217</v>
      </c>
    </row>
    <row r="105" customFormat="false" ht="15" hidden="false" customHeight="false" outlineLevel="0" collapsed="false">
      <c r="A105" s="4" t="s">
        <v>61</v>
      </c>
      <c r="B105" s="4" t="n">
        <v>4</v>
      </c>
      <c r="C105" s="5" t="n">
        <v>92823</v>
      </c>
      <c r="D105" s="5" t="n">
        <v>25608</v>
      </c>
      <c r="E105" s="5" t="n">
        <v>47566</v>
      </c>
      <c r="F105" s="5" t="n">
        <v>0</v>
      </c>
      <c r="G105" s="5" t="n">
        <v>108</v>
      </c>
      <c r="H105" s="5" t="n">
        <v>9292</v>
      </c>
      <c r="I105" s="5" t="n">
        <v>175397</v>
      </c>
      <c r="J105" s="11" t="n">
        <f aca="false">IF(I105=0,0,C105/I105)</f>
        <v>0.529216577250466</v>
      </c>
      <c r="K105" s="11" t="n">
        <f aca="false">IF(I105=0,0,D105/I105)</f>
        <v>0.146000216651368</v>
      </c>
      <c r="L105" s="11" t="n">
        <f aca="false">IF(I105=0,0,E105/I105)</f>
        <v>0.271190499267376</v>
      </c>
      <c r="M105" s="11" t="n">
        <f aca="false">IF(I105=0,0,H105/I105)</f>
        <v>0.0529769608374146</v>
      </c>
      <c r="N105" s="4" t="str">
        <f aca="false">INDEX($C$3:$E$3,MATCH(MAX(C105:E105),C105:E105,0))</f>
        <v>PT-Morena-PES</v>
      </c>
      <c r="O105" s="17" t="n">
        <f aca="false">(MAX(J105:L105)-LARGE(J105:L105,2))*100</f>
        <v>25.802607798309</v>
      </c>
    </row>
    <row r="106" customFormat="false" ht="15" hidden="false" customHeight="false" outlineLevel="0" collapsed="false">
      <c r="A106" s="4" t="s">
        <v>61</v>
      </c>
      <c r="B106" s="4" t="n">
        <v>5</v>
      </c>
      <c r="C106" s="5" t="n">
        <v>115544</v>
      </c>
      <c r="D106" s="5" t="n">
        <v>34251</v>
      </c>
      <c r="E106" s="5" t="n">
        <v>50462</v>
      </c>
      <c r="F106" s="5" t="n">
        <v>0</v>
      </c>
      <c r="G106" s="5" t="n">
        <v>69</v>
      </c>
      <c r="H106" s="5" t="n">
        <v>9363</v>
      </c>
      <c r="I106" s="5" t="n">
        <v>209689</v>
      </c>
      <c r="J106" s="11" t="n">
        <f aca="false">IF(I106=0,0,C106/I106)</f>
        <v>0.5510255664341</v>
      </c>
      <c r="K106" s="11" t="n">
        <f aca="false">IF(I106=0,0,D106/I106)</f>
        <v>0.163341901578051</v>
      </c>
      <c r="L106" s="11" t="n">
        <f aca="false">IF(I106=0,0,E106/I106)</f>
        <v>0.240651631702188</v>
      </c>
      <c r="M106" s="11" t="n">
        <f aca="false">IF(I106=0,0,H106/I106)</f>
        <v>0.0446518415367521</v>
      </c>
      <c r="N106" s="4" t="str">
        <f aca="false">INDEX($C$3:$E$3,MATCH(MAX(C106:E106),C106:E106,0))</f>
        <v>PT-Morena-PES</v>
      </c>
      <c r="O106" s="17" t="n">
        <f aca="false">(MAX(J106:L106)-LARGE(J106:L106,2))*100</f>
        <v>31.0373934731913</v>
      </c>
    </row>
    <row r="107" customFormat="false" ht="15" hidden="false" customHeight="false" outlineLevel="0" collapsed="false">
      <c r="A107" s="4" t="s">
        <v>61</v>
      </c>
      <c r="B107" s="4" t="n">
        <v>6</v>
      </c>
      <c r="C107" s="5" t="n">
        <v>124068</v>
      </c>
      <c r="D107" s="5" t="n">
        <v>39229</v>
      </c>
      <c r="E107" s="5" t="n">
        <v>55142</v>
      </c>
      <c r="F107" s="5" t="n">
        <v>0</v>
      </c>
      <c r="G107" s="5" t="n">
        <v>140</v>
      </c>
      <c r="H107" s="5" t="n">
        <v>9198</v>
      </c>
      <c r="I107" s="5" t="n">
        <v>227777</v>
      </c>
      <c r="J107" s="11" t="n">
        <f aca="false">IF(I107=0,0,C107/I107)</f>
        <v>0.544690640407065</v>
      </c>
      <c r="K107" s="11" t="n">
        <f aca="false">IF(I107=0,0,D107/I107)</f>
        <v>0.172225466135738</v>
      </c>
      <c r="L107" s="11" t="n">
        <f aca="false">IF(I107=0,0,E107/I107)</f>
        <v>0.242087655909069</v>
      </c>
      <c r="M107" s="11" t="n">
        <f aca="false">IF(I107=0,0,H107/I107)</f>
        <v>0.0403816013030288</v>
      </c>
      <c r="N107" s="4" t="str">
        <f aca="false">INDEX($C$3:$E$3,MATCH(MAX(C107:E107),C107:E107,0))</f>
        <v>PT-Morena-PES</v>
      </c>
      <c r="O107" s="17" t="n">
        <f aca="false">(MAX(J107:L107)-LARGE(J107:L107,2))*100</f>
        <v>30.2602984497996</v>
      </c>
    </row>
    <row r="108" customFormat="false" ht="15" hidden="false" customHeight="false" outlineLevel="0" collapsed="false">
      <c r="A108" s="4" t="s">
        <v>61</v>
      </c>
      <c r="B108" s="4" t="n">
        <v>7</v>
      </c>
      <c r="C108" s="5" t="n">
        <v>106041</v>
      </c>
      <c r="D108" s="5" t="n">
        <v>28599</v>
      </c>
      <c r="E108" s="5" t="n">
        <v>50056</v>
      </c>
      <c r="F108" s="5" t="n">
        <v>0</v>
      </c>
      <c r="G108" s="5" t="n">
        <v>54</v>
      </c>
      <c r="H108" s="5" t="n">
        <v>8134</v>
      </c>
      <c r="I108" s="5" t="n">
        <v>192884</v>
      </c>
      <c r="J108" s="11" t="n">
        <f aca="false">IF(I108=0,0,C108/I108)</f>
        <v>0.549765662263329</v>
      </c>
      <c r="K108" s="11" t="n">
        <f aca="false">IF(I108=0,0,D108/I108)</f>
        <v>0.148270463076253</v>
      </c>
      <c r="L108" s="11" t="n">
        <f aca="false">IF(I108=0,0,E108/I108)</f>
        <v>0.259513489973248</v>
      </c>
      <c r="M108" s="11" t="n">
        <f aca="false">IF(I108=0,0,H108/I108)</f>
        <v>0.0421704236743328</v>
      </c>
      <c r="N108" s="4" t="str">
        <f aca="false">INDEX($C$3:$E$3,MATCH(MAX(C108:E108),C108:E108,0))</f>
        <v>PT-Morena-PES</v>
      </c>
      <c r="O108" s="17" t="n">
        <f aca="false">(MAX(J108:L108)-LARGE(J108:L108,2))*100</f>
        <v>29.0252172290081</v>
      </c>
    </row>
    <row r="109" customFormat="false" ht="15" hidden="false" customHeight="false" outlineLevel="0" collapsed="false">
      <c r="A109" s="4" t="s">
        <v>62</v>
      </c>
      <c r="B109" s="4" t="n">
        <v>1</v>
      </c>
      <c r="C109" s="5" t="n">
        <v>42571</v>
      </c>
      <c r="D109" s="5" t="n">
        <v>67101</v>
      </c>
      <c r="E109" s="5" t="n">
        <v>40460</v>
      </c>
      <c r="F109" s="5" t="n">
        <v>16324</v>
      </c>
      <c r="G109" s="5" t="n">
        <v>82</v>
      </c>
      <c r="H109" s="5" t="n">
        <v>7285</v>
      </c>
      <c r="I109" s="5" t="n">
        <v>173823</v>
      </c>
      <c r="J109" s="11" t="n">
        <f aca="false">IF(I109=0,0,C109/I109)</f>
        <v>0.244910052179516</v>
      </c>
      <c r="K109" s="11" t="n">
        <f aca="false">IF(I109=0,0,D109/I109)</f>
        <v>0.386030617352134</v>
      </c>
      <c r="L109" s="11" t="n">
        <f aca="false">IF(I109=0,0,E109/I109)</f>
        <v>0.232765514345052</v>
      </c>
      <c r="M109" s="11" t="n">
        <f aca="false">IF(I109=0,0,H109/I109)</f>
        <v>0.0419104491350397</v>
      </c>
      <c r="N109" s="4" t="str">
        <f aca="false">INDEX($C$3:$E$3,MATCH(MAX(C109:E109),C109:E109,0))</f>
        <v>PAN-PRD-MC</v>
      </c>
      <c r="O109" s="17" t="n">
        <f aca="false">(MAX(J109:L109)-LARGE(J109:L109,2))*100</f>
        <v>14.1120565172618</v>
      </c>
    </row>
    <row r="110" customFormat="false" ht="15" hidden="false" customHeight="false" outlineLevel="0" collapsed="false">
      <c r="A110" s="4" t="s">
        <v>62</v>
      </c>
      <c r="B110" s="4" t="n">
        <v>2</v>
      </c>
      <c r="C110" s="5" t="n">
        <v>24152</v>
      </c>
      <c r="D110" s="5" t="n">
        <v>74577</v>
      </c>
      <c r="E110" s="5" t="n">
        <v>34018</v>
      </c>
      <c r="F110" s="5" t="n">
        <v>15817</v>
      </c>
      <c r="G110" s="5" t="n">
        <v>102</v>
      </c>
      <c r="H110" s="5" t="n">
        <v>6885</v>
      </c>
      <c r="I110" s="5" t="n">
        <v>155551</v>
      </c>
      <c r="J110" s="11" t="n">
        <f aca="false">IF(I110=0,0,C110/I110)</f>
        <v>0.155267404259696</v>
      </c>
      <c r="K110" s="11" t="n">
        <f aca="false">IF(I110=0,0,D110/I110)</f>
        <v>0.479437612101497</v>
      </c>
      <c r="L110" s="11" t="n">
        <f aca="false">IF(I110=0,0,E110/I110)</f>
        <v>0.21869354745389</v>
      </c>
      <c r="M110" s="11" t="n">
        <f aca="false">IF(I110=0,0,H110/I110)</f>
        <v>0.0442620105303084</v>
      </c>
      <c r="N110" s="4" t="str">
        <f aca="false">INDEX($C$3:$E$3,MATCH(MAX(C110:E110),C110:E110,0))</f>
        <v>PAN-PRD-MC</v>
      </c>
      <c r="O110" s="17" t="n">
        <f aca="false">(MAX(J110:L110)-LARGE(J110:L110,2))*100</f>
        <v>26.0744064647608</v>
      </c>
    </row>
    <row r="111" customFormat="false" ht="15" hidden="false" customHeight="false" outlineLevel="0" collapsed="false">
      <c r="A111" s="4" t="s">
        <v>62</v>
      </c>
      <c r="B111" s="4" t="n">
        <v>3</v>
      </c>
      <c r="C111" s="5" t="n">
        <v>24461</v>
      </c>
      <c r="D111" s="5" t="n">
        <v>90032</v>
      </c>
      <c r="E111" s="5" t="n">
        <v>40075</v>
      </c>
      <c r="F111" s="5" t="n">
        <v>24281</v>
      </c>
      <c r="G111" s="5" t="n">
        <v>109</v>
      </c>
      <c r="H111" s="5" t="n">
        <v>9059</v>
      </c>
      <c r="I111" s="5" t="n">
        <v>188017</v>
      </c>
      <c r="J111" s="11" t="n">
        <f aca="false">IF(I111=0,0,C111/I111)</f>
        <v>0.130099937771585</v>
      </c>
      <c r="K111" s="11" t="n">
        <f aca="false">IF(I111=0,0,D111/I111)</f>
        <v>0.478850316726679</v>
      </c>
      <c r="L111" s="11" t="n">
        <f aca="false">IF(I111=0,0,E111/I111)</f>
        <v>0.213145619810975</v>
      </c>
      <c r="M111" s="11" t="n">
        <f aca="false">IF(I111=0,0,H111/I111)</f>
        <v>0.0481818133466655</v>
      </c>
      <c r="N111" s="4" t="str">
        <f aca="false">INDEX($C$3:$E$3,MATCH(MAX(C111:E111),C111:E111,0))</f>
        <v>PAN-PRD-MC</v>
      </c>
      <c r="O111" s="17" t="n">
        <f aca="false">(MAX(J111:L111)-LARGE(J111:L111,2))*100</f>
        <v>26.5704696915704</v>
      </c>
    </row>
    <row r="112" customFormat="false" ht="15" hidden="false" customHeight="false" outlineLevel="0" collapsed="false">
      <c r="A112" s="4" t="s">
        <v>62</v>
      </c>
      <c r="B112" s="4" t="n">
        <v>4</v>
      </c>
      <c r="C112" s="5" t="n">
        <v>39969</v>
      </c>
      <c r="D112" s="5" t="n">
        <v>44504</v>
      </c>
      <c r="E112" s="5" t="n">
        <v>25960</v>
      </c>
      <c r="F112" s="5" t="n">
        <v>47998</v>
      </c>
      <c r="G112" s="5" t="n">
        <v>122</v>
      </c>
      <c r="H112" s="5" t="n">
        <v>5623</v>
      </c>
      <c r="I112" s="5" t="n">
        <v>164176</v>
      </c>
      <c r="J112" s="11" t="n">
        <f aca="false">IF(I112=0,0,C112/I112)</f>
        <v>0.243452148913361</v>
      </c>
      <c r="K112" s="11" t="n">
        <f aca="false">IF(I112=0,0,D112/I112)</f>
        <v>0.271074943962577</v>
      </c>
      <c r="L112" s="11" t="n">
        <f aca="false">IF(I112=0,0,E112/I112)</f>
        <v>0.158122989961992</v>
      </c>
      <c r="M112" s="11" t="n">
        <f aca="false">IF(I112=0,0,H112/I112)</f>
        <v>0.0342498294513205</v>
      </c>
      <c r="N112" s="4" t="str">
        <f aca="false">INDEX($C$3:$E$3,MATCH(MAX(C112:E112),C112:E112,0))</f>
        <v>PAN-PRD-MC</v>
      </c>
      <c r="O112" s="17" t="n">
        <f aca="false">(MAX(J112:L112)-LARGE(J112:L112,2))*100</f>
        <v>2.76227950492155</v>
      </c>
    </row>
    <row r="113" customFormat="false" ht="15" hidden="false" customHeight="false" outlineLevel="0" collapsed="false">
      <c r="A113" s="4" t="s">
        <v>62</v>
      </c>
      <c r="B113" s="4" t="n">
        <v>5</v>
      </c>
      <c r="C113" s="5" t="n">
        <v>54760</v>
      </c>
      <c r="D113" s="5" t="n">
        <v>48156</v>
      </c>
      <c r="E113" s="5" t="n">
        <v>23587</v>
      </c>
      <c r="F113" s="5" t="n">
        <v>24373</v>
      </c>
      <c r="G113" s="5" t="n">
        <v>141</v>
      </c>
      <c r="H113" s="5" t="n">
        <v>6386</v>
      </c>
      <c r="I113" s="5" t="n">
        <v>157403</v>
      </c>
      <c r="J113" s="11" t="n">
        <f aca="false">IF(I113=0,0,C113/I113)</f>
        <v>0.347896799933928</v>
      </c>
      <c r="K113" s="11" t="n">
        <f aca="false">IF(I113=0,0,D113/I113)</f>
        <v>0.305940801636563</v>
      </c>
      <c r="L113" s="11" t="n">
        <f aca="false">IF(I113=0,0,E113/I113)</f>
        <v>0.149851019357954</v>
      </c>
      <c r="M113" s="11" t="n">
        <f aca="false">IF(I113=0,0,H113/I113)</f>
        <v>0.0405710183414547</v>
      </c>
      <c r="N113" s="4" t="str">
        <f aca="false">INDEX($C$3:$E$3,MATCH(MAX(C113:E113),C113:E113,0))</f>
        <v>PT-Morena-PES</v>
      </c>
      <c r="O113" s="17" t="n">
        <f aca="false">(MAX(J113:L113)-LARGE(J113:L113,2))*100</f>
        <v>4.19559982973641</v>
      </c>
    </row>
    <row r="114" customFormat="false" ht="15" hidden="false" customHeight="false" outlineLevel="0" collapsed="false">
      <c r="A114" s="4" t="s">
        <v>62</v>
      </c>
      <c r="B114" s="4" t="n">
        <v>6</v>
      </c>
      <c r="C114" s="5" t="n">
        <v>40466</v>
      </c>
      <c r="D114" s="5" t="n">
        <v>54649</v>
      </c>
      <c r="E114" s="5" t="n">
        <v>23723</v>
      </c>
      <c r="F114" s="5" t="n">
        <v>55282</v>
      </c>
      <c r="G114" s="5" t="n">
        <v>215</v>
      </c>
      <c r="H114" s="5" t="n">
        <v>5467</v>
      </c>
      <c r="I114" s="5" t="n">
        <v>179802</v>
      </c>
      <c r="J114" s="11" t="n">
        <f aca="false">IF(I114=0,0,C114/I114)</f>
        <v>0.225058675654331</v>
      </c>
      <c r="K114" s="11" t="n">
        <f aca="false">IF(I114=0,0,D114/I114)</f>
        <v>0.303939889433933</v>
      </c>
      <c r="L114" s="11" t="n">
        <f aca="false">IF(I114=0,0,E114/I114)</f>
        <v>0.131939577980223</v>
      </c>
      <c r="M114" s="11" t="n">
        <f aca="false">IF(I114=0,0,H114/I114)</f>
        <v>0.0304056684575255</v>
      </c>
      <c r="N114" s="4" t="str">
        <f aca="false">INDEX($C$3:$E$3,MATCH(MAX(C114:E114),C114:E114,0))</f>
        <v>PAN-PRD-MC</v>
      </c>
      <c r="O114" s="17" t="n">
        <f aca="false">(MAX(J114:L114)-LARGE(J114:L114,2))*100</f>
        <v>7.8881213779602</v>
      </c>
    </row>
    <row r="115" customFormat="false" ht="15" hidden="false" customHeight="false" outlineLevel="0" collapsed="false">
      <c r="A115" s="4" t="s">
        <v>62</v>
      </c>
      <c r="B115" s="4" t="n">
        <v>7</v>
      </c>
      <c r="C115" s="5" t="n">
        <v>39103</v>
      </c>
      <c r="D115" s="5" t="n">
        <v>39492</v>
      </c>
      <c r="E115" s="5" t="n">
        <v>24195</v>
      </c>
      <c r="F115" s="5" t="n">
        <v>29532</v>
      </c>
      <c r="G115" s="5" t="n">
        <v>28</v>
      </c>
      <c r="H115" s="5" t="n">
        <v>4222</v>
      </c>
      <c r="I115" s="5" t="n">
        <v>136572</v>
      </c>
      <c r="J115" s="11" t="n">
        <f aca="false">IF(I115=0,0,C115/I115)</f>
        <v>0.286317839674311</v>
      </c>
      <c r="K115" s="11" t="n">
        <f aca="false">IF(I115=0,0,D115/I115)</f>
        <v>0.28916615411651</v>
      </c>
      <c r="L115" s="11" t="n">
        <f aca="false">IF(I115=0,0,E115/I115)</f>
        <v>0.1771593005887</v>
      </c>
      <c r="M115" s="11" t="n">
        <f aca="false">IF(I115=0,0,H115/I115)</f>
        <v>0.0309140965937381</v>
      </c>
      <c r="N115" s="4" t="str">
        <f aca="false">INDEX($C$3:$E$3,MATCH(MAX(C115:E115),C115:E115,0))</f>
        <v>PAN-PRD-MC</v>
      </c>
      <c r="O115" s="17" t="n">
        <f aca="false">(MAX(J115:L115)-LARGE(J115:L115,2))*100</f>
        <v>0.284831444219902</v>
      </c>
    </row>
    <row r="116" customFormat="false" ht="15" hidden="false" customHeight="false" outlineLevel="0" collapsed="false">
      <c r="A116" s="4" t="s">
        <v>62</v>
      </c>
      <c r="B116" s="4" t="n">
        <v>8</v>
      </c>
      <c r="C116" s="5" t="n">
        <v>40935</v>
      </c>
      <c r="D116" s="5" t="n">
        <v>64574</v>
      </c>
      <c r="E116" s="5" t="n">
        <v>28791</v>
      </c>
      <c r="F116" s="5" t="n">
        <v>80193</v>
      </c>
      <c r="G116" s="5" t="n">
        <v>58</v>
      </c>
      <c r="H116" s="5" t="n">
        <v>5674</v>
      </c>
      <c r="I116" s="5" t="n">
        <v>220225</v>
      </c>
      <c r="J116" s="11" t="n">
        <f aca="false">IF(I116=0,0,C116/I116)</f>
        <v>0.185878079237144</v>
      </c>
      <c r="K116" s="11" t="n">
        <f aca="false">IF(I116=0,0,D116/I116)</f>
        <v>0.293218299466455</v>
      </c>
      <c r="L116" s="11" t="n">
        <f aca="false">IF(I116=0,0,E116/I116)</f>
        <v>0.130734476103985</v>
      </c>
      <c r="M116" s="11" t="n">
        <f aca="false">IF(I116=0,0,H116/I116)</f>
        <v>0.0257645589737768</v>
      </c>
      <c r="N116" s="4" t="str">
        <f aca="false">INDEX($C$3:$E$3,MATCH(MAX(C116:E116),C116:E116,0))</f>
        <v>PAN-PRD-MC</v>
      </c>
      <c r="O116" s="17" t="n">
        <f aca="false">(MAX(J116:L116)-LARGE(J116:L116,2))*100</f>
        <v>10.7340220229311</v>
      </c>
    </row>
    <row r="117" customFormat="false" ht="15" hidden="false" customHeight="false" outlineLevel="0" collapsed="false">
      <c r="A117" s="4" t="s">
        <v>62</v>
      </c>
      <c r="B117" s="4" t="n">
        <v>9</v>
      </c>
      <c r="C117" s="5" t="n">
        <v>49218</v>
      </c>
      <c r="D117" s="5" t="n">
        <v>51346</v>
      </c>
      <c r="E117" s="5" t="n">
        <v>28122</v>
      </c>
      <c r="F117" s="5" t="n">
        <v>40952</v>
      </c>
      <c r="G117" s="5" t="n">
        <v>136</v>
      </c>
      <c r="H117" s="5" t="n">
        <v>6047</v>
      </c>
      <c r="I117" s="5" t="n">
        <v>175821</v>
      </c>
      <c r="J117" s="11" t="n">
        <f aca="false">IF(I117=0,0,C117/I117)</f>
        <v>0.27993243127954</v>
      </c>
      <c r="K117" s="11" t="n">
        <f aca="false">IF(I117=0,0,D117/I117)</f>
        <v>0.292035649893926</v>
      </c>
      <c r="L117" s="11" t="n">
        <f aca="false">IF(I117=0,0,E117/I117)</f>
        <v>0.159946764038425</v>
      </c>
      <c r="M117" s="11" t="n">
        <f aca="false">IF(I117=0,0,H117/I117)</f>
        <v>0.0343929337223654</v>
      </c>
      <c r="N117" s="4" t="str">
        <f aca="false">INDEX($C$3:$E$3,MATCH(MAX(C117:E117),C117:E117,0))</f>
        <v>PAN-PRD-MC</v>
      </c>
      <c r="O117" s="17" t="n">
        <f aca="false">(MAX(J117:L117)-LARGE(J117:L117,2))*100</f>
        <v>1.21032186143862</v>
      </c>
    </row>
    <row r="118" customFormat="false" ht="15" hidden="false" customHeight="false" outlineLevel="0" collapsed="false">
      <c r="A118" s="4" t="s">
        <v>62</v>
      </c>
      <c r="B118" s="4" t="n">
        <v>10</v>
      </c>
      <c r="C118" s="5" t="n">
        <v>30119</v>
      </c>
      <c r="D118" s="5" t="n">
        <v>53641</v>
      </c>
      <c r="E118" s="5" t="n">
        <v>18402</v>
      </c>
      <c r="F118" s="5" t="n">
        <v>78205</v>
      </c>
      <c r="G118" s="5" t="n">
        <v>43</v>
      </c>
      <c r="H118" s="5" t="n">
        <v>4412</v>
      </c>
      <c r="I118" s="5" t="n">
        <v>184822</v>
      </c>
      <c r="J118" s="11" t="n">
        <f aca="false">IF(I118=0,0,C118/I118)</f>
        <v>0.162962201469522</v>
      </c>
      <c r="K118" s="11" t="n">
        <f aca="false">IF(I118=0,0,D118/I118)</f>
        <v>0.290230600253217</v>
      </c>
      <c r="L118" s="11" t="n">
        <f aca="false">IF(I118=0,0,E118/I118)</f>
        <v>0.0995660689744727</v>
      </c>
      <c r="M118" s="11" t="n">
        <f aca="false">IF(I118=0,0,H118/I118)</f>
        <v>0.0238716170152904</v>
      </c>
      <c r="N118" s="4" t="str">
        <f aca="false">INDEX($C$3:$E$3,MATCH(MAX(C118:E118),C118:E118,0))</f>
        <v>PAN-PRD-MC</v>
      </c>
      <c r="O118" s="17" t="n">
        <f aca="false">(MAX(J118:L118)-LARGE(J118:L118,2))*100</f>
        <v>12.7268398783695</v>
      </c>
    </row>
    <row r="119" customFormat="false" ht="15" hidden="false" customHeight="false" outlineLevel="0" collapsed="false">
      <c r="A119" s="4" t="s">
        <v>62</v>
      </c>
      <c r="B119" s="4" t="n">
        <v>11</v>
      </c>
      <c r="C119" s="5" t="n">
        <v>48844</v>
      </c>
      <c r="D119" s="5" t="n">
        <v>57346</v>
      </c>
      <c r="E119" s="5" t="n">
        <v>32715</v>
      </c>
      <c r="F119" s="5" t="n">
        <v>46924</v>
      </c>
      <c r="G119" s="5" t="n">
        <v>52</v>
      </c>
      <c r="H119" s="5" t="n">
        <v>6260</v>
      </c>
      <c r="I119" s="5" t="n">
        <v>192141</v>
      </c>
      <c r="J119" s="11" t="n">
        <f aca="false">IF(I119=0,0,C119/I119)</f>
        <v>0.254209148489911</v>
      </c>
      <c r="K119" s="11" t="n">
        <f aca="false">IF(I119=0,0,D119/I119)</f>
        <v>0.29845790331059</v>
      </c>
      <c r="L119" s="11" t="n">
        <f aca="false">IF(I119=0,0,E119/I119)</f>
        <v>0.170265586210127</v>
      </c>
      <c r="M119" s="11" t="n">
        <f aca="false">IF(I119=0,0,H119/I119)</f>
        <v>0.0325802405525109</v>
      </c>
      <c r="N119" s="4" t="str">
        <f aca="false">INDEX($C$3:$E$3,MATCH(MAX(C119:E119),C119:E119,0))</f>
        <v>PAN-PRD-MC</v>
      </c>
      <c r="O119" s="17" t="n">
        <f aca="false">(MAX(J119:L119)-LARGE(J119:L119,2))*100</f>
        <v>4.42487548206786</v>
      </c>
    </row>
    <row r="120" customFormat="false" ht="15" hidden="false" customHeight="false" outlineLevel="0" collapsed="false">
      <c r="A120" s="4" t="s">
        <v>62</v>
      </c>
      <c r="B120" s="4" t="n">
        <v>12</v>
      </c>
      <c r="C120" s="5" t="n">
        <v>50350</v>
      </c>
      <c r="D120" s="5" t="n">
        <v>70821</v>
      </c>
      <c r="E120" s="5" t="n">
        <v>15968</v>
      </c>
      <c r="F120" s="5" t="n">
        <v>36486</v>
      </c>
      <c r="G120" s="5" t="n">
        <v>103</v>
      </c>
      <c r="H120" s="5" t="n">
        <v>4679</v>
      </c>
      <c r="I120" s="5" t="n">
        <v>178407</v>
      </c>
      <c r="J120" s="11" t="n">
        <f aca="false">IF(I120=0,0,C120/I120)</f>
        <v>0.282219868054505</v>
      </c>
      <c r="K120" s="11" t="n">
        <f aca="false">IF(I120=0,0,D120/I120)</f>
        <v>0.396963123644252</v>
      </c>
      <c r="L120" s="11" t="n">
        <f aca="false">IF(I120=0,0,E120/I120)</f>
        <v>0.0895032145599668</v>
      </c>
      <c r="M120" s="11" t="n">
        <f aca="false">IF(I120=0,0,H120/I120)</f>
        <v>0.0262265494066937</v>
      </c>
      <c r="N120" s="4" t="str">
        <f aca="false">INDEX($C$3:$E$3,MATCH(MAX(C120:E120),C120:E120,0))</f>
        <v>PAN-PRD-MC</v>
      </c>
      <c r="O120" s="17" t="n">
        <f aca="false">(MAX(J120:L120)-LARGE(J120:L120,2))*100</f>
        <v>11.4743255589747</v>
      </c>
    </row>
    <row r="121" customFormat="false" ht="15" hidden="false" customHeight="false" outlineLevel="0" collapsed="false">
      <c r="A121" s="4" t="s">
        <v>62</v>
      </c>
      <c r="B121" s="4" t="n">
        <v>13</v>
      </c>
      <c r="C121" s="5" t="n">
        <v>36601</v>
      </c>
      <c r="D121" s="5" t="n">
        <v>47996</v>
      </c>
      <c r="E121" s="5" t="n">
        <v>21888</v>
      </c>
      <c r="F121" s="5" t="n">
        <v>59147</v>
      </c>
      <c r="G121" s="5" t="n">
        <v>45</v>
      </c>
      <c r="H121" s="5" t="n">
        <v>5457</v>
      </c>
      <c r="I121" s="5" t="n">
        <v>171134</v>
      </c>
      <c r="J121" s="11" t="n">
        <f aca="false">IF(I121=0,0,C121/I121)</f>
        <v>0.213873339020884</v>
      </c>
      <c r="K121" s="11" t="n">
        <f aca="false">IF(I121=0,0,D121/I121)</f>
        <v>0.280458588007059</v>
      </c>
      <c r="L121" s="11" t="n">
        <f aca="false">IF(I121=0,0,E121/I121)</f>
        <v>0.127899774445756</v>
      </c>
      <c r="M121" s="11" t="n">
        <f aca="false">IF(I121=0,0,H121/I121)</f>
        <v>0.031887292998469</v>
      </c>
      <c r="N121" s="4" t="str">
        <f aca="false">INDEX($C$3:$E$3,MATCH(MAX(C121:E121),C121:E121,0))</f>
        <v>PAN-PRD-MC</v>
      </c>
      <c r="O121" s="17" t="n">
        <f aca="false">(MAX(J121:L121)-LARGE(J121:L121,2))*100</f>
        <v>6.65852489861746</v>
      </c>
    </row>
    <row r="122" customFormat="false" ht="15" hidden="false" customHeight="false" outlineLevel="0" collapsed="false">
      <c r="A122" s="4" t="s">
        <v>62</v>
      </c>
      <c r="B122" s="4" t="n">
        <v>14</v>
      </c>
      <c r="C122" s="5" t="n">
        <v>48644</v>
      </c>
      <c r="D122" s="5" t="n">
        <v>61513</v>
      </c>
      <c r="E122" s="5" t="n">
        <v>25727</v>
      </c>
      <c r="F122" s="5" t="n">
        <v>56812</v>
      </c>
      <c r="G122" s="5" t="n">
        <v>330</v>
      </c>
      <c r="H122" s="5" t="n">
        <v>6502</v>
      </c>
      <c r="I122" s="5" t="n">
        <v>199528</v>
      </c>
      <c r="J122" s="11" t="n">
        <f aca="false">IF(I122=0,0,C122/I122)</f>
        <v>0.243795357042621</v>
      </c>
      <c r="K122" s="11" t="n">
        <f aca="false">IF(I122=0,0,D122/I122)</f>
        <v>0.308292570466301</v>
      </c>
      <c r="L122" s="11" t="n">
        <f aca="false">IF(I122=0,0,E122/I122)</f>
        <v>0.128939296740307</v>
      </c>
      <c r="M122" s="11" t="n">
        <f aca="false">IF(I122=0,0,H122/I122)</f>
        <v>0.0325869050960266</v>
      </c>
      <c r="N122" s="4" t="str">
        <f aca="false">INDEX($C$3:$E$3,MATCH(MAX(C122:E122),C122:E122,0))</f>
        <v>PAN-PRD-MC</v>
      </c>
      <c r="O122" s="17" t="n">
        <f aca="false">(MAX(J122:L122)-LARGE(J122:L122,2))*100</f>
        <v>6.44972134236799</v>
      </c>
    </row>
    <row r="123" customFormat="false" ht="15" hidden="false" customHeight="false" outlineLevel="0" collapsed="false">
      <c r="A123" s="4" t="s">
        <v>62</v>
      </c>
      <c r="B123" s="4" t="n">
        <v>15</v>
      </c>
      <c r="C123" s="5" t="n">
        <v>54171</v>
      </c>
      <c r="D123" s="5" t="n">
        <v>55241</v>
      </c>
      <c r="E123" s="5" t="n">
        <v>44204</v>
      </c>
      <c r="F123" s="5" t="n">
        <v>18513</v>
      </c>
      <c r="G123" s="5" t="n">
        <v>26</v>
      </c>
      <c r="H123" s="5" t="n">
        <v>7817</v>
      </c>
      <c r="I123" s="5" t="n">
        <v>179972</v>
      </c>
      <c r="J123" s="11" t="n">
        <f aca="false">IF(I123=0,0,C123/I123)</f>
        <v>0.300996821727824</v>
      </c>
      <c r="K123" s="11" t="n">
        <f aca="false">IF(I123=0,0,D123/I123)</f>
        <v>0.30694219100749</v>
      </c>
      <c r="L123" s="11" t="n">
        <f aca="false">IF(I123=0,0,E123/I123)</f>
        <v>0.245615984708732</v>
      </c>
      <c r="M123" s="11" t="n">
        <f aca="false">IF(I123=0,0,H123/I123)</f>
        <v>0.043434534260885</v>
      </c>
      <c r="N123" s="4" t="str">
        <f aca="false">INDEX($C$3:$E$3,MATCH(MAX(C123:E123),C123:E123,0))</f>
        <v>PAN-PRD-MC</v>
      </c>
      <c r="O123" s="17" t="n">
        <f aca="false">(MAX(J123:L123)-LARGE(J123:L123,2))*100</f>
        <v>0.594536927966571</v>
      </c>
    </row>
    <row r="124" customFormat="false" ht="15" hidden="false" customHeight="false" outlineLevel="0" collapsed="false">
      <c r="A124" s="4" t="s">
        <v>62</v>
      </c>
      <c r="B124" s="4" t="n">
        <v>16</v>
      </c>
      <c r="C124" s="5" t="n">
        <v>47683</v>
      </c>
      <c r="D124" s="5" t="n">
        <v>44067</v>
      </c>
      <c r="E124" s="5" t="n">
        <v>30414</v>
      </c>
      <c r="F124" s="5" t="n">
        <v>35510</v>
      </c>
      <c r="G124" s="5" t="n">
        <v>57</v>
      </c>
      <c r="H124" s="5" t="n">
        <v>5813</v>
      </c>
      <c r="I124" s="5" t="n">
        <v>163544</v>
      </c>
      <c r="J124" s="11" t="n">
        <f aca="false">IF(I124=0,0,C124/I124)</f>
        <v>0.291560680917674</v>
      </c>
      <c r="K124" s="11" t="n">
        <f aca="false">IF(I124=0,0,D124/I124)</f>
        <v>0.269450423127721</v>
      </c>
      <c r="L124" s="11" t="n">
        <f aca="false">IF(I124=0,0,E124/I124)</f>
        <v>0.185968302108301</v>
      </c>
      <c r="M124" s="11" t="n">
        <f aca="false">IF(I124=0,0,H124/I124)</f>
        <v>0.0355439514748325</v>
      </c>
      <c r="N124" s="4" t="str">
        <f aca="false">INDEX($C$3:$E$3,MATCH(MAX(C124:E124),C124:E124,0))</f>
        <v>PT-Morena-PES</v>
      </c>
      <c r="O124" s="17" t="n">
        <f aca="false">(MAX(J124:L124)-LARGE(J124:L124,2))*100</f>
        <v>2.21102577899525</v>
      </c>
    </row>
    <row r="125" customFormat="false" ht="15" hidden="false" customHeight="false" outlineLevel="0" collapsed="false">
      <c r="A125" s="4" t="s">
        <v>62</v>
      </c>
      <c r="B125" s="4" t="n">
        <v>17</v>
      </c>
      <c r="C125" s="5" t="n">
        <v>39934</v>
      </c>
      <c r="D125" s="5" t="n">
        <v>53212</v>
      </c>
      <c r="E125" s="5" t="n">
        <v>42593</v>
      </c>
      <c r="F125" s="5" t="n">
        <v>19003</v>
      </c>
      <c r="G125" s="5" t="n">
        <v>118</v>
      </c>
      <c r="H125" s="5" t="n">
        <v>6738</v>
      </c>
      <c r="I125" s="5" t="n">
        <v>161598</v>
      </c>
      <c r="J125" s="11" t="n">
        <f aca="false">IF(I125=0,0,C125/I125)</f>
        <v>0.247119395042018</v>
      </c>
      <c r="K125" s="11" t="n">
        <f aca="false">IF(I125=0,0,D125/I125)</f>
        <v>0.329286253542742</v>
      </c>
      <c r="L125" s="11" t="n">
        <f aca="false">IF(I125=0,0,E125/I125)</f>
        <v>0.263573806606517</v>
      </c>
      <c r="M125" s="11" t="n">
        <f aca="false">IF(I125=0,0,H125/I125)</f>
        <v>0.0416960605948093</v>
      </c>
      <c r="N125" s="4" t="str">
        <f aca="false">INDEX($C$3:$E$3,MATCH(MAX(C125:E125),C125:E125,0))</f>
        <v>PAN-PRD-MC</v>
      </c>
      <c r="O125" s="17" t="n">
        <f aca="false">(MAX(J125:L125)-LARGE(J125:L125,2))*100</f>
        <v>6.57124469362245</v>
      </c>
    </row>
    <row r="126" customFormat="false" ht="15" hidden="false" customHeight="false" outlineLevel="0" collapsed="false">
      <c r="A126" s="4" t="s">
        <v>62</v>
      </c>
      <c r="B126" s="4" t="n">
        <v>18</v>
      </c>
      <c r="C126" s="5" t="n">
        <v>45508</v>
      </c>
      <c r="D126" s="5" t="n">
        <v>66636</v>
      </c>
      <c r="E126" s="5" t="n">
        <v>42243</v>
      </c>
      <c r="F126" s="5" t="n">
        <v>17173</v>
      </c>
      <c r="G126" s="5" t="n">
        <v>146</v>
      </c>
      <c r="H126" s="5" t="n">
        <v>8386</v>
      </c>
      <c r="I126" s="5" t="n">
        <v>180092</v>
      </c>
      <c r="J126" s="11" t="n">
        <f aca="false">IF(I126=0,0,C126/I126)</f>
        <v>0.252693067987473</v>
      </c>
      <c r="K126" s="11" t="n">
        <f aca="false">IF(I126=0,0,D126/I126)</f>
        <v>0.3700108833263</v>
      </c>
      <c r="L126" s="11" t="n">
        <f aca="false">IF(I126=0,0,E126/I126)</f>
        <v>0.234563445350154</v>
      </c>
      <c r="M126" s="11" t="n">
        <f aca="false">IF(I126=0,0,H126/I126)</f>
        <v>0.0465650889545344</v>
      </c>
      <c r="N126" s="4" t="str">
        <f aca="false">INDEX($C$3:$E$3,MATCH(MAX(C126:E126),C126:E126,0))</f>
        <v>PAN-PRD-MC</v>
      </c>
      <c r="O126" s="17" t="n">
        <f aca="false">(MAX(J126:L126)-LARGE(J126:L126,2))*100</f>
        <v>11.7317815338827</v>
      </c>
    </row>
    <row r="127" customFormat="false" ht="15" hidden="false" customHeight="false" outlineLevel="0" collapsed="false">
      <c r="A127" s="4" t="s">
        <v>62</v>
      </c>
      <c r="B127" s="4" t="n">
        <v>19</v>
      </c>
      <c r="C127" s="5" t="n">
        <v>48986</v>
      </c>
      <c r="D127" s="5" t="n">
        <v>57099</v>
      </c>
      <c r="E127" s="5" t="n">
        <v>39056</v>
      </c>
      <c r="F127" s="5" t="n">
        <v>35974</v>
      </c>
      <c r="G127" s="5" t="n">
        <v>42</v>
      </c>
      <c r="H127" s="5" t="n">
        <v>7630</v>
      </c>
      <c r="I127" s="5" t="n">
        <v>188787</v>
      </c>
      <c r="J127" s="11" t="n">
        <f aca="false">IF(I127=0,0,C127/I127)</f>
        <v>0.259477612335595</v>
      </c>
      <c r="K127" s="11" t="n">
        <f aca="false">IF(I127=0,0,D127/I127)</f>
        <v>0.302451969680116</v>
      </c>
      <c r="L127" s="11" t="n">
        <f aca="false">IF(I127=0,0,E127/I127)</f>
        <v>0.20687865160207</v>
      </c>
      <c r="M127" s="11" t="n">
        <f aca="false">IF(I127=0,0,H127/I127)</f>
        <v>0.0404159184689624</v>
      </c>
      <c r="N127" s="4" t="str">
        <f aca="false">INDEX($C$3:$E$3,MATCH(MAX(C127:E127),C127:E127,0))</f>
        <v>PAN-PRD-MC</v>
      </c>
      <c r="O127" s="17" t="n">
        <f aca="false">(MAX(J127:L127)-LARGE(J127:L127,2))*100</f>
        <v>4.29743573445205</v>
      </c>
    </row>
    <row r="128" customFormat="false" ht="15" hidden="false" customHeight="false" outlineLevel="0" collapsed="false">
      <c r="A128" s="4" t="s">
        <v>62</v>
      </c>
      <c r="B128" s="4" t="n">
        <v>20</v>
      </c>
      <c r="C128" s="5" t="n">
        <v>38928</v>
      </c>
      <c r="D128" s="5" t="n">
        <v>54821</v>
      </c>
      <c r="E128" s="5" t="n">
        <v>26791</v>
      </c>
      <c r="F128" s="5" t="n">
        <v>20865</v>
      </c>
      <c r="G128" s="5" t="n">
        <v>194</v>
      </c>
      <c r="H128" s="5" t="n">
        <v>5233</v>
      </c>
      <c r="I128" s="5" t="n">
        <v>146832</v>
      </c>
      <c r="J128" s="11" t="n">
        <f aca="false">IF(I128=0,0,C128/I128)</f>
        <v>0.265119320039229</v>
      </c>
      <c r="K128" s="11" t="n">
        <f aca="false">IF(I128=0,0,D128/I128)</f>
        <v>0.373358668410156</v>
      </c>
      <c r="L128" s="11" t="n">
        <f aca="false">IF(I128=0,0,E128/I128)</f>
        <v>0.182460226653591</v>
      </c>
      <c r="M128" s="11" t="n">
        <f aca="false">IF(I128=0,0,H128/I128)</f>
        <v>0.0356393701645418</v>
      </c>
      <c r="N128" s="4" t="str">
        <f aca="false">INDEX($C$3:$E$3,MATCH(MAX(C128:E128),C128:E128,0))</f>
        <v>PAN-PRD-MC</v>
      </c>
      <c r="O128" s="17" t="n">
        <f aca="false">(MAX(J128:L128)-LARGE(J128:L128,2))*100</f>
        <v>10.8239348370927</v>
      </c>
    </row>
    <row r="129" customFormat="false" ht="15" hidden="false" customHeight="false" outlineLevel="0" collapsed="false">
      <c r="A129" s="4" t="s">
        <v>63</v>
      </c>
      <c r="B129" s="4" t="n">
        <v>1</v>
      </c>
      <c r="C129" s="5" t="n">
        <v>82345</v>
      </c>
      <c r="D129" s="5" t="n">
        <v>51490</v>
      </c>
      <c r="E129" s="5" t="n">
        <v>81801</v>
      </c>
      <c r="F129" s="5" t="n">
        <v>0</v>
      </c>
      <c r="G129" s="5" t="n">
        <v>127</v>
      </c>
      <c r="H129" s="5" t="n">
        <v>8887</v>
      </c>
      <c r="I129" s="5" t="n">
        <v>224650</v>
      </c>
      <c r="J129" s="11" t="n">
        <f aca="false">IF(I129=0,0,C129/I129)</f>
        <v>0.366547963498776</v>
      </c>
      <c r="K129" s="11" t="n">
        <f aca="false">IF(I129=0,0,D129/I129)</f>
        <v>0.229200979301135</v>
      </c>
      <c r="L129" s="11" t="n">
        <f aca="false">IF(I129=0,0,E129/I129)</f>
        <v>0.364126418873804</v>
      </c>
      <c r="M129" s="11" t="n">
        <f aca="false">IF(I129=0,0,H129/I129)</f>
        <v>0.0395593144892054</v>
      </c>
      <c r="N129" s="4" t="str">
        <f aca="false">INDEX($C$3:$E$3,MATCH(MAX(C129:E129),C129:E129,0))</f>
        <v>PT-Morena-PES</v>
      </c>
      <c r="O129" s="17" t="n">
        <f aca="false">(MAX(J129:L129)-LARGE(J129:L129,2))*100</f>
        <v>0.242154462497218</v>
      </c>
    </row>
    <row r="130" customFormat="false" ht="15" hidden="false" customHeight="false" outlineLevel="0" collapsed="false">
      <c r="A130" s="4" t="s">
        <v>63</v>
      </c>
      <c r="B130" s="4" t="n">
        <v>2</v>
      </c>
      <c r="C130" s="5" t="n">
        <v>97849</v>
      </c>
      <c r="D130" s="5" t="n">
        <v>44969</v>
      </c>
      <c r="E130" s="5" t="n">
        <v>35719</v>
      </c>
      <c r="F130" s="5" t="n">
        <v>0</v>
      </c>
      <c r="G130" s="5" t="n">
        <v>106</v>
      </c>
      <c r="H130" s="5" t="n">
        <v>5134</v>
      </c>
      <c r="I130" s="5" t="n">
        <v>183777</v>
      </c>
      <c r="J130" s="11" t="n">
        <f aca="false">IF(I130=0,0,C130/I130)</f>
        <v>0.532433329524369</v>
      </c>
      <c r="K130" s="11" t="n">
        <f aca="false">IF(I130=0,0,D130/I130)</f>
        <v>0.244693296767278</v>
      </c>
      <c r="L130" s="11" t="n">
        <f aca="false">IF(I130=0,0,E130/I130)</f>
        <v>0.194360556544072</v>
      </c>
      <c r="M130" s="11" t="n">
        <f aca="false">IF(I130=0,0,H130/I130)</f>
        <v>0.0279360311682093</v>
      </c>
      <c r="N130" s="4" t="str">
        <f aca="false">INDEX($C$3:$E$3,MATCH(MAX(C130:E130),C130:E130,0))</f>
        <v>PT-Morena-PES</v>
      </c>
      <c r="O130" s="17" t="n">
        <f aca="false">(MAX(J130:L130)-LARGE(J130:L130,2))*100</f>
        <v>28.7740032757091</v>
      </c>
    </row>
    <row r="131" customFormat="false" ht="15" hidden="false" customHeight="false" outlineLevel="0" collapsed="false">
      <c r="A131" s="4" t="s">
        <v>63</v>
      </c>
      <c r="B131" s="4" t="n">
        <v>3</v>
      </c>
      <c r="C131" s="5" t="n">
        <v>101998</v>
      </c>
      <c r="D131" s="5" t="n">
        <v>44842</v>
      </c>
      <c r="E131" s="5" t="n">
        <v>64379</v>
      </c>
      <c r="F131" s="5" t="n">
        <v>0</v>
      </c>
      <c r="G131" s="5" t="n">
        <v>73</v>
      </c>
      <c r="H131" s="5" t="n">
        <v>8326</v>
      </c>
      <c r="I131" s="5" t="n">
        <v>219618</v>
      </c>
      <c r="J131" s="11" t="n">
        <f aca="false">IF(I131=0,0,C131/I131)</f>
        <v>0.464433698512872</v>
      </c>
      <c r="K131" s="11" t="n">
        <f aca="false">IF(I131=0,0,D131/I131)</f>
        <v>0.204181806591445</v>
      </c>
      <c r="L131" s="11" t="n">
        <f aca="false">IF(I131=0,0,E131/I131)</f>
        <v>0.293140817237203</v>
      </c>
      <c r="M131" s="11" t="n">
        <f aca="false">IF(I131=0,0,H131/I131)</f>
        <v>0.0379112823174785</v>
      </c>
      <c r="N131" s="4" t="str">
        <f aca="false">INDEX($C$3:$E$3,MATCH(MAX(C131:E131),C131:E131,0))</f>
        <v>PT-Morena-PES</v>
      </c>
      <c r="O131" s="17" t="n">
        <f aca="false">(MAX(J131:L131)-LARGE(J131:L131,2))*100</f>
        <v>17.129288127567</v>
      </c>
    </row>
    <row r="132" customFormat="false" ht="15" hidden="false" customHeight="false" outlineLevel="0" collapsed="false">
      <c r="A132" s="4" t="s">
        <v>63</v>
      </c>
      <c r="B132" s="4" t="n">
        <v>4</v>
      </c>
      <c r="C132" s="5" t="n">
        <v>98913</v>
      </c>
      <c r="D132" s="5" t="n">
        <v>44969</v>
      </c>
      <c r="E132" s="5" t="n">
        <v>43491</v>
      </c>
      <c r="F132" s="5" t="n">
        <v>0</v>
      </c>
      <c r="G132" s="5" t="n">
        <v>122</v>
      </c>
      <c r="H132" s="5" t="n">
        <v>5458</v>
      </c>
      <c r="I132" s="5" t="n">
        <v>192953</v>
      </c>
      <c r="J132" s="11" t="n">
        <f aca="false">IF(I132=0,0,C132/I132)</f>
        <v>0.512627427404601</v>
      </c>
      <c r="K132" s="11" t="n">
        <f aca="false">IF(I132=0,0,D132/I132)</f>
        <v>0.233056754753748</v>
      </c>
      <c r="L132" s="11" t="n">
        <f aca="false">IF(I132=0,0,E132/I132)</f>
        <v>0.225396858302281</v>
      </c>
      <c r="M132" s="11" t="n">
        <f aca="false">IF(I132=0,0,H132/I132)</f>
        <v>0.0282866812125233</v>
      </c>
      <c r="N132" s="4" t="str">
        <f aca="false">INDEX($C$3:$E$3,MATCH(MAX(C132:E132),C132:E132,0))</f>
        <v>PT-Morena-PES</v>
      </c>
      <c r="O132" s="17" t="n">
        <f aca="false">(MAX(J132:L132)-LARGE(J132:L132,2))*100</f>
        <v>27.9570672650853</v>
      </c>
    </row>
    <row r="133" customFormat="false" ht="15" hidden="false" customHeight="false" outlineLevel="0" collapsed="false">
      <c r="A133" s="4" t="s">
        <v>63</v>
      </c>
      <c r="B133" s="4" t="n">
        <v>5</v>
      </c>
      <c r="C133" s="5" t="n">
        <v>99403</v>
      </c>
      <c r="D133" s="5" t="n">
        <v>39509</v>
      </c>
      <c r="E133" s="5" t="n">
        <v>52016</v>
      </c>
      <c r="F133" s="5" t="n">
        <v>0</v>
      </c>
      <c r="G133" s="5" t="n">
        <v>132</v>
      </c>
      <c r="H133" s="5" t="n">
        <v>5723</v>
      </c>
      <c r="I133" s="5" t="n">
        <v>196783</v>
      </c>
      <c r="J133" s="11" t="n">
        <f aca="false">IF(I133=0,0,C133/I133)</f>
        <v>0.505140179791954</v>
      </c>
      <c r="K133" s="11" t="n">
        <f aca="false">IF(I133=0,0,D133/I133)</f>
        <v>0.200774457143148</v>
      </c>
      <c r="L133" s="11" t="n">
        <f aca="false">IF(I133=0,0,E133/I133)</f>
        <v>0.264331776627046</v>
      </c>
      <c r="M133" s="11" t="n">
        <f aca="false">IF(I133=0,0,H133/I133)</f>
        <v>0.0290827967863078</v>
      </c>
      <c r="N133" s="4" t="str">
        <f aca="false">INDEX($C$3:$E$3,MATCH(MAX(C133:E133),C133:E133,0))</f>
        <v>PT-Morena-PES</v>
      </c>
      <c r="O133" s="17" t="n">
        <f aca="false">(MAX(J133:L133)-LARGE(J133:L133,2))*100</f>
        <v>24.0808403164908</v>
      </c>
    </row>
    <row r="134" customFormat="false" ht="15" hidden="false" customHeight="false" outlineLevel="0" collapsed="false">
      <c r="A134" s="4" t="s">
        <v>63</v>
      </c>
      <c r="B134" s="4" t="n">
        <v>6</v>
      </c>
      <c r="C134" s="5" t="n">
        <v>106100</v>
      </c>
      <c r="D134" s="5" t="n">
        <v>46863</v>
      </c>
      <c r="E134" s="5" t="n">
        <v>36367</v>
      </c>
      <c r="F134" s="5" t="n">
        <v>0</v>
      </c>
      <c r="G134" s="5" t="n">
        <v>154</v>
      </c>
      <c r="H134" s="5" t="n">
        <v>5518</v>
      </c>
      <c r="I134" s="5" t="n">
        <v>195002</v>
      </c>
      <c r="J134" s="11" t="n">
        <f aca="false">IF(I134=0,0,C134/I134)</f>
        <v>0.544096983620681</v>
      </c>
      <c r="K134" s="11" t="n">
        <f aca="false">IF(I134=0,0,D134/I134)</f>
        <v>0.240320612096286</v>
      </c>
      <c r="L134" s="11" t="n">
        <f aca="false">IF(I134=0,0,E134/I134)</f>
        <v>0.18649552312284</v>
      </c>
      <c r="M134" s="11" t="n">
        <f aca="false">IF(I134=0,0,H134/I134)</f>
        <v>0.0282971456703008</v>
      </c>
      <c r="N134" s="4" t="str">
        <f aca="false">INDEX($C$3:$E$3,MATCH(MAX(C134:E134),C134:E134,0))</f>
        <v>PT-Morena-PES</v>
      </c>
      <c r="O134" s="17" t="n">
        <f aca="false">(MAX(J134:L134)-LARGE(J134:L134,2))*100</f>
        <v>30.3776371524395</v>
      </c>
    </row>
    <row r="135" customFormat="false" ht="15" hidden="false" customHeight="false" outlineLevel="0" collapsed="false">
      <c r="A135" s="4" t="s">
        <v>63</v>
      </c>
      <c r="B135" s="4" t="n">
        <v>7</v>
      </c>
      <c r="C135" s="5" t="n">
        <v>108646</v>
      </c>
      <c r="D135" s="5" t="n">
        <v>60328</v>
      </c>
      <c r="E135" s="5" t="n">
        <v>39900</v>
      </c>
      <c r="F135" s="5" t="n">
        <v>0</v>
      </c>
      <c r="G135" s="5" t="n">
        <v>132</v>
      </c>
      <c r="H135" s="5" t="n">
        <v>5903</v>
      </c>
      <c r="I135" s="5" t="n">
        <v>214909</v>
      </c>
      <c r="J135" s="11" t="n">
        <f aca="false">IF(I135=0,0,C135/I135)</f>
        <v>0.505544207082998</v>
      </c>
      <c r="K135" s="11" t="n">
        <f aca="false">IF(I135=0,0,D135/I135)</f>
        <v>0.280714162738648</v>
      </c>
      <c r="L135" s="11" t="n">
        <f aca="false">IF(I135=0,0,E135/I135)</f>
        <v>0.185659977013527</v>
      </c>
      <c r="M135" s="11" t="n">
        <f aca="false">IF(I135=0,0,H135/I135)</f>
        <v>0.0274674397070388</v>
      </c>
      <c r="N135" s="4" t="str">
        <f aca="false">INDEX($C$3:$E$3,MATCH(MAX(C135:E135),C135:E135,0))</f>
        <v>PT-Morena-PES</v>
      </c>
      <c r="O135" s="17" t="n">
        <f aca="false">(MAX(J135:L135)-LARGE(J135:L135,2))*100</f>
        <v>22.483004434435</v>
      </c>
    </row>
    <row r="136" customFormat="false" ht="15" hidden="false" customHeight="false" outlineLevel="0" collapsed="false">
      <c r="A136" s="4" t="s">
        <v>63</v>
      </c>
      <c r="B136" s="4" t="n">
        <v>8</v>
      </c>
      <c r="C136" s="5" t="n">
        <v>88899</v>
      </c>
      <c r="D136" s="5" t="n">
        <v>36574</v>
      </c>
      <c r="E136" s="5" t="n">
        <v>33651</v>
      </c>
      <c r="F136" s="5" t="n">
        <v>0</v>
      </c>
      <c r="G136" s="5" t="n">
        <v>96</v>
      </c>
      <c r="H136" s="5" t="n">
        <v>4775</v>
      </c>
      <c r="I136" s="5" t="n">
        <v>163995</v>
      </c>
      <c r="J136" s="11" t="n">
        <f aca="false">IF(I136=0,0,C136/I136)</f>
        <v>0.542083600109759</v>
      </c>
      <c r="K136" s="11" t="n">
        <f aca="false">IF(I136=0,0,D136/I136)</f>
        <v>0.223018994481539</v>
      </c>
      <c r="L136" s="11" t="n">
        <f aca="false">IF(I136=0,0,E136/I136)</f>
        <v>0.205195280343913</v>
      </c>
      <c r="M136" s="11" t="n">
        <f aca="false">IF(I136=0,0,H136/I136)</f>
        <v>0.029116741364066</v>
      </c>
      <c r="N136" s="4" t="str">
        <f aca="false">INDEX($C$3:$E$3,MATCH(MAX(C136:E136),C136:E136,0))</f>
        <v>PT-Morena-PES</v>
      </c>
      <c r="O136" s="17" t="n">
        <f aca="false">(MAX(J136:L136)-LARGE(J136:L136,2))*100</f>
        <v>31.906460562822</v>
      </c>
    </row>
    <row r="137" customFormat="false" ht="15" hidden="false" customHeight="false" outlineLevel="0" collapsed="false">
      <c r="A137" s="4" t="s">
        <v>63</v>
      </c>
      <c r="B137" s="4" t="n">
        <v>9</v>
      </c>
      <c r="C137" s="5" t="n">
        <v>60177</v>
      </c>
      <c r="D137" s="5" t="n">
        <v>43402</v>
      </c>
      <c r="E137" s="5" t="n">
        <v>80293</v>
      </c>
      <c r="F137" s="5" t="n">
        <v>0</v>
      </c>
      <c r="G137" s="5" t="n">
        <v>66</v>
      </c>
      <c r="H137" s="5" t="n">
        <v>8582</v>
      </c>
      <c r="I137" s="5" t="n">
        <v>192520</v>
      </c>
      <c r="J137" s="11" t="n">
        <f aca="false">IF(I137=0,0,C137/I137)</f>
        <v>0.312575316850197</v>
      </c>
      <c r="K137" s="11" t="n">
        <f aca="false">IF(I137=0,0,D137/I137)</f>
        <v>0.225441512570123</v>
      </c>
      <c r="L137" s="11" t="n">
        <f aca="false">IF(I137=0,0,E137/I137)</f>
        <v>0.417063162268855</v>
      </c>
      <c r="M137" s="11" t="n">
        <f aca="false">IF(I137=0,0,H137/I137)</f>
        <v>0.0445771867857885</v>
      </c>
      <c r="N137" s="4" t="str">
        <f aca="false">INDEX($C$3:$E$3,MATCH(MAX(C137:E137),C137:E137,0))</f>
        <v>PRI-PVEM-NA</v>
      </c>
      <c r="O137" s="17" t="n">
        <f aca="false">(MAX(J137:L137)-LARGE(J137:L137,2))*100</f>
        <v>10.4487845418658</v>
      </c>
    </row>
    <row r="138" customFormat="false" ht="15" hidden="false" customHeight="false" outlineLevel="0" collapsed="false">
      <c r="A138" s="4" t="s">
        <v>63</v>
      </c>
      <c r="B138" s="4" t="n">
        <v>10</v>
      </c>
      <c r="C138" s="5" t="n">
        <v>94484</v>
      </c>
      <c r="D138" s="5" t="n">
        <v>34188</v>
      </c>
      <c r="E138" s="5" t="n">
        <v>35555</v>
      </c>
      <c r="F138" s="5" t="n">
        <v>0</v>
      </c>
      <c r="G138" s="5" t="n">
        <v>94</v>
      </c>
      <c r="H138" s="5" t="n">
        <v>4384</v>
      </c>
      <c r="I138" s="5" t="n">
        <v>168705</v>
      </c>
      <c r="J138" s="11" t="n">
        <f aca="false">IF(I138=0,0,C138/I138)</f>
        <v>0.560054533060668</v>
      </c>
      <c r="K138" s="11" t="n">
        <f aca="false">IF(I138=0,0,D138/I138)</f>
        <v>0.202649595447675</v>
      </c>
      <c r="L138" s="11" t="n">
        <f aca="false">IF(I138=0,0,E138/I138)</f>
        <v>0.210752496962153</v>
      </c>
      <c r="M138" s="11" t="n">
        <f aca="false">IF(I138=0,0,H138/I138)</f>
        <v>0.0259861889096352</v>
      </c>
      <c r="N138" s="4" t="str">
        <f aca="false">INDEX($C$3:$E$3,MATCH(MAX(C138:E138),C138:E138,0))</f>
        <v>PT-Morena-PES</v>
      </c>
      <c r="O138" s="17" t="n">
        <f aca="false">(MAX(J138:L138)-LARGE(J138:L138,2))*100</f>
        <v>34.9302036098515</v>
      </c>
    </row>
    <row r="139" customFormat="false" ht="15" hidden="false" customHeight="false" outlineLevel="0" collapsed="false">
      <c r="A139" s="4" t="s">
        <v>63</v>
      </c>
      <c r="B139" s="4" t="n">
        <v>11</v>
      </c>
      <c r="C139" s="5" t="n">
        <v>98481</v>
      </c>
      <c r="D139" s="5" t="n">
        <v>37381</v>
      </c>
      <c r="E139" s="5" t="n">
        <v>41592</v>
      </c>
      <c r="F139" s="5" t="n">
        <v>0</v>
      </c>
      <c r="G139" s="5" t="n">
        <v>105</v>
      </c>
      <c r="H139" s="5" t="n">
        <v>5172</v>
      </c>
      <c r="I139" s="5" t="n">
        <v>182731</v>
      </c>
      <c r="J139" s="11" t="n">
        <f aca="false">IF(I139=0,0,C139/I139)</f>
        <v>0.538939752970213</v>
      </c>
      <c r="K139" s="11" t="n">
        <f aca="false">IF(I139=0,0,D139/I139)</f>
        <v>0.204568464026356</v>
      </c>
      <c r="L139" s="11" t="n">
        <f aca="false">IF(I139=0,0,E139/I139)</f>
        <v>0.227613267590064</v>
      </c>
      <c r="M139" s="11" t="n">
        <f aca="false">IF(I139=0,0,H139/I139)</f>
        <v>0.028303900268701</v>
      </c>
      <c r="N139" s="4" t="str">
        <f aca="false">INDEX($C$3:$E$3,MATCH(MAX(C139:E139),C139:E139,0))</f>
        <v>PT-Morena-PES</v>
      </c>
      <c r="O139" s="17" t="n">
        <f aca="false">(MAX(J139:L139)-LARGE(J139:L139,2))*100</f>
        <v>31.1326485380149</v>
      </c>
    </row>
    <row r="140" customFormat="false" ht="15" hidden="false" customHeight="false" outlineLevel="0" collapsed="false">
      <c r="A140" s="4" t="s">
        <v>63</v>
      </c>
      <c r="B140" s="4" t="n">
        <v>12</v>
      </c>
      <c r="C140" s="5" t="n">
        <v>87955</v>
      </c>
      <c r="D140" s="5" t="n">
        <v>28115</v>
      </c>
      <c r="E140" s="5" t="n">
        <v>48314</v>
      </c>
      <c r="F140" s="5" t="n">
        <v>0</v>
      </c>
      <c r="G140" s="5" t="n">
        <v>112</v>
      </c>
      <c r="H140" s="5" t="n">
        <v>4977</v>
      </c>
      <c r="I140" s="5" t="n">
        <v>169473</v>
      </c>
      <c r="J140" s="11" t="n">
        <f aca="false">IF(I140=0,0,C140/I140)</f>
        <v>0.518991225740973</v>
      </c>
      <c r="K140" s="11" t="n">
        <f aca="false">IF(I140=0,0,D140/I140)</f>
        <v>0.165896632501932</v>
      </c>
      <c r="L140" s="11" t="n">
        <f aca="false">IF(I140=0,0,E140/I140)</f>
        <v>0.28508375965493</v>
      </c>
      <c r="M140" s="11" t="n">
        <f aca="false">IF(I140=0,0,H140/I140)</f>
        <v>0.0293675098688287</v>
      </c>
      <c r="N140" s="4" t="str">
        <f aca="false">INDEX($C$3:$E$3,MATCH(MAX(C140:E140),C140:E140,0))</f>
        <v>PT-Morena-PES</v>
      </c>
      <c r="O140" s="17" t="n">
        <f aca="false">(MAX(J140:L140)-LARGE(J140:L140,2))*100</f>
        <v>23.3907466086043</v>
      </c>
    </row>
    <row r="141" customFormat="false" ht="15" hidden="false" customHeight="false" outlineLevel="0" collapsed="false">
      <c r="A141" s="4" t="s">
        <v>63</v>
      </c>
      <c r="B141" s="4" t="n">
        <v>13</v>
      </c>
      <c r="C141" s="5" t="n">
        <v>98959</v>
      </c>
      <c r="D141" s="5" t="n">
        <v>35671</v>
      </c>
      <c r="E141" s="5" t="n">
        <v>40949</v>
      </c>
      <c r="F141" s="5" t="n">
        <v>0</v>
      </c>
      <c r="G141" s="5" t="n">
        <v>121</v>
      </c>
      <c r="H141" s="5" t="n">
        <v>5219</v>
      </c>
      <c r="I141" s="5" t="n">
        <v>180919</v>
      </c>
      <c r="J141" s="11" t="n">
        <f aca="false">IF(I141=0,0,C141/I141)</f>
        <v>0.54697958755023</v>
      </c>
      <c r="K141" s="11" t="n">
        <f aca="false">IF(I141=0,0,D141/I141)</f>
        <v>0.197165582387698</v>
      </c>
      <c r="L141" s="11" t="n">
        <f aca="false">IF(I141=0,0,E141/I141)</f>
        <v>0.226338858826326</v>
      </c>
      <c r="M141" s="11" t="n">
        <f aca="false">IF(I141=0,0,H141/I141)</f>
        <v>0.0288471636478203</v>
      </c>
      <c r="N141" s="4" t="str">
        <f aca="false">INDEX($C$3:$E$3,MATCH(MAX(C141:E141),C141:E141,0))</f>
        <v>PT-Morena-PES</v>
      </c>
      <c r="O141" s="17" t="n">
        <f aca="false">(MAX(J141:L141)-LARGE(J141:L141,2))*100</f>
        <v>32.0640728723904</v>
      </c>
    </row>
    <row r="142" customFormat="false" ht="15" hidden="false" customHeight="false" outlineLevel="0" collapsed="false">
      <c r="A142" s="4" t="s">
        <v>63</v>
      </c>
      <c r="B142" s="4" t="n">
        <v>14</v>
      </c>
      <c r="C142" s="5" t="n">
        <v>94464</v>
      </c>
      <c r="D142" s="5" t="n">
        <v>65986</v>
      </c>
      <c r="E142" s="5" t="n">
        <v>40737</v>
      </c>
      <c r="F142" s="5" t="n">
        <v>0</v>
      </c>
      <c r="G142" s="5" t="n">
        <v>90</v>
      </c>
      <c r="H142" s="5" t="n">
        <v>6038</v>
      </c>
      <c r="I142" s="5" t="n">
        <v>207315</v>
      </c>
      <c r="J142" s="11" t="n">
        <f aca="false">IF(I142=0,0,C142/I142)</f>
        <v>0.45565443889733</v>
      </c>
      <c r="K142" s="11" t="n">
        <f aca="false">IF(I142=0,0,D142/I142)</f>
        <v>0.318288594650652</v>
      </c>
      <c r="L142" s="11" t="n">
        <f aca="false">IF(I142=0,0,E142/I142)</f>
        <v>0.196498082627885</v>
      </c>
      <c r="M142" s="11" t="n">
        <f aca="false">IF(I142=0,0,H142/I142)</f>
        <v>0.0291247618358537</v>
      </c>
      <c r="N142" s="4" t="str">
        <f aca="false">INDEX($C$3:$E$3,MATCH(MAX(C142:E142),C142:E142,0))</f>
        <v>PT-Morena-PES</v>
      </c>
      <c r="O142" s="17" t="n">
        <f aca="false">(MAX(J142:L142)-LARGE(J142:L142,2))*100</f>
        <v>13.7365844246678</v>
      </c>
    </row>
    <row r="143" customFormat="false" ht="15" hidden="false" customHeight="false" outlineLevel="0" collapsed="false">
      <c r="A143" s="4" t="s">
        <v>63</v>
      </c>
      <c r="B143" s="4" t="n">
        <v>15</v>
      </c>
      <c r="C143" s="5" t="n">
        <v>89315</v>
      </c>
      <c r="D143" s="5" t="n">
        <v>62415</v>
      </c>
      <c r="E143" s="5" t="n">
        <v>43814</v>
      </c>
      <c r="F143" s="5" t="n">
        <v>0</v>
      </c>
      <c r="G143" s="5" t="n">
        <v>118</v>
      </c>
      <c r="H143" s="5" t="n">
        <v>5979</v>
      </c>
      <c r="I143" s="5" t="n">
        <v>201641</v>
      </c>
      <c r="J143" s="11" t="n">
        <f aca="false">IF(I143=0,0,C143/I143)</f>
        <v>0.44294067178798</v>
      </c>
      <c r="K143" s="11" t="n">
        <f aca="false">IF(I143=0,0,D143/I143)</f>
        <v>0.309535263165725</v>
      </c>
      <c r="L143" s="11" t="n">
        <f aca="false">IF(I143=0,0,E143/I143)</f>
        <v>0.217287158861541</v>
      </c>
      <c r="M143" s="11" t="n">
        <f aca="false">IF(I143=0,0,H143/I143)</f>
        <v>0.0296517077380096</v>
      </c>
      <c r="N143" s="4" t="str">
        <f aca="false">INDEX($C$3:$E$3,MATCH(MAX(C143:E143),C143:E143,0))</f>
        <v>PT-Morena-PES</v>
      </c>
      <c r="O143" s="17" t="n">
        <f aca="false">(MAX(J143:L143)-LARGE(J143:L143,2))*100</f>
        <v>13.3405408622254</v>
      </c>
    </row>
    <row r="144" customFormat="false" ht="15" hidden="false" customHeight="false" outlineLevel="0" collapsed="false">
      <c r="A144" s="4" t="s">
        <v>63</v>
      </c>
      <c r="B144" s="4" t="n">
        <v>16</v>
      </c>
      <c r="C144" s="5" t="n">
        <v>102773</v>
      </c>
      <c r="D144" s="5" t="n">
        <v>33247</v>
      </c>
      <c r="E144" s="5" t="n">
        <v>40891</v>
      </c>
      <c r="F144" s="5" t="n">
        <v>0</v>
      </c>
      <c r="G144" s="5" t="n">
        <v>71</v>
      </c>
      <c r="H144" s="5" t="n">
        <v>5345</v>
      </c>
      <c r="I144" s="5" t="n">
        <v>182327</v>
      </c>
      <c r="J144" s="11" t="n">
        <f aca="false">IF(I144=0,0,C144/I144)</f>
        <v>0.563674058148272</v>
      </c>
      <c r="K144" s="11" t="n">
        <f aca="false">IF(I144=0,0,D144/I144)</f>
        <v>0.182348198566312</v>
      </c>
      <c r="L144" s="11" t="n">
        <f aca="false">IF(I144=0,0,E144/I144)</f>
        <v>0.224272872366682</v>
      </c>
      <c r="M144" s="11" t="n">
        <f aca="false">IF(I144=0,0,H144/I144)</f>
        <v>0.0293154606832778</v>
      </c>
      <c r="N144" s="4" t="str">
        <f aca="false">INDEX($C$3:$E$3,MATCH(MAX(C144:E144),C144:E144,0))</f>
        <v>PT-Morena-PES</v>
      </c>
      <c r="O144" s="17" t="n">
        <f aca="false">(MAX(J144:L144)-LARGE(J144:L144,2))*100</f>
        <v>33.940118578159</v>
      </c>
    </row>
    <row r="145" customFormat="false" ht="15" hidden="false" customHeight="false" outlineLevel="0" collapsed="false">
      <c r="A145" s="4" t="s">
        <v>63</v>
      </c>
      <c r="B145" s="4" t="n">
        <v>17</v>
      </c>
      <c r="C145" s="5" t="n">
        <v>95054</v>
      </c>
      <c r="D145" s="5" t="n">
        <v>30711</v>
      </c>
      <c r="E145" s="5" t="n">
        <v>38185</v>
      </c>
      <c r="F145" s="5" t="n">
        <v>0</v>
      </c>
      <c r="G145" s="5" t="n">
        <v>121</v>
      </c>
      <c r="H145" s="5" t="n">
        <v>4731</v>
      </c>
      <c r="I145" s="5" t="n">
        <v>168802</v>
      </c>
      <c r="J145" s="11" t="n">
        <f aca="false">IF(I145=0,0,C145/I145)</f>
        <v>0.563109441831258</v>
      </c>
      <c r="K145" s="11" t="n">
        <f aca="false">IF(I145=0,0,D145/I145)</f>
        <v>0.181935048162936</v>
      </c>
      <c r="L145" s="11" t="n">
        <f aca="false">IF(I145=0,0,E145/I145)</f>
        <v>0.226211774742005</v>
      </c>
      <c r="M145" s="11" t="n">
        <f aca="false">IF(I145=0,0,H145/I145)</f>
        <v>0.0280269191123328</v>
      </c>
      <c r="N145" s="4" t="str">
        <f aca="false">INDEX($C$3:$E$3,MATCH(MAX(C145:E145),C145:E145,0))</f>
        <v>PT-Morena-PES</v>
      </c>
      <c r="O145" s="17" t="n">
        <f aca="false">(MAX(J145:L145)-LARGE(J145:L145,2))*100</f>
        <v>33.6897667089253</v>
      </c>
    </row>
    <row r="146" customFormat="false" ht="15" hidden="false" customHeight="false" outlineLevel="0" collapsed="false">
      <c r="A146" s="4" t="s">
        <v>63</v>
      </c>
      <c r="B146" s="4" t="n">
        <v>18</v>
      </c>
      <c r="C146" s="5" t="n">
        <v>78636</v>
      </c>
      <c r="D146" s="5" t="n">
        <v>80179</v>
      </c>
      <c r="E146" s="5" t="n">
        <v>54390</v>
      </c>
      <c r="F146" s="5" t="n">
        <v>0</v>
      </c>
      <c r="G146" s="5" t="n">
        <v>79</v>
      </c>
      <c r="H146" s="5" t="n">
        <v>6721</v>
      </c>
      <c r="I146" s="5" t="n">
        <v>220005</v>
      </c>
      <c r="J146" s="11" t="n">
        <f aca="false">IF(I146=0,0,C146/I146)</f>
        <v>0.357428240267267</v>
      </c>
      <c r="K146" s="11" t="n">
        <f aca="false">IF(I146=0,0,D146/I146)</f>
        <v>0.364441717233699</v>
      </c>
      <c r="L146" s="11" t="n">
        <f aca="false">IF(I146=0,0,E146/I146)</f>
        <v>0.247221654053317</v>
      </c>
      <c r="M146" s="11" t="n">
        <f aca="false">IF(I146=0,0,H146/I146)</f>
        <v>0.0305493056975978</v>
      </c>
      <c r="N146" s="4" t="str">
        <f aca="false">INDEX($C$3:$E$3,MATCH(MAX(C146:E146),C146:E146,0))</f>
        <v>PAN-PRD-MC</v>
      </c>
      <c r="O146" s="17" t="n">
        <f aca="false">(MAX(J146:L146)-LARGE(J146:L146,2))*100</f>
        <v>0.701347696643256</v>
      </c>
    </row>
    <row r="147" customFormat="false" ht="15" hidden="false" customHeight="false" outlineLevel="0" collapsed="false">
      <c r="A147" s="4" t="s">
        <v>63</v>
      </c>
      <c r="B147" s="4" t="n">
        <v>19</v>
      </c>
      <c r="C147" s="5" t="n">
        <v>105551</v>
      </c>
      <c r="D147" s="5" t="n">
        <v>59294</v>
      </c>
      <c r="E147" s="5" t="n">
        <v>48791</v>
      </c>
      <c r="F147" s="5" t="n">
        <v>0</v>
      </c>
      <c r="G147" s="5" t="n">
        <v>173</v>
      </c>
      <c r="H147" s="5" t="n">
        <v>6401</v>
      </c>
      <c r="I147" s="5" t="n">
        <v>220210</v>
      </c>
      <c r="J147" s="11" t="n">
        <f aca="false">IF(I147=0,0,C147/I147)</f>
        <v>0.479319740247945</v>
      </c>
      <c r="K147" s="11" t="n">
        <f aca="false">IF(I147=0,0,D147/I147)</f>
        <v>0.269261159802007</v>
      </c>
      <c r="L147" s="11" t="n">
        <f aca="false">IF(I147=0,0,E147/I147)</f>
        <v>0.221565778120885</v>
      </c>
      <c r="M147" s="11" t="n">
        <f aca="false">IF(I147=0,0,H147/I147)</f>
        <v>0.0290677080968167</v>
      </c>
      <c r="N147" s="4" t="str">
        <f aca="false">INDEX($C$3:$E$3,MATCH(MAX(C147:E147),C147:E147,0))</f>
        <v>PT-Morena-PES</v>
      </c>
      <c r="O147" s="17" t="n">
        <f aca="false">(MAX(J147:L147)-LARGE(J147:L147,2))*100</f>
        <v>21.0058580445938</v>
      </c>
    </row>
    <row r="148" customFormat="false" ht="15" hidden="false" customHeight="false" outlineLevel="0" collapsed="false">
      <c r="A148" s="4" t="s">
        <v>63</v>
      </c>
      <c r="B148" s="4" t="n">
        <v>20</v>
      </c>
      <c r="C148" s="5" t="n">
        <v>88910</v>
      </c>
      <c r="D148" s="5" t="n">
        <v>64906</v>
      </c>
      <c r="E148" s="5" t="n">
        <v>29914</v>
      </c>
      <c r="F148" s="5" t="n">
        <v>0</v>
      </c>
      <c r="G148" s="5" t="n">
        <v>78</v>
      </c>
      <c r="H148" s="5" t="n">
        <v>4957</v>
      </c>
      <c r="I148" s="5" t="n">
        <v>188765</v>
      </c>
      <c r="J148" s="11" t="n">
        <f aca="false">IF(I148=0,0,C148/I148)</f>
        <v>0.471008926442932</v>
      </c>
      <c r="K148" s="11" t="n">
        <f aca="false">IF(I148=0,0,D148/I148)</f>
        <v>0.343845522210155</v>
      </c>
      <c r="L148" s="11" t="n">
        <f aca="false">IF(I148=0,0,E148/I148)</f>
        <v>0.158472174396737</v>
      </c>
      <c r="M148" s="11" t="n">
        <f aca="false">IF(I148=0,0,H148/I148)</f>
        <v>0.0262601647551188</v>
      </c>
      <c r="N148" s="4" t="str">
        <f aca="false">INDEX($C$3:$E$3,MATCH(MAX(C148:E148),C148:E148,0))</f>
        <v>PT-Morena-PES</v>
      </c>
      <c r="O148" s="17" t="n">
        <f aca="false">(MAX(J148:L148)-LARGE(J148:L148,2))*100</f>
        <v>12.7163404232776</v>
      </c>
    </row>
    <row r="149" customFormat="false" ht="15" hidden="false" customHeight="false" outlineLevel="0" collapsed="false">
      <c r="A149" s="4" t="s">
        <v>63</v>
      </c>
      <c r="B149" s="4" t="n">
        <v>21</v>
      </c>
      <c r="C149" s="5" t="n">
        <v>90950</v>
      </c>
      <c r="D149" s="5" t="n">
        <v>33702</v>
      </c>
      <c r="E149" s="5" t="n">
        <v>46954</v>
      </c>
      <c r="F149" s="5" t="n">
        <v>0</v>
      </c>
      <c r="G149" s="5" t="n">
        <v>69</v>
      </c>
      <c r="H149" s="5" t="n">
        <v>6048</v>
      </c>
      <c r="I149" s="5" t="n">
        <v>177723</v>
      </c>
      <c r="J149" s="11" t="n">
        <f aca="false">IF(I149=0,0,C149/I149)</f>
        <v>0.51175143341042</v>
      </c>
      <c r="K149" s="11" t="n">
        <f aca="false">IF(I149=0,0,D149/I149)</f>
        <v>0.189632180415591</v>
      </c>
      <c r="L149" s="11" t="n">
        <f aca="false">IF(I149=0,0,E149/I149)</f>
        <v>0.264197655902725</v>
      </c>
      <c r="M149" s="11" t="n">
        <f aca="false">IF(I149=0,0,H149/I149)</f>
        <v>0.0340304856433889</v>
      </c>
      <c r="N149" s="4" t="str">
        <f aca="false">INDEX($C$3:$E$3,MATCH(MAX(C149:E149),C149:E149,0))</f>
        <v>PT-Morena-PES</v>
      </c>
      <c r="O149" s="17" t="n">
        <f aca="false">(MAX(J149:L149)-LARGE(J149:L149,2))*100</f>
        <v>24.7553777507695</v>
      </c>
    </row>
    <row r="150" customFormat="false" ht="15" hidden="false" customHeight="false" outlineLevel="0" collapsed="false">
      <c r="A150" s="4" t="s">
        <v>63</v>
      </c>
      <c r="B150" s="4" t="n">
        <v>22</v>
      </c>
      <c r="C150" s="5" t="n">
        <v>93633</v>
      </c>
      <c r="D150" s="5" t="n">
        <v>89097</v>
      </c>
      <c r="E150" s="5" t="n">
        <v>47133</v>
      </c>
      <c r="F150" s="5" t="n">
        <v>0</v>
      </c>
      <c r="G150" s="5" t="n">
        <v>100</v>
      </c>
      <c r="H150" s="5" t="n">
        <v>6747</v>
      </c>
      <c r="I150" s="5" t="n">
        <v>236710</v>
      </c>
      <c r="J150" s="11" t="n">
        <f aca="false">IF(I150=0,0,C150/I150)</f>
        <v>0.395559967893203</v>
      </c>
      <c r="K150" s="11" t="n">
        <f aca="false">IF(I150=0,0,D150/I150)</f>
        <v>0.376397279371383</v>
      </c>
      <c r="L150" s="11" t="n">
        <f aca="false">IF(I150=0,0,E150/I150)</f>
        <v>0.199117063072958</v>
      </c>
      <c r="M150" s="11" t="n">
        <f aca="false">IF(I150=0,0,H150/I150)</f>
        <v>0.0285032318026277</v>
      </c>
      <c r="N150" s="4" t="str">
        <f aca="false">INDEX($C$3:$E$3,MATCH(MAX(C150:E150),C150:E150,0))</f>
        <v>PT-Morena-PES</v>
      </c>
      <c r="O150" s="17" t="n">
        <f aca="false">(MAX(J150:L150)-LARGE(J150:L150,2))*100</f>
        <v>1.91626885218199</v>
      </c>
    </row>
    <row r="151" customFormat="false" ht="15" hidden="false" customHeight="false" outlineLevel="0" collapsed="false">
      <c r="A151" s="4" t="s">
        <v>63</v>
      </c>
      <c r="B151" s="4" t="n">
        <v>23</v>
      </c>
      <c r="C151" s="5" t="n">
        <v>97648</v>
      </c>
      <c r="D151" s="5" t="n">
        <v>47872</v>
      </c>
      <c r="E151" s="5" t="n">
        <v>61364</v>
      </c>
      <c r="F151" s="5" t="n">
        <v>0</v>
      </c>
      <c r="G151" s="5" t="n">
        <v>52</v>
      </c>
      <c r="H151" s="5" t="n">
        <v>7051</v>
      </c>
      <c r="I151" s="5" t="n">
        <v>213987</v>
      </c>
      <c r="J151" s="11" t="n">
        <f aca="false">IF(I151=0,0,C151/I151)</f>
        <v>0.456326786206639</v>
      </c>
      <c r="K151" s="11" t="n">
        <f aca="false">IF(I151=0,0,D151/I151)</f>
        <v>0.223714524714118</v>
      </c>
      <c r="L151" s="11" t="n">
        <f aca="false">IF(I151=0,0,E151/I151)</f>
        <v>0.286765083860235</v>
      </c>
      <c r="M151" s="11" t="n">
        <f aca="false">IF(I151=0,0,H151/I151)</f>
        <v>0.0329505998027918</v>
      </c>
      <c r="N151" s="4" t="str">
        <f aca="false">INDEX($C$3:$E$3,MATCH(MAX(C151:E151),C151:E151,0))</f>
        <v>PT-Morena-PES</v>
      </c>
      <c r="O151" s="17" t="n">
        <f aca="false">(MAX(J151:L151)-LARGE(J151:L151,2))*100</f>
        <v>16.9561702346404</v>
      </c>
    </row>
    <row r="152" customFormat="false" ht="15" hidden="false" customHeight="false" outlineLevel="0" collapsed="false">
      <c r="A152" s="4" t="s">
        <v>63</v>
      </c>
      <c r="B152" s="4" t="n">
        <v>24</v>
      </c>
      <c r="C152" s="5" t="n">
        <v>103611</v>
      </c>
      <c r="D152" s="5" t="n">
        <v>55346</v>
      </c>
      <c r="E152" s="5" t="n">
        <v>43750</v>
      </c>
      <c r="F152" s="5" t="n">
        <v>0</v>
      </c>
      <c r="G152" s="5" t="n">
        <v>146</v>
      </c>
      <c r="H152" s="5" t="n">
        <v>6334</v>
      </c>
      <c r="I152" s="5" t="n">
        <v>209187</v>
      </c>
      <c r="J152" s="11" t="n">
        <f aca="false">IF(I152=0,0,C152/I152)</f>
        <v>0.495303245421561</v>
      </c>
      <c r="K152" s="11" t="n">
        <f aca="false">IF(I152=0,0,D152/I152)</f>
        <v>0.264576670634408</v>
      </c>
      <c r="L152" s="11" t="n">
        <f aca="false">IF(I152=0,0,E152/I152)</f>
        <v>0.209143015579362</v>
      </c>
      <c r="M152" s="11" t="n">
        <f aca="false">IF(I152=0,0,H152/I152)</f>
        <v>0.030279128244107</v>
      </c>
      <c r="N152" s="4" t="str">
        <f aca="false">INDEX($C$3:$E$3,MATCH(MAX(C152:E152),C152:E152,0))</f>
        <v>PT-Morena-PES</v>
      </c>
      <c r="O152" s="17" t="n">
        <f aca="false">(MAX(J152:L152)-LARGE(J152:L152,2))*100</f>
        <v>23.0726574787152</v>
      </c>
    </row>
    <row r="153" customFormat="false" ht="15" hidden="false" customHeight="false" outlineLevel="0" collapsed="false">
      <c r="A153" s="4" t="s">
        <v>63</v>
      </c>
      <c r="B153" s="4" t="n">
        <v>25</v>
      </c>
      <c r="C153" s="5" t="n">
        <v>76396</v>
      </c>
      <c r="D153" s="5" t="n">
        <v>25382</v>
      </c>
      <c r="E153" s="5" t="n">
        <v>47892</v>
      </c>
      <c r="F153" s="5" t="n">
        <v>0</v>
      </c>
      <c r="G153" s="5" t="n">
        <v>69</v>
      </c>
      <c r="H153" s="5" t="n">
        <v>3985</v>
      </c>
      <c r="I153" s="5" t="n">
        <v>153724</v>
      </c>
      <c r="J153" s="11" t="n">
        <f aca="false">IF(I153=0,0,C153/I153)</f>
        <v>0.496968593062892</v>
      </c>
      <c r="K153" s="11" t="n">
        <f aca="false">IF(I153=0,0,D153/I153)</f>
        <v>0.165114100595873</v>
      </c>
      <c r="L153" s="11" t="n">
        <f aca="false">IF(I153=0,0,E153/I153)</f>
        <v>0.311545367021415</v>
      </c>
      <c r="M153" s="11" t="n">
        <f aca="false">IF(I153=0,0,H153/I153)</f>
        <v>0.0259230829278447</v>
      </c>
      <c r="N153" s="4" t="str">
        <f aca="false">INDEX($C$3:$E$3,MATCH(MAX(C153:E153),C153:E153,0))</f>
        <v>PT-Morena-PES</v>
      </c>
      <c r="O153" s="17" t="n">
        <f aca="false">(MAX(J153:L153)-LARGE(J153:L153,2))*100</f>
        <v>18.5423226041477</v>
      </c>
    </row>
    <row r="154" customFormat="false" ht="15" hidden="false" customHeight="false" outlineLevel="0" collapsed="false">
      <c r="A154" s="4" t="s">
        <v>63</v>
      </c>
      <c r="B154" s="4" t="n">
        <v>26</v>
      </c>
      <c r="C154" s="5" t="n">
        <v>96975</v>
      </c>
      <c r="D154" s="5" t="n">
        <v>64346</v>
      </c>
      <c r="E154" s="5" t="n">
        <v>53592</v>
      </c>
      <c r="F154" s="5" t="n">
        <v>0</v>
      </c>
      <c r="G154" s="5" t="n">
        <v>115</v>
      </c>
      <c r="H154" s="5" t="n">
        <v>6545</v>
      </c>
      <c r="I154" s="5" t="n">
        <v>221573</v>
      </c>
      <c r="J154" s="11" t="n">
        <f aca="false">IF(I154=0,0,C154/I154)</f>
        <v>0.43766614163278</v>
      </c>
      <c r="K154" s="11" t="n">
        <f aca="false">IF(I154=0,0,D154/I154)</f>
        <v>0.290405419432873</v>
      </c>
      <c r="L154" s="11" t="n">
        <f aca="false">IF(I154=0,0,E154/I154)</f>
        <v>0.241870625031028</v>
      </c>
      <c r="M154" s="11" t="n">
        <f aca="false">IF(I154=0,0,H154/I154)</f>
        <v>0.0295387975971802</v>
      </c>
      <c r="N154" s="4" t="str">
        <f aca="false">INDEX($C$3:$E$3,MATCH(MAX(C154:E154),C154:E154,0))</f>
        <v>PT-Morena-PES</v>
      </c>
      <c r="O154" s="17" t="n">
        <f aca="false">(MAX(J154:L154)-LARGE(J154:L154,2))*100</f>
        <v>14.7260722199907</v>
      </c>
    </row>
    <row r="155" customFormat="false" ht="15" hidden="false" customHeight="false" outlineLevel="0" collapsed="false">
      <c r="A155" s="4" t="s">
        <v>63</v>
      </c>
      <c r="B155" s="4" t="n">
        <v>27</v>
      </c>
      <c r="C155" s="5" t="n">
        <v>97857</v>
      </c>
      <c r="D155" s="5" t="n">
        <v>68074</v>
      </c>
      <c r="E155" s="5" t="n">
        <v>60414</v>
      </c>
      <c r="F155" s="5" t="n">
        <v>0</v>
      </c>
      <c r="G155" s="5" t="n">
        <v>113</v>
      </c>
      <c r="H155" s="5" t="n">
        <v>6645</v>
      </c>
      <c r="I155" s="5" t="n">
        <v>233103</v>
      </c>
      <c r="J155" s="11" t="n">
        <f aca="false">IF(I155=0,0,C155/I155)</f>
        <v>0.419801546955638</v>
      </c>
      <c r="K155" s="11" t="n">
        <f aca="false">IF(I155=0,0,D155/I155)</f>
        <v>0.292033993556497</v>
      </c>
      <c r="L155" s="11" t="n">
        <f aca="false">IF(I155=0,0,E155/I155)</f>
        <v>0.259172983616684</v>
      </c>
      <c r="M155" s="11" t="n">
        <f aca="false">IF(I155=0,0,H155/I155)</f>
        <v>0.028506711625333</v>
      </c>
      <c r="N155" s="4" t="str">
        <f aca="false">INDEX($C$3:$E$3,MATCH(MAX(C155:E155),C155:E155,0))</f>
        <v>PT-Morena-PES</v>
      </c>
      <c r="O155" s="17" t="n">
        <f aca="false">(MAX(J155:L155)-LARGE(J155:L155,2))*100</f>
        <v>12.7767553399141</v>
      </c>
    </row>
    <row r="156" customFormat="false" ht="15" hidden="false" customHeight="false" outlineLevel="0" collapsed="false">
      <c r="A156" s="4" t="s">
        <v>63</v>
      </c>
      <c r="B156" s="4" t="n">
        <v>28</v>
      </c>
      <c r="C156" s="5" t="n">
        <v>98429</v>
      </c>
      <c r="D156" s="5" t="n">
        <v>40611</v>
      </c>
      <c r="E156" s="5" t="n">
        <v>51772</v>
      </c>
      <c r="F156" s="5" t="n">
        <v>0</v>
      </c>
      <c r="G156" s="5" t="n">
        <v>128</v>
      </c>
      <c r="H156" s="5" t="n">
        <v>6800</v>
      </c>
      <c r="I156" s="5" t="n">
        <v>197740</v>
      </c>
      <c r="J156" s="11" t="n">
        <f aca="false">IF(I156=0,0,C156/I156)</f>
        <v>0.497769798725599</v>
      </c>
      <c r="K156" s="11" t="n">
        <f aca="false">IF(I156=0,0,D156/I156)</f>
        <v>0.205375745928998</v>
      </c>
      <c r="L156" s="11" t="n">
        <f aca="false">IF(I156=0,0,E156/I156)</f>
        <v>0.2618185496106</v>
      </c>
      <c r="M156" s="11" t="n">
        <f aca="false">IF(I156=0,0,H156/I156)</f>
        <v>0.0343885910791949</v>
      </c>
      <c r="N156" s="4" t="str">
        <f aca="false">INDEX($C$3:$E$3,MATCH(MAX(C156:E156),C156:E156,0))</f>
        <v>PT-Morena-PES</v>
      </c>
      <c r="O156" s="17" t="n">
        <f aca="false">(MAX(J156:L156)-LARGE(J156:L156,2))*100</f>
        <v>23.5951249114999</v>
      </c>
    </row>
    <row r="157" customFormat="false" ht="15" hidden="false" customHeight="false" outlineLevel="0" collapsed="false">
      <c r="A157" s="4" t="s">
        <v>63</v>
      </c>
      <c r="B157" s="4" t="n">
        <v>29</v>
      </c>
      <c r="C157" s="5" t="n">
        <v>87905</v>
      </c>
      <c r="D157" s="5" t="n">
        <v>72739</v>
      </c>
      <c r="E157" s="5" t="n">
        <v>31917</v>
      </c>
      <c r="F157" s="5" t="n">
        <v>0</v>
      </c>
      <c r="G157" s="5" t="n">
        <v>99</v>
      </c>
      <c r="H157" s="5" t="n">
        <v>5194</v>
      </c>
      <c r="I157" s="5" t="n">
        <v>197854</v>
      </c>
      <c r="J157" s="11" t="n">
        <f aca="false">IF(I157=0,0,C157/I157)</f>
        <v>0.44429225590587</v>
      </c>
      <c r="K157" s="11" t="n">
        <f aca="false">IF(I157=0,0,D157/I157)</f>
        <v>0.367639774783426</v>
      </c>
      <c r="L157" s="11" t="n">
        <f aca="false">IF(I157=0,0,E157/I157)</f>
        <v>0.161315919819665</v>
      </c>
      <c r="M157" s="11" t="n">
        <f aca="false">IF(I157=0,0,H157/I157)</f>
        <v>0.0262516805321095</v>
      </c>
      <c r="N157" s="4" t="str">
        <f aca="false">INDEX($C$3:$E$3,MATCH(MAX(C157:E157),C157:E157,0))</f>
        <v>PT-Morena-PES</v>
      </c>
      <c r="O157" s="17" t="n">
        <f aca="false">(MAX(J157:L157)-LARGE(J157:L157,2))*100</f>
        <v>7.66524811224438</v>
      </c>
    </row>
    <row r="158" customFormat="false" ht="15" hidden="false" customHeight="false" outlineLevel="0" collapsed="false">
      <c r="A158" s="4" t="s">
        <v>63</v>
      </c>
      <c r="B158" s="4" t="n">
        <v>30</v>
      </c>
      <c r="C158" s="5" t="n">
        <v>80525</v>
      </c>
      <c r="D158" s="5" t="n">
        <v>24923</v>
      </c>
      <c r="E158" s="5" t="n">
        <v>49331</v>
      </c>
      <c r="F158" s="5" t="n">
        <v>0</v>
      </c>
      <c r="G158" s="5" t="n">
        <v>75</v>
      </c>
      <c r="H158" s="5" t="n">
        <v>4594</v>
      </c>
      <c r="I158" s="5" t="n">
        <v>159448</v>
      </c>
      <c r="J158" s="11" t="n">
        <f aca="false">IF(I158=0,0,C158/I158)</f>
        <v>0.505023581355677</v>
      </c>
      <c r="K158" s="11" t="n">
        <f aca="false">IF(I158=0,0,D158/I158)</f>
        <v>0.156308012643621</v>
      </c>
      <c r="L158" s="11" t="n">
        <f aca="false">IF(I158=0,0,E158/I158)</f>
        <v>0.309386132155938</v>
      </c>
      <c r="M158" s="11" t="n">
        <f aca="false">IF(I158=0,0,H158/I158)</f>
        <v>0.0288119010586524</v>
      </c>
      <c r="N158" s="4" t="str">
        <f aca="false">INDEX($C$3:$E$3,MATCH(MAX(C158:E158),C158:E158,0))</f>
        <v>PT-Morena-PES</v>
      </c>
      <c r="O158" s="17" t="n">
        <f aca="false">(MAX(J158:L158)-LARGE(J158:L158,2))*100</f>
        <v>19.5637449199739</v>
      </c>
    </row>
    <row r="159" customFormat="false" ht="15" hidden="false" customHeight="false" outlineLevel="0" collapsed="false">
      <c r="A159" s="4" t="s">
        <v>63</v>
      </c>
      <c r="B159" s="4" t="n">
        <v>31</v>
      </c>
      <c r="C159" s="5" t="n">
        <v>81806</v>
      </c>
      <c r="D159" s="5" t="n">
        <v>72449</v>
      </c>
      <c r="E159" s="5" t="n">
        <v>29426</v>
      </c>
      <c r="F159" s="5" t="n">
        <v>0</v>
      </c>
      <c r="G159" s="5" t="n">
        <v>80</v>
      </c>
      <c r="H159" s="5" t="n">
        <v>5192</v>
      </c>
      <c r="I159" s="5" t="n">
        <v>188953</v>
      </c>
      <c r="J159" s="11" t="n">
        <f aca="false">IF(I159=0,0,C159/I159)</f>
        <v>0.432943642069721</v>
      </c>
      <c r="K159" s="11" t="n">
        <f aca="false">IF(I159=0,0,D159/I159)</f>
        <v>0.383423391001995</v>
      </c>
      <c r="L159" s="11" t="n">
        <f aca="false">IF(I159=0,0,E159/I159)</f>
        <v>0.155731848660778</v>
      </c>
      <c r="M159" s="11" t="n">
        <f aca="false">IF(I159=0,0,H159/I159)</f>
        <v>0.0274777325578318</v>
      </c>
      <c r="N159" s="4" t="str">
        <f aca="false">INDEX($C$3:$E$3,MATCH(MAX(C159:E159),C159:E159,0))</f>
        <v>PT-Morena-PES</v>
      </c>
      <c r="O159" s="17" t="n">
        <f aca="false">(MAX(J159:L159)-LARGE(J159:L159,2))*100</f>
        <v>4.95202510677258</v>
      </c>
    </row>
    <row r="160" customFormat="false" ht="15" hidden="false" customHeight="false" outlineLevel="0" collapsed="false">
      <c r="A160" s="4" t="s">
        <v>63</v>
      </c>
      <c r="B160" s="4" t="n">
        <v>32</v>
      </c>
      <c r="C160" s="5" t="n">
        <v>93599</v>
      </c>
      <c r="D160" s="5" t="n">
        <v>41067</v>
      </c>
      <c r="E160" s="5" t="n">
        <v>26088</v>
      </c>
      <c r="F160" s="5" t="n">
        <v>0</v>
      </c>
      <c r="G160" s="5" t="n">
        <v>62</v>
      </c>
      <c r="H160" s="5" t="n">
        <v>5251</v>
      </c>
      <c r="I160" s="5" t="n">
        <v>166067</v>
      </c>
      <c r="J160" s="11" t="n">
        <f aca="false">IF(I160=0,0,C160/I160)</f>
        <v>0.563621911638074</v>
      </c>
      <c r="K160" s="11" t="n">
        <f aca="false">IF(I160=0,0,D160/I160)</f>
        <v>0.247291755737142</v>
      </c>
      <c r="L160" s="11" t="n">
        <f aca="false">IF(I160=0,0,E160/I160)</f>
        <v>0.157093221410635</v>
      </c>
      <c r="M160" s="11" t="n">
        <f aca="false">IF(I160=0,0,H160/I160)</f>
        <v>0.0316197679249941</v>
      </c>
      <c r="N160" s="4" t="str">
        <f aca="false">INDEX($C$3:$E$3,MATCH(MAX(C160:E160),C160:E160,0))</f>
        <v>PT-Morena-PES</v>
      </c>
      <c r="O160" s="17" t="n">
        <f aca="false">(MAX(J160:L160)-LARGE(J160:L160,2))*100</f>
        <v>31.6330155900932</v>
      </c>
    </row>
    <row r="161" customFormat="false" ht="15" hidden="false" customHeight="false" outlineLevel="0" collapsed="false">
      <c r="A161" s="4" t="s">
        <v>63</v>
      </c>
      <c r="B161" s="4" t="n">
        <v>33</v>
      </c>
      <c r="C161" s="5" t="n">
        <v>94246</v>
      </c>
      <c r="D161" s="5" t="n">
        <v>34105</v>
      </c>
      <c r="E161" s="5" t="n">
        <v>32474</v>
      </c>
      <c r="F161" s="5" t="n">
        <v>0</v>
      </c>
      <c r="G161" s="5" t="n">
        <v>87</v>
      </c>
      <c r="H161" s="5" t="n">
        <v>5185</v>
      </c>
      <c r="I161" s="5" t="n">
        <v>166097</v>
      </c>
      <c r="J161" s="11" t="n">
        <f aca="false">IF(I161=0,0,C161/I161)</f>
        <v>0.567415425925814</v>
      </c>
      <c r="K161" s="11" t="n">
        <f aca="false">IF(I161=0,0,D161/I161)</f>
        <v>0.20533182417503</v>
      </c>
      <c r="L161" s="11" t="n">
        <f aca="false">IF(I161=0,0,E161/I161)</f>
        <v>0.195512260907783</v>
      </c>
      <c r="M161" s="11" t="n">
        <f aca="false">IF(I161=0,0,H161/I161)</f>
        <v>0.0312166986760748</v>
      </c>
      <c r="N161" s="4" t="str">
        <f aca="false">INDEX($C$3:$E$3,MATCH(MAX(C161:E161),C161:E161,0))</f>
        <v>PT-Morena-PES</v>
      </c>
      <c r="O161" s="17" t="n">
        <f aca="false">(MAX(J161:L161)-LARGE(J161:L161,2))*100</f>
        <v>36.2083601750784</v>
      </c>
    </row>
    <row r="162" customFormat="false" ht="15" hidden="false" customHeight="false" outlineLevel="0" collapsed="false">
      <c r="A162" s="4" t="s">
        <v>63</v>
      </c>
      <c r="B162" s="4" t="n">
        <v>34</v>
      </c>
      <c r="C162" s="5" t="n">
        <v>103055</v>
      </c>
      <c r="D162" s="5" t="n">
        <v>75041</v>
      </c>
      <c r="E162" s="5" t="n">
        <v>52506</v>
      </c>
      <c r="F162" s="5" t="n">
        <v>0</v>
      </c>
      <c r="G162" s="5" t="n">
        <v>178</v>
      </c>
      <c r="H162" s="5" t="n">
        <v>6250</v>
      </c>
      <c r="I162" s="5" t="n">
        <v>237030</v>
      </c>
      <c r="J162" s="11" t="n">
        <f aca="false">IF(I162=0,0,C162/I162)</f>
        <v>0.434776188668101</v>
      </c>
      <c r="K162" s="11" t="n">
        <f aca="false">IF(I162=0,0,D162/I162)</f>
        <v>0.316588617474581</v>
      </c>
      <c r="L162" s="11" t="n">
        <f aca="false">IF(I162=0,0,E162/I162)</f>
        <v>0.22151626376408</v>
      </c>
      <c r="M162" s="11" t="n">
        <f aca="false">IF(I162=0,0,H162/I162)</f>
        <v>0.0263679702991183</v>
      </c>
      <c r="N162" s="4" t="str">
        <f aca="false">INDEX($C$3:$E$3,MATCH(MAX(C162:E162),C162:E162,0))</f>
        <v>PT-Morena-PES</v>
      </c>
      <c r="O162" s="17" t="n">
        <f aca="false">(MAX(J162:L162)-LARGE(J162:L162,2))*100</f>
        <v>11.818757119352</v>
      </c>
    </row>
    <row r="163" customFormat="false" ht="15" hidden="false" customHeight="false" outlineLevel="0" collapsed="false">
      <c r="A163" s="4" t="s">
        <v>63</v>
      </c>
      <c r="B163" s="4" t="n">
        <v>35</v>
      </c>
      <c r="C163" s="5" t="n">
        <v>90018</v>
      </c>
      <c r="D163" s="5" t="n">
        <v>46807</v>
      </c>
      <c r="E163" s="5" t="n">
        <v>52441</v>
      </c>
      <c r="F163" s="5" t="n">
        <v>0</v>
      </c>
      <c r="G163" s="5" t="n">
        <v>81</v>
      </c>
      <c r="H163" s="5" t="n">
        <v>8661</v>
      </c>
      <c r="I163" s="5" t="n">
        <v>198008</v>
      </c>
      <c r="J163" s="11" t="n">
        <f aca="false">IF(I163=0,0,C163/I163)</f>
        <v>0.454617995232516</v>
      </c>
      <c r="K163" s="11" t="n">
        <f aca="false">IF(I163=0,0,D163/I163)</f>
        <v>0.236389438810553</v>
      </c>
      <c r="L163" s="11" t="n">
        <f aca="false">IF(I163=0,0,E163/I163)</f>
        <v>0.264842834632944</v>
      </c>
      <c r="M163" s="11" t="n">
        <f aca="false">IF(I163=0,0,H163/I163)</f>
        <v>0.0437406569431538</v>
      </c>
      <c r="N163" s="4" t="str">
        <f aca="false">INDEX($C$3:$E$3,MATCH(MAX(C163:E163),C163:E163,0))</f>
        <v>PT-Morena-PES</v>
      </c>
      <c r="O163" s="17" t="n">
        <f aca="false">(MAX(J163:L163)-LARGE(J163:L163,2))*100</f>
        <v>18.9775160599572</v>
      </c>
    </row>
    <row r="164" customFormat="false" ht="15" hidden="false" customHeight="false" outlineLevel="0" collapsed="false">
      <c r="A164" s="4" t="s">
        <v>63</v>
      </c>
      <c r="B164" s="4" t="n">
        <v>36</v>
      </c>
      <c r="C164" s="5" t="n">
        <v>81524</v>
      </c>
      <c r="D164" s="5" t="n">
        <v>54537</v>
      </c>
      <c r="E164" s="5" t="n">
        <v>74333</v>
      </c>
      <c r="F164" s="5" t="n">
        <v>0</v>
      </c>
      <c r="G164" s="5" t="n">
        <v>40</v>
      </c>
      <c r="H164" s="5" t="n">
        <v>8695</v>
      </c>
      <c r="I164" s="5" t="n">
        <v>219129</v>
      </c>
      <c r="J164" s="11" t="n">
        <f aca="false">IF(I164=0,0,C164/I164)</f>
        <v>0.372036562937813</v>
      </c>
      <c r="K164" s="11" t="n">
        <f aca="false">IF(I164=0,0,D164/I164)</f>
        <v>0.248880796243309</v>
      </c>
      <c r="L164" s="11" t="n">
        <f aca="false">IF(I164=0,0,E164/I164)</f>
        <v>0.3392202766407</v>
      </c>
      <c r="M164" s="11" t="n">
        <f aca="false">IF(I164=0,0,H164/I164)</f>
        <v>0.0396798233004303</v>
      </c>
      <c r="N164" s="4" t="str">
        <f aca="false">INDEX($C$3:$E$3,MATCH(MAX(C164:E164),C164:E164,0))</f>
        <v>PT-Morena-PES</v>
      </c>
      <c r="O164" s="17" t="n">
        <f aca="false">(MAX(J164:L164)-LARGE(J164:L164,2))*100</f>
        <v>3.28162862971127</v>
      </c>
    </row>
    <row r="165" customFormat="false" ht="15" hidden="false" customHeight="false" outlineLevel="0" collapsed="false">
      <c r="A165" s="4" t="s">
        <v>63</v>
      </c>
      <c r="B165" s="4" t="n">
        <v>37</v>
      </c>
      <c r="C165" s="5" t="n">
        <v>101933</v>
      </c>
      <c r="D165" s="5" t="n">
        <v>46904</v>
      </c>
      <c r="E165" s="5" t="n">
        <v>42649</v>
      </c>
      <c r="F165" s="5" t="n">
        <v>0</v>
      </c>
      <c r="G165" s="5" t="n">
        <v>154</v>
      </c>
      <c r="H165" s="5" t="n">
        <v>5698</v>
      </c>
      <c r="I165" s="5" t="n">
        <v>197338</v>
      </c>
      <c r="J165" s="11" t="n">
        <f aca="false">IF(I165=0,0,C165/I165)</f>
        <v>0.516540149388359</v>
      </c>
      <c r="K165" s="11" t="n">
        <f aca="false">IF(I165=0,0,D165/I165)</f>
        <v>0.237683568293993</v>
      </c>
      <c r="L165" s="11" t="n">
        <f aca="false">IF(I165=0,0,E165/I165)</f>
        <v>0.216121578205921</v>
      </c>
      <c r="M165" s="11" t="n">
        <f aca="false">IF(I165=0,0,H165/I165)</f>
        <v>0.0288743171614185</v>
      </c>
      <c r="N165" s="4" t="str">
        <f aca="false">INDEX($C$3:$E$3,MATCH(MAX(C165:E165),C165:E165,0))</f>
        <v>PT-Morena-PES</v>
      </c>
      <c r="O165" s="17" t="n">
        <f aca="false">(MAX(J165:L165)-LARGE(J165:L165,2))*100</f>
        <v>27.8856581094366</v>
      </c>
    </row>
    <row r="166" customFormat="false" ht="15" hidden="false" customHeight="false" outlineLevel="0" collapsed="false">
      <c r="A166" s="4" t="s">
        <v>63</v>
      </c>
      <c r="B166" s="4" t="n">
        <v>38</v>
      </c>
      <c r="C166" s="5" t="n">
        <v>107932</v>
      </c>
      <c r="D166" s="5" t="n">
        <v>29707</v>
      </c>
      <c r="E166" s="5" t="n">
        <v>48210</v>
      </c>
      <c r="F166" s="5" t="n">
        <v>0</v>
      </c>
      <c r="G166" s="5" t="n">
        <v>112</v>
      </c>
      <c r="H166" s="5" t="n">
        <v>5549</v>
      </c>
      <c r="I166" s="5" t="n">
        <v>191510</v>
      </c>
      <c r="J166" s="11" t="n">
        <f aca="false">IF(I166=0,0,C166/I166)</f>
        <v>0.56358414704193</v>
      </c>
      <c r="K166" s="11" t="n">
        <f aca="false">IF(I166=0,0,D166/I166)</f>
        <v>0.155119837084225</v>
      </c>
      <c r="L166" s="11" t="n">
        <f aca="false">IF(I166=0,0,E166/I166)</f>
        <v>0.251736201764921</v>
      </c>
      <c r="M166" s="11" t="n">
        <f aca="false">IF(I166=0,0,H166/I166)</f>
        <v>0.0289749882512663</v>
      </c>
      <c r="N166" s="4" t="str">
        <f aca="false">INDEX($C$3:$E$3,MATCH(MAX(C166:E166),C166:E166,0))</f>
        <v>PT-Morena-PES</v>
      </c>
      <c r="O166" s="17" t="n">
        <f aca="false">(MAX(J166:L166)-LARGE(J166:L166,2))*100</f>
        <v>31.1847945277009</v>
      </c>
    </row>
    <row r="167" customFormat="false" ht="15" hidden="false" customHeight="false" outlineLevel="0" collapsed="false">
      <c r="A167" s="4" t="s">
        <v>63</v>
      </c>
      <c r="B167" s="4" t="n">
        <v>39</v>
      </c>
      <c r="C167" s="5" t="n">
        <v>82217</v>
      </c>
      <c r="D167" s="5" t="n">
        <v>31273</v>
      </c>
      <c r="E167" s="5" t="n">
        <v>47348</v>
      </c>
      <c r="F167" s="5" t="n">
        <v>0</v>
      </c>
      <c r="G167" s="5" t="n">
        <v>75</v>
      </c>
      <c r="H167" s="5" t="n">
        <v>4928</v>
      </c>
      <c r="I167" s="5" t="n">
        <v>165841</v>
      </c>
      <c r="J167" s="11" t="n">
        <f aca="false">IF(I167=0,0,C167/I167)</f>
        <v>0.495757985057977</v>
      </c>
      <c r="K167" s="11" t="n">
        <f aca="false">IF(I167=0,0,D167/I167)</f>
        <v>0.188572186612478</v>
      </c>
      <c r="L167" s="11" t="n">
        <f aca="false">IF(I167=0,0,E167/I167)</f>
        <v>0.285502378784498</v>
      </c>
      <c r="M167" s="11" t="n">
        <f aca="false">IF(I167=0,0,H167/I167)</f>
        <v>0.0297152091461098</v>
      </c>
      <c r="N167" s="4" t="str">
        <f aca="false">INDEX($C$3:$E$3,MATCH(MAX(C167:E167),C167:E167,0))</f>
        <v>PT-Morena-PES</v>
      </c>
      <c r="O167" s="17" t="n">
        <f aca="false">(MAX(J167:L167)-LARGE(J167:L167,2))*100</f>
        <v>21.0255606273479</v>
      </c>
    </row>
    <row r="168" customFormat="false" ht="15" hidden="false" customHeight="false" outlineLevel="0" collapsed="false">
      <c r="A168" s="4" t="s">
        <v>63</v>
      </c>
      <c r="B168" s="4" t="n">
        <v>40</v>
      </c>
      <c r="C168" s="5" t="n">
        <v>95048</v>
      </c>
      <c r="D168" s="5" t="n">
        <v>51981</v>
      </c>
      <c r="E168" s="5" t="n">
        <v>56489</v>
      </c>
      <c r="F168" s="5" t="n">
        <v>0</v>
      </c>
      <c r="G168" s="5" t="n">
        <v>114</v>
      </c>
      <c r="H168" s="5" t="n">
        <v>8163</v>
      </c>
      <c r="I168" s="5" t="n">
        <v>211795</v>
      </c>
      <c r="J168" s="11" t="n">
        <f aca="false">IF(I168=0,0,C168/I168)</f>
        <v>0.448773578224226</v>
      </c>
      <c r="K168" s="11" t="n">
        <f aca="false">IF(I168=0,0,D168/I168)</f>
        <v>0.245430723104889</v>
      </c>
      <c r="L168" s="11" t="n">
        <f aca="false">IF(I168=0,0,E168/I168)</f>
        <v>0.26671545598338</v>
      </c>
      <c r="M168" s="11" t="n">
        <f aca="false">IF(I168=0,0,H168/I168)</f>
        <v>0.0385419863547298</v>
      </c>
      <c r="N168" s="4" t="str">
        <f aca="false">INDEX($C$3:$E$3,MATCH(MAX(C168:E168),C168:E168,0))</f>
        <v>PT-Morena-PES</v>
      </c>
      <c r="O168" s="17" t="n">
        <f aca="false">(MAX(J168:L168)-LARGE(J168:L168,2))*100</f>
        <v>18.2058122240846</v>
      </c>
    </row>
    <row r="169" customFormat="false" ht="15" hidden="false" customHeight="false" outlineLevel="0" collapsed="false">
      <c r="A169" s="4" t="s">
        <v>63</v>
      </c>
      <c r="B169" s="4" t="n">
        <v>41</v>
      </c>
      <c r="C169" s="5" t="n">
        <v>118889</v>
      </c>
      <c r="D169" s="5" t="n">
        <v>35952</v>
      </c>
      <c r="E169" s="5" t="n">
        <v>61227</v>
      </c>
      <c r="F169" s="5" t="n">
        <v>0</v>
      </c>
      <c r="G169" s="5" t="n">
        <v>112</v>
      </c>
      <c r="H169" s="5" t="n">
        <v>5397</v>
      </c>
      <c r="I169" s="5" t="n">
        <v>221577</v>
      </c>
      <c r="J169" s="11" t="n">
        <f aca="false">IF(I169=0,0,C169/I169)</f>
        <v>0.53655839730658</v>
      </c>
      <c r="K169" s="11" t="n">
        <f aca="false">IF(I169=0,0,D169/I169)</f>
        <v>0.162255107705222</v>
      </c>
      <c r="L169" s="11" t="n">
        <f aca="false">IF(I169=0,0,E169/I169)</f>
        <v>0.276323806171218</v>
      </c>
      <c r="M169" s="11" t="n">
        <f aca="false">IF(I169=0,0,H169/I169)</f>
        <v>0.0243572211917302</v>
      </c>
      <c r="N169" s="4" t="str">
        <f aca="false">INDEX($C$3:$E$3,MATCH(MAX(C169:E169),C169:E169,0))</f>
        <v>PT-Morena-PES</v>
      </c>
      <c r="O169" s="17" t="n">
        <f aca="false">(MAX(J169:L169)-LARGE(J169:L169,2))*100</f>
        <v>26.0234591135361</v>
      </c>
    </row>
    <row r="170" customFormat="false" ht="15" hidden="false" customHeight="false" outlineLevel="0" collapsed="false">
      <c r="A170" s="4" t="s">
        <v>64</v>
      </c>
      <c r="B170" s="4" t="n">
        <v>1</v>
      </c>
      <c r="C170" s="5" t="n">
        <v>87710</v>
      </c>
      <c r="D170" s="5" t="n">
        <v>33398</v>
      </c>
      <c r="E170" s="5" t="n">
        <v>36236</v>
      </c>
      <c r="F170" s="5" t="n">
        <v>0</v>
      </c>
      <c r="G170" s="5" t="n">
        <v>47</v>
      </c>
      <c r="H170" s="5" t="n">
        <v>7985</v>
      </c>
      <c r="I170" s="5" t="n">
        <v>165376</v>
      </c>
      <c r="J170" s="11" t="n">
        <f aca="false">IF(I170=0,0,C170/I170)</f>
        <v>0.530367163312694</v>
      </c>
      <c r="K170" s="11" t="n">
        <f aca="false">IF(I170=0,0,D170/I170)</f>
        <v>0.201951915634675</v>
      </c>
      <c r="L170" s="11" t="n">
        <f aca="false">IF(I170=0,0,E170/I170)</f>
        <v>0.219112809597523</v>
      </c>
      <c r="M170" s="11" t="n">
        <f aca="false">IF(I170=0,0,H170/I170)</f>
        <v>0.0482839106037152</v>
      </c>
      <c r="N170" s="4" t="str">
        <f aca="false">INDEX($C$3:$E$3,MATCH(MAX(C170:E170),C170:E170,0))</f>
        <v>PT-Morena-PES</v>
      </c>
      <c r="O170" s="17" t="n">
        <f aca="false">(MAX(J170:L170)-LARGE(J170:L170,2))*100</f>
        <v>31.125435371517</v>
      </c>
    </row>
    <row r="171" customFormat="false" ht="15" hidden="false" customHeight="false" outlineLevel="0" collapsed="false">
      <c r="A171" s="4" t="s">
        <v>64</v>
      </c>
      <c r="B171" s="4" t="n">
        <v>2</v>
      </c>
      <c r="C171" s="5" t="n">
        <v>57966</v>
      </c>
      <c r="D171" s="5" t="n">
        <v>56171</v>
      </c>
      <c r="E171" s="5" t="n">
        <v>57294</v>
      </c>
      <c r="F171" s="5" t="n">
        <v>0</v>
      </c>
      <c r="G171" s="5" t="n">
        <v>72</v>
      </c>
      <c r="H171" s="5" t="n">
        <v>11767</v>
      </c>
      <c r="I171" s="5" t="n">
        <v>183270</v>
      </c>
      <c r="J171" s="11" t="n">
        <f aca="false">IF(I171=0,0,C171/I171)</f>
        <v>0.316287444753642</v>
      </c>
      <c r="K171" s="11" t="n">
        <f aca="false">IF(I171=0,0,D171/I171)</f>
        <v>0.306493152179844</v>
      </c>
      <c r="L171" s="11" t="n">
        <f aca="false">IF(I171=0,0,E171/I171)</f>
        <v>0.312620723522671</v>
      </c>
      <c r="M171" s="11" t="n">
        <f aca="false">IF(I171=0,0,H171/I171)</f>
        <v>0.0642058165548099</v>
      </c>
      <c r="N171" s="4" t="str">
        <f aca="false">INDEX($C$3:$E$3,MATCH(MAX(C171:E171),C171:E171,0))</f>
        <v>PT-Morena-PES</v>
      </c>
      <c r="O171" s="17" t="n">
        <f aca="false">(MAX(J171:L171)-LARGE(J171:L171,2))*100</f>
        <v>0.366672123097073</v>
      </c>
    </row>
    <row r="172" customFormat="false" ht="15" hidden="false" customHeight="false" outlineLevel="0" collapsed="false">
      <c r="A172" s="4" t="s">
        <v>64</v>
      </c>
      <c r="B172" s="4" t="n">
        <v>3</v>
      </c>
      <c r="C172" s="5" t="n">
        <v>55195</v>
      </c>
      <c r="D172" s="5" t="n">
        <v>53184</v>
      </c>
      <c r="E172" s="5" t="n">
        <v>57511</v>
      </c>
      <c r="F172" s="5" t="n">
        <v>0</v>
      </c>
      <c r="G172" s="5" t="n">
        <v>45</v>
      </c>
      <c r="H172" s="5" t="n">
        <v>10999</v>
      </c>
      <c r="I172" s="5" t="n">
        <v>176934</v>
      </c>
      <c r="J172" s="11" t="n">
        <f aca="false">IF(I172=0,0,C172/I172)</f>
        <v>0.311952479455616</v>
      </c>
      <c r="K172" s="11" t="n">
        <f aca="false">IF(I172=0,0,D172/I172)</f>
        <v>0.300586659432331</v>
      </c>
      <c r="L172" s="11" t="n">
        <f aca="false">IF(I172=0,0,E172/I172)</f>
        <v>0.325042106096058</v>
      </c>
      <c r="M172" s="11" t="n">
        <f aca="false">IF(I172=0,0,H172/I172)</f>
        <v>0.0621644228921519</v>
      </c>
      <c r="N172" s="4" t="str">
        <f aca="false">INDEX($C$3:$E$3,MATCH(MAX(C172:E172),C172:E172,0))</f>
        <v>PRI-PVEM-NA</v>
      </c>
      <c r="O172" s="17" t="n">
        <f aca="false">(MAX(J172:L172)-LARGE(J172:L172,2))*100</f>
        <v>1.30896266404422</v>
      </c>
    </row>
    <row r="173" customFormat="false" ht="15" hidden="false" customHeight="false" outlineLevel="0" collapsed="false">
      <c r="A173" s="4" t="s">
        <v>64</v>
      </c>
      <c r="B173" s="4" t="n">
        <v>4</v>
      </c>
      <c r="C173" s="5" t="n">
        <v>54235</v>
      </c>
      <c r="D173" s="5" t="n">
        <v>62276</v>
      </c>
      <c r="E173" s="5" t="n">
        <v>44966</v>
      </c>
      <c r="F173" s="5" t="n">
        <v>0</v>
      </c>
      <c r="G173" s="5" t="n">
        <v>53</v>
      </c>
      <c r="H173" s="5" t="n">
        <v>9984</v>
      </c>
      <c r="I173" s="5" t="n">
        <v>171514</v>
      </c>
      <c r="J173" s="11" t="n">
        <f aca="false">IF(I173=0,0,C173/I173)</f>
        <v>0.316213253728559</v>
      </c>
      <c r="K173" s="11" t="n">
        <f aca="false">IF(I173=0,0,D173/I173)</f>
        <v>0.363095723964225</v>
      </c>
      <c r="L173" s="11" t="n">
        <f aca="false">IF(I173=0,0,E173/I173)</f>
        <v>0.262171018109309</v>
      </c>
      <c r="M173" s="11" t="n">
        <f aca="false">IF(I173=0,0,H173/I173)</f>
        <v>0.0582109915225579</v>
      </c>
      <c r="N173" s="4" t="str">
        <f aca="false">INDEX($C$3:$E$3,MATCH(MAX(C173:E173),C173:E173,0))</f>
        <v>PAN-PRD-MC</v>
      </c>
      <c r="O173" s="17" t="n">
        <f aca="false">(MAX(J173:L173)-LARGE(J173:L173,2))*100</f>
        <v>4.68824702356659</v>
      </c>
    </row>
    <row r="174" customFormat="false" ht="15" hidden="false" customHeight="false" outlineLevel="0" collapsed="false">
      <c r="A174" s="4" t="s">
        <v>64</v>
      </c>
      <c r="B174" s="4" t="n">
        <v>5</v>
      </c>
      <c r="C174" s="5" t="n">
        <v>61092</v>
      </c>
      <c r="D174" s="5" t="n">
        <v>53636</v>
      </c>
      <c r="E174" s="5" t="n">
        <v>38029</v>
      </c>
      <c r="F174" s="5" t="n">
        <v>0</v>
      </c>
      <c r="G174" s="5" t="n">
        <v>133</v>
      </c>
      <c r="H174" s="5" t="n">
        <v>8986</v>
      </c>
      <c r="I174" s="5" t="n">
        <v>161876</v>
      </c>
      <c r="J174" s="11" t="n">
        <f aca="false">IF(I174=0,0,C174/I174)</f>
        <v>0.377399985173837</v>
      </c>
      <c r="K174" s="11" t="n">
        <f aca="false">IF(I174=0,0,D174/I174)</f>
        <v>0.331340038053819</v>
      </c>
      <c r="L174" s="11" t="n">
        <f aca="false">IF(I174=0,0,E174/I174)</f>
        <v>0.234926734043342</v>
      </c>
      <c r="M174" s="11" t="n">
        <f aca="false">IF(I174=0,0,H174/I174)</f>
        <v>0.0555116261830043</v>
      </c>
      <c r="N174" s="4" t="str">
        <f aca="false">INDEX($C$3:$E$3,MATCH(MAX(C174:E174),C174:E174,0))</f>
        <v>PT-Morena-PES</v>
      </c>
      <c r="O174" s="17" t="n">
        <f aca="false">(MAX(J174:L174)-LARGE(J174:L174,2))*100</f>
        <v>4.60599471200178</v>
      </c>
    </row>
    <row r="175" customFormat="false" ht="15" hidden="false" customHeight="false" outlineLevel="0" collapsed="false">
      <c r="A175" s="4" t="s">
        <v>64</v>
      </c>
      <c r="B175" s="4" t="n">
        <v>6</v>
      </c>
      <c r="C175" s="5" t="n">
        <v>59351</v>
      </c>
      <c r="D175" s="5" t="n">
        <v>45626</v>
      </c>
      <c r="E175" s="5" t="n">
        <v>49762</v>
      </c>
      <c r="F175" s="5" t="n">
        <v>0</v>
      </c>
      <c r="G175" s="5" t="n">
        <v>78</v>
      </c>
      <c r="H175" s="5" t="n">
        <v>12348</v>
      </c>
      <c r="I175" s="5" t="n">
        <v>167165</v>
      </c>
      <c r="J175" s="11" t="n">
        <f aca="false">IF(I175=0,0,C175/I175)</f>
        <v>0.355044417192594</v>
      </c>
      <c r="K175" s="11" t="n">
        <f aca="false">IF(I175=0,0,D175/I175)</f>
        <v>0.272939909670086</v>
      </c>
      <c r="L175" s="11" t="n">
        <f aca="false">IF(I175=0,0,E175/I175)</f>
        <v>0.297681931026232</v>
      </c>
      <c r="M175" s="11" t="n">
        <f aca="false">IF(I175=0,0,H175/I175)</f>
        <v>0.0738671372595938</v>
      </c>
      <c r="N175" s="4" t="str">
        <f aca="false">INDEX($C$3:$E$3,MATCH(MAX(C175:E175),C175:E175,0))</f>
        <v>PT-Morena-PES</v>
      </c>
      <c r="O175" s="17" t="n">
        <f aca="false">(MAX(J175:L175)-LARGE(J175:L175,2))*100</f>
        <v>5.73624861663626</v>
      </c>
    </row>
    <row r="176" customFormat="false" ht="15" hidden="false" customHeight="false" outlineLevel="0" collapsed="false">
      <c r="A176" s="4" t="s">
        <v>64</v>
      </c>
      <c r="B176" s="4" t="n">
        <v>7</v>
      </c>
      <c r="C176" s="5" t="n">
        <v>57018</v>
      </c>
      <c r="D176" s="5" t="n">
        <v>42892</v>
      </c>
      <c r="E176" s="5" t="n">
        <v>45141</v>
      </c>
      <c r="F176" s="5" t="n">
        <v>0</v>
      </c>
      <c r="G176" s="5" t="n">
        <v>95</v>
      </c>
      <c r="H176" s="5" t="n">
        <v>10961</v>
      </c>
      <c r="I176" s="5" t="n">
        <v>156107</v>
      </c>
      <c r="J176" s="11" t="n">
        <f aca="false">IF(I176=0,0,C176/I176)</f>
        <v>0.365249476320729</v>
      </c>
      <c r="K176" s="11" t="n">
        <f aca="false">IF(I176=0,0,D176/I176)</f>
        <v>0.274760260590492</v>
      </c>
      <c r="L176" s="11" t="n">
        <f aca="false">IF(I176=0,0,E176/I176)</f>
        <v>0.289167045680207</v>
      </c>
      <c r="M176" s="11" t="n">
        <f aca="false">IF(I176=0,0,H176/I176)</f>
        <v>0.0702146604572505</v>
      </c>
      <c r="N176" s="4" t="str">
        <f aca="false">INDEX($C$3:$E$3,MATCH(MAX(C176:E176),C176:E176,0))</f>
        <v>PT-Morena-PES</v>
      </c>
      <c r="O176" s="17" t="n">
        <f aca="false">(MAX(J176:L176)-LARGE(J176:L176,2))*100</f>
        <v>7.60824306405222</v>
      </c>
    </row>
    <row r="177" customFormat="false" ht="15" hidden="false" customHeight="false" outlineLevel="0" collapsed="false">
      <c r="A177" s="4" t="s">
        <v>64</v>
      </c>
      <c r="B177" s="4" t="n">
        <v>8</v>
      </c>
      <c r="C177" s="5" t="n">
        <v>70833</v>
      </c>
      <c r="D177" s="5" t="n">
        <v>37588</v>
      </c>
      <c r="E177" s="5" t="n">
        <v>39131</v>
      </c>
      <c r="F177" s="5" t="n">
        <v>0</v>
      </c>
      <c r="G177" s="5" t="n">
        <v>219</v>
      </c>
      <c r="H177" s="5" t="n">
        <v>11451</v>
      </c>
      <c r="I177" s="5" t="n">
        <v>159222</v>
      </c>
      <c r="J177" s="11" t="n">
        <f aca="false">IF(I177=0,0,C177/I177)</f>
        <v>0.444869427591665</v>
      </c>
      <c r="K177" s="11" t="n">
        <f aca="false">IF(I177=0,0,D177/I177)</f>
        <v>0.236072904498122</v>
      </c>
      <c r="L177" s="11" t="n">
        <f aca="false">IF(I177=0,0,E177/I177)</f>
        <v>0.245763776362563</v>
      </c>
      <c r="M177" s="11" t="n">
        <f aca="false">IF(I177=0,0,H177/I177)</f>
        <v>0.0719184534800467</v>
      </c>
      <c r="N177" s="4" t="str">
        <f aca="false">INDEX($C$3:$E$3,MATCH(MAX(C177:E177),C177:E177,0))</f>
        <v>PT-Morena-PES</v>
      </c>
      <c r="O177" s="17" t="n">
        <f aca="false">(MAX(J177:L177)-LARGE(J177:L177,2))*100</f>
        <v>19.9105651229102</v>
      </c>
    </row>
    <row r="178" customFormat="false" ht="15" hidden="false" customHeight="false" outlineLevel="0" collapsed="false">
      <c r="A178" s="4" t="s">
        <v>64</v>
      </c>
      <c r="B178" s="4" t="n">
        <v>9</v>
      </c>
      <c r="C178" s="5" t="n">
        <v>57393</v>
      </c>
      <c r="D178" s="5" t="n">
        <v>45339</v>
      </c>
      <c r="E178" s="5" t="n">
        <v>20219</v>
      </c>
      <c r="F178" s="5" t="n">
        <v>0</v>
      </c>
      <c r="G178" s="5" t="n">
        <v>115</v>
      </c>
      <c r="H178" s="5" t="n">
        <v>7769</v>
      </c>
      <c r="I178" s="5" t="n">
        <v>130835</v>
      </c>
      <c r="J178" s="11" t="n">
        <f aca="false">IF(I178=0,0,C178/I178)</f>
        <v>0.438667023350021</v>
      </c>
      <c r="K178" s="11" t="n">
        <f aca="false">IF(I178=0,0,D178/I178)</f>
        <v>0.346535712920855</v>
      </c>
      <c r="L178" s="11" t="n">
        <f aca="false">IF(I178=0,0,E178/I178)</f>
        <v>0.15453815874957</v>
      </c>
      <c r="M178" s="11" t="n">
        <f aca="false">IF(I178=0,0,H178/I178)</f>
        <v>0.0593801352849008</v>
      </c>
      <c r="N178" s="4" t="str">
        <f aca="false">INDEX($C$3:$E$3,MATCH(MAX(C178:E178),C178:E178,0))</f>
        <v>PT-Morena-PES</v>
      </c>
      <c r="O178" s="17" t="n">
        <f aca="false">(MAX(J178:L178)-LARGE(J178:L178,2))*100</f>
        <v>9.21313104291665</v>
      </c>
    </row>
    <row r="179" customFormat="false" ht="15" hidden="false" customHeight="false" outlineLevel="0" collapsed="false">
      <c r="A179" s="4" t="s">
        <v>64</v>
      </c>
      <c r="B179" s="4" t="n">
        <v>10</v>
      </c>
      <c r="C179" s="5" t="n">
        <v>71809</v>
      </c>
      <c r="D179" s="5" t="n">
        <v>56083</v>
      </c>
      <c r="E179" s="5" t="n">
        <v>48617</v>
      </c>
      <c r="F179" s="5" t="n">
        <v>0</v>
      </c>
      <c r="G179" s="5" t="n">
        <v>249</v>
      </c>
      <c r="H179" s="5" t="n">
        <v>13332</v>
      </c>
      <c r="I179" s="5" t="n">
        <v>190090</v>
      </c>
      <c r="J179" s="11" t="n">
        <f aca="false">IF(I179=0,0,C179/I179)</f>
        <v>0.377763164816666</v>
      </c>
      <c r="K179" s="11" t="n">
        <f aca="false">IF(I179=0,0,D179/I179)</f>
        <v>0.295033931295702</v>
      </c>
      <c r="L179" s="11" t="n">
        <f aca="false">IF(I179=0,0,E179/I179)</f>
        <v>0.255757798937345</v>
      </c>
      <c r="M179" s="11" t="n">
        <f aca="false">IF(I179=0,0,H179/I179)</f>
        <v>0.0701351991162081</v>
      </c>
      <c r="N179" s="4" t="str">
        <f aca="false">INDEX($C$3:$E$3,MATCH(MAX(C179:E179),C179:E179,0))</f>
        <v>PT-Morena-PES</v>
      </c>
      <c r="O179" s="17" t="n">
        <f aca="false">(MAX(J179:L179)-LARGE(J179:L179,2))*100</f>
        <v>8.27292335209637</v>
      </c>
    </row>
    <row r="180" customFormat="false" ht="15" hidden="false" customHeight="false" outlineLevel="0" collapsed="false">
      <c r="A180" s="4" t="s">
        <v>64</v>
      </c>
      <c r="B180" s="4" t="n">
        <v>11</v>
      </c>
      <c r="C180" s="5" t="n">
        <v>57289</v>
      </c>
      <c r="D180" s="5" t="n">
        <v>53925</v>
      </c>
      <c r="E180" s="5" t="n">
        <v>48821</v>
      </c>
      <c r="F180" s="5" t="n">
        <v>0</v>
      </c>
      <c r="G180" s="5" t="n">
        <v>127</v>
      </c>
      <c r="H180" s="5" t="n">
        <v>13633</v>
      </c>
      <c r="I180" s="5" t="n">
        <v>173795</v>
      </c>
      <c r="J180" s="11" t="n">
        <f aca="false">IF(I180=0,0,C180/I180)</f>
        <v>0.329635490088898</v>
      </c>
      <c r="K180" s="11" t="n">
        <f aca="false">IF(I180=0,0,D180/I180)</f>
        <v>0.310279352110245</v>
      </c>
      <c r="L180" s="11" t="n">
        <f aca="false">IF(I180=0,0,E180/I180)</f>
        <v>0.280911418625392</v>
      </c>
      <c r="M180" s="11" t="n">
        <f aca="false">IF(I180=0,0,H180/I180)</f>
        <v>0.078442993181622</v>
      </c>
      <c r="N180" s="4" t="str">
        <f aca="false">INDEX($C$3:$E$3,MATCH(MAX(C180:E180),C180:E180,0))</f>
        <v>PT-Morena-PES</v>
      </c>
      <c r="O180" s="17" t="n">
        <f aca="false">(MAX(J180:L180)-LARGE(J180:L180,2))*100</f>
        <v>1.9356137978653</v>
      </c>
    </row>
    <row r="181" customFormat="false" ht="15" hidden="false" customHeight="false" outlineLevel="0" collapsed="false">
      <c r="A181" s="4" t="s">
        <v>64</v>
      </c>
      <c r="B181" s="4" t="n">
        <v>12</v>
      </c>
      <c r="C181" s="5" t="n">
        <v>59022</v>
      </c>
      <c r="D181" s="5" t="n">
        <v>36000</v>
      </c>
      <c r="E181" s="5" t="n">
        <v>39743</v>
      </c>
      <c r="F181" s="5" t="n">
        <v>0</v>
      </c>
      <c r="G181" s="5" t="n">
        <v>49</v>
      </c>
      <c r="H181" s="5" t="n">
        <v>8895</v>
      </c>
      <c r="I181" s="5" t="n">
        <v>143709</v>
      </c>
      <c r="J181" s="11" t="n">
        <f aca="false">IF(I181=0,0,C181/I181)</f>
        <v>0.410704966286036</v>
      </c>
      <c r="K181" s="11" t="n">
        <f aca="false">IF(I181=0,0,D181/I181)</f>
        <v>0.250506231342505</v>
      </c>
      <c r="L181" s="11" t="n">
        <f aca="false">IF(I181=0,0,E181/I181)</f>
        <v>0.276551920895699</v>
      </c>
      <c r="M181" s="11" t="n">
        <f aca="false">IF(I181=0,0,H181/I181)</f>
        <v>0.0618959146608772</v>
      </c>
      <c r="N181" s="4" t="str">
        <f aca="false">INDEX($C$3:$E$3,MATCH(MAX(C181:E181),C181:E181,0))</f>
        <v>PT-Morena-PES</v>
      </c>
      <c r="O181" s="17" t="n">
        <f aca="false">(MAX(J181:L181)-LARGE(J181:L181,2))*100</f>
        <v>13.4153045390337</v>
      </c>
    </row>
    <row r="182" customFormat="false" ht="15" hidden="false" customHeight="false" outlineLevel="0" collapsed="false">
      <c r="A182" s="4" t="s">
        <v>65</v>
      </c>
      <c r="B182" s="4" t="n">
        <v>1</v>
      </c>
      <c r="C182" s="5" t="n">
        <v>104688</v>
      </c>
      <c r="D182" s="5" t="n">
        <v>57822</v>
      </c>
      <c r="E182" s="5" t="n">
        <v>31357</v>
      </c>
      <c r="F182" s="5" t="n">
        <v>0</v>
      </c>
      <c r="G182" s="5" t="n">
        <v>327</v>
      </c>
      <c r="H182" s="5" t="n">
        <v>11422</v>
      </c>
      <c r="I182" s="5" t="n">
        <v>205616</v>
      </c>
      <c r="J182" s="11" t="n">
        <f aca="false">IF(I182=0,0,C182/I182)</f>
        <v>0.50914325733406</v>
      </c>
      <c r="K182" s="11" t="n">
        <f aca="false">IF(I182=0,0,D182/I182)</f>
        <v>0.281213524239359</v>
      </c>
      <c r="L182" s="11" t="n">
        <f aca="false">IF(I182=0,0,E182/I182)</f>
        <v>0.152502723523461</v>
      </c>
      <c r="M182" s="11" t="n">
        <f aca="false">IF(I182=0,0,H182/I182)</f>
        <v>0.0555501517391643</v>
      </c>
      <c r="N182" s="4" t="str">
        <f aca="false">INDEX($C$3:$E$3,MATCH(MAX(C182:E182),C182:E182,0))</f>
        <v>PT-Morena-PES</v>
      </c>
      <c r="O182" s="17" t="n">
        <f aca="false">(MAX(J182:L182)-LARGE(J182:L182,2))*100</f>
        <v>22.7929733094701</v>
      </c>
    </row>
    <row r="183" customFormat="false" ht="15" hidden="false" customHeight="false" outlineLevel="0" collapsed="false">
      <c r="A183" s="4" t="s">
        <v>65</v>
      </c>
      <c r="B183" s="4" t="n">
        <v>2</v>
      </c>
      <c r="C183" s="5" t="n">
        <v>97196</v>
      </c>
      <c r="D183" s="5" t="n">
        <v>40512</v>
      </c>
      <c r="E183" s="5" t="n">
        <v>36892</v>
      </c>
      <c r="F183" s="5" t="n">
        <v>0</v>
      </c>
      <c r="G183" s="5" t="n">
        <v>153</v>
      </c>
      <c r="H183" s="5" t="n">
        <v>10781</v>
      </c>
      <c r="I183" s="5" t="n">
        <v>185534</v>
      </c>
      <c r="J183" s="11" t="n">
        <f aca="false">IF(I183=0,0,C183/I183)</f>
        <v>0.523871635387584</v>
      </c>
      <c r="K183" s="11" t="n">
        <f aca="false">IF(I183=0,0,D183/I183)</f>
        <v>0.218353509329826</v>
      </c>
      <c r="L183" s="11" t="n">
        <f aca="false">IF(I183=0,0,E183/I183)</f>
        <v>0.198842260717712</v>
      </c>
      <c r="M183" s="11" t="n">
        <f aca="false">IF(I183=0,0,H183/I183)</f>
        <v>0.0581079478693932</v>
      </c>
      <c r="N183" s="4" t="str">
        <f aca="false">INDEX($C$3:$E$3,MATCH(MAX(C183:E183),C183:E183,0))</f>
        <v>PT-Morena-PES</v>
      </c>
      <c r="O183" s="17" t="n">
        <f aca="false">(MAX(J183:L183)-LARGE(J183:L183,2))*100</f>
        <v>30.5518126057758</v>
      </c>
    </row>
    <row r="184" customFormat="false" ht="15" hidden="false" customHeight="false" outlineLevel="0" collapsed="false">
      <c r="A184" s="4" t="s">
        <v>65</v>
      </c>
      <c r="B184" s="4" t="n">
        <v>3</v>
      </c>
      <c r="C184" s="5" t="n">
        <v>96076</v>
      </c>
      <c r="D184" s="5" t="n">
        <v>37742</v>
      </c>
      <c r="E184" s="5" t="n">
        <v>42962</v>
      </c>
      <c r="F184" s="5" t="n">
        <v>0</v>
      </c>
      <c r="G184" s="5" t="n">
        <v>130</v>
      </c>
      <c r="H184" s="5" t="n">
        <v>12238</v>
      </c>
      <c r="I184" s="5" t="n">
        <v>189148</v>
      </c>
      <c r="J184" s="11" t="n">
        <f aca="false">IF(I184=0,0,C184/I184)</f>
        <v>0.507940871698353</v>
      </c>
      <c r="K184" s="11" t="n">
        <f aca="false">IF(I184=0,0,D184/I184)</f>
        <v>0.199536870598685</v>
      </c>
      <c r="L184" s="11" t="n">
        <f aca="false">IF(I184=0,0,E184/I184)</f>
        <v>0.227134307526381</v>
      </c>
      <c r="M184" s="11" t="n">
        <f aca="false">IF(I184=0,0,H184/I184)</f>
        <v>0.0647006576860448</v>
      </c>
      <c r="N184" s="4" t="str">
        <f aca="false">INDEX($C$3:$E$3,MATCH(MAX(C184:E184),C184:E184,0))</f>
        <v>PT-Morena-PES</v>
      </c>
      <c r="O184" s="17" t="n">
        <f aca="false">(MAX(J184:L184)-LARGE(J184:L184,2))*100</f>
        <v>28.0806564171971</v>
      </c>
    </row>
    <row r="185" customFormat="false" ht="15" hidden="false" customHeight="false" outlineLevel="0" collapsed="false">
      <c r="A185" s="4" t="s">
        <v>65</v>
      </c>
      <c r="B185" s="4" t="n">
        <v>4</v>
      </c>
      <c r="C185" s="5" t="n">
        <v>106997</v>
      </c>
      <c r="D185" s="5" t="n">
        <v>39817</v>
      </c>
      <c r="E185" s="5" t="n">
        <v>34761</v>
      </c>
      <c r="F185" s="5" t="n">
        <v>0</v>
      </c>
      <c r="G185" s="5" t="n">
        <v>117</v>
      </c>
      <c r="H185" s="5" t="n">
        <v>11485</v>
      </c>
      <c r="I185" s="5" t="n">
        <v>193177</v>
      </c>
      <c r="J185" s="11" t="n">
        <f aca="false">IF(I185=0,0,C185/I185)</f>
        <v>0.553880637964147</v>
      </c>
      <c r="K185" s="11" t="n">
        <f aca="false">IF(I185=0,0,D185/I185)</f>
        <v>0.20611667020401</v>
      </c>
      <c r="L185" s="11" t="n">
        <f aca="false">IF(I185=0,0,E185/I185)</f>
        <v>0.179943782127272</v>
      </c>
      <c r="M185" s="11" t="n">
        <f aca="false">IF(I185=0,0,H185/I185)</f>
        <v>0.059453247539821</v>
      </c>
      <c r="N185" s="4" t="str">
        <f aca="false">INDEX($C$3:$E$3,MATCH(MAX(C185:E185),C185:E185,0))</f>
        <v>PT-Morena-PES</v>
      </c>
      <c r="O185" s="17" t="n">
        <f aca="false">(MAX(J185:L185)-LARGE(J185:L185,2))*100</f>
        <v>34.7763967760137</v>
      </c>
    </row>
    <row r="186" customFormat="false" ht="15" hidden="false" customHeight="false" outlineLevel="0" collapsed="false">
      <c r="A186" s="4" t="s">
        <v>65</v>
      </c>
      <c r="B186" s="4" t="n">
        <v>5</v>
      </c>
      <c r="C186" s="5" t="n">
        <v>91013</v>
      </c>
      <c r="D186" s="5" t="n">
        <v>40579</v>
      </c>
      <c r="E186" s="5" t="n">
        <v>49323</v>
      </c>
      <c r="F186" s="5" t="n">
        <v>0</v>
      </c>
      <c r="G186" s="5" t="n">
        <v>80</v>
      </c>
      <c r="H186" s="5" t="n">
        <v>12989</v>
      </c>
      <c r="I186" s="5" t="n">
        <v>193984</v>
      </c>
      <c r="J186" s="11" t="n">
        <f aca="false">IF(I186=0,0,C186/I186)</f>
        <v>0.469177870339822</v>
      </c>
      <c r="K186" s="11" t="n">
        <f aca="false">IF(I186=0,0,D186/I186)</f>
        <v>0.209187355658199</v>
      </c>
      <c r="L186" s="11" t="n">
        <f aca="false">IF(I186=0,0,E186/I186)</f>
        <v>0.254263238205213</v>
      </c>
      <c r="M186" s="11" t="n">
        <f aca="false">IF(I186=0,0,H186/I186)</f>
        <v>0.0669591306499505</v>
      </c>
      <c r="N186" s="4" t="str">
        <f aca="false">INDEX($C$3:$E$3,MATCH(MAX(C186:E186),C186:E186,0))</f>
        <v>PT-Morena-PES</v>
      </c>
      <c r="O186" s="17" t="n">
        <f aca="false">(MAX(J186:L186)-LARGE(J186:L186,2))*100</f>
        <v>21.4914632134609</v>
      </c>
    </row>
    <row r="187" customFormat="false" ht="15" hidden="false" customHeight="false" outlineLevel="0" collapsed="false">
      <c r="A187" s="4" t="s">
        <v>66</v>
      </c>
      <c r="B187" s="4" t="n">
        <v>1</v>
      </c>
      <c r="C187" s="5" t="n">
        <v>76736</v>
      </c>
      <c r="D187" s="5" t="n">
        <v>29664</v>
      </c>
      <c r="E187" s="5" t="n">
        <v>35932</v>
      </c>
      <c r="F187" s="5" t="n">
        <v>0</v>
      </c>
      <c r="G187" s="5" t="n">
        <v>28</v>
      </c>
      <c r="H187" s="5" t="n">
        <v>5567</v>
      </c>
      <c r="I187" s="5" t="n">
        <v>147927</v>
      </c>
      <c r="J187" s="11" t="n">
        <f aca="false">IF(I187=0,0,C187/I187)</f>
        <v>0.518742352646914</v>
      </c>
      <c r="K187" s="11" t="n">
        <f aca="false">IF(I187=0,0,D187/I187)</f>
        <v>0.200531343162506</v>
      </c>
      <c r="L187" s="11" t="n">
        <f aca="false">IF(I187=0,0,E187/I187)</f>
        <v>0.242903594340452</v>
      </c>
      <c r="M187" s="11" t="n">
        <f aca="false">IF(I187=0,0,H187/I187)</f>
        <v>0.0376334272986</v>
      </c>
      <c r="N187" s="4" t="str">
        <f aca="false">INDEX($C$3:$E$3,MATCH(MAX(C187:E187),C187:E187,0))</f>
        <v>PT-Morena-PES</v>
      </c>
      <c r="O187" s="17" t="n">
        <f aca="false">(MAX(J187:L187)-LARGE(J187:L187,2))*100</f>
        <v>27.5838758306462</v>
      </c>
    </row>
    <row r="188" customFormat="false" ht="15" hidden="false" customHeight="false" outlineLevel="0" collapsed="false">
      <c r="A188" s="4" t="s">
        <v>66</v>
      </c>
      <c r="B188" s="4" t="n">
        <v>2</v>
      </c>
      <c r="C188" s="5" t="n">
        <v>109747</v>
      </c>
      <c r="D188" s="5" t="n">
        <v>35545</v>
      </c>
      <c r="E188" s="5" t="n">
        <v>29633</v>
      </c>
      <c r="F188" s="5" t="n">
        <v>0</v>
      </c>
      <c r="G188" s="5" t="n">
        <v>113</v>
      </c>
      <c r="H188" s="5" t="n">
        <v>6286</v>
      </c>
      <c r="I188" s="5" t="n">
        <v>181324</v>
      </c>
      <c r="J188" s="11" t="n">
        <f aca="false">IF(I188=0,0,C188/I188)</f>
        <v>0.605253579228343</v>
      </c>
      <c r="K188" s="11" t="n">
        <f aca="false">IF(I188=0,0,D188/I188)</f>
        <v>0.196030310383623</v>
      </c>
      <c r="L188" s="11" t="n">
        <f aca="false">IF(I188=0,0,E188/I188)</f>
        <v>0.163425691028215</v>
      </c>
      <c r="M188" s="11" t="n">
        <f aca="false">IF(I188=0,0,H188/I188)</f>
        <v>0.0346672255189605</v>
      </c>
      <c r="N188" s="4" t="str">
        <f aca="false">INDEX($C$3:$E$3,MATCH(MAX(C188:E188),C188:E188,0))</f>
        <v>PT-Morena-PES</v>
      </c>
      <c r="O188" s="17" t="n">
        <f aca="false">(MAX(J188:L188)-LARGE(J188:L188,2))*100</f>
        <v>40.922326884472</v>
      </c>
    </row>
    <row r="189" customFormat="false" ht="15" hidden="false" customHeight="false" outlineLevel="0" collapsed="false">
      <c r="A189" s="4" t="s">
        <v>66</v>
      </c>
      <c r="B189" s="4" t="n">
        <v>3</v>
      </c>
      <c r="C189" s="5" t="n">
        <v>83905</v>
      </c>
      <c r="D189" s="5" t="n">
        <v>41477</v>
      </c>
      <c r="E189" s="5" t="n">
        <v>24535</v>
      </c>
      <c r="F189" s="5" t="n">
        <v>0</v>
      </c>
      <c r="G189" s="5" t="n">
        <v>68</v>
      </c>
      <c r="H189" s="5" t="n">
        <v>5725</v>
      </c>
      <c r="I189" s="5" t="n">
        <v>155710</v>
      </c>
      <c r="J189" s="11" t="n">
        <f aca="false">IF(I189=0,0,C189/I189)</f>
        <v>0.538854280393038</v>
      </c>
      <c r="K189" s="11" t="n">
        <f aca="false">IF(I189=0,0,D189/I189)</f>
        <v>0.26637338642348</v>
      </c>
      <c r="L189" s="11" t="n">
        <f aca="false">IF(I189=0,0,E189/I189)</f>
        <v>0.15756855693276</v>
      </c>
      <c r="M189" s="11" t="n">
        <f aca="false">IF(I189=0,0,H189/I189)</f>
        <v>0.036767066983495</v>
      </c>
      <c r="N189" s="4" t="str">
        <f aca="false">INDEX($C$3:$E$3,MATCH(MAX(C189:E189),C189:E189,0))</f>
        <v>PT-Morena-PES</v>
      </c>
      <c r="O189" s="17" t="n">
        <f aca="false">(MAX(J189:L189)-LARGE(J189:L189,2))*100</f>
        <v>27.2480893969559</v>
      </c>
    </row>
    <row r="190" customFormat="false" ht="15" hidden="false" customHeight="false" outlineLevel="0" collapsed="false">
      <c r="A190" s="4" t="s">
        <v>67</v>
      </c>
      <c r="B190" s="4" t="n">
        <v>1</v>
      </c>
      <c r="C190" s="5" t="n">
        <v>35736</v>
      </c>
      <c r="D190" s="5" t="n">
        <v>118587</v>
      </c>
      <c r="E190" s="5" t="n">
        <v>24202</v>
      </c>
      <c r="F190" s="5" t="n">
        <v>6712</v>
      </c>
      <c r="G190" s="5" t="n">
        <v>133</v>
      </c>
      <c r="H190" s="5" t="n">
        <v>5020</v>
      </c>
      <c r="I190" s="5" t="n">
        <v>190390</v>
      </c>
      <c r="J190" s="11" t="n">
        <f aca="false">IF(I190=0,0,C190/I190)</f>
        <v>0.18769893376753</v>
      </c>
      <c r="K190" s="11" t="n">
        <f aca="false">IF(I190=0,0,D190/I190)</f>
        <v>0.622863595777089</v>
      </c>
      <c r="L190" s="11" t="n">
        <f aca="false">IF(I190=0,0,E190/I190)</f>
        <v>0.127118020904459</v>
      </c>
      <c r="M190" s="11" t="n">
        <f aca="false">IF(I190=0,0,H190/I190)</f>
        <v>0.0263669310362939</v>
      </c>
      <c r="N190" s="4" t="str">
        <f aca="false">INDEX($C$3:$E$3,MATCH(MAX(C190:E190),C190:E190,0))</f>
        <v>PAN-PRD-MC</v>
      </c>
      <c r="O190" s="17" t="n">
        <f aca="false">(MAX(J190:L190)-LARGE(J190:L190,2))*100</f>
        <v>43.5164662009559</v>
      </c>
    </row>
    <row r="191" customFormat="false" ht="15" hidden="false" customHeight="false" outlineLevel="0" collapsed="false">
      <c r="A191" s="4" t="s">
        <v>67</v>
      </c>
      <c r="B191" s="4" t="n">
        <v>2</v>
      </c>
      <c r="C191" s="5" t="n">
        <v>46184</v>
      </c>
      <c r="D191" s="5" t="n">
        <v>82215</v>
      </c>
      <c r="E191" s="5" t="n">
        <v>38496</v>
      </c>
      <c r="F191" s="5" t="n">
        <v>8384</v>
      </c>
      <c r="G191" s="5" t="n">
        <v>205</v>
      </c>
      <c r="H191" s="5" t="n">
        <v>4124</v>
      </c>
      <c r="I191" s="5" t="n">
        <v>179608</v>
      </c>
      <c r="J191" s="11" t="n">
        <f aca="false">IF(I191=0,0,C191/I191)</f>
        <v>0.257137766691907</v>
      </c>
      <c r="K191" s="11" t="n">
        <f aca="false">IF(I191=0,0,D191/I191)</f>
        <v>0.457746870963432</v>
      </c>
      <c r="L191" s="11" t="n">
        <f aca="false">IF(I191=0,0,E191/I191)</f>
        <v>0.214333437263374</v>
      </c>
      <c r="M191" s="11" t="n">
        <f aca="false">IF(I191=0,0,H191/I191)</f>
        <v>0.0229611153178032</v>
      </c>
      <c r="N191" s="4" t="str">
        <f aca="false">INDEX($C$3:$E$3,MATCH(MAX(C191:E191),C191:E191,0))</f>
        <v>PAN-PRD-MC</v>
      </c>
      <c r="O191" s="17" t="n">
        <f aca="false">(MAX(J191:L191)-LARGE(J191:L191,2))*100</f>
        <v>20.0609104271525</v>
      </c>
    </row>
    <row r="192" customFormat="false" ht="15" hidden="false" customHeight="false" outlineLevel="0" collapsed="false">
      <c r="A192" s="4" t="s">
        <v>67</v>
      </c>
      <c r="B192" s="4" t="n">
        <v>3</v>
      </c>
      <c r="C192" s="5" t="n">
        <v>35004</v>
      </c>
      <c r="D192" s="5" t="n">
        <v>62629</v>
      </c>
      <c r="E192" s="5" t="n">
        <v>33808</v>
      </c>
      <c r="F192" s="5" t="n">
        <v>6094</v>
      </c>
      <c r="G192" s="5" t="n">
        <v>91</v>
      </c>
      <c r="H192" s="5" t="n">
        <v>3767</v>
      </c>
      <c r="I192" s="5" t="n">
        <v>141393</v>
      </c>
      <c r="J192" s="11" t="n">
        <f aca="false">IF(I192=0,0,C192/I192)</f>
        <v>0.247565296726146</v>
      </c>
      <c r="K192" s="11" t="n">
        <f aca="false">IF(I192=0,0,D192/I192)</f>
        <v>0.442942719936631</v>
      </c>
      <c r="L192" s="11" t="n">
        <f aca="false">IF(I192=0,0,E192/I192)</f>
        <v>0.239106603580092</v>
      </c>
      <c r="M192" s="11" t="n">
        <f aca="false">IF(I192=0,0,H192/I192)</f>
        <v>0.0266420544157066</v>
      </c>
      <c r="N192" s="4" t="str">
        <f aca="false">INDEX($C$3:$E$3,MATCH(MAX(C192:E192),C192:E192,0))</f>
        <v>PAN-PRD-MC</v>
      </c>
      <c r="O192" s="17" t="n">
        <f aca="false">(MAX(J192:L192)-LARGE(J192:L192,2))*100</f>
        <v>19.5377423210484</v>
      </c>
    </row>
    <row r="193" customFormat="false" ht="15" hidden="false" customHeight="false" outlineLevel="0" collapsed="false">
      <c r="A193" s="4" t="s">
        <v>67</v>
      </c>
      <c r="B193" s="4" t="n">
        <v>4</v>
      </c>
      <c r="C193" s="5" t="n">
        <v>42826</v>
      </c>
      <c r="D193" s="5" t="n">
        <v>139090</v>
      </c>
      <c r="E193" s="5" t="n">
        <v>27814</v>
      </c>
      <c r="F193" s="5" t="n">
        <v>9667</v>
      </c>
      <c r="G193" s="5" t="n">
        <v>115</v>
      </c>
      <c r="H193" s="5" t="n">
        <v>5346</v>
      </c>
      <c r="I193" s="5" t="n">
        <v>224858</v>
      </c>
      <c r="J193" s="11" t="n">
        <f aca="false">IF(I193=0,0,C193/I193)</f>
        <v>0.190457977923845</v>
      </c>
      <c r="K193" s="11" t="n">
        <f aca="false">IF(I193=0,0,D193/I193)</f>
        <v>0.618568163018438</v>
      </c>
      <c r="L193" s="11" t="n">
        <f aca="false">IF(I193=0,0,E193/I193)</f>
        <v>0.123695843599071</v>
      </c>
      <c r="M193" s="11" t="n">
        <f aca="false">IF(I193=0,0,H193/I193)</f>
        <v>0.0237750046696137</v>
      </c>
      <c r="N193" s="4" t="str">
        <f aca="false">INDEX($C$3:$E$3,MATCH(MAX(C193:E193),C193:E193,0))</f>
        <v>PAN-PRD-MC</v>
      </c>
      <c r="O193" s="17" t="n">
        <f aca="false">(MAX(J193:L193)-LARGE(J193:L193,2))*100</f>
        <v>42.8110185094593</v>
      </c>
    </row>
    <row r="194" customFormat="false" ht="15" hidden="false" customHeight="false" outlineLevel="0" collapsed="false">
      <c r="A194" s="4" t="s">
        <v>67</v>
      </c>
      <c r="B194" s="4" t="n">
        <v>5</v>
      </c>
      <c r="C194" s="5" t="n">
        <v>34445</v>
      </c>
      <c r="D194" s="5" t="n">
        <v>45273</v>
      </c>
      <c r="E194" s="5" t="n">
        <v>30781</v>
      </c>
      <c r="F194" s="5" t="n">
        <v>4718</v>
      </c>
      <c r="G194" s="5" t="n">
        <v>23</v>
      </c>
      <c r="H194" s="5" t="n">
        <v>4615</v>
      </c>
      <c r="I194" s="5" t="n">
        <v>119855</v>
      </c>
      <c r="J194" s="11" t="n">
        <f aca="false">IF(I194=0,0,C194/I194)</f>
        <v>0.287388928288348</v>
      </c>
      <c r="K194" s="11" t="n">
        <f aca="false">IF(I194=0,0,D194/I194)</f>
        <v>0.377731425472446</v>
      </c>
      <c r="L194" s="11" t="n">
        <f aca="false">IF(I194=0,0,E194/I194)</f>
        <v>0.25681865587585</v>
      </c>
      <c r="M194" s="11" t="n">
        <f aca="false">IF(I194=0,0,H194/I194)</f>
        <v>0.0385048600392141</v>
      </c>
      <c r="N194" s="4" t="str">
        <f aca="false">INDEX($C$3:$E$3,MATCH(MAX(C194:E194),C194:E194,0))</f>
        <v>PAN-PRD-MC</v>
      </c>
      <c r="O194" s="17" t="n">
        <f aca="false">(MAX(J194:L194)-LARGE(J194:L194,2))*100</f>
        <v>9.03424971840974</v>
      </c>
    </row>
    <row r="195" customFormat="false" ht="15" hidden="false" customHeight="false" outlineLevel="0" collapsed="false">
      <c r="A195" s="4" t="s">
        <v>67</v>
      </c>
      <c r="B195" s="4" t="n">
        <v>6</v>
      </c>
      <c r="C195" s="5" t="n">
        <v>41027</v>
      </c>
      <c r="D195" s="5" t="n">
        <v>130900</v>
      </c>
      <c r="E195" s="5" t="n">
        <v>40248</v>
      </c>
      <c r="F195" s="5" t="n">
        <v>7851</v>
      </c>
      <c r="G195" s="5" t="n">
        <v>154</v>
      </c>
      <c r="H195" s="5" t="n">
        <v>6629</v>
      </c>
      <c r="I195" s="5" t="n">
        <v>226809</v>
      </c>
      <c r="J195" s="11" t="n">
        <f aca="false">IF(I195=0,0,C195/I195)</f>
        <v>0.180887883637775</v>
      </c>
      <c r="K195" s="11" t="n">
        <f aca="false">IF(I195=0,0,D195/I195)</f>
        <v>0.577137591541782</v>
      </c>
      <c r="L195" s="11" t="n">
        <f aca="false">IF(I195=0,0,E195/I195)</f>
        <v>0.177453275663664</v>
      </c>
      <c r="M195" s="11" t="n">
        <f aca="false">IF(I195=0,0,H195/I195)</f>
        <v>0.0292272352508057</v>
      </c>
      <c r="N195" s="4" t="str">
        <f aca="false">INDEX($C$3:$E$3,MATCH(MAX(C195:E195),C195:E195,0))</f>
        <v>PAN-PRD-MC</v>
      </c>
      <c r="O195" s="17" t="n">
        <f aca="false">(MAX(J195:L195)-LARGE(J195:L195,2))*100</f>
        <v>39.6249707904007</v>
      </c>
    </row>
    <row r="196" customFormat="false" ht="15" hidden="false" customHeight="false" outlineLevel="0" collapsed="false">
      <c r="A196" s="4" t="s">
        <v>67</v>
      </c>
      <c r="B196" s="4" t="n">
        <v>7</v>
      </c>
      <c r="C196" s="5" t="n">
        <v>47220</v>
      </c>
      <c r="D196" s="5" t="n">
        <v>74108</v>
      </c>
      <c r="E196" s="5" t="n">
        <v>44856</v>
      </c>
      <c r="F196" s="5" t="n">
        <v>15549</v>
      </c>
      <c r="G196" s="5" t="n">
        <v>122</v>
      </c>
      <c r="H196" s="5" t="n">
        <v>6533</v>
      </c>
      <c r="I196" s="5" t="n">
        <v>188388</v>
      </c>
      <c r="J196" s="11" t="n">
        <f aca="false">IF(I196=0,0,C196/I196)</f>
        <v>0.250652907828524</v>
      </c>
      <c r="K196" s="11" t="n">
        <f aca="false">IF(I196=0,0,D196/I196)</f>
        <v>0.39337962078264</v>
      </c>
      <c r="L196" s="11" t="n">
        <f aca="false">IF(I196=0,0,E196/I196)</f>
        <v>0.238104337855914</v>
      </c>
      <c r="M196" s="11" t="n">
        <f aca="false">IF(I196=0,0,H196/I196)</f>
        <v>0.0346784296239676</v>
      </c>
      <c r="N196" s="4" t="str">
        <f aca="false">INDEX($C$3:$E$3,MATCH(MAX(C196:E196),C196:E196,0))</f>
        <v>PAN-PRD-MC</v>
      </c>
      <c r="O196" s="17" t="n">
        <f aca="false">(MAX(J196:L196)-LARGE(J196:L196,2))*100</f>
        <v>14.2726712954116</v>
      </c>
    </row>
    <row r="197" customFormat="false" ht="15" hidden="false" customHeight="false" outlineLevel="0" collapsed="false">
      <c r="A197" s="4" t="s">
        <v>67</v>
      </c>
      <c r="B197" s="4" t="n">
        <v>8</v>
      </c>
      <c r="C197" s="5" t="n">
        <v>39503</v>
      </c>
      <c r="D197" s="5" t="n">
        <v>74946</v>
      </c>
      <c r="E197" s="5" t="n">
        <v>35870</v>
      </c>
      <c r="F197" s="5" t="n">
        <v>9194</v>
      </c>
      <c r="G197" s="5" t="n">
        <v>36</v>
      </c>
      <c r="H197" s="5" t="n">
        <v>4441</v>
      </c>
      <c r="I197" s="5" t="n">
        <v>163990</v>
      </c>
      <c r="J197" s="11" t="n">
        <f aca="false">IF(I197=0,0,C197/I197)</f>
        <v>0.240886639429234</v>
      </c>
      <c r="K197" s="11" t="n">
        <f aca="false">IF(I197=0,0,D197/I197)</f>
        <v>0.457015671687298</v>
      </c>
      <c r="L197" s="11" t="n">
        <f aca="false">IF(I197=0,0,E197/I197)</f>
        <v>0.218732849563998</v>
      </c>
      <c r="M197" s="11" t="n">
        <f aca="false">IF(I197=0,0,H197/I197)</f>
        <v>0.0270809195682664</v>
      </c>
      <c r="N197" s="4" t="str">
        <f aca="false">INDEX($C$3:$E$3,MATCH(MAX(C197:E197),C197:E197,0))</f>
        <v>PAN-PRD-MC</v>
      </c>
      <c r="O197" s="17" t="n">
        <f aca="false">(MAX(J197:L197)-LARGE(J197:L197,2))*100</f>
        <v>21.6129032258065</v>
      </c>
    </row>
    <row r="198" customFormat="false" ht="15" hidden="false" customHeight="false" outlineLevel="0" collapsed="false">
      <c r="A198" s="4" t="s">
        <v>67</v>
      </c>
      <c r="B198" s="4" t="n">
        <v>9</v>
      </c>
      <c r="C198" s="5" t="n">
        <v>35993</v>
      </c>
      <c r="D198" s="5" t="n">
        <v>71466</v>
      </c>
      <c r="E198" s="5" t="n">
        <v>75620</v>
      </c>
      <c r="F198" s="5" t="n">
        <v>11002</v>
      </c>
      <c r="G198" s="5" t="n">
        <v>89</v>
      </c>
      <c r="H198" s="5" t="n">
        <v>9778</v>
      </c>
      <c r="I198" s="5" t="n">
        <v>203948</v>
      </c>
      <c r="J198" s="11" t="n">
        <f aca="false">IF(I198=0,0,C198/I198)</f>
        <v>0.176481259929002</v>
      </c>
      <c r="K198" s="11" t="n">
        <f aca="false">IF(I198=0,0,D198/I198)</f>
        <v>0.350412850334399</v>
      </c>
      <c r="L198" s="11" t="n">
        <f aca="false">IF(I198=0,0,E198/I198)</f>
        <v>0.370780787259498</v>
      </c>
      <c r="M198" s="11" t="n">
        <f aca="false">IF(I198=0,0,H198/I198)</f>
        <v>0.0479435934650009</v>
      </c>
      <c r="N198" s="4" t="str">
        <f aca="false">INDEX($C$3:$E$3,MATCH(MAX(C198:E198),C198:E198,0))</f>
        <v>PRI-PVEM-NA</v>
      </c>
      <c r="O198" s="17" t="n">
        <f aca="false">(MAX(J198:L198)-LARGE(J198:L198,2))*100</f>
        <v>2.03679369250986</v>
      </c>
    </row>
    <row r="199" customFormat="false" ht="15" hidden="false" customHeight="false" outlineLevel="0" collapsed="false">
      <c r="A199" s="4" t="s">
        <v>67</v>
      </c>
      <c r="B199" s="4" t="n">
        <v>10</v>
      </c>
      <c r="C199" s="5" t="n">
        <v>33811</v>
      </c>
      <c r="D199" s="5" t="n">
        <v>112827</v>
      </c>
      <c r="E199" s="5" t="n">
        <v>36802</v>
      </c>
      <c r="F199" s="5" t="n">
        <v>7365</v>
      </c>
      <c r="G199" s="5" t="n">
        <v>90</v>
      </c>
      <c r="H199" s="5" t="n">
        <v>6011</v>
      </c>
      <c r="I199" s="5" t="n">
        <v>196906</v>
      </c>
      <c r="J199" s="11" t="n">
        <f aca="false">IF(I199=0,0,C199/I199)</f>
        <v>0.171711374970798</v>
      </c>
      <c r="K199" s="11" t="n">
        <f aca="false">IF(I199=0,0,D199/I199)</f>
        <v>0.572999299157974</v>
      </c>
      <c r="L199" s="11" t="n">
        <f aca="false">IF(I199=0,0,E199/I199)</f>
        <v>0.186901364102668</v>
      </c>
      <c r="M199" s="11" t="n">
        <f aca="false">IF(I199=0,0,H199/I199)</f>
        <v>0.0305272566605385</v>
      </c>
      <c r="N199" s="4" t="str">
        <f aca="false">INDEX($C$3:$E$3,MATCH(MAX(C199:E199),C199:E199,0))</f>
        <v>PAN-PRD-MC</v>
      </c>
      <c r="O199" s="17" t="n">
        <f aca="false">(MAX(J199:L199)-LARGE(J199:L199,2))*100</f>
        <v>38.6097935055306</v>
      </c>
    </row>
    <row r="200" customFormat="false" ht="15" hidden="false" customHeight="false" outlineLevel="0" collapsed="false">
      <c r="A200" s="4" t="s">
        <v>67</v>
      </c>
      <c r="B200" s="4" t="n">
        <v>11</v>
      </c>
      <c r="C200" s="5" t="n">
        <v>41706</v>
      </c>
      <c r="D200" s="5" t="n">
        <v>96346</v>
      </c>
      <c r="E200" s="5" t="n">
        <v>40926</v>
      </c>
      <c r="F200" s="5" t="n">
        <v>9765</v>
      </c>
      <c r="G200" s="5" t="n">
        <v>90</v>
      </c>
      <c r="H200" s="5" t="n">
        <v>6149</v>
      </c>
      <c r="I200" s="5" t="n">
        <v>194982</v>
      </c>
      <c r="J200" s="11" t="n">
        <f aca="false">IF(I200=0,0,C200/I200)</f>
        <v>0.213896667384682</v>
      </c>
      <c r="K200" s="11" t="n">
        <f aca="false">IF(I200=0,0,D200/I200)</f>
        <v>0.494127663066334</v>
      </c>
      <c r="L200" s="11" t="n">
        <f aca="false">IF(I200=0,0,E200/I200)</f>
        <v>0.209896298119826</v>
      </c>
      <c r="M200" s="11" t="n">
        <f aca="false">IF(I200=0,0,H200/I200)</f>
        <v>0.0315362443712753</v>
      </c>
      <c r="N200" s="4" t="str">
        <f aca="false">INDEX($C$3:$E$3,MATCH(MAX(C200:E200),C200:E200,0))</f>
        <v>PAN-PRD-MC</v>
      </c>
      <c r="O200" s="17" t="n">
        <f aca="false">(MAX(J200:L200)-LARGE(J200:L200,2))*100</f>
        <v>28.0230995681653</v>
      </c>
    </row>
    <row r="201" customFormat="false" ht="15" hidden="false" customHeight="false" outlineLevel="0" collapsed="false">
      <c r="A201" s="4" t="s">
        <v>67</v>
      </c>
      <c r="B201" s="4" t="n">
        <v>12</v>
      </c>
      <c r="C201" s="5" t="n">
        <v>45122</v>
      </c>
      <c r="D201" s="5" t="n">
        <v>51712</v>
      </c>
      <c r="E201" s="5" t="n">
        <v>45771</v>
      </c>
      <c r="F201" s="5" t="n">
        <v>8874</v>
      </c>
      <c r="G201" s="5" t="n">
        <v>58</v>
      </c>
      <c r="H201" s="5" t="n">
        <v>5008</v>
      </c>
      <c r="I201" s="5" t="n">
        <v>156545</v>
      </c>
      <c r="J201" s="11" t="n">
        <f aca="false">IF(I201=0,0,C201/I201)</f>
        <v>0.288236609281676</v>
      </c>
      <c r="K201" s="11" t="n">
        <f aca="false">IF(I201=0,0,D201/I201)</f>
        <v>0.33033313104858</v>
      </c>
      <c r="L201" s="11" t="n">
        <f aca="false">IF(I201=0,0,E201/I201)</f>
        <v>0.292382382062666</v>
      </c>
      <c r="M201" s="11" t="n">
        <f aca="false">IF(I201=0,0,H201/I201)</f>
        <v>0.0319908013670191</v>
      </c>
      <c r="N201" s="4" t="str">
        <f aca="false">INDEX($C$3:$E$3,MATCH(MAX(C201:E201),C201:E201,0))</f>
        <v>PAN-PRD-MC</v>
      </c>
      <c r="O201" s="17" t="n">
        <f aca="false">(MAX(J201:L201)-LARGE(J201:L201,2))*100</f>
        <v>3.79507489859146</v>
      </c>
    </row>
    <row r="202" customFormat="false" ht="15" hidden="false" customHeight="false" outlineLevel="0" collapsed="false">
      <c r="A202" s="4" t="s">
        <v>68</v>
      </c>
      <c r="B202" s="4" t="n">
        <v>1</v>
      </c>
      <c r="C202" s="5" t="n">
        <v>100756</v>
      </c>
      <c r="D202" s="5" t="n">
        <v>34437</v>
      </c>
      <c r="E202" s="5" t="n">
        <v>59188</v>
      </c>
      <c r="F202" s="5" t="n">
        <v>0</v>
      </c>
      <c r="G202" s="5" t="n">
        <v>34</v>
      </c>
      <c r="H202" s="5" t="n">
        <v>8672</v>
      </c>
      <c r="I202" s="5" t="n">
        <v>203087</v>
      </c>
      <c r="J202" s="11" t="n">
        <f aca="false">IF(I202=0,0,C202/I202)</f>
        <v>0.496122351504528</v>
      </c>
      <c r="K202" s="11" t="n">
        <f aca="false">IF(I202=0,0,D202/I202)</f>
        <v>0.169567722207724</v>
      </c>
      <c r="L202" s="11" t="n">
        <f aca="false">IF(I202=0,0,E202/I202)</f>
        <v>0.29144159892066</v>
      </c>
      <c r="M202" s="11" t="n">
        <f aca="false">IF(I202=0,0,H202/I202)</f>
        <v>0.0427009114320464</v>
      </c>
      <c r="N202" s="4" t="str">
        <f aca="false">INDEX($C$3:$E$3,MATCH(MAX(C202:E202),C202:E202,0))</f>
        <v>PT-Morena-PES</v>
      </c>
      <c r="O202" s="17" t="n">
        <f aca="false">(MAX(J202:L202)-LARGE(J202:L202,2))*100</f>
        <v>20.4680752583868</v>
      </c>
    </row>
    <row r="203" customFormat="false" ht="15" hidden="false" customHeight="false" outlineLevel="0" collapsed="false">
      <c r="A203" s="4" t="s">
        <v>68</v>
      </c>
      <c r="B203" s="4" t="n">
        <v>2</v>
      </c>
      <c r="C203" s="5" t="n">
        <v>101981</v>
      </c>
      <c r="D203" s="5" t="n">
        <v>28731</v>
      </c>
      <c r="E203" s="5" t="n">
        <v>54679</v>
      </c>
      <c r="F203" s="5" t="n">
        <v>0</v>
      </c>
      <c r="G203" s="5" t="n">
        <v>36</v>
      </c>
      <c r="H203" s="5" t="n">
        <v>10113</v>
      </c>
      <c r="I203" s="5" t="n">
        <v>195540</v>
      </c>
      <c r="J203" s="11" t="n">
        <f aca="false">IF(I203=0,0,C203/I203)</f>
        <v>0.52153523575739</v>
      </c>
      <c r="K203" s="11" t="n">
        <f aca="false">IF(I203=0,0,D203/I203)</f>
        <v>0.146931574102485</v>
      </c>
      <c r="L203" s="11" t="n">
        <f aca="false">IF(I203=0,0,E203/I203)</f>
        <v>0.279630766083666</v>
      </c>
      <c r="M203" s="11" t="n">
        <f aca="false">IF(I203=0,0,H203/I203)</f>
        <v>0.0517183185026082</v>
      </c>
      <c r="N203" s="4" t="str">
        <f aca="false">INDEX($C$3:$E$3,MATCH(MAX(C203:E203),C203:E203,0))</f>
        <v>PT-Morena-PES</v>
      </c>
      <c r="O203" s="17" t="n">
        <f aca="false">(MAX(J203:L203)-LARGE(J203:L203,2))*100</f>
        <v>24.1904469673724</v>
      </c>
    </row>
    <row r="204" customFormat="false" ht="15" hidden="false" customHeight="false" outlineLevel="0" collapsed="false">
      <c r="A204" s="4" t="s">
        <v>68</v>
      </c>
      <c r="B204" s="4" t="n">
        <v>3</v>
      </c>
      <c r="C204" s="5" t="n">
        <v>106975</v>
      </c>
      <c r="D204" s="5" t="n">
        <v>34851</v>
      </c>
      <c r="E204" s="5" t="n">
        <v>36612</v>
      </c>
      <c r="F204" s="5" t="n">
        <v>0</v>
      </c>
      <c r="G204" s="5" t="n">
        <v>97</v>
      </c>
      <c r="H204" s="5" t="n">
        <v>7988</v>
      </c>
      <c r="I204" s="5" t="n">
        <v>186523</v>
      </c>
      <c r="J204" s="11" t="n">
        <f aca="false">IF(I204=0,0,C204/I204)</f>
        <v>0.573521764071991</v>
      </c>
      <c r="K204" s="11" t="n">
        <f aca="false">IF(I204=0,0,D204/I204)</f>
        <v>0.186845590088086</v>
      </c>
      <c r="L204" s="11" t="n">
        <f aca="false">IF(I204=0,0,E204/I204)</f>
        <v>0.196286785007747</v>
      </c>
      <c r="M204" s="11" t="n">
        <f aca="false">IF(I204=0,0,H204/I204)</f>
        <v>0.0428258177275725</v>
      </c>
      <c r="N204" s="4" t="str">
        <f aca="false">INDEX($C$3:$E$3,MATCH(MAX(C204:E204),C204:E204,0))</f>
        <v>PT-Morena-PES</v>
      </c>
      <c r="O204" s="17" t="n">
        <f aca="false">(MAX(J204:L204)-LARGE(J204:L204,2))*100</f>
        <v>37.7234979064244</v>
      </c>
    </row>
    <row r="205" customFormat="false" ht="15" hidden="false" customHeight="false" outlineLevel="0" collapsed="false">
      <c r="A205" s="4" t="s">
        <v>68</v>
      </c>
      <c r="B205" s="4" t="n">
        <v>4</v>
      </c>
      <c r="C205" s="5" t="n">
        <v>115551</v>
      </c>
      <c r="D205" s="5" t="n">
        <v>25309</v>
      </c>
      <c r="E205" s="5" t="n">
        <v>36856</v>
      </c>
      <c r="F205" s="5" t="n">
        <v>0</v>
      </c>
      <c r="G205" s="5" t="n">
        <v>84</v>
      </c>
      <c r="H205" s="5" t="n">
        <v>7996</v>
      </c>
      <c r="I205" s="5" t="n">
        <v>185796</v>
      </c>
      <c r="J205" s="11" t="n">
        <f aca="false">IF(I205=0,0,C205/I205)</f>
        <v>0.621924045727572</v>
      </c>
      <c r="K205" s="11" t="n">
        <f aca="false">IF(I205=0,0,D205/I205)</f>
        <v>0.136219294279748</v>
      </c>
      <c r="L205" s="11" t="n">
        <f aca="false">IF(I205=0,0,E205/I205)</f>
        <v>0.198368102650219</v>
      </c>
      <c r="M205" s="11" t="n">
        <f aca="false">IF(I205=0,0,H205/I205)</f>
        <v>0.0430364485780103</v>
      </c>
      <c r="N205" s="4" t="str">
        <f aca="false">INDEX($C$3:$E$3,MATCH(MAX(C205:E205),C205:E205,0))</f>
        <v>PT-Morena-PES</v>
      </c>
      <c r="O205" s="17" t="n">
        <f aca="false">(MAX(J205:L205)-LARGE(J205:L205,2))*100</f>
        <v>42.3555943077354</v>
      </c>
    </row>
    <row r="206" customFormat="false" ht="15" hidden="false" customHeight="false" outlineLevel="0" collapsed="false">
      <c r="A206" s="4" t="s">
        <v>68</v>
      </c>
      <c r="B206" s="4" t="n">
        <v>5</v>
      </c>
      <c r="C206" s="5" t="n">
        <v>119476</v>
      </c>
      <c r="D206" s="5" t="n">
        <v>20129</v>
      </c>
      <c r="E206" s="5" t="n">
        <v>33739</v>
      </c>
      <c r="F206" s="5" t="n">
        <v>0</v>
      </c>
      <c r="G206" s="5" t="n">
        <v>25</v>
      </c>
      <c r="H206" s="5" t="n">
        <v>7530</v>
      </c>
      <c r="I206" s="5" t="n">
        <v>180899</v>
      </c>
      <c r="J206" s="11" t="n">
        <f aca="false">IF(I206=0,0,C206/I206)</f>
        <v>0.660456940060476</v>
      </c>
      <c r="K206" s="11" t="n">
        <f aca="false">IF(I206=0,0,D206/I206)</f>
        <v>0.11127203577687</v>
      </c>
      <c r="L206" s="11" t="n">
        <f aca="false">IF(I206=0,0,E206/I206)</f>
        <v>0.186507388100542</v>
      </c>
      <c r="M206" s="11" t="n">
        <f aca="false">IF(I206=0,0,H206/I206)</f>
        <v>0.0416254373987695</v>
      </c>
      <c r="N206" s="4" t="str">
        <f aca="false">INDEX($C$3:$E$3,MATCH(MAX(C206:E206),C206:E206,0))</f>
        <v>PT-Morena-PES</v>
      </c>
      <c r="O206" s="17" t="n">
        <f aca="false">(MAX(J206:L206)-LARGE(J206:L206,2))*100</f>
        <v>47.3949551959933</v>
      </c>
    </row>
    <row r="207" customFormat="false" ht="15" hidden="false" customHeight="false" outlineLevel="0" collapsed="false">
      <c r="A207" s="4" t="s">
        <v>68</v>
      </c>
      <c r="B207" s="4" t="n">
        <v>6</v>
      </c>
      <c r="C207" s="5" t="n">
        <v>98044</v>
      </c>
      <c r="D207" s="5" t="n">
        <v>30231</v>
      </c>
      <c r="E207" s="5" t="n">
        <v>34369</v>
      </c>
      <c r="F207" s="5" t="n">
        <v>0</v>
      </c>
      <c r="G207" s="5" t="n">
        <v>45</v>
      </c>
      <c r="H207" s="5" t="n">
        <v>9992</v>
      </c>
      <c r="I207" s="5" t="n">
        <v>172681</v>
      </c>
      <c r="J207" s="11" t="n">
        <f aca="false">IF(I207=0,0,C207/I207)</f>
        <v>0.567775261899109</v>
      </c>
      <c r="K207" s="11" t="n">
        <f aca="false">IF(I207=0,0,D207/I207)</f>
        <v>0.175068478871445</v>
      </c>
      <c r="L207" s="11" t="n">
        <f aca="false">IF(I207=0,0,E207/I207)</f>
        <v>0.199031740608405</v>
      </c>
      <c r="M207" s="11" t="n">
        <f aca="false">IF(I207=0,0,H207/I207)</f>
        <v>0.0578639224929205</v>
      </c>
      <c r="N207" s="4" t="str">
        <f aca="false">INDEX($C$3:$E$3,MATCH(MAX(C207:E207),C207:E207,0))</f>
        <v>PT-Morena-PES</v>
      </c>
      <c r="O207" s="17" t="n">
        <f aca="false">(MAX(J207:L207)-LARGE(J207:L207,2))*100</f>
        <v>36.8743521290704</v>
      </c>
    </row>
    <row r="208" customFormat="false" ht="15" hidden="false" customHeight="false" outlineLevel="0" collapsed="false">
      <c r="A208" s="4" t="s">
        <v>68</v>
      </c>
      <c r="B208" s="4" t="n">
        <v>7</v>
      </c>
      <c r="C208" s="5" t="n">
        <v>111480</v>
      </c>
      <c r="D208" s="5" t="n">
        <v>29049</v>
      </c>
      <c r="E208" s="5" t="n">
        <v>54783</v>
      </c>
      <c r="F208" s="5" t="n">
        <v>0</v>
      </c>
      <c r="G208" s="5" t="n">
        <v>44</v>
      </c>
      <c r="H208" s="5" t="n">
        <v>9918</v>
      </c>
      <c r="I208" s="5" t="n">
        <v>205274</v>
      </c>
      <c r="J208" s="11" t="n">
        <f aca="false">IF(I208=0,0,C208/I208)</f>
        <v>0.543079006596062</v>
      </c>
      <c r="K208" s="11" t="n">
        <f aca="false">IF(I208=0,0,D208/I208)</f>
        <v>0.141513294425987</v>
      </c>
      <c r="L208" s="11" t="n">
        <f aca="false">IF(I208=0,0,E208/I208)</f>
        <v>0.266877441858199</v>
      </c>
      <c r="M208" s="11" t="n">
        <f aca="false">IF(I208=0,0,H208/I208)</f>
        <v>0.0483159094673461</v>
      </c>
      <c r="N208" s="4" t="str">
        <f aca="false">INDEX($C$3:$E$3,MATCH(MAX(C208:E208),C208:E208,0))</f>
        <v>PT-Morena-PES</v>
      </c>
      <c r="O208" s="17" t="n">
        <f aca="false">(MAX(J208:L208)-LARGE(J208:L208,2))*100</f>
        <v>27.6201564737863</v>
      </c>
    </row>
    <row r="209" customFormat="false" ht="15" hidden="false" customHeight="false" outlineLevel="0" collapsed="false">
      <c r="A209" s="4" t="s">
        <v>68</v>
      </c>
      <c r="B209" s="4" t="n">
        <v>8</v>
      </c>
      <c r="C209" s="5" t="n">
        <v>132284</v>
      </c>
      <c r="D209" s="5" t="n">
        <v>35389</v>
      </c>
      <c r="E209" s="5" t="n">
        <v>37333</v>
      </c>
      <c r="F209" s="5" t="n">
        <v>0</v>
      </c>
      <c r="G209" s="5" t="n">
        <v>112</v>
      </c>
      <c r="H209" s="5" t="n">
        <v>6591</v>
      </c>
      <c r="I209" s="5" t="n">
        <v>211709</v>
      </c>
      <c r="J209" s="11" t="n">
        <f aca="false">IF(I209=0,0,C209/I209)</f>
        <v>0.624838811765206</v>
      </c>
      <c r="K209" s="11" t="n">
        <f aca="false">IF(I209=0,0,D209/I209)</f>
        <v>0.167158694245403</v>
      </c>
      <c r="L209" s="11" t="n">
        <f aca="false">IF(I209=0,0,E209/I209)</f>
        <v>0.17634110973081</v>
      </c>
      <c r="M209" s="11" t="n">
        <f aca="false">IF(I209=0,0,H209/I209)</f>
        <v>0.0311323562059242</v>
      </c>
      <c r="N209" s="4" t="str">
        <f aca="false">INDEX($C$3:$E$3,MATCH(MAX(C209:E209),C209:E209,0))</f>
        <v>PT-Morena-PES</v>
      </c>
      <c r="O209" s="17" t="n">
        <f aca="false">(MAX(J209:L209)-LARGE(J209:L209,2))*100</f>
        <v>44.8497702034396</v>
      </c>
    </row>
    <row r="210" customFormat="false" ht="15" hidden="false" customHeight="false" outlineLevel="0" collapsed="false">
      <c r="A210" s="4" t="s">
        <v>68</v>
      </c>
      <c r="B210" s="4" t="n">
        <v>9</v>
      </c>
      <c r="C210" s="5" t="n">
        <v>97874</v>
      </c>
      <c r="D210" s="5" t="n">
        <v>29732</v>
      </c>
      <c r="E210" s="5" t="n">
        <v>51062</v>
      </c>
      <c r="F210" s="5" t="n">
        <v>0</v>
      </c>
      <c r="G210" s="5" t="n">
        <v>39</v>
      </c>
      <c r="H210" s="5" t="n">
        <v>7711</v>
      </c>
      <c r="I210" s="5" t="n">
        <v>186418</v>
      </c>
      <c r="J210" s="11" t="n">
        <f aca="false">IF(I210=0,0,C210/I210)</f>
        <v>0.525024407514296</v>
      </c>
      <c r="K210" s="11" t="n">
        <f aca="false">IF(I210=0,0,D210/I210)</f>
        <v>0.159491036273321</v>
      </c>
      <c r="L210" s="11" t="n">
        <f aca="false">IF(I210=0,0,E210/I210)</f>
        <v>0.273911317576629</v>
      </c>
      <c r="M210" s="11" t="n">
        <f aca="false">IF(I210=0,0,H210/I210)</f>
        <v>0.0413640313703612</v>
      </c>
      <c r="N210" s="4" t="str">
        <f aca="false">INDEX($C$3:$E$3,MATCH(MAX(C210:E210),C210:E210,0))</f>
        <v>PT-Morena-PES</v>
      </c>
      <c r="O210" s="17" t="n">
        <f aca="false">(MAX(J210:L210)-LARGE(J210:L210,2))*100</f>
        <v>25.1113089937667</v>
      </c>
    </row>
    <row r="211" customFormat="false" ht="15" hidden="false" customHeight="false" outlineLevel="0" collapsed="false">
      <c r="A211" s="4" t="s">
        <v>68</v>
      </c>
      <c r="B211" s="4" t="n">
        <v>10</v>
      </c>
      <c r="C211" s="5" t="n">
        <v>111469</v>
      </c>
      <c r="D211" s="5" t="n">
        <v>37124</v>
      </c>
      <c r="E211" s="5" t="n">
        <v>41128</v>
      </c>
      <c r="F211" s="5" t="n">
        <v>0</v>
      </c>
      <c r="G211" s="5" t="n">
        <v>40</v>
      </c>
      <c r="H211" s="5" t="n">
        <v>11809</v>
      </c>
      <c r="I211" s="5" t="n">
        <v>201570</v>
      </c>
      <c r="J211" s="11" t="n">
        <f aca="false">IF(I211=0,0,C211/I211)</f>
        <v>0.553003919234013</v>
      </c>
      <c r="K211" s="11" t="n">
        <f aca="false">IF(I211=0,0,D211/I211)</f>
        <v>0.184174232276628</v>
      </c>
      <c r="L211" s="11" t="n">
        <f aca="false">IF(I211=0,0,E211/I211)</f>
        <v>0.204038299350102</v>
      </c>
      <c r="M211" s="11" t="n">
        <f aca="false">IF(I211=0,0,H211/I211)</f>
        <v>0.0585851069107506</v>
      </c>
      <c r="N211" s="4" t="str">
        <f aca="false">INDEX($C$3:$E$3,MATCH(MAX(C211:E211),C211:E211,0))</f>
        <v>PT-Morena-PES</v>
      </c>
      <c r="O211" s="17" t="n">
        <f aca="false">(MAX(J211:L211)-LARGE(J211:L211,2))*100</f>
        <v>34.8965619883911</v>
      </c>
    </row>
    <row r="212" customFormat="false" ht="15" hidden="false" customHeight="false" outlineLevel="0" collapsed="false">
      <c r="A212" s="4" t="s">
        <v>69</v>
      </c>
      <c r="B212" s="4" t="n">
        <v>1</v>
      </c>
      <c r="C212" s="5" t="n">
        <v>79541</v>
      </c>
      <c r="D212" s="5" t="n">
        <v>66393</v>
      </c>
      <c r="E212" s="5" t="n">
        <v>51205</v>
      </c>
      <c r="F212" s="5" t="n">
        <v>0</v>
      </c>
      <c r="G212" s="5" t="n">
        <v>49</v>
      </c>
      <c r="H212" s="5" t="n">
        <v>12479</v>
      </c>
      <c r="I212" s="5" t="n">
        <v>209667</v>
      </c>
      <c r="J212" s="11" t="n">
        <f aca="false">IF(I212=0,0,C212/I212)</f>
        <v>0.379368236298511</v>
      </c>
      <c r="K212" s="11" t="n">
        <f aca="false">IF(I212=0,0,D212/I212)</f>
        <v>0.316659273991615</v>
      </c>
      <c r="L212" s="11" t="n">
        <f aca="false">IF(I212=0,0,E212/I212)</f>
        <v>0.244220597423534</v>
      </c>
      <c r="M212" s="11" t="n">
        <f aca="false">IF(I212=0,0,H212/I212)</f>
        <v>0.0595181883653603</v>
      </c>
      <c r="N212" s="4" t="str">
        <f aca="false">INDEX($C$3:$E$3,MATCH(MAX(C212:E212),C212:E212,0))</f>
        <v>PT-Morena-PES</v>
      </c>
      <c r="O212" s="17" t="n">
        <f aca="false">(MAX(J212:L212)-LARGE(J212:L212,2))*100</f>
        <v>6.27089623068962</v>
      </c>
    </row>
    <row r="213" customFormat="false" ht="15" hidden="false" customHeight="false" outlineLevel="0" collapsed="false">
      <c r="A213" s="4" t="s">
        <v>69</v>
      </c>
      <c r="B213" s="4" t="n">
        <v>2</v>
      </c>
      <c r="C213" s="5" t="n">
        <v>61012</v>
      </c>
      <c r="D213" s="5" t="n">
        <v>66399</v>
      </c>
      <c r="E213" s="5" t="n">
        <v>73286</v>
      </c>
      <c r="F213" s="5" t="n">
        <v>0</v>
      </c>
      <c r="G213" s="5" t="n">
        <v>41</v>
      </c>
      <c r="H213" s="5" t="n">
        <v>13721</v>
      </c>
      <c r="I213" s="5" t="n">
        <v>214459</v>
      </c>
      <c r="J213" s="11" t="n">
        <f aca="false">IF(I213=0,0,C213/I213)</f>
        <v>0.28449260697849</v>
      </c>
      <c r="K213" s="11" t="n">
        <f aca="false">IF(I213=0,0,D213/I213)</f>
        <v>0.309611627397311</v>
      </c>
      <c r="L213" s="11" t="n">
        <f aca="false">IF(I213=0,0,E213/I213)</f>
        <v>0.34172499172336</v>
      </c>
      <c r="M213" s="11" t="n">
        <f aca="false">IF(I213=0,0,H213/I213)</f>
        <v>0.0639795951673747</v>
      </c>
      <c r="N213" s="4" t="str">
        <f aca="false">INDEX($C$3:$E$3,MATCH(MAX(C213:E213),C213:E213,0))</f>
        <v>PRI-PVEM-NA</v>
      </c>
      <c r="O213" s="17" t="n">
        <f aca="false">(MAX(J213:L213)-LARGE(J213:L213,2))*100</f>
        <v>3.21133643260483</v>
      </c>
    </row>
    <row r="214" customFormat="false" ht="15" hidden="false" customHeight="false" outlineLevel="0" collapsed="false">
      <c r="A214" s="4" t="s">
        <v>69</v>
      </c>
      <c r="B214" s="4" t="n">
        <v>3</v>
      </c>
      <c r="C214" s="5" t="n">
        <v>80052</v>
      </c>
      <c r="D214" s="5" t="n">
        <v>52178</v>
      </c>
      <c r="E214" s="5" t="n">
        <v>59059</v>
      </c>
      <c r="F214" s="5" t="n">
        <v>0</v>
      </c>
      <c r="G214" s="5" t="n">
        <v>94</v>
      </c>
      <c r="H214" s="5" t="n">
        <v>13587</v>
      </c>
      <c r="I214" s="5" t="n">
        <v>204970</v>
      </c>
      <c r="J214" s="11" t="n">
        <f aca="false">IF(I214=0,0,C214/I214)</f>
        <v>0.390554715324194</v>
      </c>
      <c r="K214" s="11" t="n">
        <f aca="false">IF(I214=0,0,D214/I214)</f>
        <v>0.254564082548666</v>
      </c>
      <c r="L214" s="11" t="n">
        <f aca="false">IF(I214=0,0,E214/I214)</f>
        <v>0.288134849002293</v>
      </c>
      <c r="M214" s="11" t="n">
        <f aca="false">IF(I214=0,0,H214/I214)</f>
        <v>0.0662877494267454</v>
      </c>
      <c r="N214" s="4" t="str">
        <f aca="false">INDEX($C$3:$E$3,MATCH(MAX(C214:E214),C214:E214,0))</f>
        <v>PT-Morena-PES</v>
      </c>
      <c r="O214" s="17" t="n">
        <f aca="false">(MAX(J214:L214)-LARGE(J214:L214,2))*100</f>
        <v>10.2419866321901</v>
      </c>
    </row>
    <row r="215" customFormat="false" ht="15" hidden="false" customHeight="false" outlineLevel="0" collapsed="false">
      <c r="A215" s="4" t="s">
        <v>69</v>
      </c>
      <c r="B215" s="4" t="n">
        <v>4</v>
      </c>
      <c r="C215" s="5" t="n">
        <v>92315</v>
      </c>
      <c r="D215" s="5" t="n">
        <v>53836</v>
      </c>
      <c r="E215" s="5" t="n">
        <v>47756</v>
      </c>
      <c r="F215" s="5" t="n">
        <v>0</v>
      </c>
      <c r="G215" s="5" t="n">
        <v>22</v>
      </c>
      <c r="H215" s="5" t="n">
        <v>12643</v>
      </c>
      <c r="I215" s="5" t="n">
        <v>206572</v>
      </c>
      <c r="J215" s="11" t="n">
        <f aca="false">IF(I215=0,0,C215/I215)</f>
        <v>0.446890188408884</v>
      </c>
      <c r="K215" s="11" t="n">
        <f aca="false">IF(I215=0,0,D215/I215)</f>
        <v>0.260616153205662</v>
      </c>
      <c r="L215" s="11" t="n">
        <f aca="false">IF(I215=0,0,E215/I215)</f>
        <v>0.231183316228724</v>
      </c>
      <c r="M215" s="11" t="n">
        <f aca="false">IF(I215=0,0,H215/I215)</f>
        <v>0.0612038417597738</v>
      </c>
      <c r="N215" s="4" t="str">
        <f aca="false">INDEX($C$3:$E$3,MATCH(MAX(C215:E215),C215:E215,0))</f>
        <v>PT-Morena-PES</v>
      </c>
      <c r="O215" s="17" t="n">
        <f aca="false">(MAX(J215:L215)-LARGE(J215:L215,2))*100</f>
        <v>18.6274035203222</v>
      </c>
    </row>
    <row r="216" customFormat="false" ht="15" hidden="false" customHeight="false" outlineLevel="0" collapsed="false">
      <c r="A216" s="4" t="s">
        <v>69</v>
      </c>
      <c r="B216" s="4" t="n">
        <v>5</v>
      </c>
      <c r="C216" s="5" t="n">
        <v>98134</v>
      </c>
      <c r="D216" s="5" t="n">
        <v>39655</v>
      </c>
      <c r="E216" s="5" t="n">
        <v>43754</v>
      </c>
      <c r="F216" s="5" t="n">
        <v>0</v>
      </c>
      <c r="G216" s="5" t="n">
        <v>65</v>
      </c>
      <c r="H216" s="5" t="n">
        <v>10670</v>
      </c>
      <c r="I216" s="5" t="n">
        <v>192278</v>
      </c>
      <c r="J216" s="11" t="n">
        <f aca="false">IF(I216=0,0,C216/I216)</f>
        <v>0.510375601992948</v>
      </c>
      <c r="K216" s="11" t="n">
        <f aca="false">IF(I216=0,0,D216/I216)</f>
        <v>0.206237843122978</v>
      </c>
      <c r="L216" s="11" t="n">
        <f aca="false">IF(I216=0,0,E216/I216)</f>
        <v>0.227555934636308</v>
      </c>
      <c r="M216" s="11" t="n">
        <f aca="false">IF(I216=0,0,H216/I216)</f>
        <v>0.0554925680525073</v>
      </c>
      <c r="N216" s="4" t="str">
        <f aca="false">INDEX($C$3:$E$3,MATCH(MAX(C216:E216),C216:E216,0))</f>
        <v>PT-Morena-PES</v>
      </c>
      <c r="O216" s="17" t="n">
        <f aca="false">(MAX(J216:L216)-LARGE(J216:L216,2))*100</f>
        <v>28.281966735664</v>
      </c>
    </row>
    <row r="217" customFormat="false" ht="15" hidden="false" customHeight="false" outlineLevel="0" collapsed="false">
      <c r="A217" s="4" t="s">
        <v>69</v>
      </c>
      <c r="B217" s="4" t="n">
        <v>6</v>
      </c>
      <c r="C217" s="5" t="n">
        <v>107744</v>
      </c>
      <c r="D217" s="5" t="n">
        <v>40768</v>
      </c>
      <c r="E217" s="5" t="n">
        <v>31269</v>
      </c>
      <c r="F217" s="5" t="n">
        <v>0</v>
      </c>
      <c r="G217" s="5" t="n">
        <v>133</v>
      </c>
      <c r="H217" s="5" t="n">
        <v>7196</v>
      </c>
      <c r="I217" s="5" t="n">
        <v>187110</v>
      </c>
      <c r="J217" s="11" t="n">
        <f aca="false">IF(I217=0,0,C217/I217)</f>
        <v>0.57583239805462</v>
      </c>
      <c r="K217" s="11" t="n">
        <f aca="false">IF(I217=0,0,D217/I217)</f>
        <v>0.21788252899364</v>
      </c>
      <c r="L217" s="11" t="n">
        <f aca="false">IF(I217=0,0,E217/I217)</f>
        <v>0.167115600448934</v>
      </c>
      <c r="M217" s="11" t="n">
        <f aca="false">IF(I217=0,0,H217/I217)</f>
        <v>0.0384586606808829</v>
      </c>
      <c r="N217" s="4" t="str">
        <f aca="false">INDEX($C$3:$E$3,MATCH(MAX(C217:E217),C217:E217,0))</f>
        <v>PT-Morena-PES</v>
      </c>
      <c r="O217" s="17" t="n">
        <f aca="false">(MAX(J217:L217)-LARGE(J217:L217,2))*100</f>
        <v>35.794986906098</v>
      </c>
    </row>
    <row r="218" customFormat="false" ht="15" hidden="false" customHeight="false" outlineLevel="0" collapsed="false">
      <c r="A218" s="4" t="s">
        <v>69</v>
      </c>
      <c r="B218" s="4" t="n">
        <v>7</v>
      </c>
      <c r="C218" s="5" t="n">
        <v>103292</v>
      </c>
      <c r="D218" s="5" t="n">
        <v>47238</v>
      </c>
      <c r="E218" s="5" t="n">
        <v>38539</v>
      </c>
      <c r="F218" s="5" t="n">
        <v>0</v>
      </c>
      <c r="G218" s="5" t="n">
        <v>49</v>
      </c>
      <c r="H218" s="5" t="n">
        <v>9772</v>
      </c>
      <c r="I218" s="5" t="n">
        <v>198890</v>
      </c>
      <c r="J218" s="11" t="n">
        <f aca="false">IF(I218=0,0,C218/I218)</f>
        <v>0.519342350042737</v>
      </c>
      <c r="K218" s="11" t="n">
        <f aca="false">IF(I218=0,0,D218/I218)</f>
        <v>0.237508170345417</v>
      </c>
      <c r="L218" s="11" t="n">
        <f aca="false">IF(I218=0,0,E218/I218)</f>
        <v>0.193770425863543</v>
      </c>
      <c r="M218" s="11" t="n">
        <f aca="false">IF(I218=0,0,H218/I218)</f>
        <v>0.0491326864095731</v>
      </c>
      <c r="N218" s="4" t="str">
        <f aca="false">INDEX($C$3:$E$3,MATCH(MAX(C218:E218),C218:E218,0))</f>
        <v>PT-Morena-PES</v>
      </c>
      <c r="O218" s="17" t="n">
        <f aca="false">(MAX(J218:L218)-LARGE(J218:L218,2))*100</f>
        <v>28.183417969732</v>
      </c>
    </row>
    <row r="219" customFormat="false" ht="15" hidden="false" customHeight="false" outlineLevel="0" collapsed="false">
      <c r="A219" s="4" t="s">
        <v>69</v>
      </c>
      <c r="B219" s="4" t="n">
        <v>8</v>
      </c>
      <c r="C219" s="5" t="n">
        <v>70487</v>
      </c>
      <c r="D219" s="5" t="n">
        <v>60807</v>
      </c>
      <c r="E219" s="5" t="n">
        <v>57414</v>
      </c>
      <c r="F219" s="5" t="n">
        <v>0</v>
      </c>
      <c r="G219" s="5" t="n">
        <v>117</v>
      </c>
      <c r="H219" s="5" t="n">
        <v>12959</v>
      </c>
      <c r="I219" s="5" t="n">
        <v>201784</v>
      </c>
      <c r="J219" s="11" t="n">
        <f aca="false">IF(I219=0,0,C219/I219)</f>
        <v>0.349319073861158</v>
      </c>
      <c r="K219" s="11" t="n">
        <f aca="false">IF(I219=0,0,D219/I219)</f>
        <v>0.301346984894739</v>
      </c>
      <c r="L219" s="11" t="n">
        <f aca="false">IF(I219=0,0,E219/I219)</f>
        <v>0.284531974784919</v>
      </c>
      <c r="M219" s="11" t="n">
        <f aca="false">IF(I219=0,0,H219/I219)</f>
        <v>0.0642221385243627</v>
      </c>
      <c r="N219" s="4" t="str">
        <f aca="false">INDEX($C$3:$E$3,MATCH(MAX(C219:E219),C219:E219,0))</f>
        <v>PT-Morena-PES</v>
      </c>
      <c r="O219" s="17" t="n">
        <f aca="false">(MAX(J219:L219)-LARGE(J219:L219,2))*100</f>
        <v>4.79720889664195</v>
      </c>
    </row>
    <row r="220" customFormat="false" ht="15" hidden="false" customHeight="false" outlineLevel="0" collapsed="false">
      <c r="A220" s="4" t="s">
        <v>69</v>
      </c>
      <c r="B220" s="4" t="n">
        <v>9</v>
      </c>
      <c r="C220" s="5" t="n">
        <v>108435</v>
      </c>
      <c r="D220" s="5" t="n">
        <v>56928</v>
      </c>
      <c r="E220" s="5" t="n">
        <v>30321</v>
      </c>
      <c r="F220" s="5" t="n">
        <v>0</v>
      </c>
      <c r="G220" s="5" t="n">
        <v>109</v>
      </c>
      <c r="H220" s="5" t="n">
        <v>7459</v>
      </c>
      <c r="I220" s="5" t="n">
        <v>203252</v>
      </c>
      <c r="J220" s="11" t="n">
        <f aca="false">IF(I220=0,0,C220/I220)</f>
        <v>0.533500285360046</v>
      </c>
      <c r="K220" s="11" t="n">
        <f aca="false">IF(I220=0,0,D220/I220)</f>
        <v>0.280085804813729</v>
      </c>
      <c r="L220" s="11" t="n">
        <f aca="false">IF(I220=0,0,E220/I220)</f>
        <v>0.149179343868695</v>
      </c>
      <c r="M220" s="11" t="n">
        <f aca="false">IF(I220=0,0,H220/I220)</f>
        <v>0.0366982858717257</v>
      </c>
      <c r="N220" s="4" t="str">
        <f aca="false">INDEX($C$3:$E$3,MATCH(MAX(C220:E220),C220:E220,0))</f>
        <v>PT-Morena-PES</v>
      </c>
      <c r="O220" s="17" t="n">
        <f aca="false">(MAX(J220:L220)-LARGE(J220:L220,2))*100</f>
        <v>25.3414480546317</v>
      </c>
    </row>
    <row r="221" customFormat="false" ht="15" hidden="false" customHeight="false" outlineLevel="0" collapsed="false">
      <c r="A221" s="4" t="s">
        <v>69</v>
      </c>
      <c r="B221" s="4" t="n">
        <v>10</v>
      </c>
      <c r="C221" s="5" t="n">
        <v>114497</v>
      </c>
      <c r="D221" s="5" t="n">
        <v>61961</v>
      </c>
      <c r="E221" s="5" t="n">
        <v>36429</v>
      </c>
      <c r="F221" s="5" t="n">
        <v>0</v>
      </c>
      <c r="G221" s="5" t="n">
        <v>164</v>
      </c>
      <c r="H221" s="5" t="n">
        <v>9521</v>
      </c>
      <c r="I221" s="5" t="n">
        <v>222572</v>
      </c>
      <c r="J221" s="11" t="n">
        <f aca="false">IF(I221=0,0,C221/I221)</f>
        <v>0.514426792229032</v>
      </c>
      <c r="K221" s="11" t="n">
        <f aca="false">IF(I221=0,0,D221/I221)</f>
        <v>0.278386319932426</v>
      </c>
      <c r="L221" s="11" t="n">
        <f aca="false">IF(I221=0,0,E221/I221)</f>
        <v>0.163672878888629</v>
      </c>
      <c r="M221" s="11" t="n">
        <f aca="false">IF(I221=0,0,H221/I221)</f>
        <v>0.0427771687364089</v>
      </c>
      <c r="N221" s="4" t="str">
        <f aca="false">INDEX($C$3:$E$3,MATCH(MAX(C221:E221),C221:E221,0))</f>
        <v>PT-Morena-PES</v>
      </c>
      <c r="O221" s="17" t="n">
        <f aca="false">(MAX(J221:L221)-LARGE(J221:L221,2))*100</f>
        <v>23.6040472296605</v>
      </c>
    </row>
    <row r="222" customFormat="false" ht="15" hidden="false" customHeight="false" outlineLevel="0" collapsed="false">
      <c r="A222" s="4" t="s">
        <v>69</v>
      </c>
      <c r="B222" s="4" t="n">
        <v>11</v>
      </c>
      <c r="C222" s="5" t="n">
        <v>103781</v>
      </c>
      <c r="D222" s="5" t="n">
        <v>41524</v>
      </c>
      <c r="E222" s="5" t="n">
        <v>32671</v>
      </c>
      <c r="F222" s="5" t="n">
        <v>0</v>
      </c>
      <c r="G222" s="5" t="n">
        <v>92</v>
      </c>
      <c r="H222" s="5" t="n">
        <v>7468</v>
      </c>
      <c r="I222" s="5" t="n">
        <v>185536</v>
      </c>
      <c r="J222" s="11" t="n">
        <f aca="false">IF(I222=0,0,C222/I222)</f>
        <v>0.559357752673336</v>
      </c>
      <c r="K222" s="11" t="n">
        <f aca="false">IF(I222=0,0,D222/I222)</f>
        <v>0.223805622628493</v>
      </c>
      <c r="L222" s="11" t="n">
        <f aca="false">IF(I222=0,0,E222/I222)</f>
        <v>0.176089815453605</v>
      </c>
      <c r="M222" s="11" t="n">
        <f aca="false">IF(I222=0,0,H222/I222)</f>
        <v>0.0402509486029665</v>
      </c>
      <c r="N222" s="4" t="str">
        <f aca="false">INDEX($C$3:$E$3,MATCH(MAX(C222:E222),C222:E222,0))</f>
        <v>PT-Morena-PES</v>
      </c>
      <c r="O222" s="17" t="n">
        <f aca="false">(MAX(J222:L222)-LARGE(J222:L222,2))*100</f>
        <v>33.5552130044843</v>
      </c>
    </row>
    <row r="223" customFormat="false" ht="15" hidden="false" customHeight="false" outlineLevel="0" collapsed="false">
      <c r="A223" s="4" t="s">
        <v>69</v>
      </c>
      <c r="B223" s="4" t="n">
        <v>12</v>
      </c>
      <c r="C223" s="5" t="n">
        <v>111551</v>
      </c>
      <c r="D223" s="5" t="n">
        <v>61174</v>
      </c>
      <c r="E223" s="5" t="n">
        <v>36641</v>
      </c>
      <c r="F223" s="5" t="n">
        <v>0</v>
      </c>
      <c r="G223" s="5" t="n">
        <v>164</v>
      </c>
      <c r="H223" s="5" t="n">
        <v>8413</v>
      </c>
      <c r="I223" s="5" t="n">
        <v>217943</v>
      </c>
      <c r="J223" s="11" t="n">
        <f aca="false">IF(I223=0,0,C223/I223)</f>
        <v>0.511835663453288</v>
      </c>
      <c r="K223" s="11" t="n">
        <f aca="false">IF(I223=0,0,D223/I223)</f>
        <v>0.28068806981642</v>
      </c>
      <c r="L223" s="11" t="n">
        <f aca="false">IF(I223=0,0,E223/I223)</f>
        <v>0.168121940140312</v>
      </c>
      <c r="M223" s="11" t="n">
        <f aca="false">IF(I223=0,0,H223/I223)</f>
        <v>0.0386018362599395</v>
      </c>
      <c r="N223" s="4" t="str">
        <f aca="false">INDEX($C$3:$E$3,MATCH(MAX(C223:E223),C223:E223,0))</f>
        <v>PT-Morena-PES</v>
      </c>
      <c r="O223" s="17" t="n">
        <f aca="false">(MAX(J223:L223)-LARGE(J223:L223,2))*100</f>
        <v>23.1147593636868</v>
      </c>
    </row>
    <row r="224" customFormat="false" ht="15" hidden="false" customHeight="false" outlineLevel="0" collapsed="false">
      <c r="A224" s="4" t="s">
        <v>69</v>
      </c>
      <c r="B224" s="4" t="n">
        <v>13</v>
      </c>
      <c r="C224" s="5" t="n">
        <v>93496</v>
      </c>
      <c r="D224" s="5" t="n">
        <v>51890</v>
      </c>
      <c r="E224" s="5" t="n">
        <v>51367</v>
      </c>
      <c r="F224" s="5" t="n">
        <v>0</v>
      </c>
      <c r="G224" s="5" t="n">
        <v>69</v>
      </c>
      <c r="H224" s="5" t="n">
        <v>10643</v>
      </c>
      <c r="I224" s="5" t="n">
        <v>207465</v>
      </c>
      <c r="J224" s="11" t="n">
        <f aca="false">IF(I224=0,0,C224/I224)</f>
        <v>0.450659147326055</v>
      </c>
      <c r="K224" s="11" t="n">
        <f aca="false">IF(I224=0,0,D224/I224)</f>
        <v>0.250114477140723</v>
      </c>
      <c r="L224" s="11" t="n">
        <f aca="false">IF(I224=0,0,E224/I224)</f>
        <v>0.247593569999759</v>
      </c>
      <c r="M224" s="11" t="n">
        <f aca="false">IF(I224=0,0,H224/I224)</f>
        <v>0.0513002193141012</v>
      </c>
      <c r="N224" s="4" t="str">
        <f aca="false">INDEX($C$3:$E$3,MATCH(MAX(C224:E224),C224:E224,0))</f>
        <v>PT-Morena-PES</v>
      </c>
      <c r="O224" s="17" t="n">
        <f aca="false">(MAX(J224:L224)-LARGE(J224:L224,2))*100</f>
        <v>20.0544670185332</v>
      </c>
    </row>
    <row r="225" customFormat="false" ht="15" hidden="false" customHeight="false" outlineLevel="0" collapsed="false">
      <c r="A225" s="4" t="s">
        <v>69</v>
      </c>
      <c r="B225" s="4" t="n">
        <v>14</v>
      </c>
      <c r="C225" s="5" t="n">
        <v>105071</v>
      </c>
      <c r="D225" s="5" t="n">
        <v>46833</v>
      </c>
      <c r="E225" s="5" t="n">
        <v>55503</v>
      </c>
      <c r="F225" s="5" t="n">
        <v>0</v>
      </c>
      <c r="G225" s="5" t="n">
        <v>145</v>
      </c>
      <c r="H225" s="5" t="n">
        <v>11797</v>
      </c>
      <c r="I225" s="5" t="n">
        <v>219349</v>
      </c>
      <c r="J225" s="11" t="n">
        <f aca="false">IF(I225=0,0,C225/I225)</f>
        <v>0.479012897255059</v>
      </c>
      <c r="K225" s="11" t="n">
        <f aca="false">IF(I225=0,0,D225/I225)</f>
        <v>0.21350906546189</v>
      </c>
      <c r="L225" s="11" t="n">
        <f aca="false">IF(I225=0,0,E225/I225)</f>
        <v>0.253035117552394</v>
      </c>
      <c r="M225" s="11" t="n">
        <f aca="false">IF(I225=0,0,H225/I225)</f>
        <v>0.0537818727233769</v>
      </c>
      <c r="N225" s="4" t="str">
        <f aca="false">INDEX($C$3:$E$3,MATCH(MAX(C225:E225),C225:E225,0))</f>
        <v>PT-Morena-PES</v>
      </c>
      <c r="O225" s="17" t="n">
        <f aca="false">(MAX(J225:L225)-LARGE(J225:L225,2))*100</f>
        <v>22.5977779702666</v>
      </c>
    </row>
    <row r="226" customFormat="false" ht="15" hidden="false" customHeight="false" outlineLevel="0" collapsed="false">
      <c r="A226" s="4" t="s">
        <v>69</v>
      </c>
      <c r="B226" s="4" t="n">
        <v>15</v>
      </c>
      <c r="C226" s="5" t="n">
        <v>117225</v>
      </c>
      <c r="D226" s="5" t="n">
        <v>33151</v>
      </c>
      <c r="E226" s="5" t="n">
        <v>39992</v>
      </c>
      <c r="F226" s="5" t="n">
        <v>0</v>
      </c>
      <c r="G226" s="5" t="n">
        <v>61</v>
      </c>
      <c r="H226" s="5" t="n">
        <v>9927</v>
      </c>
      <c r="I226" s="5" t="n">
        <v>200356</v>
      </c>
      <c r="J226" s="11" t="n">
        <f aca="false">IF(I226=0,0,C226/I226)</f>
        <v>0.585083551278724</v>
      </c>
      <c r="K226" s="11" t="n">
        <f aca="false">IF(I226=0,0,D226/I226)</f>
        <v>0.165460480344986</v>
      </c>
      <c r="L226" s="11" t="n">
        <f aca="false">IF(I226=0,0,E226/I226)</f>
        <v>0.199604703627543</v>
      </c>
      <c r="M226" s="11" t="n">
        <f aca="false">IF(I226=0,0,H226/I226)</f>
        <v>0.0495468066841023</v>
      </c>
      <c r="N226" s="4" t="str">
        <f aca="false">INDEX($C$3:$E$3,MATCH(MAX(C226:E226),C226:E226,0))</f>
        <v>PT-Morena-PES</v>
      </c>
      <c r="O226" s="17" t="n">
        <f aca="false">(MAX(J226:L226)-LARGE(J226:L226,2))*100</f>
        <v>38.5478847651181</v>
      </c>
    </row>
    <row r="227" customFormat="false" ht="15" hidden="false" customHeight="false" outlineLevel="0" collapsed="false">
      <c r="A227" s="4" t="s">
        <v>70</v>
      </c>
      <c r="B227" s="4" t="n">
        <v>1</v>
      </c>
      <c r="C227" s="5" t="n">
        <v>51159</v>
      </c>
      <c r="D227" s="5" t="n">
        <v>60627</v>
      </c>
      <c r="E227" s="5" t="n">
        <v>47710</v>
      </c>
      <c r="F227" s="5" t="n">
        <v>0</v>
      </c>
      <c r="G227" s="5" t="n">
        <v>105</v>
      </c>
      <c r="H227" s="5" t="n">
        <v>10559</v>
      </c>
      <c r="I227" s="5" t="n">
        <v>170160</v>
      </c>
      <c r="J227" s="11" t="n">
        <f aca="false">IF(I227=0,0,C227/I227)</f>
        <v>0.300652327221439</v>
      </c>
      <c r="K227" s="11" t="n">
        <f aca="false">IF(I227=0,0,D227/I227)</f>
        <v>0.356294076163611</v>
      </c>
      <c r="L227" s="11" t="n">
        <f aca="false">IF(I227=0,0,E227/I227)</f>
        <v>0.280383168782323</v>
      </c>
      <c r="M227" s="11" t="n">
        <f aca="false">IF(I227=0,0,H227/I227)</f>
        <v>0.062053361542078</v>
      </c>
      <c r="N227" s="4" t="str">
        <f aca="false">INDEX($C$3:$E$3,MATCH(MAX(C227:E227),C227:E227,0))</f>
        <v>PAN-PRD-MC</v>
      </c>
      <c r="O227" s="17" t="n">
        <f aca="false">(MAX(J227:L227)-LARGE(J227:L227,2))*100</f>
        <v>5.56417489421721</v>
      </c>
    </row>
    <row r="228" customFormat="false" ht="15" hidden="false" customHeight="false" outlineLevel="0" collapsed="false">
      <c r="A228" s="4" t="s">
        <v>70</v>
      </c>
      <c r="B228" s="4" t="n">
        <v>2</v>
      </c>
      <c r="C228" s="5" t="n">
        <v>77612</v>
      </c>
      <c r="D228" s="5" t="n">
        <v>62880</v>
      </c>
      <c r="E228" s="5" t="n">
        <v>38605</v>
      </c>
      <c r="F228" s="5" t="n">
        <v>0</v>
      </c>
      <c r="G228" s="5" t="n">
        <v>161</v>
      </c>
      <c r="H228" s="5" t="n">
        <v>9566</v>
      </c>
      <c r="I228" s="5" t="n">
        <v>188824</v>
      </c>
      <c r="J228" s="11" t="n">
        <f aca="false">IF(I228=0,0,C228/I228)</f>
        <v>0.411028259119603</v>
      </c>
      <c r="K228" s="11" t="n">
        <f aca="false">IF(I228=0,0,D228/I228)</f>
        <v>0.333008515866627</v>
      </c>
      <c r="L228" s="11" t="n">
        <f aca="false">IF(I228=0,0,E228/I228)</f>
        <v>0.204449646231411</v>
      </c>
      <c r="M228" s="11" t="n">
        <f aca="false">IF(I228=0,0,H228/I228)</f>
        <v>0.0506609329322544</v>
      </c>
      <c r="N228" s="4" t="str">
        <f aca="false">INDEX($C$3:$E$3,MATCH(MAX(C228:E228),C228:E228,0))</f>
        <v>PT-Morena-PES</v>
      </c>
      <c r="O228" s="17" t="n">
        <f aca="false">(MAX(J228:L228)-LARGE(J228:L228,2))*100</f>
        <v>7.80197432529763</v>
      </c>
    </row>
    <row r="229" customFormat="false" ht="15" hidden="false" customHeight="false" outlineLevel="0" collapsed="false">
      <c r="A229" s="4" t="s">
        <v>70</v>
      </c>
      <c r="B229" s="4" t="n">
        <v>3</v>
      </c>
      <c r="C229" s="5" t="n">
        <v>90093</v>
      </c>
      <c r="D229" s="5" t="n">
        <v>79681</v>
      </c>
      <c r="E229" s="5" t="n">
        <v>37404</v>
      </c>
      <c r="F229" s="5" t="n">
        <v>0</v>
      </c>
      <c r="G229" s="5" t="n">
        <v>169</v>
      </c>
      <c r="H229" s="5" t="n">
        <v>8990</v>
      </c>
      <c r="I229" s="5" t="n">
        <v>216337</v>
      </c>
      <c r="J229" s="11" t="n">
        <f aca="false">IF(I229=0,0,C229/I229)</f>
        <v>0.416447487022562</v>
      </c>
      <c r="K229" s="11" t="n">
        <f aca="false">IF(I229=0,0,D229/I229)</f>
        <v>0.368318872869643</v>
      </c>
      <c r="L229" s="11" t="n">
        <f aca="false">IF(I229=0,0,E229/I229)</f>
        <v>0.172896915460601</v>
      </c>
      <c r="M229" s="11" t="n">
        <f aca="false">IF(I229=0,0,H229/I229)</f>
        <v>0.0415555360386804</v>
      </c>
      <c r="N229" s="4" t="str">
        <f aca="false">INDEX($C$3:$E$3,MATCH(MAX(C229:E229),C229:E229,0))</f>
        <v>PT-Morena-PES</v>
      </c>
      <c r="O229" s="17" t="n">
        <f aca="false">(MAX(J229:L229)-LARGE(J229:L229,2))*100</f>
        <v>4.81286141529188</v>
      </c>
    </row>
    <row r="230" customFormat="false" ht="15" hidden="false" customHeight="false" outlineLevel="0" collapsed="false">
      <c r="A230" s="4" t="s">
        <v>70</v>
      </c>
      <c r="B230" s="4" t="n">
        <v>4</v>
      </c>
      <c r="C230" s="5" t="n">
        <v>87635</v>
      </c>
      <c r="D230" s="5" t="n">
        <v>99060</v>
      </c>
      <c r="E230" s="5" t="n">
        <v>40979</v>
      </c>
      <c r="F230" s="5" t="n">
        <v>0</v>
      </c>
      <c r="G230" s="5" t="n">
        <v>215</v>
      </c>
      <c r="H230" s="5" t="n">
        <v>9902</v>
      </c>
      <c r="I230" s="5" t="n">
        <v>237791</v>
      </c>
      <c r="J230" s="11" t="n">
        <f aca="false">IF(I230=0,0,C230/I230)</f>
        <v>0.368537917751303</v>
      </c>
      <c r="K230" s="11" t="n">
        <f aca="false">IF(I230=0,0,D230/I230)</f>
        <v>0.416584311433149</v>
      </c>
      <c r="L230" s="11" t="n">
        <f aca="false">IF(I230=0,0,E230/I230)</f>
        <v>0.172332005837059</v>
      </c>
      <c r="M230" s="11" t="n">
        <f aca="false">IF(I230=0,0,H230/I230)</f>
        <v>0.0416416096488092</v>
      </c>
      <c r="N230" s="4" t="str">
        <f aca="false">INDEX($C$3:$E$3,MATCH(MAX(C230:E230),C230:E230,0))</f>
        <v>PAN-PRD-MC</v>
      </c>
      <c r="O230" s="17" t="n">
        <f aca="false">(MAX(J230:L230)-LARGE(J230:L230,2))*100</f>
        <v>4.80463936818467</v>
      </c>
    </row>
    <row r="231" customFormat="false" ht="15" hidden="false" customHeight="false" outlineLevel="0" collapsed="false">
      <c r="A231" s="4" t="s">
        <v>70</v>
      </c>
      <c r="B231" s="4" t="n">
        <v>5</v>
      </c>
      <c r="C231" s="5" t="n">
        <v>59201</v>
      </c>
      <c r="D231" s="5" t="n">
        <v>95978</v>
      </c>
      <c r="E231" s="5" t="n">
        <v>47109</v>
      </c>
      <c r="F231" s="5" t="n">
        <v>0</v>
      </c>
      <c r="G231" s="5" t="n">
        <v>143</v>
      </c>
      <c r="H231" s="5" t="n">
        <v>11102</v>
      </c>
      <c r="I231" s="5" t="n">
        <v>213533</v>
      </c>
      <c r="J231" s="11" t="n">
        <f aca="false">IF(I231=0,0,C231/I231)</f>
        <v>0.27724520331752</v>
      </c>
      <c r="K231" s="11" t="n">
        <f aca="false">IF(I231=0,0,D231/I231)</f>
        <v>0.449476193375263</v>
      </c>
      <c r="L231" s="11" t="n">
        <f aca="false">IF(I231=0,0,E231/I231)</f>
        <v>0.220616953819784</v>
      </c>
      <c r="M231" s="11" t="n">
        <f aca="false">IF(I231=0,0,H231/I231)</f>
        <v>0.0519919637714077</v>
      </c>
      <c r="N231" s="4" t="str">
        <f aca="false">INDEX($C$3:$E$3,MATCH(MAX(C231:E231),C231:E231,0))</f>
        <v>PAN-PRD-MC</v>
      </c>
      <c r="O231" s="17" t="n">
        <f aca="false">(MAX(J231:L231)-LARGE(J231:L231,2))*100</f>
        <v>17.2230990057743</v>
      </c>
    </row>
    <row r="232" customFormat="false" ht="15" hidden="false" customHeight="false" outlineLevel="0" collapsed="false">
      <c r="A232" s="4" t="s">
        <v>71</v>
      </c>
      <c r="B232" s="4" t="n">
        <v>1</v>
      </c>
      <c r="C232" s="5" t="n">
        <v>112159</v>
      </c>
      <c r="D232" s="5" t="n">
        <v>43322</v>
      </c>
      <c r="E232" s="5" t="n">
        <v>33625</v>
      </c>
      <c r="F232" s="5" t="n">
        <v>0</v>
      </c>
      <c r="G232" s="5" t="n">
        <v>271</v>
      </c>
      <c r="H232" s="5" t="n">
        <v>8025</v>
      </c>
      <c r="I232" s="5" t="n">
        <v>197402</v>
      </c>
      <c r="J232" s="11" t="n">
        <f aca="false">IF(I232=0,0,C232/I232)</f>
        <v>0.56817560105774</v>
      </c>
      <c r="K232" s="11" t="n">
        <f aca="false">IF(I232=0,0,D232/I232)</f>
        <v>0.219460795736619</v>
      </c>
      <c r="L232" s="11" t="n">
        <f aca="false">IF(I232=0,0,E232/I232)</f>
        <v>0.170337686548262</v>
      </c>
      <c r="M232" s="11" t="n">
        <f aca="false">IF(I232=0,0,H232/I232)</f>
        <v>0.0406530835553844</v>
      </c>
      <c r="N232" s="4" t="str">
        <f aca="false">INDEX($C$3:$E$3,MATCH(MAX(C232:E232),C232:E232,0))</f>
        <v>PT-Morena-PES</v>
      </c>
      <c r="O232" s="17" t="n">
        <f aca="false">(MAX(J232:L232)-LARGE(J232:L232,2))*100</f>
        <v>34.8714805321121</v>
      </c>
    </row>
    <row r="233" customFormat="false" ht="15" hidden="false" customHeight="false" outlineLevel="0" collapsed="false">
      <c r="A233" s="4" t="s">
        <v>71</v>
      </c>
      <c r="B233" s="4" t="n">
        <v>2</v>
      </c>
      <c r="C233" s="5" t="n">
        <v>101477</v>
      </c>
      <c r="D233" s="5" t="n">
        <v>44544</v>
      </c>
      <c r="E233" s="5" t="n">
        <v>33480</v>
      </c>
      <c r="F233" s="5" t="n">
        <v>0</v>
      </c>
      <c r="G233" s="5" t="n">
        <v>118</v>
      </c>
      <c r="H233" s="5" t="n">
        <v>7781</v>
      </c>
      <c r="I233" s="5" t="n">
        <v>187400</v>
      </c>
      <c r="J233" s="11" t="n">
        <f aca="false">IF(I233=0,0,C233/I233)</f>
        <v>0.541499466382071</v>
      </c>
      <c r="K233" s="11" t="n">
        <f aca="false">IF(I233=0,0,D233/I233)</f>
        <v>0.23769477054429</v>
      </c>
      <c r="L233" s="11" t="n">
        <f aca="false">IF(I233=0,0,E233/I233)</f>
        <v>0.178655282817503</v>
      </c>
      <c r="M233" s="11" t="n">
        <f aca="false">IF(I233=0,0,H233/I233)</f>
        <v>0.0415208110992529</v>
      </c>
      <c r="N233" s="4" t="str">
        <f aca="false">INDEX($C$3:$E$3,MATCH(MAX(C233:E233),C233:E233,0))</f>
        <v>PT-Morena-PES</v>
      </c>
      <c r="O233" s="17" t="n">
        <f aca="false">(MAX(J233:L233)-LARGE(J233:L233,2))*100</f>
        <v>30.380469583778</v>
      </c>
    </row>
    <row r="234" customFormat="false" ht="15" hidden="false" customHeight="false" outlineLevel="0" collapsed="false">
      <c r="A234" s="4" t="s">
        <v>71</v>
      </c>
      <c r="B234" s="4" t="n">
        <v>3</v>
      </c>
      <c r="C234" s="5" t="n">
        <v>106790</v>
      </c>
      <c r="D234" s="5" t="n">
        <v>19046</v>
      </c>
      <c r="E234" s="5" t="n">
        <v>19351</v>
      </c>
      <c r="F234" s="5" t="n">
        <v>0</v>
      </c>
      <c r="G234" s="5" t="n">
        <v>116</v>
      </c>
      <c r="H234" s="5" t="n">
        <v>5164</v>
      </c>
      <c r="I234" s="5" t="n">
        <v>150467</v>
      </c>
      <c r="J234" s="11" t="n">
        <f aca="false">IF(I234=0,0,C234/I234)</f>
        <v>0.709723726797238</v>
      </c>
      <c r="K234" s="11" t="n">
        <f aca="false">IF(I234=0,0,D234/I234)</f>
        <v>0.126579249935202</v>
      </c>
      <c r="L234" s="11" t="n">
        <f aca="false">IF(I234=0,0,E234/I234)</f>
        <v>0.128606272471705</v>
      </c>
      <c r="M234" s="11" t="n">
        <f aca="false">IF(I234=0,0,H234/I234)</f>
        <v>0.0343198176344315</v>
      </c>
      <c r="N234" s="4" t="str">
        <f aca="false">INDEX($C$3:$E$3,MATCH(MAX(C234:E234),C234:E234,0))</f>
        <v>PT-Morena-PES</v>
      </c>
      <c r="O234" s="17" t="n">
        <f aca="false">(MAX(J234:L234)-LARGE(J234:L234,2))*100</f>
        <v>58.1117454325533</v>
      </c>
    </row>
    <row r="235" customFormat="false" ht="15" hidden="false" customHeight="false" outlineLevel="0" collapsed="false">
      <c r="A235" s="4" t="s">
        <v>71</v>
      </c>
      <c r="B235" s="4" t="n">
        <v>4</v>
      </c>
      <c r="C235" s="5" t="n">
        <v>113241</v>
      </c>
      <c r="D235" s="5" t="n">
        <v>45995</v>
      </c>
      <c r="E235" s="5" t="n">
        <v>27407</v>
      </c>
      <c r="F235" s="5" t="n">
        <v>0</v>
      </c>
      <c r="G235" s="5" t="n">
        <v>267</v>
      </c>
      <c r="H235" s="5" t="n">
        <v>6641</v>
      </c>
      <c r="I235" s="5" t="n">
        <v>193551</v>
      </c>
      <c r="J235" s="11" t="n">
        <f aca="false">IF(I235=0,0,C235/I235)</f>
        <v>0.585070601546879</v>
      </c>
      <c r="K235" s="11" t="n">
        <f aca="false">IF(I235=0,0,D235/I235)</f>
        <v>0.237637625225393</v>
      </c>
      <c r="L235" s="11" t="n">
        <f aca="false">IF(I235=0,0,E235/I235)</f>
        <v>0.14160092172089</v>
      </c>
      <c r="M235" s="11" t="n">
        <f aca="false">IF(I235=0,0,H235/I235)</f>
        <v>0.0343113701298366</v>
      </c>
      <c r="N235" s="4" t="str">
        <f aca="false">INDEX($C$3:$E$3,MATCH(MAX(C235:E235),C235:E235,0))</f>
        <v>PT-Morena-PES</v>
      </c>
      <c r="O235" s="17" t="n">
        <f aca="false">(MAX(J235:L235)-LARGE(J235:L235,2))*100</f>
        <v>34.7432976321486</v>
      </c>
    </row>
    <row r="236" customFormat="false" ht="15" hidden="false" customHeight="false" outlineLevel="0" collapsed="false">
      <c r="A236" s="4" t="s">
        <v>72</v>
      </c>
      <c r="B236" s="4" t="n">
        <v>1</v>
      </c>
      <c r="C236" s="5" t="n">
        <v>43107</v>
      </c>
      <c r="D236" s="5" t="n">
        <v>51038</v>
      </c>
      <c r="E236" s="5" t="n">
        <v>67064</v>
      </c>
      <c r="F236" s="5" t="n">
        <v>0</v>
      </c>
      <c r="G236" s="5" t="n">
        <v>84</v>
      </c>
      <c r="H236" s="5" t="n">
        <v>12210</v>
      </c>
      <c r="I236" s="5" t="n">
        <v>173503</v>
      </c>
      <c r="J236" s="11" t="n">
        <f aca="false">IF(I236=0,0,C236/I236)</f>
        <v>0.248451035428782</v>
      </c>
      <c r="K236" s="11" t="n">
        <f aca="false">IF(I236=0,0,D236/I236)</f>
        <v>0.294162060598376</v>
      </c>
      <c r="L236" s="11" t="n">
        <f aca="false">IF(I236=0,0,E236/I236)</f>
        <v>0.386529339550325</v>
      </c>
      <c r="M236" s="11" t="n">
        <f aca="false">IF(I236=0,0,H236/I236)</f>
        <v>0.0703734229379319</v>
      </c>
      <c r="N236" s="4" t="str">
        <f aca="false">INDEX($C$3:$E$3,MATCH(MAX(C236:E236),C236:E236,0))</f>
        <v>PRI-PVEM-NA</v>
      </c>
      <c r="O236" s="17" t="n">
        <f aca="false">(MAX(J236:L236)-LARGE(J236:L236,2))*100</f>
        <v>9.2367278951949</v>
      </c>
    </row>
    <row r="237" customFormat="false" ht="15" hidden="false" customHeight="false" outlineLevel="0" collapsed="false">
      <c r="A237" s="4" t="s">
        <v>72</v>
      </c>
      <c r="B237" s="4" t="n">
        <v>2</v>
      </c>
      <c r="C237" s="5" t="n">
        <v>56489</v>
      </c>
      <c r="D237" s="5" t="n">
        <v>75528</v>
      </c>
      <c r="E237" s="5" t="n">
        <v>53742</v>
      </c>
      <c r="F237" s="5" t="n">
        <v>0</v>
      </c>
      <c r="G237" s="5" t="n">
        <v>143</v>
      </c>
      <c r="H237" s="5" t="n">
        <v>11408</v>
      </c>
      <c r="I237" s="5" t="n">
        <v>197310</v>
      </c>
      <c r="J237" s="11" t="n">
        <f aca="false">IF(I237=0,0,C237/I237)</f>
        <v>0.286295676853682</v>
      </c>
      <c r="K237" s="11" t="n">
        <f aca="false">IF(I237=0,0,D237/I237)</f>
        <v>0.382788505397598</v>
      </c>
      <c r="L237" s="11" t="n">
        <f aca="false">IF(I237=0,0,E237/I237)</f>
        <v>0.27237342253307</v>
      </c>
      <c r="M237" s="11" t="n">
        <f aca="false">IF(I237=0,0,H237/I237)</f>
        <v>0.057817647356951</v>
      </c>
      <c r="N237" s="4" t="str">
        <f aca="false">INDEX($C$3:$E$3,MATCH(MAX(C237:E237),C237:E237,0))</f>
        <v>PAN-PRD-MC</v>
      </c>
      <c r="O237" s="17" t="n">
        <f aca="false">(MAX(J237:L237)-LARGE(J237:L237,2))*100</f>
        <v>9.64928285439157</v>
      </c>
    </row>
    <row r="238" customFormat="false" ht="15" hidden="false" customHeight="false" outlineLevel="0" collapsed="false">
      <c r="A238" s="4" t="s">
        <v>72</v>
      </c>
      <c r="B238" s="4" t="n">
        <v>3</v>
      </c>
      <c r="C238" s="5" t="n">
        <v>43236</v>
      </c>
      <c r="D238" s="5" t="n">
        <v>51402</v>
      </c>
      <c r="E238" s="5" t="n">
        <v>61283</v>
      </c>
      <c r="F238" s="5" t="n">
        <v>0</v>
      </c>
      <c r="G238" s="5" t="n">
        <v>86</v>
      </c>
      <c r="H238" s="5" t="n">
        <v>11541</v>
      </c>
      <c r="I238" s="5" t="n">
        <v>167548</v>
      </c>
      <c r="J238" s="11" t="n">
        <f aca="false">IF(I238=0,0,C238/I238)</f>
        <v>0.25805142406952</v>
      </c>
      <c r="K238" s="11" t="n">
        <f aca="false">IF(I238=0,0,D238/I238)</f>
        <v>0.306789696087091</v>
      </c>
      <c r="L238" s="11" t="n">
        <f aca="false">IF(I238=0,0,E238/I238)</f>
        <v>0.365763840809798</v>
      </c>
      <c r="M238" s="11" t="n">
        <f aca="false">IF(I238=0,0,H238/I238)</f>
        <v>0.0688817532886098</v>
      </c>
      <c r="N238" s="4" t="str">
        <f aca="false">INDEX($C$3:$E$3,MATCH(MAX(C238:E238),C238:E238,0))</f>
        <v>PRI-PVEM-NA</v>
      </c>
      <c r="O238" s="17" t="n">
        <f aca="false">(MAX(J238:L238)-LARGE(J238:L238,2))*100</f>
        <v>5.89741447227063</v>
      </c>
    </row>
    <row r="239" customFormat="false" ht="15" hidden="false" customHeight="false" outlineLevel="0" collapsed="false">
      <c r="A239" s="4" t="s">
        <v>72</v>
      </c>
      <c r="B239" s="4" t="n">
        <v>4</v>
      </c>
      <c r="C239" s="5" t="n">
        <v>62495</v>
      </c>
      <c r="D239" s="5" t="n">
        <v>44362</v>
      </c>
      <c r="E239" s="5" t="n">
        <v>40565</v>
      </c>
      <c r="F239" s="5" t="n">
        <v>0</v>
      </c>
      <c r="G239" s="5" t="n">
        <v>97</v>
      </c>
      <c r="H239" s="5" t="n">
        <v>9983</v>
      </c>
      <c r="I239" s="5" t="n">
        <v>157502</v>
      </c>
      <c r="J239" s="11" t="n">
        <f aca="false">IF(I239=0,0,C239/I239)</f>
        <v>0.396788612208099</v>
      </c>
      <c r="K239" s="11" t="n">
        <f aca="false">IF(I239=0,0,D239/I239)</f>
        <v>0.281659915429645</v>
      </c>
      <c r="L239" s="11" t="n">
        <f aca="false">IF(I239=0,0,E239/I239)</f>
        <v>0.257552285050349</v>
      </c>
      <c r="M239" s="11" t="n">
        <f aca="false">IF(I239=0,0,H239/I239)</f>
        <v>0.0633833221165446</v>
      </c>
      <c r="N239" s="4" t="str">
        <f aca="false">INDEX($C$3:$E$3,MATCH(MAX(C239:E239),C239:E239,0))</f>
        <v>PT-Morena-PES</v>
      </c>
      <c r="O239" s="17" t="n">
        <f aca="false">(MAX(J239:L239)-LARGE(J239:L239,2))*100</f>
        <v>11.5128696778454</v>
      </c>
    </row>
    <row r="240" customFormat="false" ht="15" hidden="false" customHeight="false" outlineLevel="0" collapsed="false">
      <c r="A240" s="4" t="s">
        <v>72</v>
      </c>
      <c r="B240" s="4" t="n">
        <v>5</v>
      </c>
      <c r="C240" s="5" t="n">
        <v>55687</v>
      </c>
      <c r="D240" s="5" t="n">
        <v>82889</v>
      </c>
      <c r="E240" s="5" t="n">
        <v>40617</v>
      </c>
      <c r="F240" s="5" t="n">
        <v>0</v>
      </c>
      <c r="G240" s="5" t="n">
        <v>309</v>
      </c>
      <c r="H240" s="5" t="n">
        <v>10231</v>
      </c>
      <c r="I240" s="5" t="n">
        <v>189733</v>
      </c>
      <c r="J240" s="11" t="n">
        <f aca="false">IF(I240=0,0,C240/I240)</f>
        <v>0.293501921120733</v>
      </c>
      <c r="K240" s="11" t="n">
        <f aca="false">IF(I240=0,0,D240/I240)</f>
        <v>0.436871814602626</v>
      </c>
      <c r="L240" s="11" t="n">
        <f aca="false">IF(I240=0,0,E240/I240)</f>
        <v>0.214074515239837</v>
      </c>
      <c r="M240" s="11" t="n">
        <f aca="false">IF(I240=0,0,H240/I240)</f>
        <v>0.0539231446295584</v>
      </c>
      <c r="N240" s="4" t="str">
        <f aca="false">INDEX($C$3:$E$3,MATCH(MAX(C240:E240),C240:E240,0))</f>
        <v>PAN-PRD-MC</v>
      </c>
      <c r="O240" s="17" t="n">
        <f aca="false">(MAX(J240:L240)-LARGE(J240:L240,2))*100</f>
        <v>14.3369893481893</v>
      </c>
    </row>
    <row r="241" customFormat="false" ht="15" hidden="false" customHeight="false" outlineLevel="0" collapsed="false">
      <c r="A241" s="4" t="s">
        <v>72</v>
      </c>
      <c r="B241" s="4" t="n">
        <v>6</v>
      </c>
      <c r="C241" s="5" t="n">
        <v>67532</v>
      </c>
      <c r="D241" s="5" t="n">
        <v>67139</v>
      </c>
      <c r="E241" s="5" t="n">
        <v>33195</v>
      </c>
      <c r="F241" s="5" t="n">
        <v>0</v>
      </c>
      <c r="G241" s="5" t="n">
        <v>250</v>
      </c>
      <c r="H241" s="5" t="n">
        <v>10090</v>
      </c>
      <c r="I241" s="5" t="n">
        <v>178206</v>
      </c>
      <c r="J241" s="11" t="n">
        <f aca="false">IF(I241=0,0,C241/I241)</f>
        <v>0.378954692883517</v>
      </c>
      <c r="K241" s="11" t="n">
        <f aca="false">IF(I241=0,0,D241/I241)</f>
        <v>0.376749379931091</v>
      </c>
      <c r="L241" s="11" t="n">
        <f aca="false">IF(I241=0,0,E241/I241)</f>
        <v>0.186273189454901</v>
      </c>
      <c r="M241" s="11" t="n">
        <f aca="false">IF(I241=0,0,H241/I241)</f>
        <v>0.0566198668956152</v>
      </c>
      <c r="N241" s="4" t="str">
        <f aca="false">INDEX($C$3:$E$3,MATCH(MAX(C241:E241),C241:E241,0))</f>
        <v>PT-Morena-PES</v>
      </c>
      <c r="O241" s="17" t="n">
        <f aca="false">(MAX(J241:L241)-LARGE(J241:L241,2))*100</f>
        <v>0.220531295242588</v>
      </c>
    </row>
    <row r="242" customFormat="false" ht="15" hidden="false" customHeight="false" outlineLevel="0" collapsed="false">
      <c r="A242" s="4" t="s">
        <v>72</v>
      </c>
      <c r="B242" s="4" t="n">
        <v>7</v>
      </c>
      <c r="C242" s="5" t="n">
        <v>55934</v>
      </c>
      <c r="D242" s="5" t="n">
        <v>59499</v>
      </c>
      <c r="E242" s="5" t="n">
        <v>59956</v>
      </c>
      <c r="F242" s="5" t="n">
        <v>0</v>
      </c>
      <c r="G242" s="5" t="n">
        <v>40</v>
      </c>
      <c r="H242" s="5" t="n">
        <v>17245</v>
      </c>
      <c r="I242" s="5" t="n">
        <v>192674</v>
      </c>
      <c r="J242" s="11" t="n">
        <f aca="false">IF(I242=0,0,C242/I242)</f>
        <v>0.290303829266014</v>
      </c>
      <c r="K242" s="11" t="n">
        <f aca="false">IF(I242=0,0,D242/I242)</f>
        <v>0.30880658521648</v>
      </c>
      <c r="L242" s="11" t="n">
        <f aca="false">IF(I242=0,0,E242/I242)</f>
        <v>0.311178467255572</v>
      </c>
      <c r="M242" s="11" t="n">
        <f aca="false">IF(I242=0,0,H242/I242)</f>
        <v>0.0895035137070907</v>
      </c>
      <c r="N242" s="4" t="str">
        <f aca="false">INDEX($C$3:$E$3,MATCH(MAX(C242:E242),C242:E242,0))</f>
        <v>PRI-PVEM-NA</v>
      </c>
      <c r="O242" s="17" t="n">
        <f aca="false">(MAX(J242:L242)-LARGE(J242:L242,2))*100</f>
        <v>0.237188203909194</v>
      </c>
    </row>
    <row r="243" customFormat="false" ht="15" hidden="false" customHeight="false" outlineLevel="0" collapsed="false">
      <c r="A243" s="4" t="s">
        <v>73</v>
      </c>
      <c r="B243" s="4" t="n">
        <v>1</v>
      </c>
      <c r="C243" s="5" t="n">
        <v>76106</v>
      </c>
      <c r="D243" s="5" t="n">
        <v>41050</v>
      </c>
      <c r="E243" s="5" t="n">
        <v>39060</v>
      </c>
      <c r="F243" s="5" t="n">
        <v>6993</v>
      </c>
      <c r="G243" s="5" t="n">
        <v>105</v>
      </c>
      <c r="H243" s="5" t="n">
        <v>5553</v>
      </c>
      <c r="I243" s="5" t="n">
        <v>168867</v>
      </c>
      <c r="J243" s="11" t="n">
        <f aca="false">IF(I243=0,0,C243/I243)</f>
        <v>0.450686042862134</v>
      </c>
      <c r="K243" s="11" t="n">
        <f aca="false">IF(I243=0,0,D243/I243)</f>
        <v>0.243090716362581</v>
      </c>
      <c r="L243" s="11" t="n">
        <f aca="false">IF(I243=0,0,E243/I243)</f>
        <v>0.231306294302617</v>
      </c>
      <c r="M243" s="11" t="n">
        <f aca="false">IF(I243=0,0,H243/I243)</f>
        <v>0.0328838671854181</v>
      </c>
      <c r="N243" s="4" t="str">
        <f aca="false">INDEX($C$3:$E$3,MATCH(MAX(C243:E243),C243:E243,0))</f>
        <v>PT-Morena-PES</v>
      </c>
      <c r="O243" s="17" t="n">
        <f aca="false">(MAX(J243:L243)-LARGE(J243:L243,2))*100</f>
        <v>20.7595326499553</v>
      </c>
    </row>
    <row r="244" customFormat="false" ht="15" hidden="false" customHeight="false" outlineLevel="0" collapsed="false">
      <c r="A244" s="4" t="s">
        <v>73</v>
      </c>
      <c r="B244" s="4" t="n">
        <v>2</v>
      </c>
      <c r="C244" s="5" t="n">
        <v>103560</v>
      </c>
      <c r="D244" s="5" t="n">
        <v>35274</v>
      </c>
      <c r="E244" s="5" t="n">
        <v>44452</v>
      </c>
      <c r="F244" s="5" t="n">
        <v>11770</v>
      </c>
      <c r="G244" s="5" t="n">
        <v>38</v>
      </c>
      <c r="H244" s="5" t="n">
        <v>4751</v>
      </c>
      <c r="I244" s="5" t="n">
        <v>199845</v>
      </c>
      <c r="J244" s="11" t="n">
        <f aca="false">IF(I244=0,0,C244/I244)</f>
        <v>0.51820160624484</v>
      </c>
      <c r="K244" s="11" t="n">
        <f aca="false">IF(I244=0,0,D244/I244)</f>
        <v>0.176506792764392</v>
      </c>
      <c r="L244" s="11" t="n">
        <f aca="false">IF(I244=0,0,E244/I244)</f>
        <v>0.222432385098451</v>
      </c>
      <c r="M244" s="11" t="n">
        <f aca="false">IF(I244=0,0,H244/I244)</f>
        <v>0.023773424403913</v>
      </c>
      <c r="N244" s="4" t="str">
        <f aca="false">INDEX($C$3:$E$3,MATCH(MAX(C244:E244),C244:E244,0))</f>
        <v>PT-Morena-PES</v>
      </c>
      <c r="O244" s="17" t="n">
        <f aca="false">(MAX(J244:L244)-LARGE(J244:L244,2))*100</f>
        <v>29.5769221146388</v>
      </c>
    </row>
    <row r="245" customFormat="false" ht="15" hidden="false" customHeight="false" outlineLevel="0" collapsed="false">
      <c r="A245" s="4" t="s">
        <v>73</v>
      </c>
      <c r="B245" s="4" t="n">
        <v>3</v>
      </c>
      <c r="C245" s="5" t="n">
        <v>84455</v>
      </c>
      <c r="D245" s="5" t="n">
        <v>47214</v>
      </c>
      <c r="E245" s="5" t="n">
        <v>59764</v>
      </c>
      <c r="F245" s="5" t="n">
        <v>5242</v>
      </c>
      <c r="G245" s="5" t="n">
        <v>52</v>
      </c>
      <c r="H245" s="5" t="n">
        <v>7913</v>
      </c>
      <c r="I245" s="5" t="n">
        <v>204640</v>
      </c>
      <c r="J245" s="11" t="n">
        <f aca="false">IF(I245=0,0,C245/I245)</f>
        <v>0.412700351837373</v>
      </c>
      <c r="K245" s="11" t="n">
        <f aca="false">IF(I245=0,0,D245/I245)</f>
        <v>0.230717357310399</v>
      </c>
      <c r="L245" s="11" t="n">
        <f aca="false">IF(I245=0,0,E245/I245)</f>
        <v>0.29204456606724</v>
      </c>
      <c r="M245" s="11" t="n">
        <f aca="false">IF(I245=0,0,H245/I245)</f>
        <v>0.0386679046129789</v>
      </c>
      <c r="N245" s="4" t="str">
        <f aca="false">INDEX($C$3:$E$3,MATCH(MAX(C245:E245),C245:E245,0))</f>
        <v>PT-Morena-PES</v>
      </c>
      <c r="O245" s="17" t="n">
        <f aca="false">(MAX(J245:L245)-LARGE(J245:L245,2))*100</f>
        <v>12.0655785770133</v>
      </c>
    </row>
    <row r="246" customFormat="false" ht="15" hidden="false" customHeight="false" outlineLevel="0" collapsed="false">
      <c r="A246" s="4" t="s">
        <v>73</v>
      </c>
      <c r="B246" s="4" t="n">
        <v>4</v>
      </c>
      <c r="C246" s="5" t="n">
        <v>97275</v>
      </c>
      <c r="D246" s="5" t="n">
        <v>31818</v>
      </c>
      <c r="E246" s="5" t="n">
        <v>55964</v>
      </c>
      <c r="F246" s="5" t="n">
        <v>5133</v>
      </c>
      <c r="G246" s="5" t="n">
        <v>24</v>
      </c>
      <c r="H246" s="5" t="n">
        <v>6162</v>
      </c>
      <c r="I246" s="5" t="n">
        <v>196376</v>
      </c>
      <c r="J246" s="11" t="n">
        <f aca="false">IF(I246=0,0,C246/I246)</f>
        <v>0.49535075569316</v>
      </c>
      <c r="K246" s="11" t="n">
        <f aca="false">IF(I246=0,0,D246/I246)</f>
        <v>0.162025909479774</v>
      </c>
      <c r="L246" s="11" t="n">
        <f aca="false">IF(I246=0,0,E246/I246)</f>
        <v>0.284983908420581</v>
      </c>
      <c r="M246" s="11" t="n">
        <f aca="false">IF(I246=0,0,H246/I246)</f>
        <v>0.0313785798671936</v>
      </c>
      <c r="N246" s="4" t="str">
        <f aca="false">INDEX($C$3:$E$3,MATCH(MAX(C246:E246),C246:E246,0))</f>
        <v>PT-Morena-PES</v>
      </c>
      <c r="O246" s="17" t="n">
        <f aca="false">(MAX(J246:L246)-LARGE(J246:L246,2))*100</f>
        <v>21.0366847272579</v>
      </c>
    </row>
    <row r="247" customFormat="false" ht="15" hidden="false" customHeight="false" outlineLevel="0" collapsed="false">
      <c r="A247" s="4" t="s">
        <v>73</v>
      </c>
      <c r="B247" s="4" t="n">
        <v>5</v>
      </c>
      <c r="C247" s="5" t="n">
        <v>90180</v>
      </c>
      <c r="D247" s="5" t="n">
        <v>26082</v>
      </c>
      <c r="E247" s="5" t="n">
        <v>29815</v>
      </c>
      <c r="F247" s="5" t="n">
        <v>30250</v>
      </c>
      <c r="G247" s="5" t="n">
        <v>35</v>
      </c>
      <c r="H247" s="5" t="n">
        <v>3675</v>
      </c>
      <c r="I247" s="5" t="n">
        <v>180037</v>
      </c>
      <c r="J247" s="11" t="n">
        <f aca="false">IF(I247=0,0,C247/I247)</f>
        <v>0.500897037831113</v>
      </c>
      <c r="K247" s="11" t="n">
        <f aca="false">IF(I247=0,0,D247/I247)</f>
        <v>0.144870221121214</v>
      </c>
      <c r="L247" s="11" t="n">
        <f aca="false">IF(I247=0,0,E247/I247)</f>
        <v>0.165604847892378</v>
      </c>
      <c r="M247" s="11" t="n">
        <f aca="false">IF(I247=0,0,H247/I247)</f>
        <v>0.0204124707698973</v>
      </c>
      <c r="N247" s="4" t="str">
        <f aca="false">INDEX($C$3:$E$3,MATCH(MAX(C247:E247),C247:E247,0))</f>
        <v>PT-Morena-PES</v>
      </c>
      <c r="O247" s="17" t="n">
        <f aca="false">(MAX(J247:L247)-LARGE(J247:L247,2))*100</f>
        <v>33.5292189938735</v>
      </c>
    </row>
    <row r="248" customFormat="false" ht="15" hidden="false" customHeight="false" outlineLevel="0" collapsed="false">
      <c r="A248" s="4" t="s">
        <v>73</v>
      </c>
      <c r="B248" s="4" t="n">
        <v>6</v>
      </c>
      <c r="C248" s="5" t="n">
        <v>75365</v>
      </c>
      <c r="D248" s="5" t="n">
        <v>39429</v>
      </c>
      <c r="E248" s="5" t="n">
        <v>45404</v>
      </c>
      <c r="F248" s="5" t="n">
        <v>11363</v>
      </c>
      <c r="G248" s="5" t="n">
        <v>63</v>
      </c>
      <c r="H248" s="5" t="n">
        <v>5566</v>
      </c>
      <c r="I248" s="5" t="n">
        <v>177190</v>
      </c>
      <c r="J248" s="11" t="n">
        <f aca="false">IF(I248=0,0,C248/I248)</f>
        <v>0.425334386816412</v>
      </c>
      <c r="K248" s="11" t="n">
        <f aca="false">IF(I248=0,0,D248/I248)</f>
        <v>0.222523844460748</v>
      </c>
      <c r="L248" s="11" t="n">
        <f aca="false">IF(I248=0,0,E248/I248)</f>
        <v>0.256244709069361</v>
      </c>
      <c r="M248" s="11" t="n">
        <f aca="false">IF(I248=0,0,H248/I248)</f>
        <v>0.031412607934985</v>
      </c>
      <c r="N248" s="4" t="str">
        <f aca="false">INDEX($C$3:$E$3,MATCH(MAX(C248:E248),C248:E248,0))</f>
        <v>PT-Morena-PES</v>
      </c>
      <c r="O248" s="17" t="n">
        <f aca="false">(MAX(J248:L248)-LARGE(J248:L248,2))*100</f>
        <v>16.9089677747051</v>
      </c>
    </row>
    <row r="249" customFormat="false" ht="15" hidden="false" customHeight="false" outlineLevel="0" collapsed="false">
      <c r="A249" s="4" t="s">
        <v>73</v>
      </c>
      <c r="B249" s="4" t="n">
        <v>7</v>
      </c>
      <c r="C249" s="5" t="n">
        <v>83241</v>
      </c>
      <c r="D249" s="5" t="n">
        <v>25512</v>
      </c>
      <c r="E249" s="5" t="n">
        <v>33936</v>
      </c>
      <c r="F249" s="5" t="n">
        <v>22886</v>
      </c>
      <c r="G249" s="5" t="n">
        <v>139</v>
      </c>
      <c r="H249" s="5" t="n">
        <v>4456</v>
      </c>
      <c r="I249" s="5" t="n">
        <v>170170</v>
      </c>
      <c r="J249" s="11" t="n">
        <f aca="false">IF(I249=0,0,C249/I249)</f>
        <v>0.489163777399072</v>
      </c>
      <c r="K249" s="11" t="n">
        <f aca="false">IF(I249=0,0,D249/I249)</f>
        <v>0.149920667567726</v>
      </c>
      <c r="L249" s="11" t="n">
        <f aca="false">IF(I249=0,0,E249/I249)</f>
        <v>0.199424105306458</v>
      </c>
      <c r="M249" s="11" t="n">
        <f aca="false">IF(I249=0,0,H249/I249)</f>
        <v>0.0261855791267556</v>
      </c>
      <c r="N249" s="4" t="str">
        <f aca="false">INDEX($C$3:$E$3,MATCH(MAX(C249:E249),C249:E249,0))</f>
        <v>PT-Morena-PES</v>
      </c>
      <c r="O249" s="17" t="n">
        <f aca="false">(MAX(J249:L249)-LARGE(J249:L249,2))*100</f>
        <v>28.9739672092613</v>
      </c>
    </row>
    <row r="250" customFormat="false" ht="15" hidden="false" customHeight="false" outlineLevel="0" collapsed="false">
      <c r="A250" s="4" t="s">
        <v>74</v>
      </c>
      <c r="B250" s="4" t="n">
        <v>1</v>
      </c>
      <c r="C250" s="5" t="n">
        <v>63854</v>
      </c>
      <c r="D250" s="5" t="n">
        <v>30531</v>
      </c>
      <c r="E250" s="5" t="n">
        <v>36973</v>
      </c>
      <c r="F250" s="5" t="n">
        <v>0</v>
      </c>
      <c r="G250" s="5" t="n">
        <v>72</v>
      </c>
      <c r="H250" s="5" t="n">
        <v>4827</v>
      </c>
      <c r="I250" s="5" t="n">
        <v>136257</v>
      </c>
      <c r="J250" s="11" t="n">
        <f aca="false">IF(I250=0,0,C250/I250)</f>
        <v>0.468629134649963</v>
      </c>
      <c r="K250" s="11" t="n">
        <f aca="false">IF(I250=0,0,D250/I250)</f>
        <v>0.224069222131707</v>
      </c>
      <c r="L250" s="11" t="n">
        <f aca="false">IF(I250=0,0,E250/I250)</f>
        <v>0.271347527099525</v>
      </c>
      <c r="M250" s="11" t="n">
        <f aca="false">IF(I250=0,0,H250/I250)</f>
        <v>0.0354257028996675</v>
      </c>
      <c r="N250" s="4" t="str">
        <f aca="false">INDEX($C$3:$E$3,MATCH(MAX(C250:E250),C250:E250,0))</f>
        <v>PT-Morena-PES</v>
      </c>
      <c r="O250" s="17" t="n">
        <f aca="false">(MAX(J250:L250)-LARGE(J250:L250,2))*100</f>
        <v>19.7281607550438</v>
      </c>
    </row>
    <row r="251" customFormat="false" ht="15" hidden="false" customHeight="false" outlineLevel="0" collapsed="false">
      <c r="A251" s="4" t="s">
        <v>74</v>
      </c>
      <c r="B251" s="4" t="n">
        <v>2</v>
      </c>
      <c r="C251" s="5" t="n">
        <v>68986</v>
      </c>
      <c r="D251" s="5" t="n">
        <v>39640</v>
      </c>
      <c r="E251" s="5" t="n">
        <v>50126</v>
      </c>
      <c r="F251" s="5" t="n">
        <v>0</v>
      </c>
      <c r="G251" s="5" t="n">
        <v>48</v>
      </c>
      <c r="H251" s="5" t="n">
        <v>6097</v>
      </c>
      <c r="I251" s="5" t="n">
        <v>164897</v>
      </c>
      <c r="J251" s="11" t="n">
        <f aca="false">IF(I251=0,0,C251/I251)</f>
        <v>0.418358126588113</v>
      </c>
      <c r="K251" s="11" t="n">
        <f aca="false">IF(I251=0,0,D251/I251)</f>
        <v>0.240392487431548</v>
      </c>
      <c r="L251" s="11" t="n">
        <f aca="false">IF(I251=0,0,E251/I251)</f>
        <v>0.30398369891508</v>
      </c>
      <c r="M251" s="11" t="n">
        <f aca="false">IF(I251=0,0,H251/I251)</f>
        <v>0.0369745962631218</v>
      </c>
      <c r="N251" s="4" t="str">
        <f aca="false">INDEX($C$3:$E$3,MATCH(MAX(C251:E251),C251:E251,0))</f>
        <v>PT-Morena-PES</v>
      </c>
      <c r="O251" s="17" t="n">
        <f aca="false">(MAX(J251:L251)-LARGE(J251:L251,2))*100</f>
        <v>11.4374427673032</v>
      </c>
    </row>
    <row r="252" customFormat="false" ht="15" hidden="false" customHeight="false" outlineLevel="0" collapsed="false">
      <c r="A252" s="4" t="s">
        <v>74</v>
      </c>
      <c r="B252" s="4" t="n">
        <v>3</v>
      </c>
      <c r="C252" s="5" t="n">
        <v>71820</v>
      </c>
      <c r="D252" s="5" t="n">
        <v>33390</v>
      </c>
      <c r="E252" s="5" t="n">
        <v>40069</v>
      </c>
      <c r="F252" s="5" t="n">
        <v>0</v>
      </c>
      <c r="G252" s="5" t="n">
        <v>84</v>
      </c>
      <c r="H252" s="5" t="n">
        <v>4800</v>
      </c>
      <c r="I252" s="5" t="n">
        <v>150163</v>
      </c>
      <c r="J252" s="11" t="n">
        <f aca="false">IF(I252=0,0,C252/I252)</f>
        <v>0.478280268774598</v>
      </c>
      <c r="K252" s="11" t="n">
        <f aca="false">IF(I252=0,0,D252/I252)</f>
        <v>0.222358370570647</v>
      </c>
      <c r="L252" s="11" t="n">
        <f aca="false">IF(I252=0,0,E252/I252)</f>
        <v>0.266836704114862</v>
      </c>
      <c r="M252" s="11" t="n">
        <f aca="false">IF(I252=0,0,H252/I252)</f>
        <v>0.0319652644126716</v>
      </c>
      <c r="N252" s="4" t="str">
        <f aca="false">INDEX($C$3:$E$3,MATCH(MAX(C252:E252),C252:E252,0))</f>
        <v>PT-Morena-PES</v>
      </c>
      <c r="O252" s="17" t="n">
        <f aca="false">(MAX(J252:L252)-LARGE(J252:L252,2))*100</f>
        <v>21.1443564659736</v>
      </c>
    </row>
    <row r="253" customFormat="false" ht="15" hidden="false" customHeight="false" outlineLevel="0" collapsed="false">
      <c r="A253" s="4" t="s">
        <v>74</v>
      </c>
      <c r="B253" s="4" t="n">
        <v>4</v>
      </c>
      <c r="C253" s="5" t="n">
        <v>72634</v>
      </c>
      <c r="D253" s="5" t="n">
        <v>37835</v>
      </c>
      <c r="E253" s="5" t="n">
        <v>51173</v>
      </c>
      <c r="F253" s="5" t="n">
        <v>0</v>
      </c>
      <c r="G253" s="5" t="n">
        <v>31</v>
      </c>
      <c r="H253" s="5" t="n">
        <v>6122</v>
      </c>
      <c r="I253" s="5" t="n">
        <v>167795</v>
      </c>
      <c r="J253" s="11" t="n">
        <f aca="false">IF(I253=0,0,C253/I253)</f>
        <v>0.432873446765398</v>
      </c>
      <c r="K253" s="11" t="n">
        <f aca="false">IF(I253=0,0,D253/I253)</f>
        <v>0.225483476861647</v>
      </c>
      <c r="L253" s="11" t="n">
        <f aca="false">IF(I253=0,0,E253/I253)</f>
        <v>0.304973330552162</v>
      </c>
      <c r="M253" s="11" t="n">
        <f aca="false">IF(I253=0,0,H253/I253)</f>
        <v>0.0364849965731994</v>
      </c>
      <c r="N253" s="4" t="str">
        <f aca="false">INDEX($C$3:$E$3,MATCH(MAX(C253:E253),C253:E253,0))</f>
        <v>PT-Morena-PES</v>
      </c>
      <c r="O253" s="17" t="n">
        <f aca="false">(MAX(J253:L253)-LARGE(J253:L253,2))*100</f>
        <v>12.7900116213236</v>
      </c>
    </row>
    <row r="254" customFormat="false" ht="15" hidden="false" customHeight="false" outlineLevel="0" collapsed="false">
      <c r="A254" s="4" t="s">
        <v>74</v>
      </c>
      <c r="B254" s="4" t="n">
        <v>5</v>
      </c>
      <c r="C254" s="5" t="n">
        <v>69529</v>
      </c>
      <c r="D254" s="5" t="n">
        <v>40657</v>
      </c>
      <c r="E254" s="5" t="n">
        <v>41377</v>
      </c>
      <c r="F254" s="5" t="n">
        <v>0</v>
      </c>
      <c r="G254" s="5" t="n">
        <v>66</v>
      </c>
      <c r="H254" s="5" t="n">
        <v>4546</v>
      </c>
      <c r="I254" s="5" t="n">
        <v>156175</v>
      </c>
      <c r="J254" s="11" t="n">
        <f aca="false">IF(I254=0,0,C254/I254)</f>
        <v>0.445199295661918</v>
      </c>
      <c r="K254" s="11" t="n">
        <f aca="false">IF(I254=0,0,D254/I254)</f>
        <v>0.260329758283976</v>
      </c>
      <c r="L254" s="11" t="n">
        <f aca="false">IF(I254=0,0,E254/I254)</f>
        <v>0.264939971186169</v>
      </c>
      <c r="M254" s="11" t="n">
        <f aca="false">IF(I254=0,0,H254/I254)</f>
        <v>0.0291083720185689</v>
      </c>
      <c r="N254" s="4" t="str">
        <f aca="false">INDEX($C$3:$E$3,MATCH(MAX(C254:E254),C254:E254,0))</f>
        <v>PT-Morena-PES</v>
      </c>
      <c r="O254" s="17" t="n">
        <f aca="false">(MAX(J254:L254)-LARGE(J254:L254,2))*100</f>
        <v>18.0259324475748</v>
      </c>
    </row>
    <row r="255" customFormat="false" ht="15" hidden="false" customHeight="false" outlineLevel="0" collapsed="false">
      <c r="A255" s="4" t="s">
        <v>74</v>
      </c>
      <c r="B255" s="4" t="n">
        <v>6</v>
      </c>
      <c r="C255" s="5" t="n">
        <v>96090</v>
      </c>
      <c r="D255" s="5" t="n">
        <v>28831</v>
      </c>
      <c r="E255" s="5" t="n">
        <v>36656</v>
      </c>
      <c r="F255" s="5" t="n">
        <v>0</v>
      </c>
      <c r="G255" s="5" t="n">
        <v>72</v>
      </c>
      <c r="H255" s="5" t="n">
        <v>4758</v>
      </c>
      <c r="I255" s="5" t="n">
        <v>166407</v>
      </c>
      <c r="J255" s="11" t="n">
        <f aca="false">IF(I255=0,0,C255/I255)</f>
        <v>0.577439650976221</v>
      </c>
      <c r="K255" s="11" t="n">
        <f aca="false">IF(I255=0,0,D255/I255)</f>
        <v>0.173255932743214</v>
      </c>
      <c r="L255" s="11" t="n">
        <f aca="false">IF(I255=0,0,E255/I255)</f>
        <v>0.220279194985788</v>
      </c>
      <c r="M255" s="11" t="n">
        <f aca="false">IF(I255=0,0,H255/I255)</f>
        <v>0.0285925471885197</v>
      </c>
      <c r="N255" s="4" t="str">
        <f aca="false">INDEX($C$3:$E$3,MATCH(MAX(C255:E255),C255:E255,0))</f>
        <v>PT-Morena-PES</v>
      </c>
      <c r="O255" s="17" t="n">
        <f aca="false">(MAX(J255:L255)-LARGE(J255:L255,2))*100</f>
        <v>35.7160455990433</v>
      </c>
    </row>
    <row r="256" customFormat="false" ht="15" hidden="false" customHeight="false" outlineLevel="0" collapsed="false">
      <c r="A256" s="4" t="s">
        <v>74</v>
      </c>
      <c r="B256" s="4" t="n">
        <v>7</v>
      </c>
      <c r="C256" s="5" t="n">
        <v>73630</v>
      </c>
      <c r="D256" s="5" t="n">
        <v>27692</v>
      </c>
      <c r="E256" s="5" t="n">
        <v>47387</v>
      </c>
      <c r="F256" s="5" t="n">
        <v>0</v>
      </c>
      <c r="G256" s="5" t="n">
        <v>14</v>
      </c>
      <c r="H256" s="5" t="n">
        <v>5657</v>
      </c>
      <c r="I256" s="5" t="n">
        <v>154380</v>
      </c>
      <c r="J256" s="11" t="n">
        <f aca="false">IF(I256=0,0,C256/I256)</f>
        <v>0.476940018137064</v>
      </c>
      <c r="K256" s="11" t="n">
        <f aca="false">IF(I256=0,0,D256/I256)</f>
        <v>0.179375566783262</v>
      </c>
      <c r="L256" s="11" t="n">
        <f aca="false">IF(I256=0,0,E256/I256)</f>
        <v>0.306950382173857</v>
      </c>
      <c r="M256" s="11" t="n">
        <f aca="false">IF(I256=0,0,H256/I256)</f>
        <v>0.0366433475838839</v>
      </c>
      <c r="N256" s="4" t="str">
        <f aca="false">INDEX($C$3:$E$3,MATCH(MAX(C256:E256),C256:E256,0))</f>
        <v>PT-Morena-PES</v>
      </c>
      <c r="O256" s="17" t="n">
        <f aca="false">(MAX(J256:L256)-LARGE(J256:L256,2))*100</f>
        <v>16.9989635963208</v>
      </c>
    </row>
    <row r="257" customFormat="false" ht="15" hidden="false" customHeight="false" outlineLevel="0" collapsed="false">
      <c r="A257" s="4" t="s">
        <v>75</v>
      </c>
      <c r="B257" s="4" t="n">
        <v>1</v>
      </c>
      <c r="C257" s="5" t="n">
        <v>115278</v>
      </c>
      <c r="D257" s="5" t="n">
        <v>20064</v>
      </c>
      <c r="E257" s="5" t="n">
        <v>32170</v>
      </c>
      <c r="F257" s="5" t="n">
        <v>0</v>
      </c>
      <c r="G257" s="5" t="n">
        <v>35</v>
      </c>
      <c r="H257" s="5" t="n">
        <v>7520</v>
      </c>
      <c r="I257" s="5" t="n">
        <v>175067</v>
      </c>
      <c r="J257" s="11" t="n">
        <f aca="false">IF(I257=0,0,C257/I257)</f>
        <v>0.658479325058406</v>
      </c>
      <c r="K257" s="11" t="n">
        <f aca="false">IF(I257=0,0,D257/I257)</f>
        <v>0.114607550252189</v>
      </c>
      <c r="L257" s="11" t="n">
        <f aca="false">IF(I257=0,0,E257/I257)</f>
        <v>0.183758218282143</v>
      </c>
      <c r="M257" s="11" t="n">
        <f aca="false">IF(I257=0,0,H257/I257)</f>
        <v>0.0429549829493851</v>
      </c>
      <c r="N257" s="4" t="str">
        <f aca="false">INDEX($C$3:$E$3,MATCH(MAX(C257:E257),C257:E257,0))</f>
        <v>PT-Morena-PES</v>
      </c>
      <c r="O257" s="17" t="n">
        <f aca="false">(MAX(J257:L257)-LARGE(J257:L257,2))*100</f>
        <v>47.4721106776263</v>
      </c>
    </row>
    <row r="258" customFormat="false" ht="15" hidden="false" customHeight="false" outlineLevel="0" collapsed="false">
      <c r="A258" s="4" t="s">
        <v>75</v>
      </c>
      <c r="B258" s="4" t="n">
        <v>2</v>
      </c>
      <c r="C258" s="5" t="n">
        <v>134015</v>
      </c>
      <c r="D258" s="5" t="n">
        <v>40441</v>
      </c>
      <c r="E258" s="5" t="n">
        <v>26286</v>
      </c>
      <c r="F258" s="5" t="n">
        <v>0</v>
      </c>
      <c r="G258" s="5" t="n">
        <v>105</v>
      </c>
      <c r="H258" s="5" t="n">
        <v>8121</v>
      </c>
      <c r="I258" s="5" t="n">
        <v>208968</v>
      </c>
      <c r="J258" s="11" t="n">
        <f aca="false">IF(I258=0,0,C258/I258)</f>
        <v>0.641318287967536</v>
      </c>
      <c r="K258" s="11" t="n">
        <f aca="false">IF(I258=0,0,D258/I258)</f>
        <v>0.193527238620267</v>
      </c>
      <c r="L258" s="11" t="n">
        <f aca="false">IF(I258=0,0,E258/I258)</f>
        <v>0.125789594579074</v>
      </c>
      <c r="M258" s="11" t="n">
        <f aca="false">IF(I258=0,0,H258/I258)</f>
        <v>0.03886240955553</v>
      </c>
      <c r="N258" s="4" t="str">
        <f aca="false">INDEX($C$3:$E$3,MATCH(MAX(C258:E258),C258:E258,0))</f>
        <v>PT-Morena-PES</v>
      </c>
      <c r="O258" s="17" t="n">
        <f aca="false">(MAX(J258:L258)-LARGE(J258:L258,2))*100</f>
        <v>44.7791049347268</v>
      </c>
    </row>
    <row r="259" customFormat="false" ht="15" hidden="false" customHeight="false" outlineLevel="0" collapsed="false">
      <c r="A259" s="4" t="s">
        <v>75</v>
      </c>
      <c r="B259" s="4" t="n">
        <v>3</v>
      </c>
      <c r="C259" s="5" t="n">
        <v>109063</v>
      </c>
      <c r="D259" s="5" t="n">
        <v>30739</v>
      </c>
      <c r="E259" s="5" t="n">
        <v>27160</v>
      </c>
      <c r="F259" s="5" t="n">
        <v>0</v>
      </c>
      <c r="G259" s="5" t="n">
        <v>17</v>
      </c>
      <c r="H259" s="5" t="n">
        <v>5760</v>
      </c>
      <c r="I259" s="5" t="n">
        <v>172739</v>
      </c>
      <c r="J259" s="11" t="n">
        <f aca="false">IF(I259=0,0,C259/I259)</f>
        <v>0.63137450141543</v>
      </c>
      <c r="K259" s="11" t="n">
        <f aca="false">IF(I259=0,0,D259/I259)</f>
        <v>0.177950549673206</v>
      </c>
      <c r="L259" s="11" t="n">
        <f aca="false">IF(I259=0,0,E259/I259)</f>
        <v>0.15723143007659</v>
      </c>
      <c r="M259" s="11" t="n">
        <f aca="false">IF(I259=0,0,H259/I259)</f>
        <v>0.0333451044639601</v>
      </c>
      <c r="N259" s="4" t="str">
        <f aca="false">INDEX($C$3:$E$3,MATCH(MAX(C259:E259),C259:E259,0))</f>
        <v>PT-Morena-PES</v>
      </c>
      <c r="O259" s="17" t="n">
        <f aca="false">(MAX(J259:L259)-LARGE(J259:L259,2))*100</f>
        <v>45.3423951742224</v>
      </c>
    </row>
    <row r="260" customFormat="false" ht="15" hidden="false" customHeight="false" outlineLevel="0" collapsed="false">
      <c r="A260" s="4" t="s">
        <v>75</v>
      </c>
      <c r="B260" s="4" t="n">
        <v>4</v>
      </c>
      <c r="C260" s="5" t="n">
        <v>164941</v>
      </c>
      <c r="D260" s="5" t="n">
        <v>14827</v>
      </c>
      <c r="E260" s="5" t="n">
        <v>34587</v>
      </c>
      <c r="F260" s="5" t="n">
        <v>0</v>
      </c>
      <c r="G260" s="5" t="n">
        <v>100</v>
      </c>
      <c r="H260" s="5" t="n">
        <v>4928</v>
      </c>
      <c r="I260" s="5" t="n">
        <v>219383</v>
      </c>
      <c r="J260" s="11" t="n">
        <f aca="false">IF(I260=0,0,C260/I260)</f>
        <v>0.751840388726565</v>
      </c>
      <c r="K260" s="11" t="n">
        <f aca="false">IF(I260=0,0,D260/I260)</f>
        <v>0.0675849997492969</v>
      </c>
      <c r="L260" s="11" t="n">
        <f aca="false">IF(I260=0,0,E260/I260)</f>
        <v>0.157655789190594</v>
      </c>
      <c r="M260" s="11" t="n">
        <f aca="false">IF(I260=0,0,H260/I260)</f>
        <v>0.0224629985003396</v>
      </c>
      <c r="N260" s="4" t="str">
        <f aca="false">INDEX($C$3:$E$3,MATCH(MAX(C260:E260),C260:E260,0))</f>
        <v>PT-Morena-PES</v>
      </c>
      <c r="O260" s="17" t="n">
        <f aca="false">(MAX(J260:L260)-LARGE(J260:L260,2))*100</f>
        <v>59.4184599535971</v>
      </c>
    </row>
    <row r="261" customFormat="false" ht="15" hidden="false" customHeight="false" outlineLevel="0" collapsed="false">
      <c r="A261" s="4" t="s">
        <v>75</v>
      </c>
      <c r="B261" s="4" t="n">
        <v>5</v>
      </c>
      <c r="C261" s="5" t="n">
        <v>155073</v>
      </c>
      <c r="D261" s="5" t="n">
        <v>25455</v>
      </c>
      <c r="E261" s="5" t="n">
        <v>34294</v>
      </c>
      <c r="F261" s="5" t="n">
        <v>0</v>
      </c>
      <c r="G261" s="5" t="n">
        <v>53</v>
      </c>
      <c r="H261" s="5" t="n">
        <v>8238</v>
      </c>
      <c r="I261" s="5" t="n">
        <v>223113</v>
      </c>
      <c r="J261" s="11" t="n">
        <f aca="false">IF(I261=0,0,C261/I261)</f>
        <v>0.695042422449611</v>
      </c>
      <c r="K261" s="11" t="n">
        <f aca="false">IF(I261=0,0,D261/I261)</f>
        <v>0.114090169555337</v>
      </c>
      <c r="L261" s="11" t="n">
        <f aca="false">IF(I261=0,0,E261/I261)</f>
        <v>0.153706866027529</v>
      </c>
      <c r="M261" s="11" t="n">
        <f aca="false">IF(I261=0,0,H261/I261)</f>
        <v>0.0369229941778381</v>
      </c>
      <c r="N261" s="4" t="str">
        <f aca="false">INDEX($C$3:$E$3,MATCH(MAX(C261:E261),C261:E261,0))</f>
        <v>PT-Morena-PES</v>
      </c>
      <c r="O261" s="17" t="n">
        <f aca="false">(MAX(J261:L261)-LARGE(J261:L261,2))*100</f>
        <v>54.1335556422082</v>
      </c>
    </row>
    <row r="262" customFormat="false" ht="15" hidden="false" customHeight="false" outlineLevel="0" collapsed="false">
      <c r="A262" s="4" t="s">
        <v>75</v>
      </c>
      <c r="B262" s="4" t="n">
        <v>6</v>
      </c>
      <c r="C262" s="5" t="n">
        <v>138571</v>
      </c>
      <c r="D262" s="5" t="n">
        <v>19196</v>
      </c>
      <c r="E262" s="5" t="n">
        <v>40390</v>
      </c>
      <c r="F262" s="5" t="n">
        <v>0</v>
      </c>
      <c r="G262" s="5" t="n">
        <v>76</v>
      </c>
      <c r="H262" s="5" t="n">
        <v>7556</v>
      </c>
      <c r="I262" s="5" t="n">
        <v>205789</v>
      </c>
      <c r="J262" s="11" t="n">
        <f aca="false">IF(I262=0,0,C262/I262)</f>
        <v>0.673364465544806</v>
      </c>
      <c r="K262" s="11" t="n">
        <f aca="false">IF(I262=0,0,D262/I262)</f>
        <v>0.0932800101074402</v>
      </c>
      <c r="L262" s="11" t="n">
        <f aca="false">IF(I262=0,0,E262/I262)</f>
        <v>0.196268993969551</v>
      </c>
      <c r="M262" s="11" t="n">
        <f aca="false">IF(I262=0,0,H262/I262)</f>
        <v>0.0367172200652124</v>
      </c>
      <c r="N262" s="4" t="str">
        <f aca="false">INDEX($C$3:$E$3,MATCH(MAX(C262:E262),C262:E262,0))</f>
        <v>PT-Morena-PES</v>
      </c>
      <c r="O262" s="17" t="n">
        <f aca="false">(MAX(J262:L262)-LARGE(J262:L262,2))*100</f>
        <v>47.7095471575254</v>
      </c>
    </row>
    <row r="263" customFormat="false" ht="15" hidden="false" customHeight="false" outlineLevel="0" collapsed="false">
      <c r="A263" s="4" t="s">
        <v>76</v>
      </c>
      <c r="B263" s="4" t="n">
        <v>1</v>
      </c>
      <c r="C263" s="5" t="n">
        <v>55041</v>
      </c>
      <c r="D263" s="5" t="n">
        <v>53566</v>
      </c>
      <c r="E263" s="5" t="n">
        <v>53228</v>
      </c>
      <c r="F263" s="5" t="n">
        <v>0</v>
      </c>
      <c r="G263" s="5" t="n">
        <v>97</v>
      </c>
      <c r="H263" s="5" t="n">
        <v>4703</v>
      </c>
      <c r="I263" s="5" t="n">
        <v>166635</v>
      </c>
      <c r="J263" s="11" t="n">
        <f aca="false">IF(I263=0,0,C263/I263)</f>
        <v>0.330308758664146</v>
      </c>
      <c r="K263" s="11" t="n">
        <f aca="false">IF(I263=0,0,D263/I263)</f>
        <v>0.3214570768446</v>
      </c>
      <c r="L263" s="11" t="n">
        <f aca="false">IF(I263=0,0,E263/I263)</f>
        <v>0.319428691451376</v>
      </c>
      <c r="M263" s="11" t="n">
        <f aca="false">IF(I263=0,0,H263/I263)</f>
        <v>0.0282233624388634</v>
      </c>
      <c r="N263" s="4" t="str">
        <f aca="false">INDEX($C$3:$E$3,MATCH(MAX(C263:E263),C263:E263,0))</f>
        <v>PT-Morena-PES</v>
      </c>
      <c r="O263" s="17" t="n">
        <f aca="false">(MAX(J263:L263)-LARGE(J263:L263,2))*100</f>
        <v>0.885168181954571</v>
      </c>
    </row>
    <row r="264" customFormat="false" ht="15" hidden="false" customHeight="false" outlineLevel="0" collapsed="false">
      <c r="A264" s="4" t="s">
        <v>76</v>
      </c>
      <c r="B264" s="4" t="n">
        <v>2</v>
      </c>
      <c r="C264" s="5" t="n">
        <v>70864</v>
      </c>
      <c r="D264" s="5" t="n">
        <v>61622</v>
      </c>
      <c r="E264" s="5" t="n">
        <v>29522</v>
      </c>
      <c r="F264" s="5" t="n">
        <v>0</v>
      </c>
      <c r="G264" s="5" t="n">
        <v>70</v>
      </c>
      <c r="H264" s="5" t="n">
        <v>4801</v>
      </c>
      <c r="I264" s="5" t="n">
        <v>166879</v>
      </c>
      <c r="J264" s="11" t="n">
        <f aca="false">IF(I264=0,0,C264/I264)</f>
        <v>0.42464300481187</v>
      </c>
      <c r="K264" s="11" t="n">
        <f aca="false">IF(I264=0,0,D264/I264)</f>
        <v>0.369261560771577</v>
      </c>
      <c r="L264" s="11" t="n">
        <f aca="false">IF(I264=0,0,E264/I264)</f>
        <v>0.176906620964891</v>
      </c>
      <c r="M264" s="11" t="n">
        <f aca="false">IF(I264=0,0,H264/I264)</f>
        <v>0.028769347850838</v>
      </c>
      <c r="N264" s="4" t="str">
        <f aca="false">INDEX($C$3:$E$3,MATCH(MAX(C264:E264),C264:E264,0))</f>
        <v>PT-Morena-PES</v>
      </c>
      <c r="O264" s="17" t="n">
        <f aca="false">(MAX(J264:L264)-LARGE(J264:L264,2))*100</f>
        <v>5.53814440402927</v>
      </c>
    </row>
    <row r="265" customFormat="false" ht="15" hidden="false" customHeight="false" outlineLevel="0" collapsed="false">
      <c r="A265" s="4" t="s">
        <v>76</v>
      </c>
      <c r="B265" s="4" t="n">
        <v>3</v>
      </c>
      <c r="C265" s="5" t="n">
        <v>62843</v>
      </c>
      <c r="D265" s="5" t="n">
        <v>65809</v>
      </c>
      <c r="E265" s="5" t="n">
        <v>42711</v>
      </c>
      <c r="F265" s="5" t="n">
        <v>0</v>
      </c>
      <c r="G265" s="5" t="n">
        <v>44</v>
      </c>
      <c r="H265" s="5" t="n">
        <v>5652</v>
      </c>
      <c r="I265" s="5" t="n">
        <v>177059</v>
      </c>
      <c r="J265" s="11" t="n">
        <f aca="false">IF(I265=0,0,C265/I265)</f>
        <v>0.354926888777187</v>
      </c>
      <c r="K265" s="11" t="n">
        <f aca="false">IF(I265=0,0,D265/I265)</f>
        <v>0.371678367097973</v>
      </c>
      <c r="L265" s="11" t="n">
        <f aca="false">IF(I265=0,0,E265/I265)</f>
        <v>0.241224676520256</v>
      </c>
      <c r="M265" s="11" t="n">
        <f aca="false">IF(I265=0,0,H265/I265)</f>
        <v>0.0319215628688742</v>
      </c>
      <c r="N265" s="4" t="str">
        <f aca="false">INDEX($C$3:$E$3,MATCH(MAX(C265:E265),C265:E265,0))</f>
        <v>PAN-PRD-MC</v>
      </c>
      <c r="O265" s="17" t="n">
        <f aca="false">(MAX(J265:L265)-LARGE(J265:L265,2))*100</f>
        <v>1.67514783207857</v>
      </c>
    </row>
    <row r="266" customFormat="false" ht="15" hidden="false" customHeight="false" outlineLevel="0" collapsed="false">
      <c r="A266" s="4" t="s">
        <v>76</v>
      </c>
      <c r="B266" s="4" t="n">
        <v>4</v>
      </c>
      <c r="C266" s="5" t="n">
        <v>75491</v>
      </c>
      <c r="D266" s="5" t="n">
        <v>52794</v>
      </c>
      <c r="E266" s="5" t="n">
        <v>40148</v>
      </c>
      <c r="F266" s="5" t="n">
        <v>0</v>
      </c>
      <c r="G266" s="5" t="n">
        <v>65</v>
      </c>
      <c r="H266" s="5" t="n">
        <v>4806</v>
      </c>
      <c r="I266" s="5" t="n">
        <v>173304</v>
      </c>
      <c r="J266" s="11" t="n">
        <f aca="false">IF(I266=0,0,C266/I266)</f>
        <v>0.435598716705904</v>
      </c>
      <c r="K266" s="11" t="n">
        <f aca="false">IF(I266=0,0,D266/I266)</f>
        <v>0.30463232239302</v>
      </c>
      <c r="L266" s="11" t="n">
        <f aca="false">IF(I266=0,0,E266/I266)</f>
        <v>0.231662281309145</v>
      </c>
      <c r="M266" s="11" t="n">
        <f aca="false">IF(I266=0,0,H266/I266)</f>
        <v>0.027731616119651</v>
      </c>
      <c r="N266" s="4" t="str">
        <f aca="false">INDEX($C$3:$E$3,MATCH(MAX(C266:E266),C266:E266,0))</f>
        <v>PT-Morena-PES</v>
      </c>
      <c r="O266" s="17" t="n">
        <f aca="false">(MAX(J266:L266)-LARGE(J266:L266,2))*100</f>
        <v>13.0966394312884</v>
      </c>
    </row>
    <row r="267" customFormat="false" ht="15" hidden="false" customHeight="false" outlineLevel="0" collapsed="false">
      <c r="A267" s="4" t="s">
        <v>76</v>
      </c>
      <c r="B267" s="4" t="n">
        <v>5</v>
      </c>
      <c r="C267" s="5" t="n">
        <v>65596</v>
      </c>
      <c r="D267" s="5" t="n">
        <v>80494</v>
      </c>
      <c r="E267" s="5" t="n">
        <v>53765</v>
      </c>
      <c r="F267" s="5" t="n">
        <v>0</v>
      </c>
      <c r="G267" s="5" t="n">
        <v>71</v>
      </c>
      <c r="H267" s="5" t="n">
        <v>6786</v>
      </c>
      <c r="I267" s="5" t="n">
        <v>206712</v>
      </c>
      <c r="J267" s="11" t="n">
        <f aca="false">IF(I267=0,0,C267/I267)</f>
        <v>0.317330392043036</v>
      </c>
      <c r="K267" s="11" t="n">
        <f aca="false">IF(I267=0,0,D267/I267)</f>
        <v>0.389401679631565</v>
      </c>
      <c r="L267" s="11" t="n">
        <f aca="false">IF(I267=0,0,E267/I267)</f>
        <v>0.260096172452494</v>
      </c>
      <c r="M267" s="11" t="n">
        <f aca="false">IF(I267=0,0,H267/I267)</f>
        <v>0.0328282828282828</v>
      </c>
      <c r="N267" s="4" t="str">
        <f aca="false">INDEX($C$3:$E$3,MATCH(MAX(C267:E267),C267:E267,0))</f>
        <v>PAN-PRD-MC</v>
      </c>
      <c r="O267" s="17" t="n">
        <f aca="false">(MAX(J267:L267)-LARGE(J267:L267,2))*100</f>
        <v>7.2071287588529</v>
      </c>
    </row>
    <row r="268" customFormat="false" ht="15" hidden="false" customHeight="false" outlineLevel="0" collapsed="false">
      <c r="A268" s="4" t="s">
        <v>76</v>
      </c>
      <c r="B268" s="4" t="n">
        <v>6</v>
      </c>
      <c r="C268" s="5" t="n">
        <v>49904</v>
      </c>
      <c r="D268" s="5" t="n">
        <v>95007</v>
      </c>
      <c r="E268" s="5" t="n">
        <v>49829</v>
      </c>
      <c r="F268" s="5" t="n">
        <v>0</v>
      </c>
      <c r="G268" s="5" t="n">
        <v>44</v>
      </c>
      <c r="H268" s="5" t="n">
        <v>7980</v>
      </c>
      <c r="I268" s="5" t="n">
        <v>202764</v>
      </c>
      <c r="J268" s="11" t="n">
        <f aca="false">IF(I268=0,0,C268/I268)</f>
        <v>0.246118640389813</v>
      </c>
      <c r="K268" s="11" t="n">
        <f aca="false">IF(I268=0,0,D268/I268)</f>
        <v>0.4685595076049</v>
      </c>
      <c r="L268" s="11" t="n">
        <f aca="false">IF(I268=0,0,E268/I268)</f>
        <v>0.245748752243988</v>
      </c>
      <c r="M268" s="11" t="n">
        <f aca="false">IF(I268=0,0,H268/I268)</f>
        <v>0.0393560987157484</v>
      </c>
      <c r="N268" s="4" t="str">
        <f aca="false">INDEX($C$3:$E$3,MATCH(MAX(C268:E268),C268:E268,0))</f>
        <v>PAN-PRD-MC</v>
      </c>
      <c r="O268" s="17" t="n">
        <f aca="false">(MAX(J268:L268)-LARGE(J268:L268,2))*100</f>
        <v>22.2440867215088</v>
      </c>
    </row>
    <row r="269" customFormat="false" ht="15" hidden="false" customHeight="false" outlineLevel="0" collapsed="false">
      <c r="A269" s="4" t="s">
        <v>76</v>
      </c>
      <c r="B269" s="4" t="n">
        <v>7</v>
      </c>
      <c r="C269" s="5" t="n">
        <v>81043</v>
      </c>
      <c r="D269" s="5" t="n">
        <v>63375</v>
      </c>
      <c r="E269" s="5" t="n">
        <v>34414</v>
      </c>
      <c r="F269" s="5" t="n">
        <v>0</v>
      </c>
      <c r="G269" s="5" t="n">
        <v>85</v>
      </c>
      <c r="H269" s="5" t="n">
        <v>4967</v>
      </c>
      <c r="I269" s="5" t="n">
        <v>183884</v>
      </c>
      <c r="J269" s="11" t="n">
        <f aca="false">IF(I269=0,0,C269/I269)</f>
        <v>0.440728937808619</v>
      </c>
      <c r="K269" s="11" t="n">
        <f aca="false">IF(I269=0,0,D269/I269)</f>
        <v>0.344646625046225</v>
      </c>
      <c r="L269" s="11" t="n">
        <f aca="false">IF(I269=0,0,E269/I269)</f>
        <v>0.187150594940288</v>
      </c>
      <c r="M269" s="11" t="n">
        <f aca="false">IF(I269=0,0,H269/I269)</f>
        <v>0.0270115942659503</v>
      </c>
      <c r="N269" s="4" t="str">
        <f aca="false">INDEX($C$3:$E$3,MATCH(MAX(C269:E269),C269:E269,0))</f>
        <v>PT-Morena-PES</v>
      </c>
      <c r="O269" s="17" t="n">
        <f aca="false">(MAX(J269:L269)-LARGE(J269:L269,2))*100</f>
        <v>9.60823127623937</v>
      </c>
    </row>
    <row r="270" customFormat="false" ht="15" hidden="false" customHeight="false" outlineLevel="0" collapsed="false">
      <c r="A270" s="4" t="s">
        <v>76</v>
      </c>
      <c r="B270" s="4" t="n">
        <v>8</v>
      </c>
      <c r="C270" s="5" t="n">
        <v>79915</v>
      </c>
      <c r="D270" s="5" t="n">
        <v>78131</v>
      </c>
      <c r="E270" s="5" t="n">
        <v>37216</v>
      </c>
      <c r="F270" s="5" t="n">
        <v>0</v>
      </c>
      <c r="G270" s="5" t="n">
        <v>95</v>
      </c>
      <c r="H270" s="5" t="n">
        <v>5746</v>
      </c>
      <c r="I270" s="5" t="n">
        <v>201103</v>
      </c>
      <c r="J270" s="11" t="n">
        <f aca="false">IF(I270=0,0,C270/I270)</f>
        <v>0.397383430381446</v>
      </c>
      <c r="K270" s="11" t="n">
        <f aca="false">IF(I270=0,0,D270/I270)</f>
        <v>0.388512354365673</v>
      </c>
      <c r="L270" s="11" t="n">
        <f aca="false">IF(I270=0,0,E270/I270)</f>
        <v>0.185059397423211</v>
      </c>
      <c r="M270" s="11" t="n">
        <f aca="false">IF(I270=0,0,H270/I270)</f>
        <v>0.028572423086677</v>
      </c>
      <c r="N270" s="4" t="str">
        <f aca="false">INDEX($C$3:$E$3,MATCH(MAX(C270:E270),C270:E270,0))</f>
        <v>PT-Morena-PES</v>
      </c>
      <c r="O270" s="17" t="n">
        <f aca="false">(MAX(J270:L270)-LARGE(J270:L270,2))*100</f>
        <v>0.887107601577297</v>
      </c>
    </row>
    <row r="271" customFormat="false" ht="15" hidden="false" customHeight="false" outlineLevel="0" collapsed="false">
      <c r="A271" s="4" t="s">
        <v>76</v>
      </c>
      <c r="B271" s="4" t="n">
        <v>9</v>
      </c>
      <c r="C271" s="5" t="n">
        <v>77786</v>
      </c>
      <c r="D271" s="5" t="n">
        <v>59152</v>
      </c>
      <c r="E271" s="5" t="n">
        <v>18784</v>
      </c>
      <c r="F271" s="5" t="n">
        <v>0</v>
      </c>
      <c r="G271" s="5" t="n">
        <v>31</v>
      </c>
      <c r="H271" s="5" t="n">
        <v>3731</v>
      </c>
      <c r="I271" s="5" t="n">
        <v>159484</v>
      </c>
      <c r="J271" s="11" t="n">
        <f aca="false">IF(I271=0,0,C271/I271)</f>
        <v>0.487735446815982</v>
      </c>
      <c r="K271" s="11" t="n">
        <f aca="false">IF(I271=0,0,D271/I271)</f>
        <v>0.370896140051667</v>
      </c>
      <c r="L271" s="11" t="n">
        <f aca="false">IF(I271=0,0,E271/I271)</f>
        <v>0.117779839983948</v>
      </c>
      <c r="M271" s="11" t="n">
        <f aca="false">IF(I271=0,0,H271/I271)</f>
        <v>0.0233941962830127</v>
      </c>
      <c r="N271" s="4" t="str">
        <f aca="false">INDEX($C$3:$E$3,MATCH(MAX(C271:E271),C271:E271,0))</f>
        <v>PT-Morena-PES</v>
      </c>
      <c r="O271" s="17" t="n">
        <f aca="false">(MAX(J271:L271)-LARGE(J271:L271,2))*100</f>
        <v>11.6839306764315</v>
      </c>
    </row>
    <row r="272" customFormat="false" ht="15" hidden="false" customHeight="false" outlineLevel="0" collapsed="false">
      <c r="A272" s="4" t="s">
        <v>77</v>
      </c>
      <c r="B272" s="4" t="n">
        <v>1</v>
      </c>
      <c r="C272" s="5" t="n">
        <v>101097</v>
      </c>
      <c r="D272" s="5" t="n">
        <v>41215</v>
      </c>
      <c r="E272" s="5" t="n">
        <v>39613</v>
      </c>
      <c r="F272" s="5" t="n">
        <v>4594</v>
      </c>
      <c r="G272" s="5" t="n">
        <v>214</v>
      </c>
      <c r="H272" s="5" t="n">
        <v>8994</v>
      </c>
      <c r="I272" s="5" t="n">
        <v>195727</v>
      </c>
      <c r="J272" s="11" t="n">
        <f aca="false">IF(I272=0,0,C272/I272)</f>
        <v>0.516520459619777</v>
      </c>
      <c r="K272" s="11" t="n">
        <f aca="false">IF(I272=0,0,D272/I272)</f>
        <v>0.2105739116218</v>
      </c>
      <c r="L272" s="11" t="n">
        <f aca="false">IF(I272=0,0,E272/I272)</f>
        <v>0.202389041879761</v>
      </c>
      <c r="M272" s="11" t="n">
        <f aca="false">IF(I272=0,0,H272/I272)</f>
        <v>0.045951759338262</v>
      </c>
      <c r="N272" s="4" t="str">
        <f aca="false">INDEX($C$3:$E$3,MATCH(MAX(C272:E272),C272:E272,0))</f>
        <v>PT-Morena-PES</v>
      </c>
      <c r="O272" s="17" t="n">
        <f aca="false">(MAX(J272:L272)-LARGE(J272:L272,2))*100</f>
        <v>30.5946547997977</v>
      </c>
    </row>
    <row r="273" customFormat="false" ht="15" hidden="false" customHeight="false" outlineLevel="0" collapsed="false">
      <c r="A273" s="4" t="s">
        <v>77</v>
      </c>
      <c r="B273" s="4" t="n">
        <v>2</v>
      </c>
      <c r="C273" s="5" t="n">
        <v>134843</v>
      </c>
      <c r="D273" s="5" t="n">
        <v>34162</v>
      </c>
      <c r="E273" s="5" t="n">
        <v>35469</v>
      </c>
      <c r="F273" s="5" t="n">
        <v>5512</v>
      </c>
      <c r="G273" s="5" t="n">
        <v>120</v>
      </c>
      <c r="H273" s="5" t="n">
        <v>7569</v>
      </c>
      <c r="I273" s="5" t="n">
        <v>217675</v>
      </c>
      <c r="J273" s="11" t="n">
        <f aca="false">IF(I273=0,0,C273/I273)</f>
        <v>0.619469392442862</v>
      </c>
      <c r="K273" s="11" t="n">
        <f aca="false">IF(I273=0,0,D273/I273)</f>
        <v>0.156940392787412</v>
      </c>
      <c r="L273" s="11" t="n">
        <f aca="false">IF(I273=0,0,E273/I273)</f>
        <v>0.162944757091995</v>
      </c>
      <c r="M273" s="11" t="n">
        <f aca="false">IF(I273=0,0,H273/I273)</f>
        <v>0.0347720225106236</v>
      </c>
      <c r="N273" s="4" t="str">
        <f aca="false">INDEX($C$3:$E$3,MATCH(MAX(C273:E273),C273:E273,0))</f>
        <v>PT-Morena-PES</v>
      </c>
      <c r="O273" s="17" t="n">
        <f aca="false">(MAX(J273:L273)-LARGE(J273:L273,2))*100</f>
        <v>45.6524635350867</v>
      </c>
    </row>
    <row r="274" customFormat="false" ht="15" hidden="false" customHeight="false" outlineLevel="0" collapsed="false">
      <c r="A274" s="4" t="s">
        <v>77</v>
      </c>
      <c r="B274" s="4" t="n">
        <v>3</v>
      </c>
      <c r="C274" s="5" t="n">
        <v>124042</v>
      </c>
      <c r="D274" s="5" t="n">
        <v>33380</v>
      </c>
      <c r="E274" s="5" t="n">
        <v>31787</v>
      </c>
      <c r="F274" s="5" t="n">
        <v>3906</v>
      </c>
      <c r="G274" s="5" t="n">
        <v>189</v>
      </c>
      <c r="H274" s="5" t="n">
        <v>8294</v>
      </c>
      <c r="I274" s="5" t="n">
        <v>201598</v>
      </c>
      <c r="J274" s="11" t="n">
        <f aca="false">IF(I274=0,0,C274/I274)</f>
        <v>0.615293802517882</v>
      </c>
      <c r="K274" s="11" t="n">
        <f aca="false">IF(I274=0,0,D274/I274)</f>
        <v>0.165577039454757</v>
      </c>
      <c r="L274" s="11" t="n">
        <f aca="false">IF(I274=0,0,E274/I274)</f>
        <v>0.157675175348962</v>
      </c>
      <c r="M274" s="11" t="n">
        <f aca="false">IF(I274=0,0,H274/I274)</f>
        <v>0.0411412811635036</v>
      </c>
      <c r="N274" s="4" t="str">
        <f aca="false">INDEX($C$3:$E$3,MATCH(MAX(C274:E274),C274:E274,0))</f>
        <v>PT-Morena-PES</v>
      </c>
      <c r="O274" s="17" t="n">
        <f aca="false">(MAX(J274:L274)-LARGE(J274:L274,2))*100</f>
        <v>44.9716763063126</v>
      </c>
    </row>
    <row r="275" customFormat="false" ht="15" hidden="false" customHeight="false" outlineLevel="0" collapsed="false">
      <c r="A275" s="4" t="s">
        <v>78</v>
      </c>
      <c r="B275" s="4" t="n">
        <v>1</v>
      </c>
      <c r="C275" s="5" t="n">
        <v>66832</v>
      </c>
      <c r="D275" s="5" t="n">
        <v>57803</v>
      </c>
      <c r="E275" s="5" t="n">
        <v>29912</v>
      </c>
      <c r="F275" s="5" t="n">
        <v>0</v>
      </c>
      <c r="G275" s="5" t="n">
        <v>22</v>
      </c>
      <c r="H275" s="5" t="n">
        <v>5252</v>
      </c>
      <c r="I275" s="5" t="n">
        <v>159821</v>
      </c>
      <c r="J275" s="11" t="n">
        <f aca="false">IF(I275=0,0,C275/I275)</f>
        <v>0.418167825254503</v>
      </c>
      <c r="K275" s="11" t="n">
        <f aca="false">IF(I275=0,0,D275/I275)</f>
        <v>0.36167337208502</v>
      </c>
      <c r="L275" s="11" t="n">
        <f aca="false">IF(I275=0,0,E275/I275)</f>
        <v>0.187159384561478</v>
      </c>
      <c r="M275" s="11" t="n">
        <f aca="false">IF(I275=0,0,H275/I275)</f>
        <v>0.0328617640985853</v>
      </c>
      <c r="N275" s="4" t="str">
        <f aca="false">INDEX($C$3:$E$3,MATCH(MAX(C275:E275),C275:E275,0))</f>
        <v>PT-Morena-PES</v>
      </c>
      <c r="O275" s="17" t="n">
        <f aca="false">(MAX(J275:L275)-LARGE(J275:L275,2))*100</f>
        <v>5.64944531694834</v>
      </c>
    </row>
    <row r="276" customFormat="false" ht="15" hidden="false" customHeight="false" outlineLevel="0" collapsed="false">
      <c r="A276" s="4" t="s">
        <v>78</v>
      </c>
      <c r="B276" s="4" t="n">
        <v>2</v>
      </c>
      <c r="C276" s="5" t="n">
        <v>59194</v>
      </c>
      <c r="D276" s="5" t="n">
        <v>74369</v>
      </c>
      <c r="E276" s="5" t="n">
        <v>39485</v>
      </c>
      <c r="F276" s="5" t="n">
        <v>0</v>
      </c>
      <c r="G276" s="5" t="n">
        <v>18</v>
      </c>
      <c r="H276" s="5" t="n">
        <v>6547</v>
      </c>
      <c r="I276" s="5" t="n">
        <v>179613</v>
      </c>
      <c r="J276" s="11" t="n">
        <f aca="false">IF(I276=0,0,C276/I276)</f>
        <v>0.329564118410137</v>
      </c>
      <c r="K276" s="11" t="n">
        <f aca="false">IF(I276=0,0,D276/I276)</f>
        <v>0.414051321452233</v>
      </c>
      <c r="L276" s="11" t="n">
        <f aca="false">IF(I276=0,0,E276/I276)</f>
        <v>0.219833753681526</v>
      </c>
      <c r="M276" s="11" t="n">
        <f aca="false">IF(I276=0,0,H276/I276)</f>
        <v>0.0364505909928569</v>
      </c>
      <c r="N276" s="4" t="str">
        <f aca="false">INDEX($C$3:$E$3,MATCH(MAX(C276:E276),C276:E276,0))</f>
        <v>PAN-PRD-MC</v>
      </c>
      <c r="O276" s="17" t="n">
        <f aca="false">(MAX(J276:L276)-LARGE(J276:L276,2))*100</f>
        <v>8.44872030420961</v>
      </c>
    </row>
    <row r="277" customFormat="false" ht="15" hidden="false" customHeight="false" outlineLevel="0" collapsed="false">
      <c r="A277" s="4" t="s">
        <v>78</v>
      </c>
      <c r="B277" s="4" t="n">
        <v>3</v>
      </c>
      <c r="C277" s="5" t="n">
        <v>76830</v>
      </c>
      <c r="D277" s="5" t="n">
        <v>54394</v>
      </c>
      <c r="E277" s="5" t="n">
        <v>29364</v>
      </c>
      <c r="F277" s="5" t="n">
        <v>0</v>
      </c>
      <c r="G277" s="5" t="n">
        <v>53</v>
      </c>
      <c r="H277" s="5" t="n">
        <v>4920</v>
      </c>
      <c r="I277" s="5" t="n">
        <v>165561</v>
      </c>
      <c r="J277" s="11" t="n">
        <f aca="false">IF(I277=0,0,C277/I277)</f>
        <v>0.464058564517006</v>
      </c>
      <c r="K277" s="11" t="n">
        <f aca="false">IF(I277=0,0,D277/I277)</f>
        <v>0.32854355796353</v>
      </c>
      <c r="L277" s="11" t="n">
        <f aca="false">IF(I277=0,0,E277/I277)</f>
        <v>0.177360610288655</v>
      </c>
      <c r="M277" s="11" t="n">
        <f aca="false">IF(I277=0,0,H277/I277)</f>
        <v>0.0297171435301792</v>
      </c>
      <c r="N277" s="4" t="str">
        <f aca="false">INDEX($C$3:$E$3,MATCH(MAX(C277:E277),C277:E277,0))</f>
        <v>PT-Morena-PES</v>
      </c>
      <c r="O277" s="17" t="n">
        <f aca="false">(MAX(J277:L277)-LARGE(J277:L277,2))*100</f>
        <v>13.5515006553476</v>
      </c>
    </row>
    <row r="278" customFormat="false" ht="15" hidden="false" customHeight="false" outlineLevel="0" collapsed="false">
      <c r="A278" s="4" t="s">
        <v>78</v>
      </c>
      <c r="B278" s="4" t="n">
        <v>4</v>
      </c>
      <c r="C278" s="5" t="n">
        <v>80760</v>
      </c>
      <c r="D278" s="5" t="n">
        <v>85030</v>
      </c>
      <c r="E278" s="5" t="n">
        <v>18177</v>
      </c>
      <c r="F278" s="5" t="n">
        <v>0</v>
      </c>
      <c r="G278" s="5" t="n">
        <v>78</v>
      </c>
      <c r="H278" s="5" t="n">
        <v>5310</v>
      </c>
      <c r="I278" s="5" t="n">
        <v>189355</v>
      </c>
      <c r="J278" s="11" t="n">
        <f aca="false">IF(I278=0,0,C278/I278)</f>
        <v>0.426500488500436</v>
      </c>
      <c r="K278" s="11" t="n">
        <f aca="false">IF(I278=0,0,D278/I278)</f>
        <v>0.449050724829025</v>
      </c>
      <c r="L278" s="11" t="n">
        <f aca="false">IF(I278=0,0,E278/I278)</f>
        <v>0.0959942964273455</v>
      </c>
      <c r="M278" s="11" t="n">
        <f aca="false">IF(I278=0,0,H278/I278)</f>
        <v>0.0280425655514774</v>
      </c>
      <c r="N278" s="4" t="str">
        <f aca="false">INDEX($C$3:$E$3,MATCH(MAX(C278:E278),C278:E278,0))</f>
        <v>PAN-PRD-MC</v>
      </c>
      <c r="O278" s="17" t="n">
        <f aca="false">(MAX(J278:L278)-LARGE(J278:L278,2))*100</f>
        <v>2.25502363285892</v>
      </c>
    </row>
    <row r="279" customFormat="false" ht="15" hidden="false" customHeight="false" outlineLevel="0" collapsed="false">
      <c r="A279" s="4" t="s">
        <v>78</v>
      </c>
      <c r="B279" s="4" t="n">
        <v>5</v>
      </c>
      <c r="C279" s="5" t="n">
        <v>91722</v>
      </c>
      <c r="D279" s="5" t="n">
        <v>48431</v>
      </c>
      <c r="E279" s="5" t="n">
        <v>20075</v>
      </c>
      <c r="F279" s="5" t="n">
        <v>0</v>
      </c>
      <c r="G279" s="5" t="n">
        <v>71</v>
      </c>
      <c r="H279" s="5" t="n">
        <v>5000</v>
      </c>
      <c r="I279" s="5" t="n">
        <v>165299</v>
      </c>
      <c r="J279" s="11" t="n">
        <f aca="false">IF(I279=0,0,C279/I279)</f>
        <v>0.554885389506289</v>
      </c>
      <c r="K279" s="11" t="n">
        <f aca="false">IF(I279=0,0,D279/I279)</f>
        <v>0.292990278223099</v>
      </c>
      <c r="L279" s="11" t="n">
        <f aca="false">IF(I279=0,0,E279/I279)</f>
        <v>0.121446590723477</v>
      </c>
      <c r="M279" s="11" t="n">
        <f aca="false">IF(I279=0,0,H279/I279)</f>
        <v>0.0302482168676157</v>
      </c>
      <c r="N279" s="4" t="str">
        <f aca="false">INDEX($C$3:$E$3,MATCH(MAX(C279:E279),C279:E279,0))</f>
        <v>PT-Morena-PES</v>
      </c>
      <c r="O279" s="17" t="n">
        <f aca="false">(MAX(J279:L279)-LARGE(J279:L279,2))*100</f>
        <v>26.189511128319</v>
      </c>
    </row>
    <row r="280" customFormat="false" ht="15" hidden="false" customHeight="false" outlineLevel="0" collapsed="false">
      <c r="A280" s="4" t="s">
        <v>78</v>
      </c>
      <c r="B280" s="4" t="n">
        <v>6</v>
      </c>
      <c r="C280" s="5" t="n">
        <v>78937</v>
      </c>
      <c r="D280" s="5" t="n">
        <v>69083</v>
      </c>
      <c r="E280" s="5" t="n">
        <v>34430</v>
      </c>
      <c r="F280" s="5" t="n">
        <v>0</v>
      </c>
      <c r="G280" s="5" t="n">
        <v>45</v>
      </c>
      <c r="H280" s="5" t="n">
        <v>5813</v>
      </c>
      <c r="I280" s="5" t="n">
        <v>188308</v>
      </c>
      <c r="J280" s="11" t="n">
        <f aca="false">IF(I280=0,0,C280/I280)</f>
        <v>0.419190900014869</v>
      </c>
      <c r="K280" s="11" t="n">
        <f aca="false">IF(I280=0,0,D280/I280)</f>
        <v>0.366861737154024</v>
      </c>
      <c r="L280" s="11" t="n">
        <f aca="false">IF(I280=0,0,E280/I280)</f>
        <v>0.182838753531449</v>
      </c>
      <c r="M280" s="11" t="n">
        <f aca="false">IF(I280=0,0,H280/I280)</f>
        <v>0.0308696391018969</v>
      </c>
      <c r="N280" s="4" t="str">
        <f aca="false">INDEX($C$3:$E$3,MATCH(MAX(C280:E280),C280:E280,0))</f>
        <v>PT-Morena-PES</v>
      </c>
      <c r="O280" s="17" t="n">
        <f aca="false">(MAX(J280:L280)-LARGE(J280:L280,2))*100</f>
        <v>5.2329162860845</v>
      </c>
    </row>
    <row r="281" customFormat="false" ht="15" hidden="false" customHeight="false" outlineLevel="0" collapsed="false">
      <c r="A281" s="4" t="s">
        <v>78</v>
      </c>
      <c r="B281" s="4" t="n">
        <v>7</v>
      </c>
      <c r="C281" s="5" t="n">
        <v>89451</v>
      </c>
      <c r="D281" s="5" t="n">
        <v>55456</v>
      </c>
      <c r="E281" s="5" t="n">
        <v>32327</v>
      </c>
      <c r="F281" s="5" t="n">
        <v>0</v>
      </c>
      <c r="G281" s="5" t="n">
        <v>40</v>
      </c>
      <c r="H281" s="5" t="n">
        <v>6683</v>
      </c>
      <c r="I281" s="5" t="n">
        <v>183957</v>
      </c>
      <c r="J281" s="11" t="n">
        <f aca="false">IF(I281=0,0,C281/I281)</f>
        <v>0.486260376066146</v>
      </c>
      <c r="K281" s="11" t="n">
        <f aca="false">IF(I281=0,0,D281/I281)</f>
        <v>0.301461754649184</v>
      </c>
      <c r="L281" s="11" t="n">
        <f aca="false">IF(I281=0,0,E281/I281)</f>
        <v>0.175731285028566</v>
      </c>
      <c r="M281" s="11" t="n">
        <f aca="false">IF(I281=0,0,H281/I281)</f>
        <v>0.0363291421364775</v>
      </c>
      <c r="N281" s="4" t="str">
        <f aca="false">INDEX($C$3:$E$3,MATCH(MAX(C281:E281),C281:E281,0))</f>
        <v>PT-Morena-PES</v>
      </c>
      <c r="O281" s="17" t="n">
        <f aca="false">(MAX(J281:L281)-LARGE(J281:L281,2))*100</f>
        <v>18.4798621416962</v>
      </c>
    </row>
    <row r="282" customFormat="false" ht="15" hidden="false" customHeight="false" outlineLevel="0" collapsed="false">
      <c r="A282" s="4" t="s">
        <v>78</v>
      </c>
      <c r="B282" s="4" t="n">
        <v>8</v>
      </c>
      <c r="C282" s="5" t="n">
        <v>91650</v>
      </c>
      <c r="D282" s="5" t="n">
        <v>78524</v>
      </c>
      <c r="E282" s="5" t="n">
        <v>34827</v>
      </c>
      <c r="F282" s="5" t="n">
        <v>0</v>
      </c>
      <c r="G282" s="5" t="n">
        <v>58</v>
      </c>
      <c r="H282" s="5" t="n">
        <v>7013</v>
      </c>
      <c r="I282" s="5" t="n">
        <v>212072</v>
      </c>
      <c r="J282" s="11" t="n">
        <f aca="false">IF(I282=0,0,C282/I282)</f>
        <v>0.432164547889396</v>
      </c>
      <c r="K282" s="11" t="n">
        <f aca="false">IF(I282=0,0,D282/I282)</f>
        <v>0.370270474178581</v>
      </c>
      <c r="L282" s="11" t="n">
        <f aca="false">IF(I282=0,0,E282/I282)</f>
        <v>0.164222528197971</v>
      </c>
      <c r="M282" s="11" t="n">
        <f aca="false">IF(I282=0,0,H282/I282)</f>
        <v>0.033068957712475</v>
      </c>
      <c r="N282" s="4" t="str">
        <f aca="false">INDEX($C$3:$E$3,MATCH(MAX(C282:E282),C282:E282,0))</f>
        <v>PT-Morena-PES</v>
      </c>
      <c r="O282" s="17" t="n">
        <f aca="false">(MAX(J282:L282)-LARGE(J282:L282,2))*100</f>
        <v>6.18940737108152</v>
      </c>
    </row>
    <row r="283" customFormat="false" ht="15" hidden="false" customHeight="false" outlineLevel="0" collapsed="false">
      <c r="A283" s="4" t="s">
        <v>78</v>
      </c>
      <c r="B283" s="4" t="n">
        <v>9</v>
      </c>
      <c r="C283" s="5" t="n">
        <v>77216</v>
      </c>
      <c r="D283" s="5" t="n">
        <v>65861</v>
      </c>
      <c r="E283" s="5" t="n">
        <v>34278</v>
      </c>
      <c r="F283" s="5" t="n">
        <v>0</v>
      </c>
      <c r="G283" s="5" t="n">
        <v>40</v>
      </c>
      <c r="H283" s="5" t="n">
        <v>6869</v>
      </c>
      <c r="I283" s="5" t="n">
        <v>184264</v>
      </c>
      <c r="J283" s="11" t="n">
        <f aca="false">IF(I283=0,0,C283/I283)</f>
        <v>0.419050926930925</v>
      </c>
      <c r="K283" s="11" t="n">
        <f aca="false">IF(I283=0,0,D283/I283)</f>
        <v>0.357427386792862</v>
      </c>
      <c r="L283" s="11" t="n">
        <f aca="false">IF(I283=0,0,E283/I283)</f>
        <v>0.186026570572657</v>
      </c>
      <c r="M283" s="11" t="n">
        <f aca="false">IF(I283=0,0,H283/I283)</f>
        <v>0.0372780358615899</v>
      </c>
      <c r="N283" s="4" t="str">
        <f aca="false">INDEX($C$3:$E$3,MATCH(MAX(C283:E283),C283:E283,0))</f>
        <v>PT-Morena-PES</v>
      </c>
      <c r="O283" s="17" t="n">
        <f aca="false">(MAX(J283:L283)-LARGE(J283:L283,2))*100</f>
        <v>6.16235401380628</v>
      </c>
    </row>
    <row r="284" customFormat="false" ht="15" hidden="false" customHeight="false" outlineLevel="0" collapsed="false">
      <c r="A284" s="4" t="s">
        <v>78</v>
      </c>
      <c r="B284" s="4" t="n">
        <v>10</v>
      </c>
      <c r="C284" s="5" t="n">
        <v>127839</v>
      </c>
      <c r="D284" s="5" t="n">
        <v>57096</v>
      </c>
      <c r="E284" s="5" t="n">
        <v>28612</v>
      </c>
      <c r="F284" s="5" t="n">
        <v>0</v>
      </c>
      <c r="G284" s="5" t="n">
        <v>119</v>
      </c>
      <c r="H284" s="5" t="n">
        <v>6376</v>
      </c>
      <c r="I284" s="5" t="n">
        <v>220042</v>
      </c>
      <c r="J284" s="11" t="n">
        <f aca="false">IF(I284=0,0,C284/I284)</f>
        <v>0.580975450141337</v>
      </c>
      <c r="K284" s="11" t="n">
        <f aca="false">IF(I284=0,0,D284/I284)</f>
        <v>0.259477736068569</v>
      </c>
      <c r="L284" s="11" t="n">
        <f aca="false">IF(I284=0,0,E284/I284)</f>
        <v>0.130029721598604</v>
      </c>
      <c r="M284" s="11" t="n">
        <f aca="false">IF(I284=0,0,H284/I284)</f>
        <v>0.0289762863453341</v>
      </c>
      <c r="N284" s="4" t="str">
        <f aca="false">INDEX($C$3:$E$3,MATCH(MAX(C284:E284),C284:E284,0))</f>
        <v>PT-Morena-PES</v>
      </c>
      <c r="O284" s="17" t="n">
        <f aca="false">(MAX(J284:L284)-LARGE(J284:L284,2))*100</f>
        <v>32.1497714072768</v>
      </c>
    </row>
    <row r="285" customFormat="false" ht="15" hidden="false" customHeight="false" outlineLevel="0" collapsed="false">
      <c r="A285" s="4" t="s">
        <v>78</v>
      </c>
      <c r="B285" s="4" t="n">
        <v>11</v>
      </c>
      <c r="C285" s="5" t="n">
        <v>141497</v>
      </c>
      <c r="D285" s="5" t="n">
        <v>32913</v>
      </c>
      <c r="E285" s="5" t="n">
        <v>20171</v>
      </c>
      <c r="F285" s="5" t="n">
        <v>0</v>
      </c>
      <c r="G285" s="5" t="n">
        <v>69</v>
      </c>
      <c r="H285" s="5" t="n">
        <v>4636</v>
      </c>
      <c r="I285" s="5" t="n">
        <v>199286</v>
      </c>
      <c r="J285" s="11" t="n">
        <f aca="false">IF(I285=0,0,C285/I285)</f>
        <v>0.710019770580974</v>
      </c>
      <c r="K285" s="11" t="n">
        <f aca="false">IF(I285=0,0,D285/I285)</f>
        <v>0.165154601928886</v>
      </c>
      <c r="L285" s="11" t="n">
        <f aca="false">IF(I285=0,0,E285/I285)</f>
        <v>0.101216342342162</v>
      </c>
      <c r="M285" s="11" t="n">
        <f aca="false">IF(I285=0,0,H285/I285)</f>
        <v>0.0232630490852343</v>
      </c>
      <c r="N285" s="4" t="str">
        <f aca="false">INDEX($C$3:$E$3,MATCH(MAX(C285:E285),C285:E285,0))</f>
        <v>PT-Morena-PES</v>
      </c>
      <c r="O285" s="17" t="n">
        <f aca="false">(MAX(J285:L285)-LARGE(J285:L285,2))*100</f>
        <v>54.4865168652088</v>
      </c>
    </row>
    <row r="286" customFormat="false" ht="15" hidden="false" customHeight="false" outlineLevel="0" collapsed="false">
      <c r="A286" s="4" t="s">
        <v>78</v>
      </c>
      <c r="B286" s="4" t="n">
        <v>12</v>
      </c>
      <c r="C286" s="5" t="n">
        <v>81536</v>
      </c>
      <c r="D286" s="5" t="n">
        <v>108909</v>
      </c>
      <c r="E286" s="5" t="n">
        <v>24869</v>
      </c>
      <c r="F286" s="5" t="n">
        <v>0</v>
      </c>
      <c r="G286" s="5" t="n">
        <v>95</v>
      </c>
      <c r="H286" s="5" t="n">
        <v>6007</v>
      </c>
      <c r="I286" s="5" t="n">
        <v>221416</v>
      </c>
      <c r="J286" s="11" t="n">
        <f aca="false">IF(I286=0,0,C286/I286)</f>
        <v>0.368248003757633</v>
      </c>
      <c r="K286" s="11" t="n">
        <f aca="false">IF(I286=0,0,D286/I286)</f>
        <v>0.491875022581927</v>
      </c>
      <c r="L286" s="11" t="n">
        <f aca="false">IF(I286=0,0,E286/I286)</f>
        <v>0.11231798966651</v>
      </c>
      <c r="M286" s="11" t="n">
        <f aca="false">IF(I286=0,0,H286/I286)</f>
        <v>0.027129927376522</v>
      </c>
      <c r="N286" s="4" t="str">
        <f aca="false">INDEX($C$3:$E$3,MATCH(MAX(C286:E286),C286:E286,0))</f>
        <v>PAN-PRD-MC</v>
      </c>
      <c r="O286" s="17" t="n">
        <f aca="false">(MAX(J286:L286)-LARGE(J286:L286,2))*100</f>
        <v>12.3627018824295</v>
      </c>
    </row>
    <row r="287" customFormat="false" ht="15" hidden="false" customHeight="false" outlineLevel="0" collapsed="false">
      <c r="A287" s="4" t="s">
        <v>78</v>
      </c>
      <c r="B287" s="4" t="n">
        <v>13</v>
      </c>
      <c r="C287" s="5" t="n">
        <v>85778</v>
      </c>
      <c r="D287" s="5" t="n">
        <v>74263</v>
      </c>
      <c r="E287" s="5" t="n">
        <v>33210</v>
      </c>
      <c r="F287" s="5" t="n">
        <v>0</v>
      </c>
      <c r="G287" s="5" t="n">
        <v>49</v>
      </c>
      <c r="H287" s="5" t="n">
        <v>7253</v>
      </c>
      <c r="I287" s="5" t="n">
        <v>200553</v>
      </c>
      <c r="J287" s="11" t="n">
        <f aca="false">IF(I287=0,0,C287/I287)</f>
        <v>0.427707389069224</v>
      </c>
      <c r="K287" s="11" t="n">
        <f aca="false">IF(I287=0,0,D287/I287)</f>
        <v>0.370291144984119</v>
      </c>
      <c r="L287" s="11" t="n">
        <f aca="false">IF(I287=0,0,E287/I287)</f>
        <v>0.165592137739151</v>
      </c>
      <c r="M287" s="11" t="n">
        <f aca="false">IF(I287=0,0,H287/I287)</f>
        <v>0.0361650037645909</v>
      </c>
      <c r="N287" s="4" t="str">
        <f aca="false">INDEX($C$3:$E$3,MATCH(MAX(C287:E287),C287:E287,0))</f>
        <v>PT-Morena-PES</v>
      </c>
      <c r="O287" s="17" t="n">
        <f aca="false">(MAX(J287:L287)-LARGE(J287:L287,2))*100</f>
        <v>5.74162440851047</v>
      </c>
    </row>
    <row r="288" customFormat="false" ht="15" hidden="false" customHeight="false" outlineLevel="0" collapsed="false">
      <c r="A288" s="4" t="s">
        <v>78</v>
      </c>
      <c r="B288" s="4" t="n">
        <v>14</v>
      </c>
      <c r="C288" s="5" t="n">
        <v>104319</v>
      </c>
      <c r="D288" s="5" t="n">
        <v>45303</v>
      </c>
      <c r="E288" s="5" t="n">
        <v>22970</v>
      </c>
      <c r="F288" s="5" t="n">
        <v>0</v>
      </c>
      <c r="G288" s="5" t="n">
        <v>31</v>
      </c>
      <c r="H288" s="5" t="n">
        <v>5524</v>
      </c>
      <c r="I288" s="5" t="n">
        <v>178147</v>
      </c>
      <c r="J288" s="11" t="n">
        <f aca="false">IF(I288=0,0,C288/I288)</f>
        <v>0.585578202271158</v>
      </c>
      <c r="K288" s="11" t="n">
        <f aca="false">IF(I288=0,0,D288/I288)</f>
        <v>0.254301223147176</v>
      </c>
      <c r="L288" s="11" t="n">
        <f aca="false">IF(I288=0,0,E288/I288)</f>
        <v>0.128938460933948</v>
      </c>
      <c r="M288" s="11" t="n">
        <f aca="false">IF(I288=0,0,H288/I288)</f>
        <v>0.0310081000522041</v>
      </c>
      <c r="N288" s="4" t="str">
        <f aca="false">INDEX($C$3:$E$3,MATCH(MAX(C288:E288),C288:E288,0))</f>
        <v>PT-Morena-PES</v>
      </c>
      <c r="O288" s="17" t="n">
        <f aca="false">(MAX(J288:L288)-LARGE(J288:L288,2))*100</f>
        <v>33.1276979123982</v>
      </c>
    </row>
    <row r="289" customFormat="false" ht="15" hidden="false" customHeight="false" outlineLevel="0" collapsed="false">
      <c r="A289" s="4" t="s">
        <v>78</v>
      </c>
      <c r="B289" s="4" t="n">
        <v>15</v>
      </c>
      <c r="C289" s="5" t="n">
        <v>100921</v>
      </c>
      <c r="D289" s="5" t="n">
        <v>60038</v>
      </c>
      <c r="E289" s="5" t="n">
        <v>29700</v>
      </c>
      <c r="F289" s="5" t="n">
        <v>0</v>
      </c>
      <c r="G289" s="5" t="n">
        <v>84</v>
      </c>
      <c r="H289" s="5" t="n">
        <v>7826</v>
      </c>
      <c r="I289" s="5" t="n">
        <v>198569</v>
      </c>
      <c r="J289" s="11" t="n">
        <f aca="false">IF(I289=0,0,C289/I289)</f>
        <v>0.508241467701404</v>
      </c>
      <c r="K289" s="11" t="n">
        <f aca="false">IF(I289=0,0,D289/I289)</f>
        <v>0.302353338134351</v>
      </c>
      <c r="L289" s="11" t="n">
        <f aca="false">IF(I289=0,0,E289/I289)</f>
        <v>0.149570174599258</v>
      </c>
      <c r="M289" s="11" t="n">
        <f aca="false">IF(I289=0,0,H289/I289)</f>
        <v>0.0394119928085451</v>
      </c>
      <c r="N289" s="4" t="str">
        <f aca="false">INDEX($C$3:$E$3,MATCH(MAX(C289:E289),C289:E289,0))</f>
        <v>PT-Morena-PES</v>
      </c>
      <c r="O289" s="17" t="n">
        <f aca="false">(MAX(J289:L289)-LARGE(J289:L289,2))*100</f>
        <v>20.5888129567052</v>
      </c>
    </row>
    <row r="290" customFormat="false" ht="15" hidden="false" customHeight="false" outlineLevel="0" collapsed="false">
      <c r="A290" s="4" t="s">
        <v>78</v>
      </c>
      <c r="B290" s="4" t="n">
        <v>16</v>
      </c>
      <c r="C290" s="5" t="n">
        <v>111256</v>
      </c>
      <c r="D290" s="5" t="n">
        <v>56571</v>
      </c>
      <c r="E290" s="5" t="n">
        <v>31990</v>
      </c>
      <c r="F290" s="5" t="n">
        <v>0</v>
      </c>
      <c r="G290" s="5" t="n">
        <v>80</v>
      </c>
      <c r="H290" s="5" t="n">
        <v>6984</v>
      </c>
      <c r="I290" s="5" t="n">
        <v>206881</v>
      </c>
      <c r="J290" s="11" t="n">
        <f aca="false">IF(I290=0,0,C290/I290)</f>
        <v>0.537777756294682</v>
      </c>
      <c r="K290" s="11" t="n">
        <f aca="false">IF(I290=0,0,D290/I290)</f>
        <v>0.273447054103567</v>
      </c>
      <c r="L290" s="11" t="n">
        <f aca="false">IF(I290=0,0,E290/I290)</f>
        <v>0.154629956351719</v>
      </c>
      <c r="M290" s="11" t="n">
        <f aca="false">IF(I290=0,0,H290/I290)</f>
        <v>0.0337585375167367</v>
      </c>
      <c r="N290" s="4" t="str">
        <f aca="false">INDEX($C$3:$E$3,MATCH(MAX(C290:E290),C290:E290,0))</f>
        <v>PT-Morena-PES</v>
      </c>
      <c r="O290" s="17" t="n">
        <f aca="false">(MAX(J290:L290)-LARGE(J290:L290,2))*100</f>
        <v>26.4330702191115</v>
      </c>
    </row>
    <row r="291" customFormat="false" ht="15" hidden="false" customHeight="false" outlineLevel="0" collapsed="false">
      <c r="A291" s="4" t="s">
        <v>78</v>
      </c>
      <c r="B291" s="4" t="n">
        <v>17</v>
      </c>
      <c r="C291" s="5" t="n">
        <v>85735</v>
      </c>
      <c r="D291" s="5" t="n">
        <v>63681</v>
      </c>
      <c r="E291" s="5" t="n">
        <v>25122</v>
      </c>
      <c r="F291" s="5" t="n">
        <v>0</v>
      </c>
      <c r="G291" s="5" t="n">
        <v>54</v>
      </c>
      <c r="H291" s="5" t="n">
        <v>6775</v>
      </c>
      <c r="I291" s="5" t="n">
        <v>181367</v>
      </c>
      <c r="J291" s="11" t="n">
        <f aca="false">IF(I291=0,0,C291/I291)</f>
        <v>0.472715543621497</v>
      </c>
      <c r="K291" s="11" t="n">
        <f aca="false">IF(I291=0,0,D291/I291)</f>
        <v>0.351116796330093</v>
      </c>
      <c r="L291" s="11" t="n">
        <f aca="false">IF(I291=0,0,E291/I291)</f>
        <v>0.138514724288321</v>
      </c>
      <c r="M291" s="11" t="n">
        <f aca="false">IF(I291=0,0,H291/I291)</f>
        <v>0.0373551969211599</v>
      </c>
      <c r="N291" s="4" t="str">
        <f aca="false">INDEX($C$3:$E$3,MATCH(MAX(C291:E291),C291:E291,0))</f>
        <v>PT-Morena-PES</v>
      </c>
      <c r="O291" s="17" t="n">
        <f aca="false">(MAX(J291:L291)-LARGE(J291:L291,2))*100</f>
        <v>12.1598747291404</v>
      </c>
    </row>
    <row r="292" customFormat="false" ht="15" hidden="false" customHeight="false" outlineLevel="0" collapsed="false">
      <c r="A292" s="4" t="s">
        <v>78</v>
      </c>
      <c r="B292" s="4" t="n">
        <v>18</v>
      </c>
      <c r="C292" s="5" t="n">
        <v>88431</v>
      </c>
      <c r="D292" s="5" t="n">
        <v>64152</v>
      </c>
      <c r="E292" s="5" t="n">
        <v>35185</v>
      </c>
      <c r="F292" s="5" t="n">
        <v>0</v>
      </c>
      <c r="G292" s="5" t="n">
        <v>43</v>
      </c>
      <c r="H292" s="5" t="n">
        <v>9515</v>
      </c>
      <c r="I292" s="5" t="n">
        <v>197326</v>
      </c>
      <c r="J292" s="11" t="n">
        <f aca="false">IF(I292=0,0,C292/I292)</f>
        <v>0.448146721668711</v>
      </c>
      <c r="K292" s="11" t="n">
        <f aca="false">IF(I292=0,0,D292/I292)</f>
        <v>0.325106676261618</v>
      </c>
      <c r="L292" s="11" t="n">
        <f aca="false">IF(I292=0,0,E292/I292)</f>
        <v>0.178308991212511</v>
      </c>
      <c r="M292" s="11" t="n">
        <f aca="false">IF(I292=0,0,H292/I292)</f>
        <v>0.0482196973536179</v>
      </c>
      <c r="N292" s="4" t="str">
        <f aca="false">INDEX($C$3:$E$3,MATCH(MAX(C292:E292),C292:E292,0))</f>
        <v>PT-Morena-PES</v>
      </c>
      <c r="O292" s="17" t="n">
        <f aca="false">(MAX(J292:L292)-LARGE(J292:L292,2))*100</f>
        <v>12.3040045407093</v>
      </c>
    </row>
    <row r="293" customFormat="false" ht="15" hidden="false" customHeight="false" outlineLevel="0" collapsed="false">
      <c r="A293" s="4" t="s">
        <v>78</v>
      </c>
      <c r="B293" s="4" t="n">
        <v>19</v>
      </c>
      <c r="C293" s="5" t="n">
        <v>82610</v>
      </c>
      <c r="D293" s="5" t="n">
        <v>72327</v>
      </c>
      <c r="E293" s="5" t="n">
        <v>25620</v>
      </c>
      <c r="F293" s="5" t="n">
        <v>0</v>
      </c>
      <c r="G293" s="5" t="n">
        <v>35</v>
      </c>
      <c r="H293" s="5" t="n">
        <v>8180</v>
      </c>
      <c r="I293" s="5" t="n">
        <v>188772</v>
      </c>
      <c r="J293" s="11" t="n">
        <f aca="false">IF(I293=0,0,C293/I293)</f>
        <v>0.437617867056555</v>
      </c>
      <c r="K293" s="11" t="n">
        <f aca="false">IF(I293=0,0,D293/I293)</f>
        <v>0.383144746042845</v>
      </c>
      <c r="L293" s="11" t="n">
        <f aca="false">IF(I293=0,0,E293/I293)</f>
        <v>0.135719280401755</v>
      </c>
      <c r="M293" s="11" t="n">
        <f aca="false">IF(I293=0,0,H293/I293)</f>
        <v>0.0433326976458373</v>
      </c>
      <c r="N293" s="4" t="str">
        <f aca="false">INDEX($C$3:$E$3,MATCH(MAX(C293:E293),C293:E293,0))</f>
        <v>PT-Morena-PES</v>
      </c>
      <c r="O293" s="17" t="n">
        <f aca="false">(MAX(J293:L293)-LARGE(J293:L293,2))*100</f>
        <v>5.44731210137097</v>
      </c>
    </row>
    <row r="294" customFormat="false" ht="15" hidden="false" customHeight="false" outlineLevel="0" collapsed="false">
      <c r="A294" s="4" t="s">
        <v>78</v>
      </c>
      <c r="B294" s="4" t="n">
        <v>20</v>
      </c>
      <c r="C294" s="5" t="n">
        <v>115441</v>
      </c>
      <c r="D294" s="5" t="n">
        <v>43691</v>
      </c>
      <c r="E294" s="5" t="n">
        <v>29472</v>
      </c>
      <c r="F294" s="5" t="n">
        <v>0</v>
      </c>
      <c r="G294" s="5" t="n">
        <v>25</v>
      </c>
      <c r="H294" s="5" t="n">
        <v>5680</v>
      </c>
      <c r="I294" s="5" t="n">
        <v>194309</v>
      </c>
      <c r="J294" s="11" t="n">
        <f aca="false">IF(I294=0,0,C294/I294)</f>
        <v>0.594110411766825</v>
      </c>
      <c r="K294" s="11" t="n">
        <f aca="false">IF(I294=0,0,D294/I294)</f>
        <v>0.224853197741741</v>
      </c>
      <c r="L294" s="11" t="n">
        <f aca="false">IF(I294=0,0,E294/I294)</f>
        <v>0.151675938839683</v>
      </c>
      <c r="M294" s="11" t="n">
        <f aca="false">IF(I294=0,0,H294/I294)</f>
        <v>0.0292317906015676</v>
      </c>
      <c r="N294" s="4" t="str">
        <f aca="false">INDEX($C$3:$E$3,MATCH(MAX(C294:E294),C294:E294,0))</f>
        <v>PT-Morena-PES</v>
      </c>
      <c r="O294" s="17" t="n">
        <f aca="false">(MAX(J294:L294)-LARGE(J294:L294,2))*100</f>
        <v>36.9257214025084</v>
      </c>
    </row>
    <row r="295" customFormat="false" ht="15" hidden="false" customHeight="false" outlineLevel="0" collapsed="false">
      <c r="A295" s="4" t="s">
        <v>79</v>
      </c>
      <c r="B295" s="4" t="n">
        <v>1</v>
      </c>
      <c r="C295" s="5" t="n">
        <v>57711</v>
      </c>
      <c r="D295" s="5" t="n">
        <v>66318</v>
      </c>
      <c r="E295" s="5" t="n">
        <v>94824</v>
      </c>
      <c r="F295" s="5" t="n">
        <v>0</v>
      </c>
      <c r="G295" s="5" t="n">
        <v>31</v>
      </c>
      <c r="H295" s="5" t="n">
        <v>5649</v>
      </c>
      <c r="I295" s="5" t="n">
        <v>224533</v>
      </c>
      <c r="J295" s="11" t="n">
        <f aca="false">IF(I295=0,0,C295/I295)</f>
        <v>0.25702680675001</v>
      </c>
      <c r="K295" s="11" t="n">
        <f aca="false">IF(I295=0,0,D295/I295)</f>
        <v>0.295359702137325</v>
      </c>
      <c r="L295" s="11" t="n">
        <f aca="false">IF(I295=0,0,E295/I295)</f>
        <v>0.422316541443797</v>
      </c>
      <c r="M295" s="11" t="n">
        <f aca="false">IF(I295=0,0,H295/I295)</f>
        <v>0.0251588853308868</v>
      </c>
      <c r="N295" s="4" t="str">
        <f aca="false">INDEX($C$3:$E$3,MATCH(MAX(C295:E295),C295:E295,0))</f>
        <v>PRI-PVEM-NA</v>
      </c>
      <c r="O295" s="17" t="n">
        <f aca="false">(MAX(J295:L295)-LARGE(J295:L295,2))*100</f>
        <v>12.6956839306472</v>
      </c>
    </row>
    <row r="296" customFormat="false" ht="15" hidden="false" customHeight="false" outlineLevel="0" collapsed="false">
      <c r="A296" s="4" t="s">
        <v>79</v>
      </c>
      <c r="B296" s="4" t="n">
        <v>2</v>
      </c>
      <c r="C296" s="5" t="n">
        <v>52054</v>
      </c>
      <c r="D296" s="5" t="n">
        <v>70550</v>
      </c>
      <c r="E296" s="5" t="n">
        <v>90651</v>
      </c>
      <c r="F296" s="5" t="n">
        <v>0</v>
      </c>
      <c r="G296" s="5" t="n">
        <v>33</v>
      </c>
      <c r="H296" s="5" t="n">
        <v>7584</v>
      </c>
      <c r="I296" s="5" t="n">
        <v>220872</v>
      </c>
      <c r="J296" s="11" t="n">
        <f aca="false">IF(I296=0,0,C296/I296)</f>
        <v>0.235674961063421</v>
      </c>
      <c r="K296" s="11" t="n">
        <f aca="false">IF(I296=0,0,D296/I296)</f>
        <v>0.319415770219856</v>
      </c>
      <c r="L296" s="11" t="n">
        <f aca="false">IF(I296=0,0,E296/I296)</f>
        <v>0.410423231554928</v>
      </c>
      <c r="M296" s="11" t="n">
        <f aca="false">IF(I296=0,0,H296/I296)</f>
        <v>0.0343366293599913</v>
      </c>
      <c r="N296" s="4" t="str">
        <f aca="false">INDEX($C$3:$E$3,MATCH(MAX(C296:E296),C296:E296,0))</f>
        <v>PRI-PVEM-NA</v>
      </c>
      <c r="O296" s="17" t="n">
        <f aca="false">(MAX(J296:L296)-LARGE(J296:L296,2))*100</f>
        <v>9.10074613350719</v>
      </c>
    </row>
    <row r="297" customFormat="false" ht="15" hidden="false" customHeight="false" outlineLevel="0" collapsed="false">
      <c r="A297" s="4" t="s">
        <v>79</v>
      </c>
      <c r="B297" s="4" t="n">
        <v>3</v>
      </c>
      <c r="C297" s="5" t="n">
        <v>79921</v>
      </c>
      <c r="D297" s="5" t="n">
        <v>73146</v>
      </c>
      <c r="E297" s="5" t="n">
        <v>70743</v>
      </c>
      <c r="F297" s="5" t="n">
        <v>0</v>
      </c>
      <c r="G297" s="5" t="n">
        <v>96</v>
      </c>
      <c r="H297" s="5" t="n">
        <v>6620</v>
      </c>
      <c r="I297" s="5" t="n">
        <v>230526</v>
      </c>
      <c r="J297" s="11" t="n">
        <f aca="false">IF(I297=0,0,C297/I297)</f>
        <v>0.346689744323851</v>
      </c>
      <c r="K297" s="11" t="n">
        <f aca="false">IF(I297=0,0,D297/I297)</f>
        <v>0.31730043465813</v>
      </c>
      <c r="L297" s="11" t="n">
        <f aca="false">IF(I297=0,0,E297/I297)</f>
        <v>0.306876447775956</v>
      </c>
      <c r="M297" s="11" t="n">
        <f aca="false">IF(I297=0,0,H297/I297)</f>
        <v>0.0287169343154351</v>
      </c>
      <c r="N297" s="4" t="str">
        <f aca="false">INDEX($C$3:$E$3,MATCH(MAX(C297:E297),C297:E297,0))</f>
        <v>PT-Morena-PES</v>
      </c>
      <c r="O297" s="17" t="n">
        <f aca="false">(MAX(J297:L297)-LARGE(J297:L297,2))*100</f>
        <v>2.9389309665721</v>
      </c>
    </row>
    <row r="298" customFormat="false" ht="15" hidden="false" customHeight="false" outlineLevel="0" collapsed="false">
      <c r="A298" s="4" t="s">
        <v>79</v>
      </c>
      <c r="B298" s="4" t="n">
        <v>4</v>
      </c>
      <c r="C298" s="5" t="n">
        <v>72808</v>
      </c>
      <c r="D298" s="5" t="n">
        <v>96405</v>
      </c>
      <c r="E298" s="5" t="n">
        <v>74828</v>
      </c>
      <c r="F298" s="5" t="n">
        <v>0</v>
      </c>
      <c r="G298" s="5" t="n">
        <v>102</v>
      </c>
      <c r="H298" s="5" t="n">
        <v>6719</v>
      </c>
      <c r="I298" s="5" t="n">
        <v>250862</v>
      </c>
      <c r="J298" s="11" t="n">
        <f aca="false">IF(I298=0,0,C298/I298)</f>
        <v>0.29023128253781</v>
      </c>
      <c r="K298" s="11" t="n">
        <f aca="false">IF(I298=0,0,D298/I298)</f>
        <v>0.384294951008921</v>
      </c>
      <c r="L298" s="11" t="n">
        <f aca="false">IF(I298=0,0,E298/I298)</f>
        <v>0.298283518428459</v>
      </c>
      <c r="M298" s="11" t="n">
        <f aca="false">IF(I298=0,0,H298/I298)</f>
        <v>0.0267836499748866</v>
      </c>
      <c r="N298" s="4" t="str">
        <f aca="false">INDEX($C$3:$E$3,MATCH(MAX(C298:E298),C298:E298,0))</f>
        <v>PAN-PRD-MC</v>
      </c>
      <c r="O298" s="17" t="n">
        <f aca="false">(MAX(J298:L298)-LARGE(J298:L298,2))*100</f>
        <v>8.60114325804626</v>
      </c>
    </row>
    <row r="299" customFormat="false" ht="15" hidden="false" customHeight="false" outlineLevel="0" collapsed="false">
      <c r="A299" s="4" t="s">
        <v>79</v>
      </c>
      <c r="B299" s="4" t="n">
        <v>5</v>
      </c>
      <c r="C299" s="5" t="n">
        <v>49474</v>
      </c>
      <c r="D299" s="5" t="n">
        <v>80037</v>
      </c>
      <c r="E299" s="5" t="n">
        <v>98506</v>
      </c>
      <c r="F299" s="5" t="n">
        <v>0</v>
      </c>
      <c r="G299" s="5" t="n">
        <v>25</v>
      </c>
      <c r="H299" s="5" t="n">
        <v>6456</v>
      </c>
      <c r="I299" s="5" t="n">
        <v>234498</v>
      </c>
      <c r="J299" s="11" t="n">
        <f aca="false">IF(I299=0,0,C299/I299)</f>
        <v>0.210978345231089</v>
      </c>
      <c r="K299" s="11" t="n">
        <f aca="false">IF(I299=0,0,D299/I299)</f>
        <v>0.34131207942072</v>
      </c>
      <c r="L299" s="11" t="n">
        <f aca="false">IF(I299=0,0,E299/I299)</f>
        <v>0.420071812979215</v>
      </c>
      <c r="M299" s="11" t="n">
        <f aca="false">IF(I299=0,0,H299/I299)</f>
        <v>0.0275311516516132</v>
      </c>
      <c r="N299" s="4" t="str">
        <f aca="false">INDEX($C$3:$E$3,MATCH(MAX(C299:E299),C299:E299,0))</f>
        <v>PRI-PVEM-NA</v>
      </c>
      <c r="O299" s="17" t="n">
        <f aca="false">(MAX(J299:L299)-LARGE(J299:L299,2))*100</f>
        <v>7.87597335584952</v>
      </c>
    </row>
    <row r="300" customFormat="false" ht="15" hidden="false" customHeight="false" outlineLevel="0" collapsed="false">
      <c r="A300" s="4" t="s">
        <v>80</v>
      </c>
      <c r="B300" s="4" t="n">
        <v>1</v>
      </c>
      <c r="C300" s="5" t="n">
        <v>83277</v>
      </c>
      <c r="D300" s="5" t="n">
        <v>36449</v>
      </c>
      <c r="E300" s="5" t="n">
        <v>50172</v>
      </c>
      <c r="F300" s="5" t="n">
        <v>0</v>
      </c>
      <c r="G300" s="5" t="n">
        <v>57</v>
      </c>
      <c r="H300" s="5" t="n">
        <v>6717</v>
      </c>
      <c r="I300" s="5" t="n">
        <v>176672</v>
      </c>
      <c r="J300" s="11" t="n">
        <f aca="false">IF(I300=0,0,C300/I300)</f>
        <v>0.471365015395762</v>
      </c>
      <c r="K300" s="11" t="n">
        <f aca="false">IF(I300=0,0,D300/I300)</f>
        <v>0.206308866147437</v>
      </c>
      <c r="L300" s="11" t="n">
        <f aca="false">IF(I300=0,0,E300/I300)</f>
        <v>0.283983879731933</v>
      </c>
      <c r="M300" s="11" t="n">
        <f aca="false">IF(I300=0,0,H300/I300)</f>
        <v>0.0380196069552617</v>
      </c>
      <c r="N300" s="4" t="str">
        <f aca="false">INDEX($C$3:$E$3,MATCH(MAX(C300:E300),C300:E300,0))</f>
        <v>PT-Morena-PES</v>
      </c>
      <c r="O300" s="17" t="n">
        <f aca="false">(MAX(J300:L300)-LARGE(J300:L300,2))*100</f>
        <v>18.7381135663829</v>
      </c>
    </row>
    <row r="301" customFormat="false" ht="15" hidden="false" customHeight="false" outlineLevel="0" collapsed="false">
      <c r="A301" s="4" t="s">
        <v>80</v>
      </c>
      <c r="B301" s="4" t="n">
        <v>2</v>
      </c>
      <c r="C301" s="5" t="n">
        <v>60681</v>
      </c>
      <c r="D301" s="5" t="n">
        <v>56945</v>
      </c>
      <c r="E301" s="5" t="n">
        <v>69328</v>
      </c>
      <c r="F301" s="5" t="n">
        <v>0</v>
      </c>
      <c r="G301" s="5" t="n">
        <v>54</v>
      </c>
      <c r="H301" s="5" t="n">
        <v>9361</v>
      </c>
      <c r="I301" s="5" t="n">
        <v>196369</v>
      </c>
      <c r="J301" s="11" t="n">
        <f aca="false">IF(I301=0,0,C301/I301)</f>
        <v>0.309015170418956</v>
      </c>
      <c r="K301" s="11" t="n">
        <f aca="false">IF(I301=0,0,D301/I301)</f>
        <v>0.289989764168479</v>
      </c>
      <c r="L301" s="11" t="n">
        <f aca="false">IF(I301=0,0,E301/I301)</f>
        <v>0.353049615774384</v>
      </c>
      <c r="M301" s="11" t="n">
        <f aca="false">IF(I301=0,0,H301/I301)</f>
        <v>0.0476704571495501</v>
      </c>
      <c r="N301" s="4" t="str">
        <f aca="false">INDEX($C$3:$E$3,MATCH(MAX(C301:E301),C301:E301,0))</f>
        <v>PRI-PVEM-NA</v>
      </c>
      <c r="O301" s="17" t="n">
        <f aca="false">(MAX(J301:L301)-LARGE(J301:L301,2))*100</f>
        <v>4.40344453554278</v>
      </c>
    </row>
    <row r="302" customFormat="false" ht="15" hidden="false" customHeight="false" outlineLevel="0" collapsed="false">
      <c r="A302" s="4" t="s">
        <v>80</v>
      </c>
      <c r="B302" s="4" t="n">
        <v>3</v>
      </c>
      <c r="C302" s="5" t="n">
        <v>87046</v>
      </c>
      <c r="D302" s="5" t="n">
        <v>30178</v>
      </c>
      <c r="E302" s="5" t="n">
        <v>71664</v>
      </c>
      <c r="F302" s="5" t="n">
        <v>0</v>
      </c>
      <c r="G302" s="5" t="n">
        <v>78</v>
      </c>
      <c r="H302" s="5" t="n">
        <v>8279</v>
      </c>
      <c r="I302" s="5" t="n">
        <v>197245</v>
      </c>
      <c r="J302" s="11" t="n">
        <f aca="false">IF(I302=0,0,C302/I302)</f>
        <v>0.441309031914624</v>
      </c>
      <c r="K302" s="11" t="n">
        <f aca="false">IF(I302=0,0,D302/I302)</f>
        <v>0.152997541129053</v>
      </c>
      <c r="L302" s="11" t="n">
        <f aca="false">IF(I302=0,0,E302/I302)</f>
        <v>0.363324799107709</v>
      </c>
      <c r="M302" s="11" t="n">
        <f aca="false">IF(I302=0,0,H302/I302)</f>
        <v>0.0419731805622449</v>
      </c>
      <c r="N302" s="4" t="str">
        <f aca="false">INDEX($C$3:$E$3,MATCH(MAX(C302:E302),C302:E302,0))</f>
        <v>PT-Morena-PES</v>
      </c>
      <c r="O302" s="17" t="n">
        <f aca="false">(MAX(J302:L302)-LARGE(J302:L302,2))*100</f>
        <v>7.79842328069153</v>
      </c>
    </row>
    <row r="303" customFormat="false" ht="15" hidden="false" customHeight="false" outlineLevel="0" collapsed="false">
      <c r="A303" s="4" t="s">
        <v>80</v>
      </c>
      <c r="B303" s="4" t="n">
        <v>4</v>
      </c>
      <c r="C303" s="5" t="n">
        <v>85355</v>
      </c>
      <c r="D303" s="5" t="n">
        <v>35879</v>
      </c>
      <c r="E303" s="5" t="n">
        <v>64635</v>
      </c>
      <c r="F303" s="5" t="n">
        <v>0</v>
      </c>
      <c r="G303" s="5" t="n">
        <v>67</v>
      </c>
      <c r="H303" s="5" t="n">
        <v>7604</v>
      </c>
      <c r="I303" s="5" t="n">
        <v>193540</v>
      </c>
      <c r="J303" s="11" t="n">
        <f aca="false">IF(I303=0,0,C303/I303)</f>
        <v>0.441019944197582</v>
      </c>
      <c r="K303" s="11" t="n">
        <f aca="false">IF(I303=0,0,D303/I303)</f>
        <v>0.185382866590886</v>
      </c>
      <c r="L303" s="11" t="n">
        <f aca="false">IF(I303=0,0,E303/I303)</f>
        <v>0.33396197168544</v>
      </c>
      <c r="M303" s="11" t="n">
        <f aca="false">IF(I303=0,0,H303/I303)</f>
        <v>0.0392890358582205</v>
      </c>
      <c r="N303" s="4" t="str">
        <f aca="false">INDEX($C$3:$E$3,MATCH(MAX(C303:E303),C303:E303,0))</f>
        <v>PT-Morena-PES</v>
      </c>
      <c r="O303" s="17" t="n">
        <f aca="false">(MAX(J303:L303)-LARGE(J303:L303,2))*100</f>
        <v>10.7057972512142</v>
      </c>
    </row>
  </sheetData>
  <autoFilter ref="A3:O3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9" min="2" style="0" width="13"/>
  </cols>
  <sheetData>
    <row r="1" customFormat="false" ht="16.15" hidden="false" customHeight="false" outlineLevel="0" collapsed="false">
      <c r="A1" s="10" t="s">
        <v>81</v>
      </c>
    </row>
    <row r="3" customFormat="false" ht="31.5" hidden="false" customHeight="true" outlineLevel="0" collapsed="false">
      <c r="A3" s="3" t="s">
        <v>27</v>
      </c>
      <c r="B3" s="3" t="s">
        <v>18</v>
      </c>
      <c r="C3" s="3" t="s">
        <v>44</v>
      </c>
      <c r="D3" s="3" t="s">
        <v>82</v>
      </c>
      <c r="E3" s="3" t="s">
        <v>83</v>
      </c>
      <c r="F3" s="3" t="s">
        <v>84</v>
      </c>
      <c r="G3" s="3" t="s">
        <v>85</v>
      </c>
      <c r="H3" s="3" t="s">
        <v>86</v>
      </c>
      <c r="I3" s="3" t="s">
        <v>87</v>
      </c>
      <c r="J3" s="3" t="s">
        <v>88</v>
      </c>
      <c r="K3" s="3" t="s">
        <v>89</v>
      </c>
      <c r="L3" s="3" t="s">
        <v>10</v>
      </c>
      <c r="M3" s="3" t="s">
        <v>90</v>
      </c>
      <c r="N3" s="3" t="s">
        <v>91</v>
      </c>
      <c r="O3" s="3" t="s">
        <v>92</v>
      </c>
      <c r="P3" s="3" t="s">
        <v>11</v>
      </c>
      <c r="Q3" s="3" t="s">
        <v>93</v>
      </c>
      <c r="R3" s="3" t="s">
        <v>94</v>
      </c>
      <c r="S3" s="3" t="s">
        <v>95</v>
      </c>
      <c r="T3" s="3" t="s">
        <v>96</v>
      </c>
      <c r="U3" s="3" t="s">
        <v>97</v>
      </c>
      <c r="V3" s="3" t="s">
        <v>98</v>
      </c>
      <c r="W3" s="3" t="s">
        <v>99</v>
      </c>
      <c r="X3" s="3" t="s">
        <v>100</v>
      </c>
      <c r="Y3" s="3" t="s">
        <v>101</v>
      </c>
      <c r="Z3" s="3" t="s">
        <v>102</v>
      </c>
      <c r="AA3" s="3" t="s">
        <v>103</v>
      </c>
      <c r="AB3" s="3" t="s">
        <v>28</v>
      </c>
      <c r="AC3" s="3" t="s">
        <v>29</v>
      </c>
    </row>
    <row r="4" customFormat="false" ht="15" hidden="false" customHeight="false" outlineLevel="0" collapsed="false">
      <c r="A4" s="4" t="s">
        <v>49</v>
      </c>
      <c r="B4" s="5" t="n">
        <v>1609</v>
      </c>
      <c r="C4" s="5" t="n">
        <v>176346</v>
      </c>
      <c r="D4" s="5" t="n">
        <v>144846</v>
      </c>
      <c r="E4" s="5" t="n">
        <v>10786</v>
      </c>
      <c r="F4" s="5" t="n">
        <v>18531</v>
      </c>
      <c r="G4" s="5" t="n">
        <v>14225</v>
      </c>
      <c r="H4" s="5" t="n">
        <v>10060</v>
      </c>
      <c r="I4" s="5" t="n">
        <v>14284</v>
      </c>
      <c r="J4" s="5" t="n">
        <v>131087</v>
      </c>
      <c r="K4" s="5" t="n">
        <v>11522</v>
      </c>
      <c r="L4" s="5" t="n">
        <v>1863</v>
      </c>
      <c r="M4" s="5" t="n">
        <v>762</v>
      </c>
      <c r="N4" s="5" t="n">
        <v>426</v>
      </c>
      <c r="O4" s="5" t="n">
        <v>96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2660</v>
      </c>
      <c r="U4" s="5" t="n">
        <v>1180</v>
      </c>
      <c r="V4" s="5" t="n">
        <v>159</v>
      </c>
      <c r="W4" s="5" t="n">
        <v>835</v>
      </c>
      <c r="X4" s="5" t="n">
        <v>0</v>
      </c>
      <c r="Y4" s="5" t="n">
        <v>0</v>
      </c>
      <c r="Z4" s="5" t="n">
        <v>412</v>
      </c>
      <c r="AA4" s="5" t="n">
        <v>20838</v>
      </c>
      <c r="AB4" s="5" t="n">
        <v>560918</v>
      </c>
      <c r="AC4" s="5" t="n">
        <v>945131</v>
      </c>
    </row>
    <row r="5" customFormat="false" ht="15" hidden="false" customHeight="false" outlineLevel="0" collapsed="false">
      <c r="A5" s="4" t="s">
        <v>50</v>
      </c>
      <c r="B5" s="5" t="n">
        <v>4739</v>
      </c>
      <c r="C5" s="5" t="n">
        <v>273829</v>
      </c>
      <c r="D5" s="5" t="n">
        <v>149689</v>
      </c>
      <c r="E5" s="5" t="n">
        <v>22585</v>
      </c>
      <c r="F5" s="5" t="n">
        <v>44884</v>
      </c>
      <c r="G5" s="5" t="n">
        <v>60278</v>
      </c>
      <c r="H5" s="5" t="n">
        <v>37422</v>
      </c>
      <c r="I5" s="5" t="n">
        <v>29714</v>
      </c>
      <c r="J5" s="5" t="n">
        <v>703708</v>
      </c>
      <c r="K5" s="5" t="n">
        <v>39711</v>
      </c>
      <c r="L5" s="5" t="n">
        <v>5059</v>
      </c>
      <c r="M5" s="5" t="n">
        <v>1361</v>
      </c>
      <c r="N5" s="5" t="n">
        <v>1382</v>
      </c>
      <c r="O5" s="5" t="n">
        <v>397</v>
      </c>
      <c r="P5" s="5" t="n">
        <v>0</v>
      </c>
      <c r="Q5" s="5" t="n">
        <v>0</v>
      </c>
      <c r="R5" s="5" t="n">
        <v>0</v>
      </c>
      <c r="S5" s="5" t="n">
        <v>0</v>
      </c>
      <c r="T5" s="5" t="n">
        <v>18805</v>
      </c>
      <c r="U5" s="5" t="n">
        <v>8416</v>
      </c>
      <c r="V5" s="5" t="n">
        <v>840</v>
      </c>
      <c r="W5" s="5" t="n">
        <v>5082</v>
      </c>
      <c r="X5" s="5" t="n">
        <v>0</v>
      </c>
      <c r="Y5" s="5" t="n">
        <v>0</v>
      </c>
      <c r="Z5" s="5" t="n">
        <v>1343</v>
      </c>
      <c r="AA5" s="5" t="n">
        <v>43451</v>
      </c>
      <c r="AB5" s="5" t="n">
        <v>1447956</v>
      </c>
      <c r="AC5" s="5" t="n">
        <v>2734195</v>
      </c>
    </row>
    <row r="6" customFormat="false" ht="15" hidden="false" customHeight="false" outlineLevel="0" collapsed="false">
      <c r="A6" s="4" t="s">
        <v>51</v>
      </c>
      <c r="B6" s="5" t="n">
        <v>993</v>
      </c>
      <c r="C6" s="5" t="n">
        <v>76125</v>
      </c>
      <c r="D6" s="5" t="n">
        <v>24463</v>
      </c>
      <c r="E6" s="5" t="n">
        <v>3276</v>
      </c>
      <c r="F6" s="5" t="n">
        <v>11095</v>
      </c>
      <c r="G6" s="5" t="n">
        <v>18768</v>
      </c>
      <c r="H6" s="5" t="n">
        <v>4544</v>
      </c>
      <c r="I6" s="5" t="n">
        <v>8020</v>
      </c>
      <c r="J6" s="5" t="n">
        <v>119314</v>
      </c>
      <c r="K6" s="5" t="n">
        <v>4902</v>
      </c>
      <c r="L6" s="5" t="n">
        <v>889</v>
      </c>
      <c r="M6" s="5" t="n">
        <v>432</v>
      </c>
      <c r="N6" s="5" t="n">
        <v>195</v>
      </c>
      <c r="O6" s="5" t="n">
        <v>63</v>
      </c>
      <c r="P6" s="5" t="n">
        <v>0</v>
      </c>
      <c r="Q6" s="5" t="n">
        <v>0</v>
      </c>
      <c r="R6" s="5" t="n">
        <v>0</v>
      </c>
      <c r="S6" s="5" t="n">
        <v>0</v>
      </c>
      <c r="T6" s="5" t="n">
        <v>2323</v>
      </c>
      <c r="U6" s="5" t="n">
        <v>1453</v>
      </c>
      <c r="V6" s="5" t="n">
        <v>148</v>
      </c>
      <c r="W6" s="5" t="n">
        <v>1689</v>
      </c>
      <c r="X6" s="5" t="n">
        <v>14740</v>
      </c>
      <c r="Y6" s="5" t="n">
        <v>0</v>
      </c>
      <c r="Z6" s="5" t="n">
        <v>255</v>
      </c>
      <c r="AA6" s="5" t="n">
        <v>10573</v>
      </c>
      <c r="AB6" s="5" t="n">
        <v>303267</v>
      </c>
      <c r="AC6" s="5" t="n">
        <v>516365</v>
      </c>
    </row>
    <row r="7" customFormat="false" ht="15" hidden="false" customHeight="false" outlineLevel="0" collapsed="false">
      <c r="A7" s="4" t="s">
        <v>52</v>
      </c>
      <c r="B7" s="5" t="n">
        <v>1165</v>
      </c>
      <c r="C7" s="5" t="n">
        <v>69167</v>
      </c>
      <c r="D7" s="5" t="n">
        <v>111800</v>
      </c>
      <c r="E7" s="5" t="n">
        <v>9422</v>
      </c>
      <c r="F7" s="5" t="n">
        <v>8818</v>
      </c>
      <c r="G7" s="5" t="n">
        <v>16834</v>
      </c>
      <c r="H7" s="5" t="n">
        <v>8754</v>
      </c>
      <c r="I7" s="5" t="n">
        <v>8698</v>
      </c>
      <c r="J7" s="5" t="n">
        <v>176740</v>
      </c>
      <c r="K7" s="5" t="n">
        <v>9259</v>
      </c>
      <c r="L7" s="5" t="n">
        <v>764</v>
      </c>
      <c r="M7" s="5" t="n">
        <v>387</v>
      </c>
      <c r="N7" s="5" t="n">
        <v>964</v>
      </c>
      <c r="O7" s="5" t="n">
        <v>149</v>
      </c>
      <c r="P7" s="5" t="n">
        <v>4730</v>
      </c>
      <c r="Q7" s="5" t="n">
        <v>2702</v>
      </c>
      <c r="R7" s="5" t="n">
        <v>565</v>
      </c>
      <c r="S7" s="5" t="n">
        <v>115</v>
      </c>
      <c r="T7" s="5" t="n">
        <v>2756</v>
      </c>
      <c r="U7" s="5" t="n">
        <v>1654</v>
      </c>
      <c r="V7" s="5" t="n">
        <v>159</v>
      </c>
      <c r="W7" s="5" t="n">
        <v>908</v>
      </c>
      <c r="X7" s="5" t="n">
        <v>0</v>
      </c>
      <c r="Y7" s="5" t="n">
        <v>0</v>
      </c>
      <c r="Z7" s="5" t="n">
        <v>158</v>
      </c>
      <c r="AA7" s="5" t="n">
        <v>15837</v>
      </c>
      <c r="AB7" s="5" t="n">
        <v>451340</v>
      </c>
      <c r="AC7" s="5" t="n">
        <v>642407</v>
      </c>
    </row>
    <row r="8" customFormat="false" ht="15" hidden="false" customHeight="false" outlineLevel="0" collapsed="false">
      <c r="A8" s="4" t="s">
        <v>53</v>
      </c>
      <c r="B8" s="5" t="n">
        <v>3787</v>
      </c>
      <c r="C8" s="5" t="n">
        <v>342570</v>
      </c>
      <c r="D8" s="5" t="n">
        <v>388022</v>
      </c>
      <c r="E8" s="5" t="n">
        <v>19720</v>
      </c>
      <c r="F8" s="5" t="n">
        <v>28130</v>
      </c>
      <c r="G8" s="5" t="n">
        <v>35472</v>
      </c>
      <c r="H8" s="5" t="n">
        <v>27604</v>
      </c>
      <c r="I8" s="5" t="n">
        <v>19139</v>
      </c>
      <c r="J8" s="5" t="n">
        <v>435866</v>
      </c>
      <c r="K8" s="5" t="n">
        <v>17743</v>
      </c>
      <c r="L8" s="5" t="n">
        <v>3058</v>
      </c>
      <c r="M8" s="5" t="n">
        <v>1012</v>
      </c>
      <c r="N8" s="5" t="n">
        <v>1676</v>
      </c>
      <c r="O8" s="5" t="n">
        <v>205</v>
      </c>
      <c r="P8" s="5" t="n">
        <v>3154</v>
      </c>
      <c r="Q8" s="5" t="n">
        <v>4776</v>
      </c>
      <c r="R8" s="5" t="n">
        <v>650</v>
      </c>
      <c r="S8" s="5" t="n">
        <v>185</v>
      </c>
      <c r="T8" s="5" t="n">
        <v>6163</v>
      </c>
      <c r="U8" s="5" t="n">
        <v>2782</v>
      </c>
      <c r="V8" s="5" t="n">
        <v>285</v>
      </c>
      <c r="W8" s="5" t="n">
        <v>1824</v>
      </c>
      <c r="X8" s="5" t="n">
        <v>0</v>
      </c>
      <c r="Y8" s="5" t="n">
        <v>0</v>
      </c>
      <c r="Z8" s="5" t="n">
        <v>435</v>
      </c>
      <c r="AA8" s="5" t="n">
        <v>34589</v>
      </c>
      <c r="AB8" s="5" t="n">
        <v>1375060</v>
      </c>
      <c r="AC8" s="5" t="n">
        <v>2157244</v>
      </c>
    </row>
    <row r="9" customFormat="false" ht="15" hidden="false" customHeight="false" outlineLevel="0" collapsed="false">
      <c r="A9" s="4" t="s">
        <v>54</v>
      </c>
      <c r="B9" s="5" t="n">
        <v>961</v>
      </c>
      <c r="C9" s="5" t="n">
        <v>49208</v>
      </c>
      <c r="D9" s="5" t="n">
        <v>66072</v>
      </c>
      <c r="E9" s="5" t="n">
        <v>4822</v>
      </c>
      <c r="F9" s="5" t="n">
        <v>18978</v>
      </c>
      <c r="G9" s="5" t="n">
        <v>15618</v>
      </c>
      <c r="H9" s="5" t="n">
        <v>23494</v>
      </c>
      <c r="I9" s="5" t="n">
        <v>9781</v>
      </c>
      <c r="J9" s="5" t="n">
        <v>122784</v>
      </c>
      <c r="K9" s="5" t="n">
        <v>5257</v>
      </c>
      <c r="L9" s="5" t="n">
        <v>660</v>
      </c>
      <c r="M9" s="5" t="n">
        <v>647</v>
      </c>
      <c r="N9" s="5" t="n">
        <v>312</v>
      </c>
      <c r="O9" s="5" t="n">
        <v>100</v>
      </c>
      <c r="P9" s="5" t="n">
        <v>943</v>
      </c>
      <c r="Q9" s="5" t="n">
        <v>2606</v>
      </c>
      <c r="R9" s="5" t="n">
        <v>236</v>
      </c>
      <c r="S9" s="5" t="n">
        <v>111</v>
      </c>
      <c r="T9" s="5" t="n">
        <v>4082</v>
      </c>
      <c r="U9" s="5" t="n">
        <v>1468</v>
      </c>
      <c r="V9" s="5" t="n">
        <v>146</v>
      </c>
      <c r="W9" s="5" t="n">
        <v>682</v>
      </c>
      <c r="X9" s="5" t="n">
        <v>0</v>
      </c>
      <c r="Y9" s="5" t="n">
        <v>0</v>
      </c>
      <c r="Z9" s="5" t="n">
        <v>196</v>
      </c>
      <c r="AA9" s="5" t="n">
        <v>12612</v>
      </c>
      <c r="AB9" s="5" t="n">
        <v>340815</v>
      </c>
      <c r="AC9" s="5" t="n">
        <v>531888</v>
      </c>
    </row>
    <row r="10" customFormat="false" ht="15" hidden="false" customHeight="false" outlineLevel="0" collapsed="false">
      <c r="A10" s="4" t="s">
        <v>55</v>
      </c>
      <c r="B10" s="5" t="n">
        <v>6362</v>
      </c>
      <c r="C10" s="5" t="n">
        <v>86684</v>
      </c>
      <c r="D10" s="5" t="n">
        <v>294777</v>
      </c>
      <c r="E10" s="5" t="n">
        <v>80774</v>
      </c>
      <c r="F10" s="5" t="n">
        <v>340744</v>
      </c>
      <c r="G10" s="5" t="n">
        <v>104717</v>
      </c>
      <c r="H10" s="5" t="n">
        <v>67139</v>
      </c>
      <c r="I10" s="5" t="n">
        <v>61607</v>
      </c>
      <c r="J10" s="5" t="n">
        <v>976121</v>
      </c>
      <c r="K10" s="5" t="n">
        <v>49261</v>
      </c>
      <c r="L10" s="5" t="n">
        <v>2762</v>
      </c>
      <c r="M10" s="5" t="n">
        <v>1261</v>
      </c>
      <c r="N10" s="5" t="n">
        <v>602</v>
      </c>
      <c r="O10" s="5" t="n">
        <v>601</v>
      </c>
      <c r="P10" s="5" t="n">
        <v>2128</v>
      </c>
      <c r="Q10" s="5" t="n">
        <v>6509</v>
      </c>
      <c r="R10" s="5" t="n">
        <v>1348</v>
      </c>
      <c r="S10" s="5" t="n">
        <v>1777</v>
      </c>
      <c r="T10" s="5" t="n">
        <v>21374</v>
      </c>
      <c r="U10" s="5" t="n">
        <v>8152</v>
      </c>
      <c r="V10" s="5" t="n">
        <v>1495</v>
      </c>
      <c r="W10" s="5" t="n">
        <v>6336</v>
      </c>
      <c r="X10" s="5" t="n">
        <v>98459</v>
      </c>
      <c r="Y10" s="5" t="n">
        <v>0</v>
      </c>
      <c r="Z10" s="5" t="n">
        <v>1407</v>
      </c>
      <c r="AA10" s="5" t="n">
        <v>195923</v>
      </c>
      <c r="AB10" s="5" t="n">
        <v>2411958</v>
      </c>
      <c r="AC10" s="5" t="n">
        <v>3496664</v>
      </c>
    </row>
    <row r="11" customFormat="false" ht="15" hidden="false" customHeight="false" outlineLevel="0" collapsed="false">
      <c r="A11" s="4" t="s">
        <v>56</v>
      </c>
      <c r="B11" s="5" t="n">
        <v>5330</v>
      </c>
      <c r="C11" s="5" t="n">
        <v>376464</v>
      </c>
      <c r="D11" s="5" t="n">
        <v>327624</v>
      </c>
      <c r="E11" s="5" t="n">
        <v>26880</v>
      </c>
      <c r="F11" s="5" t="n">
        <v>56823</v>
      </c>
      <c r="G11" s="5" t="n">
        <v>48858</v>
      </c>
      <c r="H11" s="5" t="n">
        <v>40030</v>
      </c>
      <c r="I11" s="5" t="n">
        <v>43929</v>
      </c>
      <c r="J11" s="5" t="n">
        <v>438932</v>
      </c>
      <c r="K11" s="5" t="n">
        <v>39418</v>
      </c>
      <c r="L11" s="5" t="n">
        <v>3496</v>
      </c>
      <c r="M11" s="5" t="n">
        <v>1568</v>
      </c>
      <c r="N11" s="5" t="n">
        <v>2610</v>
      </c>
      <c r="O11" s="5" t="n">
        <v>322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9004</v>
      </c>
      <c r="U11" s="5" t="n">
        <v>4651</v>
      </c>
      <c r="V11" s="5" t="n">
        <v>587</v>
      </c>
      <c r="W11" s="5" t="n">
        <v>3087</v>
      </c>
      <c r="X11" s="5" t="n">
        <v>0</v>
      </c>
      <c r="Y11" s="5" t="n">
        <v>0</v>
      </c>
      <c r="Z11" s="5" t="n">
        <v>1275</v>
      </c>
      <c r="AA11" s="5" t="n">
        <v>73578</v>
      </c>
      <c r="AB11" s="5" t="n">
        <v>1499136</v>
      </c>
      <c r="AC11" s="5" t="n">
        <v>2746512</v>
      </c>
    </row>
    <row r="12" customFormat="false" ht="15" hidden="false" customHeight="false" outlineLevel="0" collapsed="false">
      <c r="A12" s="4" t="s">
        <v>57</v>
      </c>
      <c r="B12" s="5" t="n">
        <v>13006</v>
      </c>
      <c r="C12" s="5" t="n">
        <v>849625</v>
      </c>
      <c r="D12" s="5" t="n">
        <v>523380</v>
      </c>
      <c r="E12" s="5" t="n">
        <v>520198</v>
      </c>
      <c r="F12" s="5" t="n">
        <v>245475</v>
      </c>
      <c r="G12" s="5" t="n">
        <v>140902</v>
      </c>
      <c r="H12" s="5" t="n">
        <v>140955</v>
      </c>
      <c r="I12" s="5" t="n">
        <v>92224</v>
      </c>
      <c r="J12" s="5" t="n">
        <v>2380334</v>
      </c>
      <c r="K12" s="5" t="n">
        <v>123022</v>
      </c>
      <c r="L12" s="5" t="n">
        <v>33684</v>
      </c>
      <c r="M12" s="5" t="n">
        <v>11068</v>
      </c>
      <c r="N12" s="5" t="n">
        <v>3218</v>
      </c>
      <c r="O12" s="5" t="n">
        <v>3651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89852</v>
      </c>
      <c r="U12" s="5" t="n">
        <v>24603</v>
      </c>
      <c r="V12" s="5" t="n">
        <v>2818</v>
      </c>
      <c r="W12" s="5" t="n">
        <v>14072</v>
      </c>
      <c r="X12" s="5" t="n">
        <v>0</v>
      </c>
      <c r="Y12" s="5" t="n">
        <v>0</v>
      </c>
      <c r="Z12" s="5" t="n">
        <v>4556</v>
      </c>
      <c r="AA12" s="5" t="n">
        <v>205589</v>
      </c>
      <c r="AB12" s="5" t="n">
        <v>5409226</v>
      </c>
      <c r="AC12" s="5" t="n">
        <v>7655601</v>
      </c>
    </row>
    <row r="13" customFormat="false" ht="15" hidden="false" customHeight="false" outlineLevel="0" collapsed="false">
      <c r="A13" s="4" t="s">
        <v>58</v>
      </c>
      <c r="B13" s="5" t="n">
        <v>2501</v>
      </c>
      <c r="C13" s="5" t="n">
        <v>178733</v>
      </c>
      <c r="D13" s="5" t="n">
        <v>157529</v>
      </c>
      <c r="E13" s="5" t="n">
        <v>12850</v>
      </c>
      <c r="F13" s="5" t="n">
        <v>26753</v>
      </c>
      <c r="G13" s="5" t="n">
        <v>56478</v>
      </c>
      <c r="H13" s="5" t="n">
        <v>27295</v>
      </c>
      <c r="I13" s="5" t="n">
        <v>14710</v>
      </c>
      <c r="J13" s="5" t="n">
        <v>203654</v>
      </c>
      <c r="K13" s="5" t="n">
        <v>14492</v>
      </c>
      <c r="L13" s="5" t="n">
        <v>2824</v>
      </c>
      <c r="M13" s="5" t="n">
        <v>1662</v>
      </c>
      <c r="N13" s="5" t="n">
        <v>1198</v>
      </c>
      <c r="O13" s="5" t="n">
        <v>166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5793</v>
      </c>
      <c r="U13" s="5" t="n">
        <v>4793</v>
      </c>
      <c r="V13" s="5" t="n">
        <v>355</v>
      </c>
      <c r="W13" s="5" t="n">
        <v>1446</v>
      </c>
      <c r="X13" s="5" t="n">
        <v>0</v>
      </c>
      <c r="Y13" s="5" t="n">
        <v>0</v>
      </c>
      <c r="Z13" s="5" t="n">
        <v>295</v>
      </c>
      <c r="AA13" s="5" t="n">
        <v>25958</v>
      </c>
      <c r="AB13" s="5" t="n">
        <v>736984</v>
      </c>
      <c r="AC13" s="5" t="n">
        <v>1284462</v>
      </c>
    </row>
    <row r="14" customFormat="false" ht="15" hidden="false" customHeight="false" outlineLevel="0" collapsed="false">
      <c r="A14" s="4" t="s">
        <v>59</v>
      </c>
      <c r="B14" s="5" t="n">
        <v>7500</v>
      </c>
      <c r="C14" s="5" t="n">
        <v>877752</v>
      </c>
      <c r="D14" s="5" t="n">
        <v>324062</v>
      </c>
      <c r="E14" s="5" t="n">
        <v>65024</v>
      </c>
      <c r="F14" s="5" t="n">
        <v>191002</v>
      </c>
      <c r="G14" s="5" t="n">
        <v>52464</v>
      </c>
      <c r="H14" s="5" t="n">
        <v>65937</v>
      </c>
      <c r="I14" s="5" t="n">
        <v>71826</v>
      </c>
      <c r="J14" s="5" t="n">
        <v>489262</v>
      </c>
      <c r="K14" s="5" t="n">
        <v>43574</v>
      </c>
      <c r="L14" s="5" t="n">
        <v>7688</v>
      </c>
      <c r="M14" s="5" t="n">
        <v>3059</v>
      </c>
      <c r="N14" s="5" t="n">
        <v>2520</v>
      </c>
      <c r="O14" s="5" t="n">
        <v>477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9641</v>
      </c>
      <c r="U14" s="5" t="n">
        <v>4411</v>
      </c>
      <c r="V14" s="5" t="n">
        <v>483</v>
      </c>
      <c r="W14" s="5" t="n">
        <v>2109</v>
      </c>
      <c r="X14" s="5" t="n">
        <v>0</v>
      </c>
      <c r="Y14" s="5" t="n">
        <v>0</v>
      </c>
      <c r="Z14" s="5" t="n">
        <v>1726</v>
      </c>
      <c r="AA14" s="5" t="n">
        <v>112823</v>
      </c>
      <c r="AB14" s="5" t="n">
        <v>2325840</v>
      </c>
      <c r="AC14" s="5" t="n">
        <v>4369877</v>
      </c>
    </row>
    <row r="15" customFormat="false" ht="15" hidden="false" customHeight="false" outlineLevel="0" collapsed="false">
      <c r="A15" s="4" t="s">
        <v>60</v>
      </c>
      <c r="B15" s="5" t="n">
        <v>5014</v>
      </c>
      <c r="C15" s="5" t="n">
        <v>74655</v>
      </c>
      <c r="D15" s="5" t="n">
        <v>272654</v>
      </c>
      <c r="E15" s="5" t="n">
        <v>217568</v>
      </c>
      <c r="F15" s="5" t="n">
        <v>61820</v>
      </c>
      <c r="G15" s="5" t="n">
        <v>87822</v>
      </c>
      <c r="H15" s="5" t="n">
        <v>60923</v>
      </c>
      <c r="I15" s="5" t="n">
        <v>22520</v>
      </c>
      <c r="J15" s="5" t="n">
        <v>634011</v>
      </c>
      <c r="K15" s="5" t="n">
        <v>29850</v>
      </c>
      <c r="L15" s="5" t="n">
        <v>3611</v>
      </c>
      <c r="M15" s="5" t="n">
        <v>2561</v>
      </c>
      <c r="N15" s="5" t="n">
        <v>713</v>
      </c>
      <c r="O15" s="5" t="n">
        <v>1868</v>
      </c>
      <c r="P15" s="5" t="n">
        <v>3022</v>
      </c>
      <c r="Q15" s="5" t="n">
        <v>9206</v>
      </c>
      <c r="R15" s="5" t="n">
        <v>824</v>
      </c>
      <c r="S15" s="5" t="n">
        <v>375</v>
      </c>
      <c r="T15" s="5" t="n">
        <v>12128</v>
      </c>
      <c r="U15" s="5" t="n">
        <v>6553</v>
      </c>
      <c r="V15" s="5" t="n">
        <v>753</v>
      </c>
      <c r="W15" s="5" t="n">
        <v>4927</v>
      </c>
      <c r="X15" s="5" t="n">
        <v>20801</v>
      </c>
      <c r="Y15" s="5" t="n">
        <v>0</v>
      </c>
      <c r="Z15" s="5" t="n">
        <v>753</v>
      </c>
      <c r="AA15" s="5" t="n">
        <v>86952</v>
      </c>
      <c r="AB15" s="5" t="n">
        <v>1616870</v>
      </c>
      <c r="AC15" s="5" t="n">
        <v>2513278</v>
      </c>
    </row>
    <row r="16" customFormat="false" ht="15" hidden="false" customHeight="false" outlineLevel="0" collapsed="false">
      <c r="A16" s="4" t="s">
        <v>61</v>
      </c>
      <c r="B16" s="5" t="n">
        <v>3807</v>
      </c>
      <c r="C16" s="5" t="n">
        <v>133624</v>
      </c>
      <c r="D16" s="5" t="n">
        <v>265449</v>
      </c>
      <c r="E16" s="5" t="n">
        <v>39271</v>
      </c>
      <c r="F16" s="5" t="n">
        <v>34155</v>
      </c>
      <c r="G16" s="5" t="n">
        <v>51474</v>
      </c>
      <c r="H16" s="5" t="n">
        <v>24505</v>
      </c>
      <c r="I16" s="5" t="n">
        <v>67837</v>
      </c>
      <c r="J16" s="5" t="n">
        <v>665902</v>
      </c>
      <c r="K16" s="5" t="n">
        <v>28981</v>
      </c>
      <c r="L16" s="5" t="n">
        <v>2637</v>
      </c>
      <c r="M16" s="5" t="n">
        <v>1875</v>
      </c>
      <c r="N16" s="5" t="n">
        <v>518</v>
      </c>
      <c r="O16" s="5" t="n">
        <v>232</v>
      </c>
      <c r="P16" s="5" t="n">
        <v>3998</v>
      </c>
      <c r="Q16" s="5" t="n">
        <v>3283</v>
      </c>
      <c r="R16" s="5" t="n">
        <v>1529</v>
      </c>
      <c r="S16" s="5" t="n">
        <v>346</v>
      </c>
      <c r="T16" s="5" t="n">
        <v>0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5" t="n">
        <v>527</v>
      </c>
      <c r="AA16" s="5" t="n">
        <v>69013</v>
      </c>
      <c r="AB16" s="5" t="n">
        <v>1395156</v>
      </c>
      <c r="AC16" s="5" t="n">
        <v>2122657</v>
      </c>
    </row>
    <row r="17" customFormat="false" ht="15" hidden="false" customHeight="false" outlineLevel="0" collapsed="false">
      <c r="A17" s="4" t="s">
        <v>62</v>
      </c>
      <c r="B17" s="5" t="n">
        <v>9864</v>
      </c>
      <c r="C17" s="5" t="n">
        <v>445903</v>
      </c>
      <c r="D17" s="5" t="n">
        <v>425304</v>
      </c>
      <c r="E17" s="5" t="n">
        <v>41721</v>
      </c>
      <c r="F17" s="5" t="n">
        <v>120401</v>
      </c>
      <c r="G17" s="5" t="n">
        <v>68256</v>
      </c>
      <c r="H17" s="5" t="n">
        <v>648673</v>
      </c>
      <c r="I17" s="5" t="n">
        <v>63703</v>
      </c>
      <c r="J17" s="5" t="n">
        <v>705037</v>
      </c>
      <c r="K17" s="5" t="n">
        <v>46647</v>
      </c>
      <c r="L17" s="5" t="n">
        <v>9951</v>
      </c>
      <c r="M17" s="5" t="n">
        <v>1727</v>
      </c>
      <c r="N17" s="5" t="n">
        <v>8785</v>
      </c>
      <c r="O17" s="5" t="n">
        <v>1898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16060</v>
      </c>
      <c r="U17" s="5" t="n">
        <v>6769</v>
      </c>
      <c r="V17" s="5" t="n">
        <v>889</v>
      </c>
      <c r="W17" s="5" t="n">
        <v>5284</v>
      </c>
      <c r="X17" s="5" t="n">
        <v>761812</v>
      </c>
      <c r="Y17" s="5" t="n">
        <v>0</v>
      </c>
      <c r="Z17" s="5" t="n">
        <v>2156</v>
      </c>
      <c r="AA17" s="5" t="n">
        <v>125703</v>
      </c>
      <c r="AB17" s="5" t="n">
        <v>3506679</v>
      </c>
      <c r="AC17" s="5" t="n">
        <v>5912865</v>
      </c>
    </row>
    <row r="18" customFormat="false" ht="15" hidden="false" customHeight="false" outlineLevel="0" collapsed="false">
      <c r="A18" s="4" t="s">
        <v>63</v>
      </c>
      <c r="B18" s="5" t="n">
        <v>19365</v>
      </c>
      <c r="C18" s="5" t="n">
        <v>1161118</v>
      </c>
      <c r="D18" s="5" t="n">
        <v>1414075</v>
      </c>
      <c r="E18" s="5" t="n">
        <v>581663</v>
      </c>
      <c r="F18" s="5" t="n">
        <v>310638</v>
      </c>
      <c r="G18" s="5" t="n">
        <v>226616</v>
      </c>
      <c r="H18" s="5" t="n">
        <v>192971</v>
      </c>
      <c r="I18" s="5" t="n">
        <v>180850</v>
      </c>
      <c r="J18" s="5" t="n">
        <v>3329191</v>
      </c>
      <c r="K18" s="5" t="n">
        <v>162623</v>
      </c>
      <c r="L18" s="5" t="n">
        <v>32565</v>
      </c>
      <c r="M18" s="5" t="n">
        <v>12673</v>
      </c>
      <c r="N18" s="5" t="n">
        <v>4909</v>
      </c>
      <c r="O18" s="5" t="n">
        <v>3055</v>
      </c>
      <c r="P18" s="5" t="n">
        <v>15392</v>
      </c>
      <c r="Q18" s="5" t="n">
        <v>22309</v>
      </c>
      <c r="R18" s="5" t="n">
        <v>3181</v>
      </c>
      <c r="S18" s="5" t="n">
        <v>1991</v>
      </c>
      <c r="T18" s="5" t="n">
        <v>89028</v>
      </c>
      <c r="U18" s="5" t="n">
        <v>26906</v>
      </c>
      <c r="V18" s="5" t="n">
        <v>3419</v>
      </c>
      <c r="W18" s="5" t="n">
        <v>18905</v>
      </c>
      <c r="X18" s="5" t="n">
        <v>0</v>
      </c>
      <c r="Y18" s="5" t="n">
        <v>0</v>
      </c>
      <c r="Z18" s="5" t="n">
        <v>4237</v>
      </c>
      <c r="AA18" s="5" t="n">
        <v>247203</v>
      </c>
      <c r="AB18" s="5" t="n">
        <v>8045518</v>
      </c>
      <c r="AC18" s="5" t="n">
        <v>11842184</v>
      </c>
    </row>
    <row r="19" customFormat="false" ht="15" hidden="false" customHeight="false" outlineLevel="0" collapsed="false">
      <c r="A19" s="4" t="s">
        <v>64</v>
      </c>
      <c r="B19" s="5" t="n">
        <v>6027</v>
      </c>
      <c r="C19" s="5" t="n">
        <v>226464</v>
      </c>
      <c r="D19" s="5" t="n">
        <v>341601</v>
      </c>
      <c r="E19" s="5" t="n">
        <v>278990</v>
      </c>
      <c r="F19" s="5" t="n">
        <v>137491</v>
      </c>
      <c r="G19" s="5" t="n">
        <v>100987</v>
      </c>
      <c r="H19" s="5" t="n">
        <v>57038</v>
      </c>
      <c r="I19" s="5" t="n">
        <v>46713</v>
      </c>
      <c r="J19" s="5" t="n">
        <v>579380</v>
      </c>
      <c r="K19" s="5" t="n">
        <v>47535</v>
      </c>
      <c r="L19" s="5" t="n">
        <v>6231</v>
      </c>
      <c r="M19" s="5" t="n">
        <v>5430</v>
      </c>
      <c r="N19" s="5" t="n">
        <v>1423</v>
      </c>
      <c r="O19" s="5" t="n">
        <v>1561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10457</v>
      </c>
      <c r="U19" s="5" t="n">
        <v>10797</v>
      </c>
      <c r="V19" s="5" t="n">
        <v>896</v>
      </c>
      <c r="W19" s="5" t="n">
        <v>3124</v>
      </c>
      <c r="X19" s="5" t="n">
        <v>0</v>
      </c>
      <c r="Y19" s="5" t="n">
        <v>0</v>
      </c>
      <c r="Z19" s="5" t="n">
        <v>1292</v>
      </c>
      <c r="AA19" s="5" t="n">
        <v>128206</v>
      </c>
      <c r="AB19" s="5" t="n">
        <v>1985616</v>
      </c>
      <c r="AC19" s="5" t="n">
        <v>3381606</v>
      </c>
    </row>
    <row r="20" customFormat="false" ht="15" hidden="false" customHeight="false" outlineLevel="0" collapsed="false">
      <c r="A20" s="4" t="s">
        <v>65</v>
      </c>
      <c r="B20" s="5" t="n">
        <v>2444</v>
      </c>
      <c r="C20" s="5" t="n">
        <v>92002</v>
      </c>
      <c r="D20" s="5" t="n">
        <v>80214</v>
      </c>
      <c r="E20" s="5" t="n">
        <v>80098</v>
      </c>
      <c r="F20" s="5" t="n">
        <v>58319</v>
      </c>
      <c r="G20" s="5" t="n">
        <v>46425</v>
      </c>
      <c r="H20" s="5" t="n">
        <v>44778</v>
      </c>
      <c r="I20" s="5" t="n">
        <v>53117</v>
      </c>
      <c r="J20" s="5" t="n">
        <v>386795</v>
      </c>
      <c r="K20" s="5" t="n">
        <v>43422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1606</v>
      </c>
      <c r="Q20" s="5" t="n">
        <v>1127</v>
      </c>
      <c r="R20" s="5" t="n">
        <v>486</v>
      </c>
      <c r="S20" s="5" t="n">
        <v>519</v>
      </c>
      <c r="T20" s="5" t="n">
        <v>12091</v>
      </c>
      <c r="U20" s="5" t="n">
        <v>3845</v>
      </c>
      <c r="V20" s="5" t="n">
        <v>743</v>
      </c>
      <c r="W20" s="5" t="n">
        <v>3968</v>
      </c>
      <c r="X20" s="5" t="n">
        <v>0</v>
      </c>
      <c r="Y20" s="5" t="n">
        <v>0</v>
      </c>
      <c r="Z20" s="5" t="n">
        <v>814</v>
      </c>
      <c r="AA20" s="5" t="n">
        <v>58939</v>
      </c>
      <c r="AB20" s="5" t="n">
        <v>969308</v>
      </c>
      <c r="AC20" s="5" t="n">
        <v>1442849</v>
      </c>
    </row>
    <row r="21" customFormat="false" ht="15" hidden="false" customHeight="false" outlineLevel="0" collapsed="false">
      <c r="A21" s="4" t="s">
        <v>66</v>
      </c>
      <c r="B21" s="5" t="n">
        <v>1681</v>
      </c>
      <c r="C21" s="5" t="n">
        <v>68229</v>
      </c>
      <c r="D21" s="5" t="n">
        <v>68667</v>
      </c>
      <c r="E21" s="5" t="n">
        <v>18858</v>
      </c>
      <c r="F21" s="5" t="n">
        <v>11154</v>
      </c>
      <c r="G21" s="5" t="n">
        <v>24278</v>
      </c>
      <c r="H21" s="5" t="n">
        <v>16564</v>
      </c>
      <c r="I21" s="5" t="n">
        <v>10331</v>
      </c>
      <c r="J21" s="5" t="n">
        <v>224657</v>
      </c>
      <c r="K21" s="5" t="n">
        <v>11594</v>
      </c>
      <c r="L21" s="5" t="n">
        <v>1817</v>
      </c>
      <c r="M21" s="5" t="n">
        <v>807</v>
      </c>
      <c r="N21" s="5" t="n">
        <v>404</v>
      </c>
      <c r="O21" s="5" t="n">
        <v>162</v>
      </c>
      <c r="P21" s="5" t="n">
        <v>0</v>
      </c>
      <c r="Q21" s="5" t="n">
        <v>0</v>
      </c>
      <c r="R21" s="5" t="n">
        <v>0</v>
      </c>
      <c r="S21" s="5" t="n">
        <v>0</v>
      </c>
      <c r="T21" s="5" t="n">
        <v>6284</v>
      </c>
      <c r="U21" s="5" t="n">
        <v>2333</v>
      </c>
      <c r="V21" s="5" t="n">
        <v>360</v>
      </c>
      <c r="W21" s="5" t="n">
        <v>1636</v>
      </c>
      <c r="X21" s="5" t="n">
        <v>0</v>
      </c>
      <c r="Y21" s="5" t="n">
        <v>0</v>
      </c>
      <c r="Z21" s="5" t="n">
        <v>210</v>
      </c>
      <c r="AA21" s="5" t="n">
        <v>17595</v>
      </c>
      <c r="AB21" s="5" t="n">
        <v>485940</v>
      </c>
      <c r="AC21" s="5" t="n">
        <v>848895</v>
      </c>
    </row>
    <row r="22" customFormat="false" ht="15" hidden="false" customHeight="false" outlineLevel="0" collapsed="false">
      <c r="A22" s="4" t="s">
        <v>67</v>
      </c>
      <c r="B22" s="5" t="n">
        <v>6614</v>
      </c>
      <c r="C22" s="5" t="n">
        <v>516863</v>
      </c>
      <c r="D22" s="5" t="n">
        <v>332510</v>
      </c>
      <c r="E22" s="5" t="n">
        <v>16849</v>
      </c>
      <c r="F22" s="5" t="n">
        <v>83915</v>
      </c>
      <c r="G22" s="5" t="n">
        <v>85059</v>
      </c>
      <c r="H22" s="5" t="n">
        <v>528877</v>
      </c>
      <c r="I22" s="5" t="n">
        <v>59004</v>
      </c>
      <c r="J22" s="5" t="n">
        <v>348524</v>
      </c>
      <c r="K22" s="5" t="n">
        <v>31190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7615</v>
      </c>
      <c r="U22" s="5" t="n">
        <v>4967</v>
      </c>
      <c r="V22" s="5" t="n">
        <v>471</v>
      </c>
      <c r="W22" s="5" t="n">
        <v>1639</v>
      </c>
      <c r="X22" s="5" t="n">
        <v>105422</v>
      </c>
      <c r="Y22" s="5" t="n">
        <v>0</v>
      </c>
      <c r="Z22" s="5" t="n">
        <v>1207</v>
      </c>
      <c r="AA22" s="5" t="n">
        <v>67469</v>
      </c>
      <c r="AB22" s="5" t="n">
        <v>2191581</v>
      </c>
      <c r="AC22" s="5" t="n">
        <v>3905494</v>
      </c>
    </row>
    <row r="23" customFormat="false" ht="15" hidden="false" customHeight="false" outlineLevel="0" collapsed="false">
      <c r="A23" s="4" t="s">
        <v>68</v>
      </c>
      <c r="B23" s="5" t="n">
        <v>5475</v>
      </c>
      <c r="C23" s="5" t="n">
        <v>132412</v>
      </c>
      <c r="D23" s="5" t="n">
        <v>320517</v>
      </c>
      <c r="E23" s="5" t="n">
        <v>124087</v>
      </c>
      <c r="F23" s="5" t="n">
        <v>54646</v>
      </c>
      <c r="G23" s="5" t="n">
        <v>111859</v>
      </c>
      <c r="H23" s="5" t="n">
        <v>41890</v>
      </c>
      <c r="I23" s="5" t="n">
        <v>52269</v>
      </c>
      <c r="J23" s="5" t="n">
        <v>921193</v>
      </c>
      <c r="K23" s="5" t="n">
        <v>34672</v>
      </c>
      <c r="L23" s="5" t="n">
        <v>3341</v>
      </c>
      <c r="M23" s="5" t="n">
        <v>2145</v>
      </c>
      <c r="N23" s="5" t="n">
        <v>648</v>
      </c>
      <c r="O23" s="5" t="n">
        <v>688</v>
      </c>
      <c r="P23" s="5" t="n">
        <v>4346</v>
      </c>
      <c r="Q23" s="5" t="n">
        <v>6113</v>
      </c>
      <c r="R23" s="5" t="n">
        <v>1301</v>
      </c>
      <c r="S23" s="5" t="n">
        <v>661</v>
      </c>
      <c r="T23" s="5" t="n">
        <v>18475</v>
      </c>
      <c r="U23" s="5" t="n">
        <v>8854</v>
      </c>
      <c r="V23" s="5" t="n">
        <v>1070</v>
      </c>
      <c r="W23" s="5" t="n">
        <v>3948</v>
      </c>
      <c r="X23" s="5" t="n">
        <v>0</v>
      </c>
      <c r="Y23" s="5" t="n">
        <v>0</v>
      </c>
      <c r="Z23" s="5" t="n">
        <v>563</v>
      </c>
      <c r="AA23" s="5" t="n">
        <v>88353</v>
      </c>
      <c r="AB23" s="5" t="n">
        <v>1934051</v>
      </c>
      <c r="AC23" s="5" t="n">
        <v>2867315</v>
      </c>
    </row>
    <row r="24" customFormat="false" ht="15" hidden="false" customHeight="false" outlineLevel="0" collapsed="false">
      <c r="A24" s="4" t="s">
        <v>69</v>
      </c>
      <c r="B24" s="5" t="n">
        <v>7590</v>
      </c>
      <c r="C24" s="5" t="n">
        <v>586149</v>
      </c>
      <c r="D24" s="5" t="n">
        <v>469099</v>
      </c>
      <c r="E24" s="5" t="n">
        <v>75087</v>
      </c>
      <c r="F24" s="5" t="n">
        <v>134086</v>
      </c>
      <c r="G24" s="5" t="n">
        <v>108416</v>
      </c>
      <c r="H24" s="5" t="n">
        <v>103083</v>
      </c>
      <c r="I24" s="5" t="n">
        <v>82297</v>
      </c>
      <c r="J24" s="5" t="n">
        <v>1240070</v>
      </c>
      <c r="K24" s="5" t="n">
        <v>49557</v>
      </c>
      <c r="L24" s="5" t="n">
        <v>7319</v>
      </c>
      <c r="M24" s="5" t="n">
        <v>5401</v>
      </c>
      <c r="N24" s="5" t="n">
        <v>3198</v>
      </c>
      <c r="O24" s="5" t="n">
        <v>1318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30036</v>
      </c>
      <c r="U24" s="5" t="n">
        <v>12646</v>
      </c>
      <c r="V24" s="5" t="n">
        <v>1753</v>
      </c>
      <c r="W24" s="5" t="n">
        <v>8981</v>
      </c>
      <c r="X24" s="5" t="n">
        <v>0</v>
      </c>
      <c r="Y24" s="5" t="n">
        <v>0</v>
      </c>
      <c r="Z24" s="5" t="n">
        <v>1385</v>
      </c>
      <c r="AA24" s="5" t="n">
        <v>158313</v>
      </c>
      <c r="AB24" s="5" t="n">
        <v>3078194</v>
      </c>
      <c r="AC24" s="5" t="n">
        <v>4468274</v>
      </c>
    </row>
    <row r="25" customFormat="false" ht="15" hidden="false" customHeight="false" outlineLevel="0" collapsed="false">
      <c r="A25" s="4" t="s">
        <v>70</v>
      </c>
      <c r="B25" s="5" t="n">
        <v>2693</v>
      </c>
      <c r="C25" s="5" t="n">
        <v>347495</v>
      </c>
      <c r="D25" s="5" t="n">
        <v>148682</v>
      </c>
      <c r="E25" s="5" t="n">
        <v>21270</v>
      </c>
      <c r="F25" s="5" t="n">
        <v>41721</v>
      </c>
      <c r="G25" s="5" t="n">
        <v>29090</v>
      </c>
      <c r="H25" s="5" t="n">
        <v>22405</v>
      </c>
      <c r="I25" s="5" t="n">
        <v>21501</v>
      </c>
      <c r="J25" s="5" t="n">
        <v>298382</v>
      </c>
      <c r="K25" s="5" t="n">
        <v>26250</v>
      </c>
      <c r="L25" s="5" t="n">
        <v>4540</v>
      </c>
      <c r="M25" s="5" t="n">
        <v>1956</v>
      </c>
      <c r="N25" s="5" t="n">
        <v>1012</v>
      </c>
      <c r="O25" s="5" t="n">
        <v>200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7455</v>
      </c>
      <c r="U25" s="5" t="n">
        <v>2892</v>
      </c>
      <c r="V25" s="5" t="n">
        <v>415</v>
      </c>
      <c r="W25" s="5" t="n">
        <v>1886</v>
      </c>
      <c r="X25" s="5" t="n">
        <v>0</v>
      </c>
      <c r="Y25" s="5" t="n">
        <v>0</v>
      </c>
      <c r="Z25" s="5" t="n">
        <v>796</v>
      </c>
      <c r="AA25" s="5" t="n">
        <v>50137</v>
      </c>
      <c r="AB25" s="5" t="n">
        <v>1028085</v>
      </c>
      <c r="AC25" s="5" t="n">
        <v>1585370</v>
      </c>
    </row>
    <row r="26" customFormat="false" ht="15" hidden="false" customHeight="false" outlineLevel="0" collapsed="false">
      <c r="A26" s="4" t="s">
        <v>71</v>
      </c>
      <c r="B26" s="5" t="n">
        <v>2119</v>
      </c>
      <c r="C26" s="5" t="n">
        <v>102680</v>
      </c>
      <c r="D26" s="5" t="n">
        <v>69117</v>
      </c>
      <c r="E26" s="5" t="n">
        <v>25651</v>
      </c>
      <c r="F26" s="5" t="n">
        <v>25056</v>
      </c>
      <c r="G26" s="5" t="n">
        <v>28404</v>
      </c>
      <c r="H26" s="5" t="n">
        <v>19148</v>
      </c>
      <c r="I26" s="5" t="n">
        <v>15401</v>
      </c>
      <c r="J26" s="5" t="n">
        <v>362763</v>
      </c>
      <c r="K26" s="5" t="n">
        <v>27755</v>
      </c>
      <c r="L26" s="5" t="n">
        <v>3492</v>
      </c>
      <c r="M26" s="5" t="n">
        <v>1347</v>
      </c>
      <c r="N26" s="5" t="n">
        <v>530</v>
      </c>
      <c r="O26" s="5" t="n">
        <v>252</v>
      </c>
      <c r="P26" s="5" t="n">
        <v>1715</v>
      </c>
      <c r="Q26" s="5" t="n">
        <v>2077</v>
      </c>
      <c r="R26" s="5" t="n">
        <v>317</v>
      </c>
      <c r="S26" s="5" t="n">
        <v>193</v>
      </c>
      <c r="T26" s="5" t="n">
        <v>7705</v>
      </c>
      <c r="U26" s="5" t="n">
        <v>4210</v>
      </c>
      <c r="V26" s="5" t="n">
        <v>382</v>
      </c>
      <c r="W26" s="5" t="n">
        <v>2741</v>
      </c>
      <c r="X26" s="5" t="n">
        <v>0</v>
      </c>
      <c r="Y26" s="5" t="n">
        <v>0</v>
      </c>
      <c r="Z26" s="5" t="n">
        <v>774</v>
      </c>
      <c r="AA26" s="5" t="n">
        <v>27619</v>
      </c>
      <c r="AB26" s="5" t="n">
        <v>729329</v>
      </c>
      <c r="AC26" s="5" t="n">
        <v>1209354</v>
      </c>
    </row>
    <row r="27" customFormat="false" ht="15" hidden="false" customHeight="false" outlineLevel="0" collapsed="false">
      <c r="A27" s="4" t="s">
        <v>72</v>
      </c>
      <c r="B27" s="5" t="n">
        <v>3648</v>
      </c>
      <c r="C27" s="5" t="n">
        <v>260791</v>
      </c>
      <c r="D27" s="5" t="n">
        <v>235497</v>
      </c>
      <c r="E27" s="5" t="n">
        <v>124785</v>
      </c>
      <c r="F27" s="5" t="n">
        <v>73444</v>
      </c>
      <c r="G27" s="5" t="n">
        <v>45514</v>
      </c>
      <c r="H27" s="5" t="n">
        <v>37580</v>
      </c>
      <c r="I27" s="5" t="n">
        <v>36444</v>
      </c>
      <c r="J27" s="5" t="n">
        <v>307923</v>
      </c>
      <c r="K27" s="5" t="n">
        <v>21443</v>
      </c>
      <c r="L27" s="5" t="n">
        <v>3482</v>
      </c>
      <c r="M27" s="5" t="n">
        <v>3120</v>
      </c>
      <c r="N27" s="5" t="n">
        <v>2052</v>
      </c>
      <c r="O27" s="5" t="n">
        <v>604</v>
      </c>
      <c r="P27" s="5" t="n">
        <v>3480</v>
      </c>
      <c r="Q27" s="5" t="n">
        <v>5382</v>
      </c>
      <c r="R27" s="5" t="n">
        <v>1407</v>
      </c>
      <c r="S27" s="5" t="n">
        <v>949</v>
      </c>
      <c r="T27" s="5" t="n">
        <v>5815</v>
      </c>
      <c r="U27" s="5" t="n">
        <v>2975</v>
      </c>
      <c r="V27" s="5" t="n">
        <v>376</v>
      </c>
      <c r="W27" s="5" t="n">
        <v>1871</v>
      </c>
      <c r="X27" s="5" t="n">
        <v>0</v>
      </c>
      <c r="Y27" s="5" t="n">
        <v>0</v>
      </c>
      <c r="Z27" s="5" t="n">
        <v>1014</v>
      </c>
      <c r="AA27" s="5" t="n">
        <v>82743</v>
      </c>
      <c r="AB27" s="5" t="n">
        <v>1258691</v>
      </c>
      <c r="AC27" s="5" t="n">
        <v>1979480</v>
      </c>
    </row>
    <row r="28" customFormat="false" ht="15" hidden="false" customHeight="false" outlineLevel="0" collapsed="false">
      <c r="A28" s="4" t="s">
        <v>73</v>
      </c>
      <c r="B28" s="5" t="n">
        <v>4873</v>
      </c>
      <c r="C28" s="5" t="n">
        <v>159557</v>
      </c>
      <c r="D28" s="5" t="n">
        <v>254875</v>
      </c>
      <c r="E28" s="5" t="n">
        <v>28776</v>
      </c>
      <c r="F28" s="5" t="n">
        <v>21296</v>
      </c>
      <c r="G28" s="5" t="n">
        <v>40063</v>
      </c>
      <c r="H28" s="5" t="n">
        <v>50819</v>
      </c>
      <c r="I28" s="5" t="n">
        <v>20520</v>
      </c>
      <c r="J28" s="5" t="n">
        <v>530969</v>
      </c>
      <c r="K28" s="5" t="n">
        <v>16794</v>
      </c>
      <c r="L28" s="5" t="n">
        <v>4351</v>
      </c>
      <c r="M28" s="5" t="n">
        <v>1431</v>
      </c>
      <c r="N28" s="5" t="n">
        <v>1285</v>
      </c>
      <c r="O28" s="5" t="n">
        <v>423</v>
      </c>
      <c r="P28" s="5" t="n">
        <v>4859</v>
      </c>
      <c r="Q28" s="5" t="n">
        <v>5692</v>
      </c>
      <c r="R28" s="5" t="n">
        <v>966</v>
      </c>
      <c r="S28" s="5" t="n">
        <v>300</v>
      </c>
      <c r="T28" s="5" t="n">
        <v>12852</v>
      </c>
      <c r="U28" s="5" t="n">
        <v>5887</v>
      </c>
      <c r="V28" s="5" t="n">
        <v>752</v>
      </c>
      <c r="W28" s="5" t="n">
        <v>3806</v>
      </c>
      <c r="X28" s="5" t="n">
        <v>93894</v>
      </c>
      <c r="Y28" s="5" t="n">
        <v>0</v>
      </c>
      <c r="Z28" s="5" t="n">
        <v>456</v>
      </c>
      <c r="AA28" s="5" t="n">
        <v>38088</v>
      </c>
      <c r="AB28" s="5" t="n">
        <v>1298711</v>
      </c>
      <c r="AC28" s="5" t="n">
        <v>2138197</v>
      </c>
    </row>
    <row r="29" customFormat="false" ht="15" hidden="false" customHeight="false" outlineLevel="0" collapsed="false">
      <c r="A29" s="4" t="s">
        <v>74</v>
      </c>
      <c r="B29" s="5" t="n">
        <v>3669</v>
      </c>
      <c r="C29" s="5" t="n">
        <v>158876</v>
      </c>
      <c r="D29" s="5" t="n">
        <v>247168</v>
      </c>
      <c r="E29" s="5" t="n">
        <v>19199</v>
      </c>
      <c r="F29" s="5" t="n">
        <v>22421</v>
      </c>
      <c r="G29" s="5" t="n">
        <v>34936</v>
      </c>
      <c r="H29" s="5" t="n">
        <v>55312</v>
      </c>
      <c r="I29" s="5" t="n">
        <v>21098</v>
      </c>
      <c r="J29" s="5" t="n">
        <v>451733</v>
      </c>
      <c r="K29" s="5" t="n">
        <v>14404</v>
      </c>
      <c r="L29" s="5" t="n">
        <v>2028</v>
      </c>
      <c r="M29" s="5" t="n">
        <v>2508</v>
      </c>
      <c r="N29" s="5" t="n">
        <v>697</v>
      </c>
      <c r="O29" s="5" t="n">
        <v>304</v>
      </c>
      <c r="P29" s="5" t="n">
        <v>6326</v>
      </c>
      <c r="Q29" s="5" t="n">
        <v>5247</v>
      </c>
      <c r="R29" s="5" t="n">
        <v>1293</v>
      </c>
      <c r="S29" s="5" t="n">
        <v>324</v>
      </c>
      <c r="T29" s="5" t="n">
        <v>8316</v>
      </c>
      <c r="U29" s="5" t="n">
        <v>5488</v>
      </c>
      <c r="V29" s="5" t="n">
        <v>357</v>
      </c>
      <c r="W29" s="5" t="n">
        <v>2109</v>
      </c>
      <c r="X29" s="5" t="n">
        <v>0</v>
      </c>
      <c r="Y29" s="5" t="n">
        <v>0</v>
      </c>
      <c r="Z29" s="5" t="n">
        <v>390</v>
      </c>
      <c r="AA29" s="5" t="n">
        <v>36822</v>
      </c>
      <c r="AB29" s="5" t="n">
        <v>1097356</v>
      </c>
      <c r="AC29" s="5" t="n">
        <v>2093671</v>
      </c>
    </row>
    <row r="30" customFormat="false" ht="15" hidden="false" customHeight="false" outlineLevel="0" collapsed="false">
      <c r="A30" s="4" t="s">
        <v>75</v>
      </c>
      <c r="B30" s="5" t="n">
        <v>2941</v>
      </c>
      <c r="C30" s="5" t="n">
        <v>17396</v>
      </c>
      <c r="D30" s="5" t="n">
        <v>140943</v>
      </c>
      <c r="E30" s="5" t="n">
        <v>107925</v>
      </c>
      <c r="F30" s="5" t="n">
        <v>41822</v>
      </c>
      <c r="G30" s="5" t="n">
        <v>21255</v>
      </c>
      <c r="H30" s="5" t="n">
        <v>20433</v>
      </c>
      <c r="I30" s="5" t="n">
        <v>12164</v>
      </c>
      <c r="J30" s="5" t="n">
        <v>760464</v>
      </c>
      <c r="K30" s="5" t="n">
        <v>17526</v>
      </c>
      <c r="L30" s="5" t="n">
        <v>2999</v>
      </c>
      <c r="M30" s="5" t="n">
        <v>912</v>
      </c>
      <c r="N30" s="5" t="n">
        <v>192</v>
      </c>
      <c r="O30" s="5" t="n">
        <v>931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10678</v>
      </c>
      <c r="U30" s="5" t="n">
        <v>4301</v>
      </c>
      <c r="V30" s="5" t="n">
        <v>418</v>
      </c>
      <c r="W30" s="5" t="n">
        <v>2841</v>
      </c>
      <c r="X30" s="5" t="n">
        <v>0</v>
      </c>
      <c r="Y30" s="5" t="n">
        <v>0</v>
      </c>
      <c r="Z30" s="5" t="n">
        <v>389</v>
      </c>
      <c r="AA30" s="5" t="n">
        <v>42130</v>
      </c>
      <c r="AB30" s="5" t="n">
        <v>1205719</v>
      </c>
      <c r="AC30" s="5" t="n">
        <v>1688647</v>
      </c>
    </row>
    <row r="31" customFormat="false" ht="15" hidden="false" customHeight="false" outlineLevel="0" collapsed="false">
      <c r="A31" s="4" t="s">
        <v>76</v>
      </c>
      <c r="B31" s="5" t="n">
        <v>4669</v>
      </c>
      <c r="C31" s="5" t="n">
        <v>545213</v>
      </c>
      <c r="D31" s="5" t="n">
        <v>295875</v>
      </c>
      <c r="E31" s="5" t="n">
        <v>19922</v>
      </c>
      <c r="F31" s="5" t="n">
        <v>38241</v>
      </c>
      <c r="G31" s="5" t="n">
        <v>40670</v>
      </c>
      <c r="H31" s="5" t="n">
        <v>33230</v>
      </c>
      <c r="I31" s="5" t="n">
        <v>25694</v>
      </c>
      <c r="J31" s="5" t="n">
        <v>533436</v>
      </c>
      <c r="K31" s="5" t="n">
        <v>28237</v>
      </c>
      <c r="L31" s="5" t="n">
        <v>7051</v>
      </c>
      <c r="M31" s="5" t="n">
        <v>2410</v>
      </c>
      <c r="N31" s="5" t="n">
        <v>2579</v>
      </c>
      <c r="O31" s="5" t="n">
        <v>239</v>
      </c>
      <c r="P31" s="5" t="n">
        <v>0</v>
      </c>
      <c r="Q31" s="5" t="n">
        <v>0</v>
      </c>
      <c r="R31" s="5" t="n">
        <v>0</v>
      </c>
      <c r="S31" s="5" t="n">
        <v>0</v>
      </c>
      <c r="T31" s="5" t="n">
        <v>9835</v>
      </c>
      <c r="U31" s="5" t="n">
        <v>4092</v>
      </c>
      <c r="V31" s="5" t="n">
        <v>465</v>
      </c>
      <c r="W31" s="5" t="n">
        <v>2899</v>
      </c>
      <c r="X31" s="5" t="n">
        <v>0</v>
      </c>
      <c r="Y31" s="5" t="n">
        <v>0</v>
      </c>
      <c r="Z31" s="5" t="n">
        <v>608</v>
      </c>
      <c r="AA31" s="5" t="n">
        <v>49212</v>
      </c>
      <c r="AB31" s="5" t="n">
        <v>1639908</v>
      </c>
      <c r="AC31" s="5" t="n">
        <v>2633030</v>
      </c>
    </row>
    <row r="32" customFormat="false" ht="15" hidden="false" customHeight="false" outlineLevel="0" collapsed="false">
      <c r="A32" s="4" t="s">
        <v>77</v>
      </c>
      <c r="B32" s="5" t="n">
        <v>1543</v>
      </c>
      <c r="C32" s="5" t="n">
        <v>64950</v>
      </c>
      <c r="D32" s="5" t="n">
        <v>79485</v>
      </c>
      <c r="E32" s="5" t="n">
        <v>25562</v>
      </c>
      <c r="F32" s="5" t="n">
        <v>13696</v>
      </c>
      <c r="G32" s="5" t="n">
        <v>29265</v>
      </c>
      <c r="H32" s="5" t="n">
        <v>15087</v>
      </c>
      <c r="I32" s="5" t="n">
        <v>10211</v>
      </c>
      <c r="J32" s="5" t="n">
        <v>305962</v>
      </c>
      <c r="K32" s="5" t="n">
        <v>13017</v>
      </c>
      <c r="L32" s="5" t="n">
        <v>1829</v>
      </c>
      <c r="M32" s="5" t="n">
        <v>886</v>
      </c>
      <c r="N32" s="5" t="n">
        <v>335</v>
      </c>
      <c r="O32" s="5" t="n">
        <v>183</v>
      </c>
      <c r="P32" s="5" t="n">
        <v>1534</v>
      </c>
      <c r="Q32" s="5" t="n">
        <v>1549</v>
      </c>
      <c r="R32" s="5" t="n">
        <v>267</v>
      </c>
      <c r="S32" s="5" t="n">
        <v>144</v>
      </c>
      <c r="T32" s="5" t="n">
        <v>6916</v>
      </c>
      <c r="U32" s="5" t="n">
        <v>3144</v>
      </c>
      <c r="V32" s="5" t="n">
        <v>388</v>
      </c>
      <c r="W32" s="5" t="n">
        <v>1875</v>
      </c>
      <c r="X32" s="5" t="n">
        <v>14021</v>
      </c>
      <c r="Y32" s="5" t="n">
        <v>0</v>
      </c>
      <c r="Z32" s="5" t="n">
        <v>532</v>
      </c>
      <c r="AA32" s="5" t="n">
        <v>24865</v>
      </c>
      <c r="AB32" s="5" t="n">
        <v>615703</v>
      </c>
      <c r="AC32" s="5" t="n">
        <v>923272</v>
      </c>
    </row>
    <row r="33" customFormat="false" ht="15" hidden="false" customHeight="false" outlineLevel="0" collapsed="false">
      <c r="A33" s="4" t="s">
        <v>78</v>
      </c>
      <c r="B33" s="5" t="n">
        <v>10686</v>
      </c>
      <c r="C33" s="5" t="n">
        <v>965204</v>
      </c>
      <c r="D33" s="5" t="n">
        <v>418416</v>
      </c>
      <c r="E33" s="5" t="n">
        <v>174947</v>
      </c>
      <c r="F33" s="5" t="n">
        <v>96576</v>
      </c>
      <c r="G33" s="5" t="n">
        <v>82119</v>
      </c>
      <c r="H33" s="5" t="n">
        <v>88046</v>
      </c>
      <c r="I33" s="5" t="n">
        <v>47659</v>
      </c>
      <c r="J33" s="5" t="n">
        <v>1657592</v>
      </c>
      <c r="K33" s="5" t="n">
        <v>53260</v>
      </c>
      <c r="L33" s="5" t="n">
        <v>20580</v>
      </c>
      <c r="M33" s="5" t="n">
        <v>14933</v>
      </c>
      <c r="N33" s="5" t="n">
        <v>3862</v>
      </c>
      <c r="O33" s="5" t="n">
        <v>1030</v>
      </c>
      <c r="P33" s="5" t="n">
        <v>3708</v>
      </c>
      <c r="Q33" s="5" t="n">
        <v>12143</v>
      </c>
      <c r="R33" s="5" t="n">
        <v>858</v>
      </c>
      <c r="S33" s="5" t="n">
        <v>575</v>
      </c>
      <c r="T33" s="5" t="n">
        <v>28458</v>
      </c>
      <c r="U33" s="5" t="n">
        <v>10327</v>
      </c>
      <c r="V33" s="5" t="n">
        <v>1359</v>
      </c>
      <c r="W33" s="5" t="n">
        <v>8213</v>
      </c>
      <c r="X33" s="5" t="n">
        <v>0</v>
      </c>
      <c r="Y33" s="5" t="n">
        <v>0</v>
      </c>
      <c r="Z33" s="5" t="n">
        <v>1114</v>
      </c>
      <c r="AA33" s="5" t="n">
        <v>128194</v>
      </c>
      <c r="AB33" s="5" t="n">
        <v>3819173</v>
      </c>
      <c r="AC33" s="5" t="n">
        <v>5781779</v>
      </c>
    </row>
    <row r="34" customFormat="false" ht="15" hidden="false" customHeight="false" outlineLevel="0" collapsed="false">
      <c r="A34" s="4" t="s">
        <v>79</v>
      </c>
      <c r="B34" s="5" t="n">
        <v>2687</v>
      </c>
      <c r="C34" s="5" t="n">
        <v>328084</v>
      </c>
      <c r="D34" s="5" t="n">
        <v>362221</v>
      </c>
      <c r="E34" s="5" t="n">
        <v>28158</v>
      </c>
      <c r="F34" s="5" t="n">
        <v>37473</v>
      </c>
      <c r="G34" s="5" t="n">
        <v>16954</v>
      </c>
      <c r="H34" s="5" t="n">
        <v>24049</v>
      </c>
      <c r="I34" s="5" t="n">
        <v>22901</v>
      </c>
      <c r="J34" s="5" t="n">
        <v>275677</v>
      </c>
      <c r="K34" s="5" t="n">
        <v>11900</v>
      </c>
      <c r="L34" s="5" t="n">
        <v>2323</v>
      </c>
      <c r="M34" s="5" t="n">
        <v>1493</v>
      </c>
      <c r="N34" s="5" t="n">
        <v>2420</v>
      </c>
      <c r="O34" s="5" t="n">
        <v>171</v>
      </c>
      <c r="P34" s="5" t="n">
        <v>2518</v>
      </c>
      <c r="Q34" s="5" t="n">
        <v>3633</v>
      </c>
      <c r="R34" s="5" t="n">
        <v>637</v>
      </c>
      <c r="S34" s="5" t="n">
        <v>237</v>
      </c>
      <c r="T34" s="5" t="n">
        <v>4618</v>
      </c>
      <c r="U34" s="5" t="n">
        <v>1663</v>
      </c>
      <c r="V34" s="5" t="n">
        <v>186</v>
      </c>
      <c r="W34" s="5" t="n">
        <v>1314</v>
      </c>
      <c r="X34" s="5" t="n">
        <v>0</v>
      </c>
      <c r="Y34" s="5" t="n">
        <v>0</v>
      </c>
      <c r="Z34" s="5" t="n">
        <v>287</v>
      </c>
      <c r="AA34" s="5" t="n">
        <v>33040</v>
      </c>
      <c r="AB34" s="5" t="n">
        <v>1161957</v>
      </c>
      <c r="AC34" s="5" t="n">
        <v>1541166</v>
      </c>
    </row>
    <row r="35" customFormat="false" ht="15" hidden="false" customHeight="false" outlineLevel="0" collapsed="false">
      <c r="A35" s="4" t="s">
        <v>80</v>
      </c>
      <c r="B35" s="5" t="n">
        <v>2529</v>
      </c>
      <c r="C35" s="5" t="n">
        <v>95661</v>
      </c>
      <c r="D35" s="5" t="n">
        <v>181265</v>
      </c>
      <c r="E35" s="5" t="n">
        <v>41166</v>
      </c>
      <c r="F35" s="5" t="n">
        <v>44505</v>
      </c>
      <c r="G35" s="5" t="n">
        <v>50270</v>
      </c>
      <c r="H35" s="5" t="n">
        <v>17761</v>
      </c>
      <c r="I35" s="5" t="n">
        <v>26795</v>
      </c>
      <c r="J35" s="5" t="n">
        <v>244795</v>
      </c>
      <c r="K35" s="5" t="n">
        <v>13122</v>
      </c>
      <c r="L35" s="5" t="n">
        <v>2596</v>
      </c>
      <c r="M35" s="5" t="n">
        <v>2033</v>
      </c>
      <c r="N35" s="5" t="n">
        <v>393</v>
      </c>
      <c r="O35" s="5" t="n">
        <v>231</v>
      </c>
      <c r="P35" s="5" t="n">
        <v>1010</v>
      </c>
      <c r="Q35" s="5" t="n">
        <v>1682</v>
      </c>
      <c r="R35" s="5" t="n">
        <v>357</v>
      </c>
      <c r="S35" s="5" t="n">
        <v>351</v>
      </c>
      <c r="T35" s="5" t="n">
        <v>4762</v>
      </c>
      <c r="U35" s="5" t="n">
        <v>3429</v>
      </c>
      <c r="V35" s="5" t="n">
        <v>328</v>
      </c>
      <c r="W35" s="5" t="n">
        <v>1064</v>
      </c>
      <c r="X35" s="5" t="n">
        <v>0</v>
      </c>
      <c r="Y35" s="5" t="n">
        <v>0</v>
      </c>
      <c r="Z35" s="5" t="n">
        <v>258</v>
      </c>
      <c r="AA35" s="5" t="n">
        <v>31990</v>
      </c>
      <c r="AB35" s="5" t="n">
        <v>765824</v>
      </c>
      <c r="AC35" s="5" t="n">
        <v>1167497</v>
      </c>
    </row>
    <row r="36" customFormat="false" ht="15" hidden="false" customHeight="false" outlineLevel="0" collapsed="false">
      <c r="A36" s="13" t="s">
        <v>45</v>
      </c>
      <c r="B36" s="14" t="n">
        <f aca="false">SUM(B4:B35)</f>
        <v>157891</v>
      </c>
      <c r="C36" s="14" t="n">
        <f aca="false">SUM(C4:C35)</f>
        <v>9839829</v>
      </c>
      <c r="D36" s="14" t="n">
        <f aca="false">SUM(D4:D35)</f>
        <v>8935898</v>
      </c>
      <c r="E36" s="14" t="n">
        <f aca="false">SUM(E4:E35)</f>
        <v>2867890</v>
      </c>
      <c r="F36" s="14" t="n">
        <f aca="false">SUM(F4:F35)</f>
        <v>2454109</v>
      </c>
      <c r="G36" s="14" t="n">
        <f aca="false">SUM(G4:G35)</f>
        <v>1894346</v>
      </c>
      <c r="H36" s="14" t="n">
        <f aca="false">SUM(H4:H35)</f>
        <v>2556406</v>
      </c>
      <c r="I36" s="14" t="n">
        <f aca="false">SUM(I4:I35)</f>
        <v>1272961</v>
      </c>
      <c r="J36" s="14" t="n">
        <f aca="false">SUM(J4:J35)</f>
        <v>20942258</v>
      </c>
      <c r="K36" s="14" t="n">
        <f aca="false">SUM(K4:K35)</f>
        <v>1087940</v>
      </c>
      <c r="L36" s="14" t="n">
        <f aca="false">SUM(L4:L35)</f>
        <v>185490</v>
      </c>
      <c r="M36" s="14" t="n">
        <f aca="false">SUM(M4:M35)</f>
        <v>88867</v>
      </c>
      <c r="N36" s="14" t="n">
        <f aca="false">SUM(N4:N35)</f>
        <v>51058</v>
      </c>
      <c r="O36" s="14" t="n">
        <f aca="false">SUM(O4:O35)</f>
        <v>21577</v>
      </c>
      <c r="P36" s="14" t="n">
        <f aca="false">SUM(P4:P35)</f>
        <v>64469</v>
      </c>
      <c r="Q36" s="14" t="n">
        <f aca="false">SUM(Q4:Q35)</f>
        <v>96036</v>
      </c>
      <c r="R36" s="14" t="n">
        <f aca="false">SUM(R4:R35)</f>
        <v>16222</v>
      </c>
      <c r="S36" s="14" t="n">
        <f aca="false">SUM(S4:S35)</f>
        <v>9153</v>
      </c>
      <c r="T36" s="14" t="n">
        <f aca="false">SUM(T4:T35)</f>
        <v>482037</v>
      </c>
      <c r="U36" s="14" t="n">
        <f aca="false">SUM(U4:U35)</f>
        <v>195641</v>
      </c>
      <c r="V36" s="14" t="n">
        <f aca="false">SUM(V4:V35)</f>
        <v>23255</v>
      </c>
      <c r="W36" s="14" t="n">
        <f aca="false">SUM(W4:W35)</f>
        <v>121101</v>
      </c>
      <c r="X36" s="14" t="n">
        <f aca="false">SUM(X4:X35)</f>
        <v>1109149</v>
      </c>
      <c r="Y36" s="14" t="n">
        <f aca="false">SUM(Y4:Y35)</f>
        <v>0</v>
      </c>
      <c r="Z36" s="14" t="n">
        <f aca="false">SUM(Z4:Z35)</f>
        <v>31820</v>
      </c>
      <c r="AA36" s="14" t="n">
        <f aca="false">SUM(AA4:AA35)</f>
        <v>2344357</v>
      </c>
      <c r="AB36" s="14" t="n">
        <f aca="false">SUM(AB4:AB35)</f>
        <v>56691869</v>
      </c>
      <c r="AC36" s="14" t="n">
        <f aca="false">SUM(AC4:AC35)</f>
        <v>89127226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2026-10-12T04:00:14Z</dcterms:created>
  <dc:creator>openpyxl</dc:creator>
  <dc:description/>
  <dc:language>en-US</dc:language>
  <cp:lastModifiedBy/>
  <dcterms:modified xsi:type="dcterms:W3CDTF">2026-10-12T04:00:15Z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