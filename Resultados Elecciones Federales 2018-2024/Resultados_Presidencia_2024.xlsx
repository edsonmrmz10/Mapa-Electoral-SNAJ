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sumen" sheetId="1" state="visible" r:id="rId3"/>
    <sheet name="Por estado" sheetId="2" state="visible" r:id="rId4"/>
    <sheet name="Por distrito" sheetId="3" state="visible" r:id="rId5"/>
    <sheet name="Votos por partido" sheetId="4" state="visible" r:id="rId6"/>
  </sheets>
  <definedNames>
    <definedName function="false" hidden="true" localSheetId="2" name="_xlnm._FilterDatabase" vbProcedure="false">'Por distrito'!$A$3:$N$303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<sst xmlns="http://schemas.openxmlformats.org/spreadsheetml/2006/main" count="424" uniqueCount="93">
  <si>
    <t xml:space="preserve">Presidencia 2024 – Resumen</t>
  </si>
  <si>
    <t xml:space="preserve">Fuente: PRES_2024.csv (PREP)</t>
  </si>
  <si>
    <t xml:space="preserve">Candidatura / bloque</t>
  </si>
  <si>
    <t xml:space="preserve">Votos</t>
  </si>
  <si>
    <t xml:space="preserve">% del total</t>
  </si>
  <si>
    <t xml:space="preserve">% de votos válidos</t>
  </si>
  <si>
    <t xml:space="preserve">Estados ganados</t>
  </si>
  <si>
    <t xml:space="preserve">Distritos ganados</t>
  </si>
  <si>
    <t xml:space="preserve">Sheinbaum (PVEM-PT-Morena)</t>
  </si>
  <si>
    <t xml:space="preserve">Gálvez (PAN-PRI-PRD)</t>
  </si>
  <si>
    <t xml:space="preserve">Máynez (MC)</t>
  </si>
  <si>
    <t xml:space="preserve">No registrados</t>
  </si>
  <si>
    <t xml:space="preserve">Votos nulos</t>
  </si>
  <si>
    <t xml:space="preserve">Total votos emitidos</t>
  </si>
  <si>
    <t xml:space="preserve">Lista nominal</t>
  </si>
  <si>
    <t xml:space="preserve">Participación</t>
  </si>
  <si>
    <t xml:space="preserve">Actas</t>
  </si>
  <si>
    <t xml:space="preserve">Casillas sin distrito (tipos V y M)</t>
  </si>
  <si>
    <t xml:space="preserve">Casillas</t>
  </si>
  <si>
    <t xml:space="preserve">Sheinbaum %</t>
  </si>
  <si>
    <t xml:space="preserve">Gálvez %</t>
  </si>
  <si>
    <t xml:space="preserve">Máynez %</t>
  </si>
  <si>
    <t xml:space="preserve">Tipo M</t>
  </si>
  <si>
    <t xml:space="preserve">Tipo V</t>
  </si>
  <si>
    <t xml:space="preserve">Total</t>
  </si>
  <si>
    <t xml:space="preserve">Notas:</t>
  </si>
  <si>
    <t xml:space="preserve">Los nombres de las candidaturas son una asignación mía a partir de las coaliciones (PVEM-PT-Morena; PAN-PRI-PRD; MC); el archivo solo trae partidos y combinaciones. Cada bloque suma el partido solo más sus combinaciones de coalición.</t>
  </si>
  <si>
    <t xml:space="preserve">Los votos de las casillas tipos V y M (151 casillas, 184,326 votos) no tienen distrito federal y llevan la clave de sección 4074 en el archivo; por eso entran en los totales por estado pero no en la hoja Por distrito. Es probable que correspondan al voto desde el extranjero, pero el archivo no lo indica.</t>
  </si>
  <si>
    <t xml:space="preserve">145 actas sin datos (paquetes no recibidos o casillas no instaladas) se tomaron como cero. Las casillas especiales (tipo S, 990,000 votos) no tienen lista nominal, por lo que 1,178 de las 1,271 casillas donde los votos superan la lista nominal son esas; la participación calculada (61.05%) coincide con la del encabezado del archivo.</t>
  </si>
  <si>
    <t xml:space="preserve">Se computaron los resultados del PREP; no se validan contra el cómputo distrital oficial.</t>
  </si>
  <si>
    <t xml:space="preserve">Resultados por estado y candidatura – Presidencia 2024 (fuente: PRES_2024.csv)</t>
  </si>
  <si>
    <t xml:space="preserve">Incluye todos los votos del estado (también casillas tipo V y M sin distrito). Las columnas de distritos cuentan los ganados por cada candidatura en la hoja Por distrito.</t>
  </si>
  <si>
    <t xml:space="preserve">Estado</t>
  </si>
  <si>
    <t xml:space="preserve">Total votos</t>
  </si>
  <si>
    <t xml:space="preserve">Votos nulos %</t>
  </si>
  <si>
    <t xml:space="preserve">Candidatura ganadora</t>
  </si>
  <si>
    <t xml:space="preserve">Margen (pts)</t>
  </si>
  <si>
    <t xml:space="preserve">Distritos: Sheinbaum</t>
  </si>
  <si>
    <t xml:space="preserve">Distritos: Gálvez</t>
  </si>
  <si>
    <t xml:space="preserve">Distritos: Máynez</t>
  </si>
  <si>
    <t xml:space="preserve">Distritos con casillas</t>
  </si>
  <si>
    <t xml:space="preserve">Nacional</t>
  </si>
  <si>
    <t xml:space="preserve">Resultados por distrito federal – Presidencia 2024 (fuente: PRES_2024.csv)</t>
  </si>
  <si>
    <t xml:space="preserve">Bloque = partido solo + combinaciones de coalición. No incluye las casillas sin distrito (tipos V y M, 184,326 votos), que sí están en los totales por estado.</t>
  </si>
  <si>
    <t xml:space="preserve">Distrito</t>
  </si>
  <si>
    <t xml:space="preserve">Aguascalientes</t>
  </si>
  <si>
    <t xml:space="preserve">Baja California</t>
  </si>
  <si>
    <t xml:space="preserve">Baja California Sur</t>
  </si>
  <si>
    <t xml:space="preserve">Campeche</t>
  </si>
  <si>
    <t xml:space="preserve">Coahuila</t>
  </si>
  <si>
    <t xml:space="preserve">Colima</t>
  </si>
  <si>
    <t xml:space="preserve">Chiapas</t>
  </si>
  <si>
    <t xml:space="preserve">Chihuahua</t>
  </si>
  <si>
    <t xml:space="preserve">Ciudad de México</t>
  </si>
  <si>
    <t xml:space="preserve">Durango</t>
  </si>
  <si>
    <t xml:space="preserve">Guanajuato</t>
  </si>
  <si>
    <t xml:space="preserve">Guerrero</t>
  </si>
  <si>
    <t xml:space="preserve">Hidalgo</t>
  </si>
  <si>
    <t xml:space="preserve">Jalisco</t>
  </si>
  <si>
    <t xml:space="preserve">México</t>
  </si>
  <si>
    <t xml:space="preserve">Michoacán</t>
  </si>
  <si>
    <t xml:space="preserve">Morelos</t>
  </si>
  <si>
    <t xml:space="preserve">Nayarit</t>
  </si>
  <si>
    <t xml:space="preserve">Nuevo León</t>
  </si>
  <si>
    <t xml:space="preserve">Oaxaca</t>
  </si>
  <si>
    <t xml:space="preserve">Puebla</t>
  </si>
  <si>
    <t xml:space="preserve">Querétaro</t>
  </si>
  <si>
    <t xml:space="preserve">Quintana Roo</t>
  </si>
  <si>
    <t xml:space="preserve">San Luis Potosí</t>
  </si>
  <si>
    <t xml:space="preserve">Sinaloa</t>
  </si>
  <si>
    <t xml:space="preserve">Sonora</t>
  </si>
  <si>
    <t xml:space="preserve">Tabasco</t>
  </si>
  <si>
    <t xml:space="preserve">Tamaulipas</t>
  </si>
  <si>
    <t xml:space="preserve">Tlaxcala</t>
  </si>
  <si>
    <t xml:space="preserve">Veracruz</t>
  </si>
  <si>
    <t xml:space="preserve">Yucatán</t>
  </si>
  <si>
    <t xml:space="preserve">Zacatecas</t>
  </si>
  <si>
    <t xml:space="preserve">Votos por partido y combinación de coalición, por estado – Presidencia 2024 (fuente: PRES_2024.csv)</t>
  </si>
  <si>
    <t xml:space="preserve">PAN</t>
  </si>
  <si>
    <t xml:space="preserve">PRI</t>
  </si>
  <si>
    <t xml:space="preserve">PRD</t>
  </si>
  <si>
    <t xml:space="preserve">PVEM</t>
  </si>
  <si>
    <t xml:space="preserve">PT</t>
  </si>
  <si>
    <t xml:space="preserve">MC</t>
  </si>
  <si>
    <t xml:space="preserve">MORENA</t>
  </si>
  <si>
    <t xml:space="preserve">PAN-PRI-PRD</t>
  </si>
  <si>
    <t xml:space="preserve">PAN-PRI</t>
  </si>
  <si>
    <t xml:space="preserve">PAN-PRD</t>
  </si>
  <si>
    <t xml:space="preserve">PRI-PRD</t>
  </si>
  <si>
    <t xml:space="preserve">PVEM-PT-MORENA</t>
  </si>
  <si>
    <t xml:space="preserve">PVEM-PT</t>
  </si>
  <si>
    <t xml:space="preserve">PVEM-MORENA</t>
  </si>
  <si>
    <t xml:space="preserve">PT-MORENA</t>
  </si>
</sst>
</file>

<file path=xl/styles.xml><?xml version="1.0" encoding="utf-8"?>
<styleSheet xmlns="http://schemas.openxmlformats.org/spreadsheetml/2006/main">
  <numFmts count="6">
    <numFmt numFmtId="164" formatCode="General"/>
    <numFmt numFmtId="165" formatCode="#,##0"/>
    <numFmt numFmtId="166" formatCode="0.00%"/>
    <numFmt numFmtId="167" formatCode="0.0%"/>
    <numFmt numFmtId="168" formatCode="0.0"/>
    <numFmt numFmtId="169" formatCode="0.00"/>
  </numFmts>
  <fonts count="9">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i val="true"/>
      <sz val="11"/>
      <color rgb="FF595959"/>
      <name val="Cambria"/>
      <family val="0"/>
      <charset val="1"/>
    </font>
    <font>
      <b val="true"/>
      <sz val="11"/>
      <color rgb="FFFFFFFF"/>
      <name val="Cambria"/>
      <family val="0"/>
      <charset val="1"/>
    </font>
    <font>
      <b val="true"/>
      <sz val="11"/>
      <name val="Cambria"/>
      <family val="0"/>
      <charset val="1"/>
    </font>
    <font>
      <b val="true"/>
      <sz val="13"/>
      <name val="Cambria"/>
      <family val="0"/>
      <charset val="1"/>
    </font>
  </fonts>
  <fills count="4">
    <fill>
      <patternFill patternType="none"/>
    </fill>
    <fill>
      <patternFill patternType="gray125"/>
    </fill>
    <fill>
      <patternFill patternType="solid">
        <fgColor rgb="FF1F3864"/>
        <bgColor rgb="FF333333"/>
      </patternFill>
    </fill>
    <fill>
      <patternFill patternType="solid">
        <fgColor rgb="FFD9E1F2"/>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6" min="2" style="0" width="18"/>
  </cols>
  <sheetData>
    <row r="1" customFormat="false" ht="17.35" hidden="false" customHeight="false" outlineLevel="0" collapsed="false">
      <c r="A1" s="1" t="s">
        <v>0</v>
      </c>
    </row>
    <row r="2" customFormat="false" ht="15" hidden="false" customHeight="false" outlineLevel="0" collapsed="false">
      <c r="A2" s="2" t="s">
        <v>1</v>
      </c>
    </row>
    <row r="4" customFormat="false" ht="33.75" hidden="false" customHeight="true" outlineLevel="0" collapsed="false">
      <c r="A4" s="3" t="s">
        <v>2</v>
      </c>
      <c r="B4" s="3" t="s">
        <v>3</v>
      </c>
      <c r="C4" s="3" t="s">
        <v>4</v>
      </c>
      <c r="D4" s="3" t="s">
        <v>5</v>
      </c>
      <c r="E4" s="3" t="s">
        <v>6</v>
      </c>
      <c r="F4" s="3" t="s">
        <v>7</v>
      </c>
    </row>
    <row r="5" customFormat="false" ht="15" hidden="false" customHeight="false" outlineLevel="0" collapsed="false">
      <c r="A5" s="4" t="s">
        <v>8</v>
      </c>
      <c r="B5" s="5" t="n">
        <f aca="false">'Por estado'!B36</f>
        <v>35924519</v>
      </c>
      <c r="C5" s="6" t="n">
        <f aca="false">B5/$B$10</f>
        <v>0.597594760751294</v>
      </c>
      <c r="D5" s="6" t="n">
        <f aca="false">B5/SUM($B$5:$B$7)</f>
        <v>0.612712585972359</v>
      </c>
      <c r="E5" s="4" t="n">
        <f aca="false">COUNTIF('Por estado'!$N$4:$N$35,A5)</f>
        <v>31</v>
      </c>
      <c r="F5" s="4" t="n">
        <f aca="false">COUNTIF('Por distrito'!$M$4:$M$303,A5)</f>
        <v>275</v>
      </c>
    </row>
    <row r="6" customFormat="false" ht="15" hidden="false" customHeight="false" outlineLevel="0" collapsed="false">
      <c r="A6" s="4" t="s">
        <v>9</v>
      </c>
      <c r="B6" s="5" t="n">
        <f aca="false">'Por estado'!C36</f>
        <v>16502697</v>
      </c>
      <c r="C6" s="6" t="n">
        <f aca="false">B6/$B$10</f>
        <v>0.274517948743199</v>
      </c>
      <c r="D6" s="6" t="n">
        <f aca="false">B6/SUM($B$5:$B$7)</f>
        <v>0.281462645453605</v>
      </c>
      <c r="E6" s="4" t="n">
        <f aca="false">COUNTIF('Por estado'!$N$4:$N$35,A6)</f>
        <v>1</v>
      </c>
      <c r="F6" s="4" t="n">
        <f aca="false">COUNTIF('Por distrito'!$M$4:$M$303,A6)</f>
        <v>25</v>
      </c>
    </row>
    <row r="7" customFormat="false" ht="15" hidden="false" customHeight="false" outlineLevel="0" collapsed="false">
      <c r="A7" s="4" t="s">
        <v>10</v>
      </c>
      <c r="B7" s="5" t="n">
        <f aca="false">'Por estado'!D36</f>
        <v>6204710</v>
      </c>
      <c r="C7" s="6" t="n">
        <f aca="false">B7/$B$10</f>
        <v>0.103213690571088</v>
      </c>
      <c r="D7" s="6" t="n">
        <f aca="false">B7/SUM($B$5:$B$7)</f>
        <v>0.105824768574036</v>
      </c>
      <c r="E7" s="4" t="n">
        <f aca="false">COUNTIF('Por estado'!$N$4:$N$35,A7)</f>
        <v>0</v>
      </c>
      <c r="F7" s="4" t="n">
        <f aca="false">COUNTIF('Por distrito'!$M$4:$M$303,A7)</f>
        <v>0</v>
      </c>
    </row>
    <row r="8" customFormat="false" ht="15" hidden="false" customHeight="false" outlineLevel="0" collapsed="false">
      <c r="A8" s="4" t="s">
        <v>11</v>
      </c>
      <c r="B8" s="5" t="n">
        <f aca="false">'Por estado'!E36</f>
        <v>83114</v>
      </c>
      <c r="C8" s="6" t="n">
        <f aca="false">B8/$B$10</f>
        <v>0.001382579150053</v>
      </c>
      <c r="D8" s="6"/>
      <c r="E8" s="4"/>
      <c r="F8" s="4"/>
    </row>
    <row r="9" customFormat="false" ht="15" hidden="false" customHeight="false" outlineLevel="0" collapsed="false">
      <c r="A9" s="4" t="s">
        <v>12</v>
      </c>
      <c r="B9" s="5" t="n">
        <f aca="false">'Por estado'!F36</f>
        <v>1400144</v>
      </c>
      <c r="C9" s="6" t="n">
        <f aca="false">B9/$B$10</f>
        <v>0.0232910207843662</v>
      </c>
      <c r="D9" s="6"/>
      <c r="E9" s="4"/>
      <c r="F9" s="4"/>
    </row>
    <row r="10" customFormat="false" ht="15" hidden="false" customHeight="false" outlineLevel="0" collapsed="false">
      <c r="A10" s="7" t="s">
        <v>13</v>
      </c>
      <c r="B10" s="5" t="n">
        <f aca="false">'Por estado'!G36</f>
        <v>60115184</v>
      </c>
      <c r="C10" s="4"/>
      <c r="D10" s="4"/>
      <c r="E10" s="4"/>
      <c r="F10" s="4"/>
    </row>
    <row r="11" customFormat="false" ht="15" hidden="false" customHeight="false" outlineLevel="0" collapsed="false">
      <c r="A11" s="7" t="s">
        <v>14</v>
      </c>
      <c r="B11" s="5" t="n">
        <f aca="false">'Por estado'!H36</f>
        <v>98468994</v>
      </c>
      <c r="C11" s="4"/>
      <c r="D11" s="4"/>
      <c r="E11" s="4"/>
      <c r="F11" s="4"/>
    </row>
    <row r="12" customFormat="false" ht="15" hidden="false" customHeight="false" outlineLevel="0" collapsed="false">
      <c r="A12" s="7" t="s">
        <v>15</v>
      </c>
      <c r="B12" s="6" t="n">
        <f aca="false">B10/B11</f>
        <v>0.610498610354443</v>
      </c>
      <c r="C12" s="4"/>
      <c r="D12" s="4"/>
      <c r="E12" s="4"/>
      <c r="F12" s="4"/>
    </row>
    <row r="13" customFormat="false" ht="15" hidden="false" customHeight="false" outlineLevel="0" collapsed="false">
      <c r="A13" s="7" t="s">
        <v>16</v>
      </c>
      <c r="B13" s="5" t="n">
        <f aca="false">'Votos por partido'!B36</f>
        <v>170766</v>
      </c>
      <c r="C13" s="4"/>
      <c r="D13" s="4"/>
      <c r="E13" s="4"/>
      <c r="F13" s="4"/>
    </row>
    <row r="15" customFormat="false" ht="33.75" hidden="false" customHeight="true" outlineLevel="0" collapsed="false">
      <c r="A15" s="8" t="s">
        <v>17</v>
      </c>
      <c r="B15" s="8" t="s">
        <v>18</v>
      </c>
      <c r="C15" s="8" t="s">
        <v>3</v>
      </c>
      <c r="D15" s="8" t="s">
        <v>19</v>
      </c>
      <c r="E15" s="8" t="s">
        <v>20</v>
      </c>
      <c r="F15" s="8" t="s">
        <v>21</v>
      </c>
    </row>
    <row r="16" customFormat="false" ht="15" hidden="false" customHeight="false" outlineLevel="0" collapsed="false">
      <c r="A16" s="4" t="s">
        <v>22</v>
      </c>
      <c r="B16" s="5" t="n">
        <v>87</v>
      </c>
      <c r="C16" s="5" t="n">
        <v>39586</v>
      </c>
      <c r="D16" s="9" t="n">
        <v>0.684484413681605</v>
      </c>
      <c r="E16" s="9" t="n">
        <v>0.281387359167382</v>
      </c>
      <c r="F16" s="9" t="n">
        <v>0.0215985449401304</v>
      </c>
    </row>
    <row r="17" customFormat="false" ht="15" hidden="false" customHeight="false" outlineLevel="0" collapsed="false">
      <c r="A17" s="4" t="s">
        <v>23</v>
      </c>
      <c r="B17" s="5" t="n">
        <v>64</v>
      </c>
      <c r="C17" s="5" t="n">
        <v>144740</v>
      </c>
      <c r="D17" s="9" t="n">
        <v>0.445032472018792</v>
      </c>
      <c r="E17" s="9" t="n">
        <v>0.520789000967252</v>
      </c>
      <c r="F17" s="9" t="n">
        <v>0.0247270968633412</v>
      </c>
    </row>
    <row r="18" customFormat="false" ht="15" hidden="false" customHeight="false" outlineLevel="0" collapsed="false">
      <c r="A18" s="7" t="s">
        <v>24</v>
      </c>
      <c r="B18" s="5" t="n">
        <v>151</v>
      </c>
      <c r="C18" s="5" t="n">
        <v>184326</v>
      </c>
      <c r="D18" s="9" t="n">
        <v>0.496457363584085</v>
      </c>
      <c r="E18" s="9" t="n">
        <v>0.469374911840977</v>
      </c>
      <c r="F18" s="9" t="n">
        <v>0.0240552065362456</v>
      </c>
    </row>
    <row r="20" customFormat="false" ht="15" hidden="false" customHeight="false" outlineLevel="0" collapsed="false">
      <c r="A20" s="10" t="s">
        <v>25</v>
      </c>
    </row>
    <row r="21" customFormat="false" ht="61.5" hidden="false" customHeight="true" outlineLevel="0" collapsed="false">
      <c r="A21" s="11" t="s">
        <v>26</v>
      </c>
      <c r="B21" s="11"/>
      <c r="C21" s="11"/>
      <c r="D21" s="11"/>
      <c r="E21" s="11"/>
      <c r="F21" s="11"/>
    </row>
    <row r="22" customFormat="false" ht="61.5" hidden="false" customHeight="true" outlineLevel="0" collapsed="false">
      <c r="A22" s="11" t="s">
        <v>27</v>
      </c>
      <c r="B22" s="11"/>
      <c r="C22" s="11"/>
      <c r="D22" s="11"/>
      <c r="E22" s="11"/>
      <c r="F22" s="11"/>
    </row>
    <row r="23" customFormat="false" ht="61.5" hidden="false" customHeight="true" outlineLevel="0" collapsed="false">
      <c r="A23" s="11" t="s">
        <v>28</v>
      </c>
      <c r="B23" s="11"/>
      <c r="C23" s="11"/>
      <c r="D23" s="11"/>
      <c r="E23" s="11"/>
      <c r="F23" s="11"/>
    </row>
    <row r="24" customFormat="false" ht="61.5" hidden="false" customHeight="true" outlineLevel="0" collapsed="false">
      <c r="A24" s="11" t="s">
        <v>29</v>
      </c>
      <c r="B24" s="11"/>
      <c r="C24" s="11"/>
      <c r="D24" s="11"/>
      <c r="E24" s="11"/>
      <c r="F24" s="11"/>
    </row>
  </sheetData>
  <mergeCells count="4">
    <mergeCell ref="A21:F21"/>
    <mergeCell ref="A22:F22"/>
    <mergeCell ref="A23:F23"/>
    <mergeCell ref="A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13" min="2" style="0" width="14"/>
    <col collapsed="false" customWidth="true" hidden="false" outlineLevel="0" max="14" min="14" style="0" width="26"/>
    <col collapsed="false" customWidth="true" hidden="false" outlineLevel="0" max="19" min="15" style="0" width="14"/>
  </cols>
  <sheetData>
    <row r="1" customFormat="false" ht="16.15" hidden="false" customHeight="false" outlineLevel="0" collapsed="false">
      <c r="A1" s="12" t="s">
        <v>30</v>
      </c>
    </row>
    <row r="2" customFormat="false" ht="15" hidden="false" customHeight="false" outlineLevel="0" collapsed="false">
      <c r="A2" s="2" t="s">
        <v>31</v>
      </c>
    </row>
    <row r="3" customFormat="false" ht="48" hidden="false" customHeight="true" outlineLevel="0" collapsed="false">
      <c r="A3" s="3" t="s">
        <v>32</v>
      </c>
      <c r="B3" s="3" t="s">
        <v>8</v>
      </c>
      <c r="C3" s="3" t="s">
        <v>9</v>
      </c>
      <c r="D3" s="3" t="s">
        <v>10</v>
      </c>
      <c r="E3" s="3" t="s">
        <v>11</v>
      </c>
      <c r="F3" s="3" t="s">
        <v>12</v>
      </c>
      <c r="G3" s="3" t="s">
        <v>33</v>
      </c>
      <c r="H3" s="3" t="s">
        <v>14</v>
      </c>
      <c r="I3" s="3" t="s">
        <v>15</v>
      </c>
      <c r="J3" s="3" t="s">
        <v>19</v>
      </c>
      <c r="K3" s="3" t="s">
        <v>20</v>
      </c>
      <c r="L3" s="3" t="s">
        <v>21</v>
      </c>
      <c r="M3" s="3" t="s">
        <v>34</v>
      </c>
      <c r="N3" s="3" t="s">
        <v>35</v>
      </c>
      <c r="O3" s="3" t="s">
        <v>36</v>
      </c>
      <c r="P3" s="3" t="s">
        <v>37</v>
      </c>
      <c r="Q3" s="3" t="s">
        <v>38</v>
      </c>
      <c r="R3" s="3" t="s">
        <v>39</v>
      </c>
      <c r="S3" s="3" t="s">
        <v>40</v>
      </c>
    </row>
    <row r="4" customFormat="false" ht="15" hidden="false" customHeight="false" outlineLevel="0" collapsed="false">
      <c r="A4" s="4" t="str">
        <f aca="false">'Votos por partido'!A4</f>
        <v>Aguascalientes</v>
      </c>
      <c r="B4" s="5" t="n">
        <f aca="false">'Votos por partido'!F4+'Votos por partido'!G4+'Votos por partido'!I4+'Votos por partido'!N4+'Votos por partido'!O4+'Votos por partido'!P4+'Votos por partido'!Q4</f>
        <v>284706</v>
      </c>
      <c r="C4" s="5" t="n">
        <f aca="false">'Votos por partido'!C4+'Votos por partido'!D4+'Votos por partido'!E4+'Votos por partido'!J4+'Votos por partido'!K4+'Votos por partido'!L4+'Votos por partido'!M4</f>
        <v>306262</v>
      </c>
      <c r="D4" s="5" t="n">
        <f aca="false">'Votos por partido'!H4</f>
        <v>59498</v>
      </c>
      <c r="E4" s="5" t="n">
        <f aca="false">'Votos por partido'!R4</f>
        <v>1571</v>
      </c>
      <c r="F4" s="5" t="n">
        <f aca="false">'Votos por partido'!S4</f>
        <v>14205</v>
      </c>
      <c r="G4" s="5" t="n">
        <f aca="false">'Votos por partido'!T4</f>
        <v>666242</v>
      </c>
      <c r="H4" s="5" t="n">
        <f aca="false">'Votos por partido'!U4</f>
        <v>1100142</v>
      </c>
      <c r="I4" s="9" t="n">
        <f aca="false">G4/H4</f>
        <v>0.605596368468798</v>
      </c>
      <c r="J4" s="9" t="n">
        <f aca="false">B4/G4</f>
        <v>0.427331209980758</v>
      </c>
      <c r="K4" s="9" t="n">
        <f aca="false">C4/G4</f>
        <v>0.459685819867255</v>
      </c>
      <c r="L4" s="9" t="n">
        <f aca="false">D4/G4</f>
        <v>0.0893038865757488</v>
      </c>
      <c r="M4" s="9" t="n">
        <f aca="false">F4/G4</f>
        <v>0.0213210815289339</v>
      </c>
      <c r="N4" s="4" t="str">
        <f aca="false">INDEX($B$3:$D$3,MATCH(MAX(B4:D4),B4:D4,0))</f>
        <v>Gálvez (PAN-PRI-PRD)</v>
      </c>
      <c r="O4" s="13" t="n">
        <f aca="false">(MAX(B4:D4)-LARGE(B4:D4,2))/G4*100</f>
        <v>3.23546098864977</v>
      </c>
      <c r="P4" s="4" t="n">
        <f aca="false">COUNTIFS('Por distrito'!$A$4:$A$303,$A4,'Por distrito'!$M$4:$M$303,B$3)</f>
        <v>2</v>
      </c>
      <c r="Q4" s="4" t="n">
        <f aca="false">COUNTIFS('Por distrito'!$A$4:$A$303,$A4,'Por distrito'!$M$4:$M$303,C$3)</f>
        <v>1</v>
      </c>
      <c r="R4" s="4" t="n">
        <f aca="false">COUNTIFS('Por distrito'!$A$4:$A$303,$A4,'Por distrito'!$M$4:$M$303,D$3)</f>
        <v>0</v>
      </c>
      <c r="S4" s="4" t="n">
        <f aca="false">COUNTIF('Por distrito'!$A$4:$A$303,$A4)</f>
        <v>3</v>
      </c>
    </row>
    <row r="5" customFormat="false" ht="15" hidden="false" customHeight="false" outlineLevel="0" collapsed="false">
      <c r="A5" s="4" t="str">
        <f aca="false">'Votos por partido'!A5</f>
        <v>Baja California</v>
      </c>
      <c r="B5" s="5" t="n">
        <f aca="false">'Votos por partido'!F5+'Votos por partido'!G5+'Votos por partido'!I5+'Votos por partido'!N5+'Votos por partido'!O5+'Votos por partido'!P5+'Votos por partido'!Q5</f>
        <v>1039973</v>
      </c>
      <c r="C5" s="5" t="n">
        <f aca="false">'Votos por partido'!C5+'Votos por partido'!D5+'Votos por partido'!E5+'Votos por partido'!J5+'Votos por partido'!K5+'Votos por partido'!L5+'Votos por partido'!M5</f>
        <v>330657</v>
      </c>
      <c r="D5" s="5" t="n">
        <f aca="false">'Votos por partido'!H5</f>
        <v>155262</v>
      </c>
      <c r="E5" s="5" t="n">
        <f aca="false">'Votos por partido'!R5</f>
        <v>2929</v>
      </c>
      <c r="F5" s="5" t="n">
        <f aca="false">'Votos por partido'!S5</f>
        <v>31512</v>
      </c>
      <c r="G5" s="5" t="n">
        <f aca="false">'Votos por partido'!T5</f>
        <v>1560333</v>
      </c>
      <c r="H5" s="5" t="n">
        <f aca="false">'Votos por partido'!U5</f>
        <v>3202396</v>
      </c>
      <c r="I5" s="9" t="n">
        <f aca="false">G5/H5</f>
        <v>0.487239242117465</v>
      </c>
      <c r="J5" s="9" t="n">
        <f aca="false">B5/G5</f>
        <v>0.666507085346525</v>
      </c>
      <c r="K5" s="9" t="n">
        <f aca="false">C5/G5</f>
        <v>0.211914379815078</v>
      </c>
      <c r="L5" s="9" t="n">
        <f aca="false">D5/G5</f>
        <v>0.0995056824408636</v>
      </c>
      <c r="M5" s="9" t="n">
        <f aca="false">F5/G5</f>
        <v>0.0201956889971564</v>
      </c>
      <c r="N5" s="4" t="str">
        <f aca="false">INDEX($B$3:$D$3,MATCH(MAX(B5:D5),B5:D5,0))</f>
        <v>Sheinbaum (PVEM-PT-Morena)</v>
      </c>
      <c r="O5" s="13" t="n">
        <f aca="false">(MAX(B5:D5)-LARGE(B5:D5,2))/G5*100</f>
        <v>45.4592705531447</v>
      </c>
      <c r="P5" s="4" t="n">
        <f aca="false">COUNTIFS('Por distrito'!$A$4:$A$303,$A5,'Por distrito'!$M$4:$M$303,B$3)</f>
        <v>9</v>
      </c>
      <c r="Q5" s="4" t="n">
        <f aca="false">COUNTIFS('Por distrito'!$A$4:$A$303,$A5,'Por distrito'!$M$4:$M$303,C$3)</f>
        <v>0</v>
      </c>
      <c r="R5" s="4" t="n">
        <f aca="false">COUNTIFS('Por distrito'!$A$4:$A$303,$A5,'Por distrito'!$M$4:$M$303,D$3)</f>
        <v>0</v>
      </c>
      <c r="S5" s="4" t="n">
        <f aca="false">COUNTIF('Por distrito'!$A$4:$A$303,$A5)</f>
        <v>9</v>
      </c>
    </row>
    <row r="6" customFormat="false" ht="15" hidden="false" customHeight="false" outlineLevel="0" collapsed="false">
      <c r="A6" s="4" t="str">
        <f aca="false">'Votos por partido'!A6</f>
        <v>Baja California Sur</v>
      </c>
      <c r="B6" s="5" t="n">
        <f aca="false">'Votos por partido'!F6+'Votos por partido'!G6+'Votos por partido'!I6+'Votos por partido'!N6+'Votos por partido'!O6+'Votos por partido'!P6+'Votos por partido'!Q6</f>
        <v>201126</v>
      </c>
      <c r="C6" s="5" t="n">
        <f aca="false">'Votos por partido'!C6+'Votos por partido'!D6+'Votos por partido'!E6+'Votos por partido'!J6+'Votos por partido'!K6+'Votos por partido'!L6+'Votos por partido'!M6</f>
        <v>101136</v>
      </c>
      <c r="D6" s="5" t="n">
        <f aca="false">'Votos por partido'!H6</f>
        <v>29825</v>
      </c>
      <c r="E6" s="5" t="n">
        <f aca="false">'Votos por partido'!R6</f>
        <v>463</v>
      </c>
      <c r="F6" s="5" t="n">
        <f aca="false">'Votos por partido'!S6</f>
        <v>7539</v>
      </c>
      <c r="G6" s="5" t="n">
        <f aca="false">'Votos por partido'!T6</f>
        <v>340089</v>
      </c>
      <c r="H6" s="5" t="n">
        <f aca="false">'Votos por partido'!U6</f>
        <v>614239</v>
      </c>
      <c r="I6" s="9" t="n">
        <f aca="false">G6/H6</f>
        <v>0.553675360893724</v>
      </c>
      <c r="J6" s="9" t="n">
        <f aca="false">B6/G6</f>
        <v>0.591392253204308</v>
      </c>
      <c r="K6" s="9" t="n">
        <f aca="false">C6/G6</f>
        <v>0.29738097968473</v>
      </c>
      <c r="L6" s="9" t="n">
        <f aca="false">D6/G6</f>
        <v>0.0876976320904234</v>
      </c>
      <c r="M6" s="9" t="n">
        <f aca="false">F6/G6</f>
        <v>0.0221677266833094</v>
      </c>
      <c r="N6" s="4" t="str">
        <f aca="false">INDEX($B$3:$D$3,MATCH(MAX(B6:D6),B6:D6,0))</f>
        <v>Sheinbaum (PVEM-PT-Morena)</v>
      </c>
      <c r="O6" s="13" t="n">
        <f aca="false">(MAX(B6:D6)-LARGE(B6:D6,2))/G6*100</f>
        <v>29.4011273519579</v>
      </c>
      <c r="P6" s="4" t="n">
        <f aca="false">COUNTIFS('Por distrito'!$A$4:$A$303,$A6,'Por distrito'!$M$4:$M$303,B$3)</f>
        <v>2</v>
      </c>
      <c r="Q6" s="4" t="n">
        <f aca="false">COUNTIFS('Por distrito'!$A$4:$A$303,$A6,'Por distrito'!$M$4:$M$303,C$3)</f>
        <v>0</v>
      </c>
      <c r="R6" s="4" t="n">
        <f aca="false">COUNTIFS('Por distrito'!$A$4:$A$303,$A6,'Por distrito'!$M$4:$M$303,D$3)</f>
        <v>0</v>
      </c>
      <c r="S6" s="4" t="n">
        <f aca="false">COUNTIF('Por distrito'!$A$4:$A$303,$A6)</f>
        <v>2</v>
      </c>
    </row>
    <row r="7" customFormat="false" ht="15" hidden="false" customHeight="false" outlineLevel="0" collapsed="false">
      <c r="A7" s="4" t="str">
        <f aca="false">'Votos por partido'!A7</f>
        <v>Campeche</v>
      </c>
      <c r="B7" s="5" t="n">
        <f aca="false">'Votos por partido'!F7+'Votos por partido'!G7+'Votos por partido'!I7+'Votos por partido'!N7+'Votos por partido'!O7+'Votos por partido'!P7+'Votos por partido'!Q7</f>
        <v>275315</v>
      </c>
      <c r="C7" s="5" t="n">
        <f aca="false">'Votos por partido'!C7+'Votos por partido'!D7+'Votos por partido'!E7+'Votos por partido'!J7+'Votos por partido'!K7+'Votos por partido'!L7+'Votos por partido'!M7</f>
        <v>69546</v>
      </c>
      <c r="D7" s="5" t="n">
        <f aca="false">'Votos por partido'!H7</f>
        <v>94280</v>
      </c>
      <c r="E7" s="5" t="n">
        <f aca="false">'Votos por partido'!R7</f>
        <v>432</v>
      </c>
      <c r="F7" s="5" t="n">
        <f aca="false">'Votos por partido'!S7</f>
        <v>9570</v>
      </c>
      <c r="G7" s="5" t="n">
        <f aca="false">'Votos por partido'!T7</f>
        <v>449143</v>
      </c>
      <c r="H7" s="5" t="n">
        <f aca="false">'Votos por partido'!U7</f>
        <v>695148</v>
      </c>
      <c r="I7" s="9" t="n">
        <f aca="false">G7/H7</f>
        <v>0.646111331687641</v>
      </c>
      <c r="J7" s="9" t="n">
        <f aca="false">B7/G7</f>
        <v>0.612978494599715</v>
      </c>
      <c r="K7" s="9" t="n">
        <f aca="false">C7/G7</f>
        <v>0.154841553803577</v>
      </c>
      <c r="L7" s="9" t="n">
        <f aca="false">D7/G7</f>
        <v>0.209910874710282</v>
      </c>
      <c r="M7" s="9" t="n">
        <f aca="false">F7/G7</f>
        <v>0.0213072451312834</v>
      </c>
      <c r="N7" s="4" t="str">
        <f aca="false">INDEX($B$3:$D$3,MATCH(MAX(B7:D7),B7:D7,0))</f>
        <v>Sheinbaum (PVEM-PT-Morena)</v>
      </c>
      <c r="O7" s="13" t="n">
        <f aca="false">(MAX(B7:D7)-LARGE(B7:D7,2))/G7*100</f>
        <v>40.3067619889434</v>
      </c>
      <c r="P7" s="4" t="n">
        <f aca="false">COUNTIFS('Por distrito'!$A$4:$A$303,$A7,'Por distrito'!$M$4:$M$303,B$3)</f>
        <v>2</v>
      </c>
      <c r="Q7" s="4" t="n">
        <f aca="false">COUNTIFS('Por distrito'!$A$4:$A$303,$A7,'Por distrito'!$M$4:$M$303,C$3)</f>
        <v>0</v>
      </c>
      <c r="R7" s="4" t="n">
        <f aca="false">COUNTIFS('Por distrito'!$A$4:$A$303,$A7,'Por distrito'!$M$4:$M$303,D$3)</f>
        <v>0</v>
      </c>
      <c r="S7" s="4" t="n">
        <f aca="false">COUNTIF('Por distrito'!$A$4:$A$303,$A7)</f>
        <v>2</v>
      </c>
    </row>
    <row r="8" customFormat="false" ht="15" hidden="false" customHeight="false" outlineLevel="0" collapsed="false">
      <c r="A8" s="4" t="str">
        <f aca="false">'Votos por partido'!A8</f>
        <v>Coahuila</v>
      </c>
      <c r="B8" s="5" t="n">
        <f aca="false">'Votos por partido'!F8+'Votos por partido'!G8+'Votos por partido'!I8+'Votos por partido'!N8+'Votos por partido'!O8+'Votos por partido'!P8+'Votos por partido'!Q8</f>
        <v>853437</v>
      </c>
      <c r="C8" s="5" t="n">
        <f aca="false">'Votos por partido'!C8+'Votos por partido'!D8+'Votos por partido'!E8+'Votos por partido'!J8+'Votos por partido'!K8+'Votos por partido'!L8+'Votos por partido'!M8</f>
        <v>617208</v>
      </c>
      <c r="D8" s="5" t="n">
        <f aca="false">'Votos por partido'!H8</f>
        <v>85857</v>
      </c>
      <c r="E8" s="5" t="n">
        <f aca="false">'Votos por partido'!R8</f>
        <v>1203</v>
      </c>
      <c r="F8" s="5" t="n">
        <f aca="false">'Votos por partido'!S8</f>
        <v>31004</v>
      </c>
      <c r="G8" s="5" t="n">
        <f aca="false">'Votos por partido'!T8</f>
        <v>1588709</v>
      </c>
      <c r="H8" s="5" t="n">
        <f aca="false">'Votos por partido'!U8</f>
        <v>2414990</v>
      </c>
      <c r="I8" s="9" t="n">
        <f aca="false">G8/H8</f>
        <v>0.65785324162833</v>
      </c>
      <c r="J8" s="9" t="n">
        <f aca="false">B8/G8</f>
        <v>0.537189000628813</v>
      </c>
      <c r="K8" s="9" t="n">
        <f aca="false">C8/G8</f>
        <v>0.388496571744731</v>
      </c>
      <c r="L8" s="9" t="n">
        <f aca="false">D8/G8</f>
        <v>0.0540419925864334</v>
      </c>
      <c r="M8" s="9" t="n">
        <f aca="false">F8/G8</f>
        <v>0.0195152164430365</v>
      </c>
      <c r="N8" s="4" t="str">
        <f aca="false">INDEX($B$3:$D$3,MATCH(MAX(B8:D8),B8:D8,0))</f>
        <v>Sheinbaum (PVEM-PT-Morena)</v>
      </c>
      <c r="O8" s="13" t="n">
        <f aca="false">(MAX(B8:D8)-LARGE(B8:D8,2))/G8*100</f>
        <v>14.8692428884081</v>
      </c>
      <c r="P8" s="4" t="n">
        <f aca="false">COUNTIFS('Por distrito'!$A$4:$A$303,$A8,'Por distrito'!$M$4:$M$303,B$3)</f>
        <v>8</v>
      </c>
      <c r="Q8" s="4" t="n">
        <f aca="false">COUNTIFS('Por distrito'!$A$4:$A$303,$A8,'Por distrito'!$M$4:$M$303,C$3)</f>
        <v>0</v>
      </c>
      <c r="R8" s="4" t="n">
        <f aca="false">COUNTIFS('Por distrito'!$A$4:$A$303,$A8,'Por distrito'!$M$4:$M$303,D$3)</f>
        <v>0</v>
      </c>
      <c r="S8" s="4" t="n">
        <f aca="false">COUNTIF('Por distrito'!$A$4:$A$303,$A8)</f>
        <v>8</v>
      </c>
    </row>
    <row r="9" customFormat="false" ht="15" hidden="false" customHeight="false" outlineLevel="0" collapsed="false">
      <c r="A9" s="4" t="str">
        <f aca="false">'Votos por partido'!A9</f>
        <v>Colima</v>
      </c>
      <c r="B9" s="5" t="n">
        <f aca="false">'Votos por partido'!F9+'Votos por partido'!G9+'Votos por partido'!I9+'Votos por partido'!N9+'Votos por partido'!O9+'Votos por partido'!P9+'Votos por partido'!Q9</f>
        <v>188093</v>
      </c>
      <c r="C9" s="5" t="n">
        <f aca="false">'Votos por partido'!C9+'Votos por partido'!D9+'Votos por partido'!E9+'Votos por partido'!J9+'Votos por partido'!K9+'Votos por partido'!L9+'Votos por partido'!M9</f>
        <v>103580</v>
      </c>
      <c r="D9" s="5" t="n">
        <f aca="false">'Votos por partido'!H9</f>
        <v>46092</v>
      </c>
      <c r="E9" s="5" t="n">
        <f aca="false">'Votos por partido'!R9</f>
        <v>698</v>
      </c>
      <c r="F9" s="5" t="n">
        <f aca="false">'Votos por partido'!S9</f>
        <v>7247</v>
      </c>
      <c r="G9" s="5" t="n">
        <f aca="false">'Votos por partido'!T9</f>
        <v>345710</v>
      </c>
      <c r="H9" s="5" t="n">
        <f aca="false">'Votos por partido'!U9</f>
        <v>585817</v>
      </c>
      <c r="I9" s="9" t="n">
        <f aca="false">G9/H9</f>
        <v>0.590133096171671</v>
      </c>
      <c r="J9" s="9" t="n">
        <f aca="false">B9/G9</f>
        <v>0.544077405918255</v>
      </c>
      <c r="K9" s="9" t="n">
        <f aca="false">C9/G9</f>
        <v>0.299615284486998</v>
      </c>
      <c r="L9" s="9" t="n">
        <f aca="false">D9/G9</f>
        <v>0.133325619739088</v>
      </c>
      <c r="M9" s="9" t="n">
        <f aca="false">F9/G9</f>
        <v>0.0209626565618582</v>
      </c>
      <c r="N9" s="4" t="str">
        <f aca="false">INDEX($B$3:$D$3,MATCH(MAX(B9:D9),B9:D9,0))</f>
        <v>Sheinbaum (PVEM-PT-Morena)</v>
      </c>
      <c r="O9" s="13" t="n">
        <f aca="false">(MAX(B9:D9)-LARGE(B9:D9,2))/G9*100</f>
        <v>24.4462121431257</v>
      </c>
      <c r="P9" s="4" t="n">
        <f aca="false">COUNTIFS('Por distrito'!$A$4:$A$303,$A9,'Por distrito'!$M$4:$M$303,B$3)</f>
        <v>2</v>
      </c>
      <c r="Q9" s="4" t="n">
        <f aca="false">COUNTIFS('Por distrito'!$A$4:$A$303,$A9,'Por distrito'!$M$4:$M$303,C$3)</f>
        <v>0</v>
      </c>
      <c r="R9" s="4" t="n">
        <f aca="false">COUNTIFS('Por distrito'!$A$4:$A$303,$A9,'Por distrito'!$M$4:$M$303,D$3)</f>
        <v>0</v>
      </c>
      <c r="S9" s="4" t="n">
        <f aca="false">COUNTIF('Por distrito'!$A$4:$A$303,$A9)</f>
        <v>2</v>
      </c>
    </row>
    <row r="10" customFormat="false" ht="15" hidden="false" customHeight="false" outlineLevel="0" collapsed="false">
      <c r="A10" s="4" t="str">
        <f aca="false">'Votos por partido'!A10</f>
        <v>Chiapas</v>
      </c>
      <c r="B10" s="5" t="n">
        <f aca="false">'Votos por partido'!F10+'Votos por partido'!G10+'Votos por partido'!I10+'Votos por partido'!N10+'Votos por partido'!O10+'Votos por partido'!P10+'Votos por partido'!Q10</f>
        <v>1769444</v>
      </c>
      <c r="C10" s="5" t="n">
        <f aca="false">'Votos por partido'!C10+'Votos por partido'!D10+'Votos por partido'!E10+'Votos por partido'!J10+'Votos por partido'!K10+'Votos por partido'!L10+'Votos por partido'!M10</f>
        <v>412846</v>
      </c>
      <c r="D10" s="5" t="n">
        <f aca="false">'Votos por partido'!H10</f>
        <v>183101</v>
      </c>
      <c r="E10" s="5" t="n">
        <f aca="false">'Votos por partido'!R10</f>
        <v>2269</v>
      </c>
      <c r="F10" s="5" t="n">
        <f aca="false">'Votos por partido'!S10</f>
        <v>105298</v>
      </c>
      <c r="G10" s="5" t="n">
        <f aca="false">'Votos por partido'!T10</f>
        <v>2472958</v>
      </c>
      <c r="H10" s="5" t="n">
        <f aca="false">'Votos por partido'!U10</f>
        <v>3948293</v>
      </c>
      <c r="I10" s="9" t="n">
        <f aca="false">G10/H10</f>
        <v>0.626335988742477</v>
      </c>
      <c r="J10" s="9" t="n">
        <f aca="false">B10/G10</f>
        <v>0.71551720651948</v>
      </c>
      <c r="K10" s="9" t="n">
        <f aca="false">C10/G10</f>
        <v>0.166944202044677</v>
      </c>
      <c r="L10" s="9" t="n">
        <f aca="false">D10/G10</f>
        <v>0.0740412898237657</v>
      </c>
      <c r="M10" s="9" t="n">
        <f aca="false">F10/G10</f>
        <v>0.0425797769311084</v>
      </c>
      <c r="N10" s="4" t="str">
        <f aca="false">INDEX($B$3:$D$3,MATCH(MAX(B10:D10),B10:D10,0))</f>
        <v>Sheinbaum (PVEM-PT-Morena)</v>
      </c>
      <c r="O10" s="13" t="n">
        <f aca="false">(MAX(B10:D10)-LARGE(B10:D10,2))/G10*100</f>
        <v>54.8573004474803</v>
      </c>
      <c r="P10" s="4" t="n">
        <f aca="false">COUNTIFS('Por distrito'!$A$4:$A$303,$A10,'Por distrito'!$M$4:$M$303,B$3)</f>
        <v>13</v>
      </c>
      <c r="Q10" s="4" t="n">
        <f aca="false">COUNTIFS('Por distrito'!$A$4:$A$303,$A10,'Por distrito'!$M$4:$M$303,C$3)</f>
        <v>0</v>
      </c>
      <c r="R10" s="4" t="n">
        <f aca="false">COUNTIFS('Por distrito'!$A$4:$A$303,$A10,'Por distrito'!$M$4:$M$303,D$3)</f>
        <v>0</v>
      </c>
      <c r="S10" s="4" t="n">
        <f aca="false">COUNTIF('Por distrito'!$A$4:$A$303,$A10)</f>
        <v>13</v>
      </c>
    </row>
    <row r="11" customFormat="false" ht="15" hidden="false" customHeight="false" outlineLevel="0" collapsed="false">
      <c r="A11" s="4" t="str">
        <f aca="false">'Votos por partido'!A11</f>
        <v>Chihuahua</v>
      </c>
      <c r="B11" s="5" t="n">
        <f aca="false">'Votos por partido'!F11+'Votos por partido'!G11+'Votos por partido'!I11+'Votos por partido'!N11+'Votos por partido'!O11+'Votos por partido'!P11+'Votos por partido'!Q11</f>
        <v>885869</v>
      </c>
      <c r="C11" s="5" t="n">
        <f aca="false">'Votos por partido'!C11+'Votos por partido'!D11+'Votos por partido'!E11+'Votos por partido'!J11+'Votos por partido'!K11+'Votos por partido'!L11+'Votos por partido'!M11</f>
        <v>559690</v>
      </c>
      <c r="D11" s="5" t="n">
        <f aca="false">'Votos por partido'!H11</f>
        <v>157077</v>
      </c>
      <c r="E11" s="5" t="n">
        <f aca="false">'Votos por partido'!R11</f>
        <v>2280</v>
      </c>
      <c r="F11" s="5" t="n">
        <f aca="false">'Votos por partido'!S11</f>
        <v>39737</v>
      </c>
      <c r="G11" s="5" t="n">
        <f aca="false">'Votos por partido'!T11</f>
        <v>1644653</v>
      </c>
      <c r="H11" s="5" t="n">
        <f aca="false">'Votos por partido'!U11</f>
        <v>3090113</v>
      </c>
      <c r="I11" s="9" t="n">
        <f aca="false">G11/H11</f>
        <v>0.532230698359575</v>
      </c>
      <c r="J11" s="9" t="n">
        <f aca="false">B11/G11</f>
        <v>0.538635809499025</v>
      </c>
      <c r="K11" s="9" t="n">
        <f aca="false">C11/G11</f>
        <v>0.340308867584834</v>
      </c>
      <c r="L11" s="9" t="n">
        <f aca="false">D11/G11</f>
        <v>0.0955076845997302</v>
      </c>
      <c r="M11" s="9" t="n">
        <f aca="false">F11/G11</f>
        <v>0.0241613276478382</v>
      </c>
      <c r="N11" s="4" t="str">
        <f aca="false">INDEX($B$3:$D$3,MATCH(MAX(B11:D11),B11:D11,0))</f>
        <v>Sheinbaum (PVEM-PT-Morena)</v>
      </c>
      <c r="O11" s="13" t="n">
        <f aca="false">(MAX(B11:D11)-LARGE(B11:D11,2))/G11*100</f>
        <v>19.8326941914191</v>
      </c>
      <c r="P11" s="4" t="n">
        <f aca="false">COUNTIFS('Por distrito'!$A$4:$A$303,$A11,'Por distrito'!$M$4:$M$303,B$3)</f>
        <v>8</v>
      </c>
      <c r="Q11" s="4" t="n">
        <f aca="false">COUNTIFS('Por distrito'!$A$4:$A$303,$A11,'Por distrito'!$M$4:$M$303,C$3)</f>
        <v>1</v>
      </c>
      <c r="R11" s="4" t="n">
        <f aca="false">COUNTIFS('Por distrito'!$A$4:$A$303,$A11,'Por distrito'!$M$4:$M$303,D$3)</f>
        <v>0</v>
      </c>
      <c r="S11" s="4" t="n">
        <f aca="false">COUNTIF('Por distrito'!$A$4:$A$303,$A11)</f>
        <v>9</v>
      </c>
    </row>
    <row r="12" customFormat="false" ht="15" hidden="false" customHeight="false" outlineLevel="0" collapsed="false">
      <c r="A12" s="4" t="str">
        <f aca="false">'Votos por partido'!A12</f>
        <v>Ciudad de México</v>
      </c>
      <c r="B12" s="5" t="n">
        <f aca="false">'Votos por partido'!F12+'Votos por partido'!G12+'Votos por partido'!I12+'Votos por partido'!N12+'Votos por partido'!O12+'Votos por partido'!P12+'Votos por partido'!Q12</f>
        <v>3095413</v>
      </c>
      <c r="C12" s="5" t="n">
        <f aca="false">'Votos por partido'!C12+'Votos por partido'!D12+'Votos por partido'!E12+'Votos por partido'!J12+'Votos por partido'!K12+'Votos por partido'!L12+'Votos por partido'!M12</f>
        <v>1937152</v>
      </c>
      <c r="D12" s="5" t="n">
        <f aca="false">'Votos por partido'!H12</f>
        <v>467960</v>
      </c>
      <c r="E12" s="5" t="n">
        <f aca="false">'Votos por partido'!R12</f>
        <v>9723</v>
      </c>
      <c r="F12" s="5" t="n">
        <f aca="false">'Votos por partido'!S12</f>
        <v>97303</v>
      </c>
      <c r="G12" s="5" t="n">
        <f aca="false">'Votos por partido'!T12</f>
        <v>5607551</v>
      </c>
      <c r="H12" s="5" t="n">
        <f aca="false">'Votos por partido'!U12</f>
        <v>7971324</v>
      </c>
      <c r="I12" s="9" t="n">
        <f aca="false">G12/H12</f>
        <v>0.703465446894393</v>
      </c>
      <c r="J12" s="9" t="n">
        <f aca="false">B12/G12</f>
        <v>0.552007997787269</v>
      </c>
      <c r="K12" s="9" t="n">
        <f aca="false">C12/G12</f>
        <v>0.34545419203499</v>
      </c>
      <c r="L12" s="9" t="n">
        <f aca="false">D12/G12</f>
        <v>0.0834517599572434</v>
      </c>
      <c r="M12" s="9" t="n">
        <f aca="false">F12/G12</f>
        <v>0.0173521382150604</v>
      </c>
      <c r="N12" s="4" t="str">
        <f aca="false">INDEX($B$3:$D$3,MATCH(MAX(B12:D12),B12:D12,0))</f>
        <v>Sheinbaum (PVEM-PT-Morena)</v>
      </c>
      <c r="O12" s="13" t="n">
        <f aca="false">(MAX(B12:D12)-LARGE(B12:D12,2))/G12*100</f>
        <v>20.6553805752279</v>
      </c>
      <c r="P12" s="4" t="n">
        <f aca="false">COUNTIFS('Por distrito'!$A$4:$A$303,$A12,'Por distrito'!$M$4:$M$303,B$3)</f>
        <v>20</v>
      </c>
      <c r="Q12" s="4" t="n">
        <f aca="false">COUNTIFS('Por distrito'!$A$4:$A$303,$A12,'Por distrito'!$M$4:$M$303,C$3)</f>
        <v>2</v>
      </c>
      <c r="R12" s="4" t="n">
        <f aca="false">COUNTIFS('Por distrito'!$A$4:$A$303,$A12,'Por distrito'!$M$4:$M$303,D$3)</f>
        <v>0</v>
      </c>
      <c r="S12" s="4" t="n">
        <f aca="false">COUNTIF('Por distrito'!$A$4:$A$303,$A12)</f>
        <v>22</v>
      </c>
    </row>
    <row r="13" customFormat="false" ht="15" hidden="false" customHeight="false" outlineLevel="0" collapsed="false">
      <c r="A13" s="4" t="str">
        <f aca="false">'Votos por partido'!A13</f>
        <v>Durango</v>
      </c>
      <c r="B13" s="5" t="n">
        <f aca="false">'Votos por partido'!F13+'Votos por partido'!G13+'Votos por partido'!I13+'Votos por partido'!N13+'Votos por partido'!O13+'Votos por partido'!P13+'Votos por partido'!Q13</f>
        <v>455237</v>
      </c>
      <c r="C13" s="5" t="n">
        <f aca="false">'Votos por partido'!C13+'Votos por partido'!D13+'Votos por partido'!E13+'Votos por partido'!J13+'Votos por partido'!K13+'Votos por partido'!L13+'Votos por partido'!M13</f>
        <v>250283</v>
      </c>
      <c r="D13" s="5" t="n">
        <f aca="false">'Votos por partido'!H13</f>
        <v>56129</v>
      </c>
      <c r="E13" s="5" t="n">
        <f aca="false">'Votos por partido'!R13</f>
        <v>698</v>
      </c>
      <c r="F13" s="5" t="n">
        <f aca="false">'Votos por partido'!S13</f>
        <v>16563</v>
      </c>
      <c r="G13" s="5" t="n">
        <f aca="false">'Votos por partido'!T13</f>
        <v>778910</v>
      </c>
      <c r="H13" s="5" t="n">
        <f aca="false">'Votos por partido'!U13</f>
        <v>1402239</v>
      </c>
      <c r="I13" s="9" t="n">
        <f aca="false">G13/H13</f>
        <v>0.555475921009186</v>
      </c>
      <c r="J13" s="9" t="n">
        <f aca="false">B13/G13</f>
        <v>0.584453916370312</v>
      </c>
      <c r="K13" s="9" t="n">
        <f aca="false">C13/G13</f>
        <v>0.321324671656546</v>
      </c>
      <c r="L13" s="9" t="n">
        <f aca="false">D13/G13</f>
        <v>0.0720609569783415</v>
      </c>
      <c r="M13" s="9" t="n">
        <f aca="false">F13/G13</f>
        <v>0.0212643309239835</v>
      </c>
      <c r="N13" s="4" t="str">
        <f aca="false">INDEX($B$3:$D$3,MATCH(MAX(B13:D13),B13:D13,0))</f>
        <v>Sheinbaum (PVEM-PT-Morena)</v>
      </c>
      <c r="O13" s="13" t="n">
        <f aca="false">(MAX(B13:D13)-LARGE(B13:D13,2))/G13*100</f>
        <v>26.3129244713767</v>
      </c>
      <c r="P13" s="4" t="n">
        <f aca="false">COUNTIFS('Por distrito'!$A$4:$A$303,$A13,'Por distrito'!$M$4:$M$303,B$3)</f>
        <v>4</v>
      </c>
      <c r="Q13" s="4" t="n">
        <f aca="false">COUNTIFS('Por distrito'!$A$4:$A$303,$A13,'Por distrito'!$M$4:$M$303,C$3)</f>
        <v>0</v>
      </c>
      <c r="R13" s="4" t="n">
        <f aca="false">COUNTIFS('Por distrito'!$A$4:$A$303,$A13,'Por distrito'!$M$4:$M$303,D$3)</f>
        <v>0</v>
      </c>
      <c r="S13" s="4" t="n">
        <f aca="false">COUNTIF('Por distrito'!$A$4:$A$303,$A13)</f>
        <v>4</v>
      </c>
    </row>
    <row r="14" customFormat="false" ht="15" hidden="false" customHeight="false" outlineLevel="0" collapsed="false">
      <c r="A14" s="4" t="str">
        <f aca="false">'Votos por partido'!A14</f>
        <v>Guanajuato</v>
      </c>
      <c r="B14" s="5" t="n">
        <f aca="false">'Votos por partido'!F14+'Votos por partido'!G14+'Votos por partido'!I14+'Votos por partido'!N14+'Votos por partido'!O14+'Votos por partido'!P14+'Votos por partido'!Q14</f>
        <v>1302706</v>
      </c>
      <c r="C14" s="5" t="n">
        <f aca="false">'Votos por partido'!C14+'Votos por partido'!D14+'Votos por partido'!E14+'Votos por partido'!J14+'Votos por partido'!K14+'Votos por partido'!L14+'Votos por partido'!M14</f>
        <v>1103326</v>
      </c>
      <c r="D14" s="5" t="n">
        <f aca="false">'Votos por partido'!H14</f>
        <v>291379</v>
      </c>
      <c r="E14" s="5" t="n">
        <f aca="false">'Votos por partido'!R14</f>
        <v>4613</v>
      </c>
      <c r="F14" s="5" t="n">
        <f aca="false">'Votos por partido'!S14</f>
        <v>57068</v>
      </c>
      <c r="G14" s="5" t="n">
        <f aca="false">'Votos por partido'!T14</f>
        <v>2759092</v>
      </c>
      <c r="H14" s="5" t="n">
        <f aca="false">'Votos por partido'!U14</f>
        <v>4843711</v>
      </c>
      <c r="I14" s="9" t="n">
        <f aca="false">G14/H14</f>
        <v>0.569623579936953</v>
      </c>
      <c r="J14" s="9" t="n">
        <f aca="false">B14/G14</f>
        <v>0.472150258128399</v>
      </c>
      <c r="K14" s="9" t="n">
        <f aca="false">C14/G14</f>
        <v>0.399887354245527</v>
      </c>
      <c r="L14" s="9" t="n">
        <f aca="false">D14/G14</f>
        <v>0.105606844570605</v>
      </c>
      <c r="M14" s="9" t="n">
        <f aca="false">F14/G14</f>
        <v>0.0206836162041715</v>
      </c>
      <c r="N14" s="4" t="str">
        <f aca="false">INDEX($B$3:$D$3,MATCH(MAX(B14:D14),B14:D14,0))</f>
        <v>Sheinbaum (PVEM-PT-Morena)</v>
      </c>
      <c r="O14" s="13" t="n">
        <f aca="false">(MAX(B14:D14)-LARGE(B14:D14,2))/G14*100</f>
        <v>7.22629038828716</v>
      </c>
      <c r="P14" s="4" t="n">
        <f aca="false">COUNTIFS('Por distrito'!$A$4:$A$303,$A14,'Por distrito'!$M$4:$M$303,B$3)</f>
        <v>10</v>
      </c>
      <c r="Q14" s="4" t="n">
        <f aca="false">COUNTIFS('Por distrito'!$A$4:$A$303,$A14,'Por distrito'!$M$4:$M$303,C$3)</f>
        <v>5</v>
      </c>
      <c r="R14" s="4" t="n">
        <f aca="false">COUNTIFS('Por distrito'!$A$4:$A$303,$A14,'Por distrito'!$M$4:$M$303,D$3)</f>
        <v>0</v>
      </c>
      <c r="S14" s="4" t="n">
        <f aca="false">COUNTIF('Por distrito'!$A$4:$A$303,$A14)</f>
        <v>15</v>
      </c>
    </row>
    <row r="15" customFormat="false" ht="15" hidden="false" customHeight="false" outlineLevel="0" collapsed="false">
      <c r="A15" s="4" t="str">
        <f aca="false">'Votos por partido'!A15</f>
        <v>Guerrero</v>
      </c>
      <c r="B15" s="5" t="n">
        <f aca="false">'Votos por partido'!F15+'Votos por partido'!G15+'Votos por partido'!I15+'Votos por partido'!N15+'Votos por partido'!O15+'Votos por partido'!P15+'Votos por partido'!Q15</f>
        <v>1110844</v>
      </c>
      <c r="C15" s="5" t="n">
        <f aca="false">'Votos por partido'!C15+'Votos por partido'!D15+'Votos por partido'!E15+'Votos por partido'!J15+'Votos por partido'!K15+'Votos por partido'!L15+'Votos por partido'!M15</f>
        <v>291130</v>
      </c>
      <c r="D15" s="5" t="n">
        <f aca="false">'Votos por partido'!H15</f>
        <v>98827</v>
      </c>
      <c r="E15" s="5" t="n">
        <f aca="false">'Votos por partido'!R15</f>
        <v>1430</v>
      </c>
      <c r="F15" s="5" t="n">
        <f aca="false">'Votos por partido'!S15</f>
        <v>47869</v>
      </c>
      <c r="G15" s="5" t="n">
        <f aca="false">'Votos por partido'!T15</f>
        <v>1550100</v>
      </c>
      <c r="H15" s="5" t="n">
        <f aca="false">'Votos por partido'!U15</f>
        <v>2651803</v>
      </c>
      <c r="I15" s="9" t="n">
        <f aca="false">G15/H15</f>
        <v>0.584545684577625</v>
      </c>
      <c r="J15" s="9" t="n">
        <f aca="false">B15/G15</f>
        <v>0.716627314366815</v>
      </c>
      <c r="K15" s="9" t="n">
        <f aca="false">C15/G15</f>
        <v>0.187813689439391</v>
      </c>
      <c r="L15" s="9" t="n">
        <f aca="false">D15/G15</f>
        <v>0.0637552415973163</v>
      </c>
      <c r="M15" s="9" t="n">
        <f aca="false">F15/G15</f>
        <v>0.0308812334688085</v>
      </c>
      <c r="N15" s="4" t="str">
        <f aca="false">INDEX($B$3:$D$3,MATCH(MAX(B15:D15),B15:D15,0))</f>
        <v>Sheinbaum (PVEM-PT-Morena)</v>
      </c>
      <c r="O15" s="13" t="n">
        <f aca="false">(MAX(B15:D15)-LARGE(B15:D15,2))/G15*100</f>
        <v>52.8813624927424</v>
      </c>
      <c r="P15" s="4" t="n">
        <f aca="false">COUNTIFS('Por distrito'!$A$4:$A$303,$A15,'Por distrito'!$M$4:$M$303,B$3)</f>
        <v>8</v>
      </c>
      <c r="Q15" s="4" t="n">
        <f aca="false">COUNTIFS('Por distrito'!$A$4:$A$303,$A15,'Por distrito'!$M$4:$M$303,C$3)</f>
        <v>0</v>
      </c>
      <c r="R15" s="4" t="n">
        <f aca="false">COUNTIFS('Por distrito'!$A$4:$A$303,$A15,'Por distrito'!$M$4:$M$303,D$3)</f>
        <v>0</v>
      </c>
      <c r="S15" s="4" t="n">
        <f aca="false">COUNTIF('Por distrito'!$A$4:$A$303,$A15)</f>
        <v>8</v>
      </c>
    </row>
    <row r="16" customFormat="false" ht="15" hidden="false" customHeight="false" outlineLevel="0" collapsed="false">
      <c r="A16" s="4" t="str">
        <f aca="false">'Votos por partido'!A16</f>
        <v>Hidalgo</v>
      </c>
      <c r="B16" s="5" t="n">
        <f aca="false">'Votos por partido'!F16+'Votos por partido'!G16+'Votos por partido'!I16+'Votos por partido'!N16+'Votos por partido'!O16+'Votos por partido'!P16+'Votos por partido'!Q16</f>
        <v>1043873</v>
      </c>
      <c r="C16" s="5" t="n">
        <f aca="false">'Votos por partido'!C16+'Votos por partido'!D16+'Votos por partido'!E16+'Votos por partido'!J16+'Votos por partido'!K16+'Votos por partido'!L16+'Votos por partido'!M16</f>
        <v>307056</v>
      </c>
      <c r="D16" s="5" t="n">
        <f aca="false">'Votos por partido'!H16</f>
        <v>159899</v>
      </c>
      <c r="E16" s="5" t="n">
        <f aca="false">'Votos por partido'!R16</f>
        <v>1586</v>
      </c>
      <c r="F16" s="5" t="n">
        <f aca="false">'Votos por partido'!S16</f>
        <v>35547</v>
      </c>
      <c r="G16" s="5" t="n">
        <f aca="false">'Votos por partido'!T16</f>
        <v>1547961</v>
      </c>
      <c r="H16" s="5" t="n">
        <f aca="false">'Votos por partido'!U16</f>
        <v>2391872</v>
      </c>
      <c r="I16" s="9" t="n">
        <f aca="false">G16/H16</f>
        <v>0.647175517753458</v>
      </c>
      <c r="J16" s="9" t="n">
        <f aca="false">B16/G16</f>
        <v>0.674353552834987</v>
      </c>
      <c r="K16" s="9" t="n">
        <f aca="false">C16/G16</f>
        <v>0.198361586629121</v>
      </c>
      <c r="L16" s="9" t="n">
        <f aca="false">D16/G16</f>
        <v>0.103296530080538</v>
      </c>
      <c r="M16" s="9" t="n">
        <f aca="false">F16/G16</f>
        <v>0.0229637568388351</v>
      </c>
      <c r="N16" s="4" t="str">
        <f aca="false">INDEX($B$3:$D$3,MATCH(MAX(B16:D16),B16:D16,0))</f>
        <v>Sheinbaum (PVEM-PT-Morena)</v>
      </c>
      <c r="O16" s="13" t="n">
        <f aca="false">(MAX(B16:D16)-LARGE(B16:D16,2))/G16*100</f>
        <v>47.5991966205867</v>
      </c>
      <c r="P16" s="4" t="n">
        <f aca="false">COUNTIFS('Por distrito'!$A$4:$A$303,$A16,'Por distrito'!$M$4:$M$303,B$3)</f>
        <v>7</v>
      </c>
      <c r="Q16" s="4" t="n">
        <f aca="false">COUNTIFS('Por distrito'!$A$4:$A$303,$A16,'Por distrito'!$M$4:$M$303,C$3)</f>
        <v>0</v>
      </c>
      <c r="R16" s="4" t="n">
        <f aca="false">COUNTIFS('Por distrito'!$A$4:$A$303,$A16,'Por distrito'!$M$4:$M$303,D$3)</f>
        <v>0</v>
      </c>
      <c r="S16" s="4" t="n">
        <f aca="false">COUNTIF('Por distrito'!$A$4:$A$303,$A16)</f>
        <v>7</v>
      </c>
    </row>
    <row r="17" customFormat="false" ht="15" hidden="false" customHeight="false" outlineLevel="0" collapsed="false">
      <c r="A17" s="4" t="str">
        <f aca="false">'Votos por partido'!A17</f>
        <v>Jalisco</v>
      </c>
      <c r="B17" s="5" t="n">
        <f aca="false">'Votos por partido'!F17+'Votos por partido'!G17+'Votos por partido'!I17+'Votos por partido'!N17+'Votos por partido'!O17+'Votos por partido'!P17+'Votos por partido'!Q17</f>
        <v>1720921</v>
      </c>
      <c r="C17" s="5" t="n">
        <f aca="false">'Votos por partido'!C17+'Votos por partido'!D17+'Votos por partido'!E17+'Votos por partido'!J17+'Votos por partido'!K17+'Votos por partido'!L17+'Votos por partido'!M17</f>
        <v>1384825</v>
      </c>
      <c r="D17" s="5" t="n">
        <f aca="false">'Votos por partido'!H17</f>
        <v>670462</v>
      </c>
      <c r="E17" s="5" t="n">
        <f aca="false">'Votos por partido'!R17</f>
        <v>8652</v>
      </c>
      <c r="F17" s="5" t="n">
        <f aca="false">'Votos por partido'!S17</f>
        <v>87479</v>
      </c>
      <c r="G17" s="5" t="n">
        <f aca="false">'Votos por partido'!T17</f>
        <v>3872339</v>
      </c>
      <c r="H17" s="5" t="n">
        <f aca="false">'Votos por partido'!U17</f>
        <v>6643371</v>
      </c>
      <c r="I17" s="9" t="n">
        <f aca="false">G17/H17</f>
        <v>0.582887663506976</v>
      </c>
      <c r="J17" s="9" t="n">
        <f aca="false">B17/G17</f>
        <v>0.444413828438058</v>
      </c>
      <c r="K17" s="9" t="n">
        <f aca="false">C17/G17</f>
        <v>0.357619774508379</v>
      </c>
      <c r="L17" s="9" t="n">
        <f aca="false">D17/G17</f>
        <v>0.173141349453134</v>
      </c>
      <c r="M17" s="9" t="n">
        <f aca="false">F17/G17</f>
        <v>0.0225907390856018</v>
      </c>
      <c r="N17" s="4" t="str">
        <f aca="false">INDEX($B$3:$D$3,MATCH(MAX(B17:D17),B17:D17,0))</f>
        <v>Sheinbaum (PVEM-PT-Morena)</v>
      </c>
      <c r="O17" s="13" t="n">
        <f aca="false">(MAX(B17:D17)-LARGE(B17:D17,2))/G17*100</f>
        <v>8.67940539296792</v>
      </c>
      <c r="P17" s="4" t="n">
        <f aca="false">COUNTIFS('Por distrito'!$A$4:$A$303,$A17,'Por distrito'!$M$4:$M$303,B$3)</f>
        <v>13</v>
      </c>
      <c r="Q17" s="4" t="n">
        <f aca="false">COUNTIFS('Por distrito'!$A$4:$A$303,$A17,'Por distrito'!$M$4:$M$303,C$3)</f>
        <v>7</v>
      </c>
      <c r="R17" s="4" t="n">
        <f aca="false">COUNTIFS('Por distrito'!$A$4:$A$303,$A17,'Por distrito'!$M$4:$M$303,D$3)</f>
        <v>0</v>
      </c>
      <c r="S17" s="4" t="n">
        <f aca="false">COUNTIF('Por distrito'!$A$4:$A$303,$A17)</f>
        <v>20</v>
      </c>
    </row>
    <row r="18" customFormat="false" ht="15" hidden="false" customHeight="false" outlineLevel="0" collapsed="false">
      <c r="A18" s="4" t="str">
        <f aca="false">'Votos por partido'!A18</f>
        <v>México</v>
      </c>
      <c r="B18" s="5" t="n">
        <f aca="false">'Votos por partido'!F18+'Votos por partido'!G18+'Votos por partido'!I18+'Votos por partido'!N18+'Votos por partido'!O18+'Votos por partido'!P18+'Votos por partido'!Q18</f>
        <v>5125040</v>
      </c>
      <c r="C18" s="5" t="n">
        <f aca="false">'Votos por partido'!C18+'Votos por partido'!D18+'Votos por partido'!E18+'Votos por partido'!J18+'Votos por partido'!K18+'Votos por partido'!L18+'Votos por partido'!M18</f>
        <v>2241267</v>
      </c>
      <c r="D18" s="5" t="n">
        <f aca="false">'Votos por partido'!H18</f>
        <v>905529</v>
      </c>
      <c r="E18" s="5" t="n">
        <f aca="false">'Votos por partido'!R18</f>
        <v>10882</v>
      </c>
      <c r="F18" s="5" t="n">
        <f aca="false">'Votos por partido'!S18</f>
        <v>174459</v>
      </c>
      <c r="G18" s="5" t="n">
        <f aca="false">'Votos por partido'!T18</f>
        <v>8457177</v>
      </c>
      <c r="H18" s="5" t="n">
        <f aca="false">'Votos por partido'!U18</f>
        <v>13047896</v>
      </c>
      <c r="I18" s="9" t="n">
        <f aca="false">G18/H18</f>
        <v>0.648164041160353</v>
      </c>
      <c r="J18" s="9" t="n">
        <f aca="false">B18/G18</f>
        <v>0.605998904835502</v>
      </c>
      <c r="K18" s="9" t="n">
        <f aca="false">C18/G18</f>
        <v>0.265013609151139</v>
      </c>
      <c r="L18" s="9" t="n">
        <f aca="false">D18/G18</f>
        <v>0.10707225354276</v>
      </c>
      <c r="M18" s="9" t="n">
        <f aca="false">F18/G18</f>
        <v>0.020628514692314</v>
      </c>
      <c r="N18" s="4" t="str">
        <f aca="false">INDEX($B$3:$D$3,MATCH(MAX(B18:D18),B18:D18,0))</f>
        <v>Sheinbaum (PVEM-PT-Morena)</v>
      </c>
      <c r="O18" s="13" t="n">
        <f aca="false">(MAX(B18:D18)-LARGE(B18:D18,2))/G18*100</f>
        <v>34.0985295684364</v>
      </c>
      <c r="P18" s="4" t="n">
        <f aca="false">COUNTIFS('Por distrito'!$A$4:$A$303,$A18,'Por distrito'!$M$4:$M$303,B$3)</f>
        <v>39</v>
      </c>
      <c r="Q18" s="4" t="n">
        <f aca="false">COUNTIFS('Por distrito'!$A$4:$A$303,$A18,'Por distrito'!$M$4:$M$303,C$3)</f>
        <v>1</v>
      </c>
      <c r="R18" s="4" t="n">
        <f aca="false">COUNTIFS('Por distrito'!$A$4:$A$303,$A18,'Por distrito'!$M$4:$M$303,D$3)</f>
        <v>0</v>
      </c>
      <c r="S18" s="4" t="n">
        <f aca="false">COUNTIF('Por distrito'!$A$4:$A$303,$A18)</f>
        <v>40</v>
      </c>
    </row>
    <row r="19" customFormat="false" ht="15" hidden="false" customHeight="false" outlineLevel="0" collapsed="false">
      <c r="A19" s="4" t="str">
        <f aca="false">'Votos por partido'!A19</f>
        <v>Michoacán</v>
      </c>
      <c r="B19" s="5" t="n">
        <f aca="false">'Votos por partido'!F19+'Votos por partido'!G19+'Votos por partido'!I19+'Votos por partido'!N19+'Votos por partido'!O19+'Votos por partido'!P19+'Votos por partido'!Q19</f>
        <v>1140630</v>
      </c>
      <c r="C19" s="5" t="n">
        <f aca="false">'Votos por partido'!C19+'Votos por partido'!D19+'Votos por partido'!E19+'Votos por partido'!J19+'Votos por partido'!K19+'Votos por partido'!L19+'Votos por partido'!M19</f>
        <v>607301</v>
      </c>
      <c r="D19" s="5" t="n">
        <f aca="false">'Votos por partido'!H19</f>
        <v>250391</v>
      </c>
      <c r="E19" s="5" t="n">
        <f aca="false">'Votos por partido'!R19</f>
        <v>3808</v>
      </c>
      <c r="F19" s="5" t="n">
        <f aca="false">'Votos por partido'!S19</f>
        <v>69044</v>
      </c>
      <c r="G19" s="5" t="n">
        <f aca="false">'Votos por partido'!T19</f>
        <v>2071174</v>
      </c>
      <c r="H19" s="5" t="n">
        <f aca="false">'Votos por partido'!U19</f>
        <v>3709890</v>
      </c>
      <c r="I19" s="9" t="n">
        <f aca="false">G19/H19</f>
        <v>0.558284477437336</v>
      </c>
      <c r="J19" s="9" t="n">
        <f aca="false">B19/G19</f>
        <v>0.550716646694097</v>
      </c>
      <c r="K19" s="9" t="n">
        <f aca="false">C19/G19</f>
        <v>0.293215828317659</v>
      </c>
      <c r="L19" s="9" t="n">
        <f aca="false">D19/G19</f>
        <v>0.120893271159256</v>
      </c>
      <c r="M19" s="9" t="n">
        <f aca="false">F19/G19</f>
        <v>0.0333356830473924</v>
      </c>
      <c r="N19" s="4" t="str">
        <f aca="false">INDEX($B$3:$D$3,MATCH(MAX(B19:D19),B19:D19,0))</f>
        <v>Sheinbaum (PVEM-PT-Morena)</v>
      </c>
      <c r="O19" s="13" t="n">
        <f aca="false">(MAX(B19:D19)-LARGE(B19:D19,2))/G19*100</f>
        <v>25.7500818376438</v>
      </c>
      <c r="P19" s="4" t="n">
        <f aca="false">COUNTIFS('Por distrito'!$A$4:$A$303,$A19,'Por distrito'!$M$4:$M$303,B$3)</f>
        <v>10</v>
      </c>
      <c r="Q19" s="4" t="n">
        <f aca="false">COUNTIFS('Por distrito'!$A$4:$A$303,$A19,'Por distrito'!$M$4:$M$303,C$3)</f>
        <v>1</v>
      </c>
      <c r="R19" s="4" t="n">
        <f aca="false">COUNTIFS('Por distrito'!$A$4:$A$303,$A19,'Por distrito'!$M$4:$M$303,D$3)</f>
        <v>0</v>
      </c>
      <c r="S19" s="4" t="n">
        <f aca="false">COUNTIF('Por distrito'!$A$4:$A$303,$A19)</f>
        <v>11</v>
      </c>
    </row>
    <row r="20" customFormat="false" ht="15" hidden="false" customHeight="false" outlineLevel="0" collapsed="false">
      <c r="A20" s="4" t="str">
        <f aca="false">'Votos por partido'!A20</f>
        <v>Morelos</v>
      </c>
      <c r="B20" s="5" t="n">
        <f aca="false">'Votos por partido'!F20+'Votos por partido'!G20+'Votos por partido'!I20+'Votos por partido'!N20+'Votos por partido'!O20+'Votos por partido'!P20+'Votos por partido'!Q20</f>
        <v>631526</v>
      </c>
      <c r="C20" s="5" t="n">
        <f aca="false">'Votos por partido'!C20+'Votos por partido'!D20+'Votos por partido'!E20+'Votos por partido'!J20+'Votos por partido'!K20+'Votos por partido'!L20+'Votos por partido'!M20</f>
        <v>211169</v>
      </c>
      <c r="D20" s="5" t="n">
        <f aca="false">'Votos por partido'!H20</f>
        <v>126294</v>
      </c>
      <c r="E20" s="5" t="n">
        <f aca="false">'Votos por partido'!R20</f>
        <v>1075</v>
      </c>
      <c r="F20" s="5" t="n">
        <f aca="false">'Votos por partido'!S20</f>
        <v>19713</v>
      </c>
      <c r="G20" s="5" t="n">
        <f aca="false">'Votos por partido'!T20</f>
        <v>989777</v>
      </c>
      <c r="H20" s="5" t="n">
        <f aca="false">'Votos por partido'!U20</f>
        <v>1554378</v>
      </c>
      <c r="I20" s="9" t="n">
        <f aca="false">G20/H20</f>
        <v>0.636767247091763</v>
      </c>
      <c r="J20" s="9" t="n">
        <f aca="false">B20/G20</f>
        <v>0.638048772602313</v>
      </c>
      <c r="K20" s="9" t="n">
        <f aca="false">C20/G20</f>
        <v>0.213350077845818</v>
      </c>
      <c r="L20" s="9" t="n">
        <f aca="false">D20/G20</f>
        <v>0.127598438840264</v>
      </c>
      <c r="M20" s="9" t="n">
        <f aca="false">F20/G20</f>
        <v>0.0199166074782502</v>
      </c>
      <c r="N20" s="4" t="str">
        <f aca="false">INDEX($B$3:$D$3,MATCH(MAX(B20:D20),B20:D20,0))</f>
        <v>Sheinbaum (PVEM-PT-Morena)</v>
      </c>
      <c r="O20" s="13" t="n">
        <f aca="false">(MAX(B20:D20)-LARGE(B20:D20,2))/G20*100</f>
        <v>42.4698694756496</v>
      </c>
      <c r="P20" s="4" t="n">
        <f aca="false">COUNTIFS('Por distrito'!$A$4:$A$303,$A20,'Por distrito'!$M$4:$M$303,B$3)</f>
        <v>5</v>
      </c>
      <c r="Q20" s="4" t="n">
        <f aca="false">COUNTIFS('Por distrito'!$A$4:$A$303,$A20,'Por distrito'!$M$4:$M$303,C$3)</f>
        <v>0</v>
      </c>
      <c r="R20" s="4" t="n">
        <f aca="false">COUNTIFS('Por distrito'!$A$4:$A$303,$A20,'Por distrito'!$M$4:$M$303,D$3)</f>
        <v>0</v>
      </c>
      <c r="S20" s="4" t="n">
        <f aca="false">COUNTIF('Por distrito'!$A$4:$A$303,$A20)</f>
        <v>5</v>
      </c>
    </row>
    <row r="21" customFormat="false" ht="15" hidden="false" customHeight="false" outlineLevel="0" collapsed="false">
      <c r="A21" s="4" t="str">
        <f aca="false">'Votos por partido'!A21</f>
        <v>Nayarit</v>
      </c>
      <c r="B21" s="5" t="n">
        <f aca="false">'Votos por partido'!F21+'Votos por partido'!G21+'Votos por partido'!I21+'Votos por partido'!N21+'Votos por partido'!O21+'Votos por partido'!P21+'Votos por partido'!Q21</f>
        <v>342762</v>
      </c>
      <c r="C21" s="5" t="n">
        <f aca="false">'Votos por partido'!C21+'Votos por partido'!D21+'Votos por partido'!E21+'Votos por partido'!J21+'Votos por partido'!K21+'Votos por partido'!L21+'Votos por partido'!M21</f>
        <v>109487</v>
      </c>
      <c r="D21" s="5" t="n">
        <f aca="false">'Votos por partido'!H21</f>
        <v>74621</v>
      </c>
      <c r="E21" s="5" t="n">
        <f aca="false">'Votos por partido'!R21</f>
        <v>711</v>
      </c>
      <c r="F21" s="5" t="n">
        <f aca="false">'Votos por partido'!S21</f>
        <v>14134</v>
      </c>
      <c r="G21" s="5" t="n">
        <f aca="false">'Votos por partido'!T21</f>
        <v>541715</v>
      </c>
      <c r="H21" s="5" t="n">
        <f aca="false">'Votos por partido'!U21</f>
        <v>953638</v>
      </c>
      <c r="I21" s="9" t="n">
        <f aca="false">G21/H21</f>
        <v>0.568050979512142</v>
      </c>
      <c r="J21" s="9" t="n">
        <f aca="false">B21/G21</f>
        <v>0.632734925191291</v>
      </c>
      <c r="K21" s="9" t="n">
        <f aca="false">C21/G21</f>
        <v>0.20211181156143</v>
      </c>
      <c r="L21" s="9" t="n">
        <f aca="false">D21/G21</f>
        <v>0.137749554655123</v>
      </c>
      <c r="M21" s="9" t="n">
        <f aca="false">F21/G21</f>
        <v>0.0260912103227712</v>
      </c>
      <c r="N21" s="4" t="str">
        <f aca="false">INDEX($B$3:$D$3,MATCH(MAX(B21:D21),B21:D21,0))</f>
        <v>Sheinbaum (PVEM-PT-Morena)</v>
      </c>
      <c r="O21" s="13" t="n">
        <f aca="false">(MAX(B21:D21)-LARGE(B21:D21,2))/G21*100</f>
        <v>43.0623113629861</v>
      </c>
      <c r="P21" s="4" t="n">
        <f aca="false">COUNTIFS('Por distrito'!$A$4:$A$303,$A21,'Por distrito'!$M$4:$M$303,B$3)</f>
        <v>3</v>
      </c>
      <c r="Q21" s="4" t="n">
        <f aca="false">COUNTIFS('Por distrito'!$A$4:$A$303,$A21,'Por distrito'!$M$4:$M$303,C$3)</f>
        <v>0</v>
      </c>
      <c r="R21" s="4" t="n">
        <f aca="false">COUNTIFS('Por distrito'!$A$4:$A$303,$A21,'Por distrito'!$M$4:$M$303,D$3)</f>
        <v>0</v>
      </c>
      <c r="S21" s="4" t="n">
        <f aca="false">COUNTIF('Por distrito'!$A$4:$A$303,$A21)</f>
        <v>3</v>
      </c>
    </row>
    <row r="22" customFormat="false" ht="15" hidden="false" customHeight="false" outlineLevel="0" collapsed="false">
      <c r="A22" s="4" t="str">
        <f aca="false">'Votos por partido'!A22</f>
        <v>Nuevo León</v>
      </c>
      <c r="B22" s="5" t="n">
        <f aca="false">'Votos por partido'!F22+'Votos por partido'!G22+'Votos por partido'!I22+'Votos por partido'!N22+'Votos por partido'!O22+'Votos por partido'!P22+'Votos por partido'!Q22</f>
        <v>1159159</v>
      </c>
      <c r="C22" s="5" t="n">
        <f aca="false">'Votos por partido'!C22+'Votos por partido'!D22+'Votos por partido'!E22+'Votos por partido'!J22+'Votos por partido'!K22+'Votos por partido'!L22+'Votos por partido'!M22</f>
        <v>888064</v>
      </c>
      <c r="D22" s="5" t="n">
        <f aca="false">'Votos por partido'!H22</f>
        <v>463002</v>
      </c>
      <c r="E22" s="5" t="n">
        <f aca="false">'Votos por partido'!R22</f>
        <v>3398</v>
      </c>
      <c r="F22" s="5" t="n">
        <f aca="false">'Votos por partido'!S22</f>
        <v>50253</v>
      </c>
      <c r="G22" s="5" t="n">
        <f aca="false">'Votos por partido'!T22</f>
        <v>2563876</v>
      </c>
      <c r="H22" s="5" t="n">
        <f aca="false">'Votos por partido'!U22</f>
        <v>4477542</v>
      </c>
      <c r="I22" s="9" t="n">
        <f aca="false">G22/H22</f>
        <v>0.572607917469004</v>
      </c>
      <c r="J22" s="9" t="n">
        <f aca="false">B22/G22</f>
        <v>0.452111958612663</v>
      </c>
      <c r="K22" s="9" t="n">
        <f aca="false">C22/G22</f>
        <v>0.346375565744989</v>
      </c>
      <c r="L22" s="9" t="n">
        <f aca="false">D22/G22</f>
        <v>0.18058673664405</v>
      </c>
      <c r="M22" s="9" t="n">
        <f aca="false">F22/G22</f>
        <v>0.0196004018915111</v>
      </c>
      <c r="N22" s="4" t="str">
        <f aca="false">INDEX($B$3:$D$3,MATCH(MAX(B22:D22),B22:D22,0))</f>
        <v>Sheinbaum (PVEM-PT-Morena)</v>
      </c>
      <c r="O22" s="13" t="n">
        <f aca="false">(MAX(B22:D22)-LARGE(B22:D22,2))/G22*100</f>
        <v>10.5736392867674</v>
      </c>
      <c r="P22" s="4" t="n">
        <f aca="false">COUNTIFS('Por distrito'!$A$4:$A$303,$A22,'Por distrito'!$M$4:$M$303,B$3)</f>
        <v>10</v>
      </c>
      <c r="Q22" s="4" t="n">
        <f aca="false">COUNTIFS('Por distrito'!$A$4:$A$303,$A22,'Por distrito'!$M$4:$M$303,C$3)</f>
        <v>4</v>
      </c>
      <c r="R22" s="4" t="n">
        <f aca="false">COUNTIFS('Por distrito'!$A$4:$A$303,$A22,'Por distrito'!$M$4:$M$303,D$3)</f>
        <v>0</v>
      </c>
      <c r="S22" s="4" t="n">
        <f aca="false">COUNTIF('Por distrito'!$A$4:$A$303,$A22)</f>
        <v>14</v>
      </c>
    </row>
    <row r="23" customFormat="false" ht="15" hidden="false" customHeight="false" outlineLevel="0" collapsed="false">
      <c r="A23" s="4" t="str">
        <f aca="false">'Votos por partido'!A23</f>
        <v>Oaxaca</v>
      </c>
      <c r="B23" s="5" t="n">
        <f aca="false">'Votos por partido'!F23+'Votos por partido'!G23+'Votos por partido'!I23+'Votos por partido'!N23+'Votos por partido'!O23+'Votos por partido'!P23+'Votos por partido'!Q23</f>
        <v>1441211</v>
      </c>
      <c r="C23" s="5" t="n">
        <f aca="false">'Votos por partido'!C23+'Votos por partido'!D23+'Votos por partido'!E23+'Votos por partido'!J23+'Votos por partido'!K23+'Votos por partido'!L23+'Votos por partido'!M23</f>
        <v>271981</v>
      </c>
      <c r="D23" s="5" t="n">
        <f aca="false">'Votos por partido'!H23</f>
        <v>124621</v>
      </c>
      <c r="E23" s="5" t="n">
        <f aca="false">'Votos por partido'!R23</f>
        <v>1633</v>
      </c>
      <c r="F23" s="5" t="n">
        <f aca="false">'Votos por partido'!S23</f>
        <v>47631</v>
      </c>
      <c r="G23" s="5" t="n">
        <f aca="false">'Votos por partido'!T23</f>
        <v>1887077</v>
      </c>
      <c r="H23" s="5" t="n">
        <f aca="false">'Votos por partido'!U23</f>
        <v>3120558</v>
      </c>
      <c r="I23" s="9" t="n">
        <f aca="false">G23/H23</f>
        <v>0.604724219194131</v>
      </c>
      <c r="J23" s="9" t="n">
        <f aca="false">B23/G23</f>
        <v>0.763726652383554</v>
      </c>
      <c r="K23" s="9" t="n">
        <f aca="false">C23/G23</f>
        <v>0.144128194027059</v>
      </c>
      <c r="L23" s="9" t="n">
        <f aca="false">D23/G23</f>
        <v>0.0660391706326769</v>
      </c>
      <c r="M23" s="9" t="n">
        <f aca="false">F23/G23</f>
        <v>0.0252406234615758</v>
      </c>
      <c r="N23" s="4" t="str">
        <f aca="false">INDEX($B$3:$D$3,MATCH(MAX(B23:D23),B23:D23,0))</f>
        <v>Sheinbaum (PVEM-PT-Morena)</v>
      </c>
      <c r="O23" s="13" t="n">
        <f aca="false">(MAX(B23:D23)-LARGE(B23:D23,2))/G23*100</f>
        <v>61.9598458356495</v>
      </c>
      <c r="P23" s="4" t="n">
        <f aca="false">COUNTIFS('Por distrito'!$A$4:$A$303,$A23,'Por distrito'!$M$4:$M$303,B$3)</f>
        <v>10</v>
      </c>
      <c r="Q23" s="4" t="n">
        <f aca="false">COUNTIFS('Por distrito'!$A$4:$A$303,$A23,'Por distrito'!$M$4:$M$303,C$3)</f>
        <v>0</v>
      </c>
      <c r="R23" s="4" t="n">
        <f aca="false">COUNTIFS('Por distrito'!$A$4:$A$303,$A23,'Por distrito'!$M$4:$M$303,D$3)</f>
        <v>0</v>
      </c>
      <c r="S23" s="4" t="n">
        <f aca="false">COUNTIF('Por distrito'!$A$4:$A$303,$A23)</f>
        <v>10</v>
      </c>
    </row>
    <row r="24" customFormat="false" ht="15" hidden="false" customHeight="false" outlineLevel="0" collapsed="false">
      <c r="A24" s="4" t="str">
        <f aca="false">'Votos por partido'!A24</f>
        <v>Puebla</v>
      </c>
      <c r="B24" s="5" t="n">
        <f aca="false">'Votos por partido'!F24+'Votos por partido'!G24+'Votos por partido'!I24+'Votos por partido'!N24+'Votos por partido'!O24+'Votos por partido'!P24+'Votos por partido'!Q24</f>
        <v>2146741</v>
      </c>
      <c r="C24" s="5" t="n">
        <f aca="false">'Votos por partido'!C24+'Votos por partido'!D24+'Votos por partido'!E24+'Votos por partido'!J24+'Votos por partido'!K24+'Votos por partido'!L24+'Votos por partido'!M24</f>
        <v>716148</v>
      </c>
      <c r="D24" s="5" t="n">
        <f aca="false">'Votos por partido'!H24</f>
        <v>332071</v>
      </c>
      <c r="E24" s="5" t="n">
        <f aca="false">'Votos por partido'!R24</f>
        <v>4102</v>
      </c>
      <c r="F24" s="5" t="n">
        <f aca="false">'Votos por partido'!S24</f>
        <v>93890</v>
      </c>
      <c r="G24" s="5" t="n">
        <f aca="false">'Votos por partido'!T24</f>
        <v>3292952</v>
      </c>
      <c r="H24" s="5" t="n">
        <f aca="false">'Votos por partido'!U24</f>
        <v>4992480</v>
      </c>
      <c r="I24" s="9" t="n">
        <f aca="false">G24/H24</f>
        <v>0.659582411947569</v>
      </c>
      <c r="J24" s="9" t="n">
        <f aca="false">B24/G24</f>
        <v>0.651919918662647</v>
      </c>
      <c r="K24" s="9" t="n">
        <f aca="false">C24/G24</f>
        <v>0.217479027936028</v>
      </c>
      <c r="L24" s="9" t="n">
        <f aca="false">D24/G24</f>
        <v>0.100842951855964</v>
      </c>
      <c r="M24" s="9" t="n">
        <f aca="false">F24/G24</f>
        <v>0.028512410748775</v>
      </c>
      <c r="N24" s="4" t="str">
        <f aca="false">INDEX($B$3:$D$3,MATCH(MAX(B24:D24),B24:D24,0))</f>
        <v>Sheinbaum (PVEM-PT-Morena)</v>
      </c>
      <c r="O24" s="13" t="n">
        <f aca="false">(MAX(B24:D24)-LARGE(B24:D24,2))/G24*100</f>
        <v>43.4440890726619</v>
      </c>
      <c r="P24" s="4" t="n">
        <f aca="false">COUNTIFS('Por distrito'!$A$4:$A$303,$A24,'Por distrito'!$M$4:$M$303,B$3)</f>
        <v>16</v>
      </c>
      <c r="Q24" s="4" t="n">
        <f aca="false">COUNTIFS('Por distrito'!$A$4:$A$303,$A24,'Por distrito'!$M$4:$M$303,C$3)</f>
        <v>0</v>
      </c>
      <c r="R24" s="4" t="n">
        <f aca="false">COUNTIFS('Por distrito'!$A$4:$A$303,$A24,'Por distrito'!$M$4:$M$303,D$3)</f>
        <v>0</v>
      </c>
      <c r="S24" s="4" t="n">
        <f aca="false">COUNTIF('Por distrito'!$A$4:$A$303,$A24)</f>
        <v>16</v>
      </c>
    </row>
    <row r="25" customFormat="false" ht="15" hidden="false" customHeight="false" outlineLevel="0" collapsed="false">
      <c r="A25" s="4" t="str">
        <f aca="false">'Votos por partido'!A25</f>
        <v>Querétaro</v>
      </c>
      <c r="B25" s="5" t="n">
        <f aca="false">'Votos por partido'!F25+'Votos por partido'!G25+'Votos por partido'!I25+'Votos por partido'!N25+'Votos por partido'!O25+'Votos por partido'!P25+'Votos por partido'!Q25</f>
        <v>622335</v>
      </c>
      <c r="C25" s="5" t="n">
        <f aca="false">'Votos por partido'!C25+'Votos por partido'!D25+'Votos por partido'!E25+'Votos por partido'!J25+'Votos por partido'!K25+'Votos por partido'!L25+'Votos por partido'!M25</f>
        <v>449501</v>
      </c>
      <c r="D25" s="5" t="n">
        <f aca="false">'Votos por partido'!H25</f>
        <v>116117</v>
      </c>
      <c r="E25" s="5" t="n">
        <f aca="false">'Votos por partido'!R25</f>
        <v>2957</v>
      </c>
      <c r="F25" s="5" t="n">
        <f aca="false">'Votos por partido'!S25</f>
        <v>27548</v>
      </c>
      <c r="G25" s="5" t="n">
        <f aca="false">'Votos por partido'!T25</f>
        <v>1218458</v>
      </c>
      <c r="H25" s="5" t="n">
        <f aca="false">'Votos por partido'!U25</f>
        <v>1904182</v>
      </c>
      <c r="I25" s="9" t="n">
        <f aca="false">G25/H25</f>
        <v>0.639885263068341</v>
      </c>
      <c r="J25" s="9" t="n">
        <f aca="false">B25/G25</f>
        <v>0.510756218105179</v>
      </c>
      <c r="K25" s="9" t="n">
        <f aca="false">C25/G25</f>
        <v>0.368909720318632</v>
      </c>
      <c r="L25" s="9" t="n">
        <f aca="false">D25/G25</f>
        <v>0.0952983196794637</v>
      </c>
      <c r="M25" s="9" t="n">
        <f aca="false">F25/G25</f>
        <v>0.0226089040410092</v>
      </c>
      <c r="N25" s="4" t="str">
        <f aca="false">INDEX($B$3:$D$3,MATCH(MAX(B25:D25),B25:D25,0))</f>
        <v>Sheinbaum (PVEM-PT-Morena)</v>
      </c>
      <c r="O25" s="13" t="n">
        <f aca="false">(MAX(B25:D25)-LARGE(B25:D25,2))/G25*100</f>
        <v>14.1846497786547</v>
      </c>
      <c r="P25" s="4" t="n">
        <f aca="false">COUNTIFS('Por distrito'!$A$4:$A$303,$A25,'Por distrito'!$M$4:$M$303,B$3)</f>
        <v>5</v>
      </c>
      <c r="Q25" s="4" t="n">
        <f aca="false">COUNTIFS('Por distrito'!$A$4:$A$303,$A25,'Por distrito'!$M$4:$M$303,C$3)</f>
        <v>1</v>
      </c>
      <c r="R25" s="4" t="n">
        <f aca="false">COUNTIFS('Por distrito'!$A$4:$A$303,$A25,'Por distrito'!$M$4:$M$303,D$3)</f>
        <v>0</v>
      </c>
      <c r="S25" s="4" t="n">
        <f aca="false">COUNTIF('Por distrito'!$A$4:$A$303,$A25)</f>
        <v>6</v>
      </c>
    </row>
    <row r="26" customFormat="false" ht="15" hidden="false" customHeight="false" outlineLevel="0" collapsed="false">
      <c r="A26" s="4" t="str">
        <f aca="false">'Votos por partido'!A26</f>
        <v>Quintana Roo</v>
      </c>
      <c r="B26" s="5" t="n">
        <f aca="false">'Votos por partido'!F26+'Votos por partido'!G26+'Votos por partido'!I26+'Votos por partido'!N26+'Votos por partido'!O26+'Votos por partido'!P26+'Votos por partido'!Q26</f>
        <v>605361</v>
      </c>
      <c r="C26" s="5" t="n">
        <f aca="false">'Votos por partido'!C26+'Votos por partido'!D26+'Votos por partido'!E26+'Votos por partido'!J26+'Votos por partido'!K26+'Votos por partido'!L26+'Votos por partido'!M26</f>
        <v>138992</v>
      </c>
      <c r="D26" s="5" t="n">
        <f aca="false">'Votos por partido'!H26</f>
        <v>63890</v>
      </c>
      <c r="E26" s="5" t="n">
        <f aca="false">'Votos por partido'!R26</f>
        <v>1339</v>
      </c>
      <c r="F26" s="5" t="n">
        <f aca="false">'Votos por partido'!S26</f>
        <v>17703</v>
      </c>
      <c r="G26" s="5" t="n">
        <f aca="false">'Votos por partido'!T26</f>
        <v>827285</v>
      </c>
      <c r="H26" s="5" t="n">
        <f aca="false">'Votos por partido'!U26</f>
        <v>1462747</v>
      </c>
      <c r="I26" s="9" t="n">
        <f aca="false">G26/H26</f>
        <v>0.565569438870837</v>
      </c>
      <c r="J26" s="9" t="n">
        <f aca="false">B26/G26</f>
        <v>0.73174419939924</v>
      </c>
      <c r="K26" s="9" t="n">
        <f aca="false">C26/G26</f>
        <v>0.168009815239005</v>
      </c>
      <c r="L26" s="9" t="n">
        <f aca="false">D26/G26</f>
        <v>0.0772285246317774</v>
      </c>
      <c r="M26" s="9" t="n">
        <f aca="false">F26/G26</f>
        <v>0.0213989133128245</v>
      </c>
      <c r="N26" s="4" t="str">
        <f aca="false">INDEX($B$3:$D$3,MATCH(MAX(B26:D26),B26:D26,0))</f>
        <v>Sheinbaum (PVEM-PT-Morena)</v>
      </c>
      <c r="O26" s="13" t="n">
        <f aca="false">(MAX(B26:D26)-LARGE(B26:D26,2))/G26*100</f>
        <v>56.3734384160235</v>
      </c>
      <c r="P26" s="4" t="n">
        <f aca="false">COUNTIFS('Por distrito'!$A$4:$A$303,$A26,'Por distrito'!$M$4:$M$303,B$3)</f>
        <v>4</v>
      </c>
      <c r="Q26" s="4" t="n">
        <f aca="false">COUNTIFS('Por distrito'!$A$4:$A$303,$A26,'Por distrito'!$M$4:$M$303,C$3)</f>
        <v>0</v>
      </c>
      <c r="R26" s="4" t="n">
        <f aca="false">COUNTIFS('Por distrito'!$A$4:$A$303,$A26,'Por distrito'!$M$4:$M$303,D$3)</f>
        <v>0</v>
      </c>
      <c r="S26" s="4" t="n">
        <f aca="false">COUNTIF('Por distrito'!$A$4:$A$303,$A26)</f>
        <v>4</v>
      </c>
    </row>
    <row r="27" customFormat="false" ht="15" hidden="false" customHeight="false" outlineLevel="0" collapsed="false">
      <c r="A27" s="4" t="str">
        <f aca="false">'Votos por partido'!A27</f>
        <v>San Luis Potosí</v>
      </c>
      <c r="B27" s="5" t="n">
        <f aca="false">'Votos por partido'!F27+'Votos por partido'!G27+'Votos por partido'!I27+'Votos por partido'!N27+'Votos por partido'!O27+'Votos por partido'!P27+'Votos por partido'!Q27</f>
        <v>826746</v>
      </c>
      <c r="C27" s="5" t="n">
        <f aca="false">'Votos por partido'!C27+'Votos por partido'!D27+'Votos por partido'!E27+'Votos por partido'!J27+'Votos por partido'!K27+'Votos por partido'!L27+'Votos por partido'!M27</f>
        <v>347948</v>
      </c>
      <c r="D27" s="5" t="n">
        <f aca="false">'Votos por partido'!H27</f>
        <v>146802</v>
      </c>
      <c r="E27" s="5" t="n">
        <f aca="false">'Votos por partido'!R27</f>
        <v>2020</v>
      </c>
      <c r="F27" s="5" t="n">
        <f aca="false">'Votos por partido'!S27</f>
        <v>42682</v>
      </c>
      <c r="G27" s="5" t="n">
        <f aca="false">'Votos por partido'!T27</f>
        <v>1366198</v>
      </c>
      <c r="H27" s="5" t="n">
        <f aca="false">'Votos por partido'!U27</f>
        <v>2191107</v>
      </c>
      <c r="I27" s="9" t="n">
        <f aca="false">G27/H27</f>
        <v>0.62351952688755</v>
      </c>
      <c r="J27" s="9" t="n">
        <f aca="false">B27/G27</f>
        <v>0.605143617542992</v>
      </c>
      <c r="K27" s="9" t="n">
        <f aca="false">C27/G27</f>
        <v>0.254683435343925</v>
      </c>
      <c r="L27" s="9" t="n">
        <f aca="false">D27/G27</f>
        <v>0.107452946059063</v>
      </c>
      <c r="M27" s="9" t="n">
        <f aca="false">F27/G27</f>
        <v>0.031241445237074</v>
      </c>
      <c r="N27" s="4" t="str">
        <f aca="false">INDEX($B$3:$D$3,MATCH(MAX(B27:D27),B27:D27,0))</f>
        <v>Sheinbaum (PVEM-PT-Morena)</v>
      </c>
      <c r="O27" s="13" t="n">
        <f aca="false">(MAX(B27:D27)-LARGE(B27:D27,2))/G27*100</f>
        <v>35.0460182199066</v>
      </c>
      <c r="P27" s="4" t="n">
        <f aca="false">COUNTIFS('Por distrito'!$A$4:$A$303,$A27,'Por distrito'!$M$4:$M$303,B$3)</f>
        <v>6</v>
      </c>
      <c r="Q27" s="4" t="n">
        <f aca="false">COUNTIFS('Por distrito'!$A$4:$A$303,$A27,'Por distrito'!$M$4:$M$303,C$3)</f>
        <v>1</v>
      </c>
      <c r="R27" s="4" t="n">
        <f aca="false">COUNTIFS('Por distrito'!$A$4:$A$303,$A27,'Por distrito'!$M$4:$M$303,D$3)</f>
        <v>0</v>
      </c>
      <c r="S27" s="4" t="n">
        <f aca="false">COUNTIF('Por distrito'!$A$4:$A$303,$A27)</f>
        <v>7</v>
      </c>
    </row>
    <row r="28" customFormat="false" ht="15" hidden="false" customHeight="false" outlineLevel="0" collapsed="false">
      <c r="A28" s="4" t="str">
        <f aca="false">'Votos por partido'!A28</f>
        <v>Sinaloa</v>
      </c>
      <c r="B28" s="5" t="n">
        <f aca="false">'Votos por partido'!F28+'Votos por partido'!G28+'Votos por partido'!I28+'Votos por partido'!N28+'Votos por partido'!O28+'Votos por partido'!P28+'Votos por partido'!Q28</f>
        <v>872249</v>
      </c>
      <c r="C28" s="5" t="n">
        <f aca="false">'Votos por partido'!C28+'Votos por partido'!D28+'Votos por partido'!E28+'Votos por partido'!J28+'Votos por partido'!K28+'Votos por partido'!L28+'Votos por partido'!M28</f>
        <v>326368</v>
      </c>
      <c r="D28" s="5" t="n">
        <f aca="false">'Votos por partido'!H28</f>
        <v>103193</v>
      </c>
      <c r="E28" s="5" t="n">
        <f aca="false">'Votos por partido'!R28</f>
        <v>1128</v>
      </c>
      <c r="F28" s="5" t="n">
        <f aca="false">'Votos por partido'!S28</f>
        <v>26868</v>
      </c>
      <c r="G28" s="5" t="n">
        <f aca="false">'Votos por partido'!T28</f>
        <v>1329806</v>
      </c>
      <c r="H28" s="5" t="n">
        <f aca="false">'Votos por partido'!U28</f>
        <v>2364669</v>
      </c>
      <c r="I28" s="9" t="n">
        <f aca="false">G28/H28</f>
        <v>0.562364542352439</v>
      </c>
      <c r="J28" s="9" t="n">
        <f aca="false">B28/G28</f>
        <v>0.655921991628854</v>
      </c>
      <c r="K28" s="9" t="n">
        <f aca="false">C28/G28</f>
        <v>0.245425272558554</v>
      </c>
      <c r="L28" s="9" t="n">
        <f aca="false">D28/G28</f>
        <v>0.0776000409082227</v>
      </c>
      <c r="M28" s="9" t="n">
        <f aca="false">F28/G28</f>
        <v>0.0202044508747893</v>
      </c>
      <c r="N28" s="4" t="str">
        <f aca="false">INDEX($B$3:$D$3,MATCH(MAX(B28:D28),B28:D28,0))</f>
        <v>Sheinbaum (PVEM-PT-Morena)</v>
      </c>
      <c r="O28" s="13" t="n">
        <f aca="false">(MAX(B28:D28)-LARGE(B28:D28,2))/G28*100</f>
        <v>41.0496719070301</v>
      </c>
      <c r="P28" s="4" t="n">
        <f aca="false">COUNTIFS('Por distrito'!$A$4:$A$303,$A28,'Por distrito'!$M$4:$M$303,B$3)</f>
        <v>7</v>
      </c>
      <c r="Q28" s="4" t="n">
        <f aca="false">COUNTIFS('Por distrito'!$A$4:$A$303,$A28,'Por distrito'!$M$4:$M$303,C$3)</f>
        <v>0</v>
      </c>
      <c r="R28" s="4" t="n">
        <f aca="false">COUNTIFS('Por distrito'!$A$4:$A$303,$A28,'Por distrito'!$M$4:$M$303,D$3)</f>
        <v>0</v>
      </c>
      <c r="S28" s="4" t="n">
        <f aca="false">COUNTIF('Por distrito'!$A$4:$A$303,$A28)</f>
        <v>7</v>
      </c>
    </row>
    <row r="29" customFormat="false" ht="15" hidden="false" customHeight="false" outlineLevel="0" collapsed="false">
      <c r="A29" s="4" t="str">
        <f aca="false">'Votos por partido'!A29</f>
        <v>Sonora</v>
      </c>
      <c r="B29" s="5" t="n">
        <f aca="false">'Votos por partido'!F29+'Votos por partido'!G29+'Votos por partido'!I29+'Votos por partido'!N29+'Votos por partido'!O29+'Votos por partido'!P29+'Votos por partido'!Q29</f>
        <v>750219</v>
      </c>
      <c r="C29" s="5" t="n">
        <f aca="false">'Votos por partido'!C29+'Votos por partido'!D29+'Votos por partido'!E29+'Votos por partido'!J29+'Votos por partido'!K29+'Votos por partido'!L29+'Votos por partido'!M29</f>
        <v>290917</v>
      </c>
      <c r="D29" s="5" t="n">
        <f aca="false">'Votos por partido'!H29</f>
        <v>107759</v>
      </c>
      <c r="E29" s="5" t="n">
        <f aca="false">'Votos por partido'!R29</f>
        <v>1423</v>
      </c>
      <c r="F29" s="5" t="n">
        <f aca="false">'Votos por partido'!S29</f>
        <v>23401</v>
      </c>
      <c r="G29" s="5" t="n">
        <f aca="false">'Votos por partido'!T29</f>
        <v>1173719</v>
      </c>
      <c r="H29" s="5" t="n">
        <f aca="false">'Votos por partido'!U29</f>
        <v>2296076</v>
      </c>
      <c r="I29" s="9" t="n">
        <f aca="false">G29/H29</f>
        <v>0.51118473430322</v>
      </c>
      <c r="J29" s="9" t="n">
        <f aca="false">B29/G29</f>
        <v>0.639181098712724</v>
      </c>
      <c r="K29" s="9" t="n">
        <f aca="false">C29/G29</f>
        <v>0.247859155385574</v>
      </c>
      <c r="L29" s="9" t="n">
        <f aca="false">D29/G29</f>
        <v>0.0918098795367545</v>
      </c>
      <c r="M29" s="9" t="n">
        <f aca="false">F29/G29</f>
        <v>0.0199374807769151</v>
      </c>
      <c r="N29" s="4" t="str">
        <f aca="false">INDEX($B$3:$D$3,MATCH(MAX(B29:D29),B29:D29,0))</f>
        <v>Sheinbaum (PVEM-PT-Morena)</v>
      </c>
      <c r="O29" s="13" t="n">
        <f aca="false">(MAX(B29:D29)-LARGE(B29:D29,2))/G29*100</f>
        <v>39.1321943327151</v>
      </c>
      <c r="P29" s="4" t="n">
        <f aca="false">COUNTIFS('Por distrito'!$A$4:$A$303,$A29,'Por distrito'!$M$4:$M$303,B$3)</f>
        <v>7</v>
      </c>
      <c r="Q29" s="4" t="n">
        <f aca="false">COUNTIFS('Por distrito'!$A$4:$A$303,$A29,'Por distrito'!$M$4:$M$303,C$3)</f>
        <v>0</v>
      </c>
      <c r="R29" s="4" t="n">
        <f aca="false">COUNTIFS('Por distrito'!$A$4:$A$303,$A29,'Por distrito'!$M$4:$M$303,D$3)</f>
        <v>0</v>
      </c>
      <c r="S29" s="4" t="n">
        <f aca="false">COUNTIF('Por distrito'!$A$4:$A$303,$A29)</f>
        <v>7</v>
      </c>
    </row>
    <row r="30" customFormat="false" ht="15" hidden="false" customHeight="false" outlineLevel="0" collapsed="false">
      <c r="A30" s="4" t="str">
        <f aca="false">'Votos por partido'!A30</f>
        <v>Tabasco</v>
      </c>
      <c r="B30" s="5" t="n">
        <f aca="false">'Votos por partido'!F30+'Votos por partido'!G30+'Votos por partido'!I30+'Votos por partido'!N30+'Votos por partido'!O30+'Votos por partido'!P30+'Votos por partido'!Q30</f>
        <v>897143</v>
      </c>
      <c r="C30" s="5" t="n">
        <f aca="false">'Votos por partido'!C30+'Votos por partido'!D30+'Votos por partido'!E30+'Votos por partido'!J30+'Votos por partido'!K30+'Votos por partido'!L30+'Votos por partido'!M30</f>
        <v>124037</v>
      </c>
      <c r="D30" s="5" t="n">
        <f aca="false">'Votos por partido'!H30</f>
        <v>66018</v>
      </c>
      <c r="E30" s="5" t="n">
        <f aca="false">'Votos por partido'!R30</f>
        <v>1107</v>
      </c>
      <c r="F30" s="5" t="n">
        <f aca="false">'Votos por partido'!S30</f>
        <v>25696</v>
      </c>
      <c r="G30" s="5" t="n">
        <f aca="false">'Votos por partido'!T30</f>
        <v>1114001</v>
      </c>
      <c r="H30" s="5" t="n">
        <f aca="false">'Votos por partido'!U30</f>
        <v>1813452</v>
      </c>
      <c r="I30" s="9" t="n">
        <f aca="false">G30/H30</f>
        <v>0.614298586342511</v>
      </c>
      <c r="J30" s="9" t="n">
        <f aca="false">B30/G30</f>
        <v>0.805334106522346</v>
      </c>
      <c r="K30" s="9" t="n">
        <f aca="false">C30/G30</f>
        <v>0.111343706154662</v>
      </c>
      <c r="L30" s="9" t="n">
        <f aca="false">D30/G30</f>
        <v>0.0592620652943759</v>
      </c>
      <c r="M30" s="9" t="n">
        <f aca="false">F30/G30</f>
        <v>0.023066406583118</v>
      </c>
      <c r="N30" s="4" t="str">
        <f aca="false">INDEX($B$3:$D$3,MATCH(MAX(B30:D30),B30:D30,0))</f>
        <v>Sheinbaum (PVEM-PT-Morena)</v>
      </c>
      <c r="O30" s="13" t="n">
        <f aca="false">(MAX(B30:D30)-LARGE(B30:D30,2))/G30*100</f>
        <v>69.3990400367684</v>
      </c>
      <c r="P30" s="4" t="n">
        <f aca="false">COUNTIFS('Por distrito'!$A$4:$A$303,$A30,'Por distrito'!$M$4:$M$303,B$3)</f>
        <v>6</v>
      </c>
      <c r="Q30" s="4" t="n">
        <f aca="false">COUNTIFS('Por distrito'!$A$4:$A$303,$A30,'Por distrito'!$M$4:$M$303,C$3)</f>
        <v>0</v>
      </c>
      <c r="R30" s="4" t="n">
        <f aca="false">COUNTIFS('Por distrito'!$A$4:$A$303,$A30,'Por distrito'!$M$4:$M$303,D$3)</f>
        <v>0</v>
      </c>
      <c r="S30" s="4" t="n">
        <f aca="false">COUNTIF('Por distrito'!$A$4:$A$303,$A30)</f>
        <v>6</v>
      </c>
    </row>
    <row r="31" customFormat="false" ht="15" hidden="false" customHeight="false" outlineLevel="0" collapsed="false">
      <c r="A31" s="4" t="str">
        <f aca="false">'Votos por partido'!A31</f>
        <v>Tamaulipas</v>
      </c>
      <c r="B31" s="5" t="n">
        <f aca="false">'Votos por partido'!F31+'Votos por partido'!G31+'Votos por partido'!I31+'Votos por partido'!N31+'Votos por partido'!O31+'Votos por partido'!P31+'Votos por partido'!Q31</f>
        <v>1013715</v>
      </c>
      <c r="C31" s="5" t="n">
        <f aca="false">'Votos por partido'!C31+'Votos por partido'!D31+'Votos por partido'!E31+'Votos por partido'!J31+'Votos por partido'!K31+'Votos por partido'!L31+'Votos por partido'!M31</f>
        <v>427228</v>
      </c>
      <c r="D31" s="5" t="n">
        <f aca="false">'Votos por partido'!H31</f>
        <v>152528</v>
      </c>
      <c r="E31" s="5" t="n">
        <f aca="false">'Votos por partido'!R31</f>
        <v>1865</v>
      </c>
      <c r="F31" s="5" t="n">
        <f aca="false">'Votos por partido'!S31</f>
        <v>30965</v>
      </c>
      <c r="G31" s="5" t="n">
        <f aca="false">'Votos por partido'!T31</f>
        <v>1626301</v>
      </c>
      <c r="H31" s="5" t="n">
        <f aca="false">'Votos por partido'!U31</f>
        <v>2854225</v>
      </c>
      <c r="I31" s="9" t="n">
        <f aca="false">G31/H31</f>
        <v>0.569787245224185</v>
      </c>
      <c r="J31" s="9" t="n">
        <f aca="false">B31/G31</f>
        <v>0.623325571342574</v>
      </c>
      <c r="K31" s="9" t="n">
        <f aca="false">C31/G31</f>
        <v>0.26269921742654</v>
      </c>
      <c r="L31" s="9" t="n">
        <f aca="false">D31/G31</f>
        <v>0.0937882962625</v>
      </c>
      <c r="M31" s="9" t="n">
        <f aca="false">F31/G31</f>
        <v>0.0190401407857463</v>
      </c>
      <c r="N31" s="4" t="str">
        <f aca="false">INDEX($B$3:$D$3,MATCH(MAX(B31:D31),B31:D31,0))</f>
        <v>Sheinbaum (PVEM-PT-Morena)</v>
      </c>
      <c r="O31" s="13" t="n">
        <f aca="false">(MAX(B31:D31)-LARGE(B31:D31,2))/G31*100</f>
        <v>36.0626353916034</v>
      </c>
      <c r="P31" s="4" t="n">
        <f aca="false">COUNTIFS('Por distrito'!$A$4:$A$303,$A31,'Por distrito'!$M$4:$M$303,B$3)</f>
        <v>8</v>
      </c>
      <c r="Q31" s="4" t="n">
        <f aca="false">COUNTIFS('Por distrito'!$A$4:$A$303,$A31,'Por distrito'!$M$4:$M$303,C$3)</f>
        <v>0</v>
      </c>
      <c r="R31" s="4" t="n">
        <f aca="false">COUNTIFS('Por distrito'!$A$4:$A$303,$A31,'Por distrito'!$M$4:$M$303,D$3)</f>
        <v>0</v>
      </c>
      <c r="S31" s="4" t="n">
        <f aca="false">COUNTIF('Por distrito'!$A$4:$A$303,$A31)</f>
        <v>8</v>
      </c>
    </row>
    <row r="32" customFormat="false" ht="15" hidden="false" customHeight="false" outlineLevel="0" collapsed="false">
      <c r="A32" s="4" t="str">
        <f aca="false">'Votos por partido'!A32</f>
        <v>Tlaxcala</v>
      </c>
      <c r="B32" s="5" t="n">
        <f aca="false">'Votos por partido'!F32+'Votos por partido'!G32+'Votos por partido'!I32+'Votos por partido'!N32+'Votos por partido'!O32+'Votos por partido'!P32+'Votos por partido'!Q32</f>
        <v>512774</v>
      </c>
      <c r="C32" s="5" t="n">
        <f aca="false">'Votos por partido'!C32+'Votos por partido'!D32+'Votos por partido'!E32+'Votos por partido'!J32+'Votos por partido'!K32+'Votos por partido'!L32+'Votos por partido'!M32</f>
        <v>109112</v>
      </c>
      <c r="D32" s="5" t="n">
        <f aca="false">'Votos por partido'!H32</f>
        <v>103236</v>
      </c>
      <c r="E32" s="5" t="n">
        <f aca="false">'Votos por partido'!R32</f>
        <v>800</v>
      </c>
      <c r="F32" s="5" t="n">
        <f aca="false">'Votos por partido'!S32</f>
        <v>15038</v>
      </c>
      <c r="G32" s="5" t="n">
        <f aca="false">'Votos por partido'!T32</f>
        <v>740960</v>
      </c>
      <c r="H32" s="5" t="n">
        <f aca="false">'Votos por partido'!U32</f>
        <v>1042938</v>
      </c>
      <c r="I32" s="9" t="n">
        <f aca="false">G32/H32</f>
        <v>0.710454504486365</v>
      </c>
      <c r="J32" s="9" t="n">
        <f aca="false">B32/G32</f>
        <v>0.692040056143382</v>
      </c>
      <c r="K32" s="9" t="n">
        <f aca="false">C32/G32</f>
        <v>0.147257611746923</v>
      </c>
      <c r="L32" s="9" t="n">
        <f aca="false">D32/G32</f>
        <v>0.139327359101706</v>
      </c>
      <c r="M32" s="9" t="n">
        <f aca="false">F32/G32</f>
        <v>0.0202952925933924</v>
      </c>
      <c r="N32" s="4" t="str">
        <f aca="false">INDEX($B$3:$D$3,MATCH(MAX(B32:D32),B32:D32,0))</f>
        <v>Sheinbaum (PVEM-PT-Morena)</v>
      </c>
      <c r="O32" s="13" t="n">
        <f aca="false">(MAX(B32:D32)-LARGE(B32:D32,2))/G32*100</f>
        <v>54.4782444396459</v>
      </c>
      <c r="P32" s="4" t="n">
        <f aca="false">COUNTIFS('Por distrito'!$A$4:$A$303,$A32,'Por distrito'!$M$4:$M$303,B$3)</f>
        <v>3</v>
      </c>
      <c r="Q32" s="4" t="n">
        <f aca="false">COUNTIFS('Por distrito'!$A$4:$A$303,$A32,'Por distrito'!$M$4:$M$303,C$3)</f>
        <v>0</v>
      </c>
      <c r="R32" s="4" t="n">
        <f aca="false">COUNTIFS('Por distrito'!$A$4:$A$303,$A32,'Por distrito'!$M$4:$M$303,D$3)</f>
        <v>0</v>
      </c>
      <c r="S32" s="4" t="n">
        <f aca="false">COUNTIF('Por distrito'!$A$4:$A$303,$A32)</f>
        <v>3</v>
      </c>
    </row>
    <row r="33" customFormat="false" ht="15" hidden="false" customHeight="false" outlineLevel="0" collapsed="false">
      <c r="A33" s="4" t="str">
        <f aca="false">'Votos por partido'!A33</f>
        <v>Veracruz</v>
      </c>
      <c r="B33" s="5" t="n">
        <f aca="false">'Votos por partido'!F33+'Votos por partido'!G33+'Votos por partido'!I33+'Votos por partido'!N33+'Votos por partido'!O33+'Votos por partido'!P33+'Votos por partido'!Q33</f>
        <v>2441410</v>
      </c>
      <c r="C33" s="5" t="n">
        <f aca="false">'Votos por partido'!C33+'Votos por partido'!D33+'Votos por partido'!E33+'Votos por partido'!J33+'Votos por partido'!K33+'Votos por partido'!L33+'Votos por partido'!M33</f>
        <v>846842</v>
      </c>
      <c r="D33" s="5" t="n">
        <f aca="false">'Votos por partido'!H33</f>
        <v>294613</v>
      </c>
      <c r="E33" s="5" t="n">
        <f aca="false">'Votos por partido'!R33</f>
        <v>3769</v>
      </c>
      <c r="F33" s="5" t="n">
        <f aca="false">'Votos por partido'!S33</f>
        <v>87363</v>
      </c>
      <c r="G33" s="5" t="n">
        <f aca="false">'Votos por partido'!T33</f>
        <v>3673997</v>
      </c>
      <c r="H33" s="5" t="n">
        <f aca="false">'Votos por partido'!U33</f>
        <v>6089453</v>
      </c>
      <c r="I33" s="9" t="n">
        <f aca="false">G33/H33</f>
        <v>0.603337771060882</v>
      </c>
      <c r="J33" s="9" t="n">
        <f aca="false">B33/G33</f>
        <v>0.664510613372847</v>
      </c>
      <c r="K33" s="9" t="n">
        <f aca="false">C33/G33</f>
        <v>0.230496105467696</v>
      </c>
      <c r="L33" s="9" t="n">
        <f aca="false">D33/G33</f>
        <v>0.0801886882324618</v>
      </c>
      <c r="M33" s="9" t="n">
        <f aca="false">F33/G33</f>
        <v>0.0237787347131748</v>
      </c>
      <c r="N33" s="4" t="str">
        <f aca="false">INDEX($B$3:$D$3,MATCH(MAX(B33:D33),B33:D33,0))</f>
        <v>Sheinbaum (PVEM-PT-Morena)</v>
      </c>
      <c r="O33" s="13" t="n">
        <f aca="false">(MAX(B33:D33)-LARGE(B33:D33,2))/G33*100</f>
        <v>43.4014507905151</v>
      </c>
      <c r="P33" s="4" t="n">
        <f aca="false">COUNTIFS('Por distrito'!$A$4:$A$303,$A33,'Por distrito'!$M$4:$M$303,B$3)</f>
        <v>19</v>
      </c>
      <c r="Q33" s="4" t="n">
        <f aca="false">COUNTIFS('Por distrito'!$A$4:$A$303,$A33,'Por distrito'!$M$4:$M$303,C$3)</f>
        <v>0</v>
      </c>
      <c r="R33" s="4" t="n">
        <f aca="false">COUNTIFS('Por distrito'!$A$4:$A$303,$A33,'Por distrito'!$M$4:$M$303,D$3)</f>
        <v>0</v>
      </c>
      <c r="S33" s="4" t="n">
        <f aca="false">COUNTIF('Por distrito'!$A$4:$A$303,$A33)</f>
        <v>19</v>
      </c>
    </row>
    <row r="34" customFormat="false" ht="15" hidden="false" customHeight="false" outlineLevel="0" collapsed="false">
      <c r="A34" s="4" t="str">
        <f aca="false">'Votos por partido'!A34</f>
        <v>Yucatán</v>
      </c>
      <c r="B34" s="5" t="n">
        <f aca="false">'Votos por partido'!F34+'Votos por partido'!G34+'Votos por partido'!I34+'Votos por partido'!N34+'Votos por partido'!O34+'Votos por partido'!P34+'Votos por partido'!Q34</f>
        <v>779851</v>
      </c>
      <c r="C34" s="5" t="n">
        <f aca="false">'Votos por partido'!C34+'Votos por partido'!D34+'Votos por partido'!E34+'Votos por partido'!J34+'Votos por partido'!K34+'Votos por partido'!L34+'Votos por partido'!M34</f>
        <v>390645</v>
      </c>
      <c r="D34" s="5" t="n">
        <f aca="false">'Votos por partido'!H34</f>
        <v>88001</v>
      </c>
      <c r="E34" s="5" t="n">
        <f aca="false">'Votos por partido'!R34</f>
        <v>1177</v>
      </c>
      <c r="F34" s="5" t="n">
        <f aca="false">'Votos por partido'!S34</f>
        <v>25301</v>
      </c>
      <c r="G34" s="5" t="n">
        <f aca="false">'Votos por partido'!T34</f>
        <v>1284975</v>
      </c>
      <c r="H34" s="5" t="n">
        <f aca="false">'Votos por partido'!U34</f>
        <v>1768125</v>
      </c>
      <c r="I34" s="9" t="n">
        <f aca="false">G34/H34</f>
        <v>0.726744432661718</v>
      </c>
      <c r="J34" s="9" t="n">
        <f aca="false">B34/G34</f>
        <v>0.606899745131228</v>
      </c>
      <c r="K34" s="9" t="n">
        <f aca="false">C34/G34</f>
        <v>0.304009805638242</v>
      </c>
      <c r="L34" s="9" t="n">
        <f aca="false">D34/G34</f>
        <v>0.0684846008677212</v>
      </c>
      <c r="M34" s="9" t="n">
        <f aca="false">F34/G34</f>
        <v>0.0196898772349657</v>
      </c>
      <c r="N34" s="4" t="str">
        <f aca="false">INDEX($B$3:$D$3,MATCH(MAX(B34:D34),B34:D34,0))</f>
        <v>Sheinbaum (PVEM-PT-Morena)</v>
      </c>
      <c r="O34" s="13" t="n">
        <f aca="false">(MAX(B34:D34)-LARGE(B34:D34,2))/G34*100</f>
        <v>30.2889939492986</v>
      </c>
      <c r="P34" s="4" t="n">
        <f aca="false">COUNTIFS('Por distrito'!$A$4:$A$303,$A34,'Por distrito'!$M$4:$M$303,B$3)</f>
        <v>5</v>
      </c>
      <c r="Q34" s="4" t="n">
        <f aca="false">COUNTIFS('Por distrito'!$A$4:$A$303,$A34,'Por distrito'!$M$4:$M$303,C$3)</f>
        <v>1</v>
      </c>
      <c r="R34" s="4" t="n">
        <f aca="false">COUNTIFS('Por distrito'!$A$4:$A$303,$A34,'Por distrito'!$M$4:$M$303,D$3)</f>
        <v>0</v>
      </c>
      <c r="S34" s="4" t="n">
        <f aca="false">COUNTIF('Por distrito'!$A$4:$A$303,$A34)</f>
        <v>6</v>
      </c>
    </row>
    <row r="35" customFormat="false" ht="15" hidden="false" customHeight="false" outlineLevel="0" collapsed="false">
      <c r="A35" s="4" t="str">
        <f aca="false">'Votos por partido'!A35</f>
        <v>Zacatecas</v>
      </c>
      <c r="B35" s="5" t="n">
        <f aca="false">'Votos por partido'!F35+'Votos por partido'!G35+'Votos por partido'!I35+'Votos por partido'!N35+'Votos por partido'!O35+'Votos por partido'!P35+'Votos por partido'!Q35</f>
        <v>388690</v>
      </c>
      <c r="C35" s="5" t="n">
        <f aca="false">'Votos por partido'!C35+'Votos por partido'!D35+'Votos por partido'!E35+'Votos por partido'!J35+'Votos por partido'!K35+'Votos por partido'!L35+'Votos por partido'!M35</f>
        <v>230993</v>
      </c>
      <c r="D35" s="5" t="n">
        <f aca="false">'Votos por partido'!H35</f>
        <v>130376</v>
      </c>
      <c r="E35" s="5" t="n">
        <f aca="false">'Votos por partido'!R35</f>
        <v>1373</v>
      </c>
      <c r="F35" s="5" t="n">
        <f aca="false">'Votos por partido'!S35</f>
        <v>20514</v>
      </c>
      <c r="G35" s="5" t="n">
        <f aca="false">'Votos por partido'!T35</f>
        <v>771946</v>
      </c>
      <c r="H35" s="5" t="n">
        <f aca="false">'Votos por partido'!U35</f>
        <v>1270180</v>
      </c>
      <c r="I35" s="9" t="n">
        <f aca="false">G35/H35</f>
        <v>0.607745358925507</v>
      </c>
      <c r="J35" s="9" t="n">
        <f aca="false">B35/G35</f>
        <v>0.503519676246784</v>
      </c>
      <c r="K35" s="9" t="n">
        <f aca="false">C35/G35</f>
        <v>0.299234661491866</v>
      </c>
      <c r="L35" s="9" t="n">
        <f aca="false">D35/G35</f>
        <v>0.168892642749622</v>
      </c>
      <c r="M35" s="9" t="n">
        <f aca="false">F35/G35</f>
        <v>0.0265743976910302</v>
      </c>
      <c r="N35" s="4" t="str">
        <f aca="false">INDEX($B$3:$D$3,MATCH(MAX(B35:D35),B35:D35,0))</f>
        <v>Sheinbaum (PVEM-PT-Morena)</v>
      </c>
      <c r="O35" s="13" t="n">
        <f aca="false">(MAX(B35:D35)-LARGE(B35:D35,2))/G35*100</f>
        <v>20.4285014754918</v>
      </c>
      <c r="P35" s="4" t="n">
        <f aca="false">COUNTIFS('Por distrito'!$A$4:$A$303,$A35,'Por distrito'!$M$4:$M$303,B$3)</f>
        <v>4</v>
      </c>
      <c r="Q35" s="4" t="n">
        <f aca="false">COUNTIFS('Por distrito'!$A$4:$A$303,$A35,'Por distrito'!$M$4:$M$303,C$3)</f>
        <v>0</v>
      </c>
      <c r="R35" s="4" t="n">
        <f aca="false">COUNTIFS('Por distrito'!$A$4:$A$303,$A35,'Por distrito'!$M$4:$M$303,D$3)</f>
        <v>0</v>
      </c>
      <c r="S35" s="4" t="n">
        <f aca="false">COUNTIF('Por distrito'!$A$4:$A$303,$A35)</f>
        <v>4</v>
      </c>
    </row>
    <row r="36" customFormat="false" ht="15" hidden="false" customHeight="false" outlineLevel="0" collapsed="false">
      <c r="A36" s="14" t="s">
        <v>41</v>
      </c>
      <c r="B36" s="15" t="n">
        <f aca="false">'Votos por partido'!F36+'Votos por partido'!G36+'Votos por partido'!I36+'Votos por partido'!N36+'Votos por partido'!O36+'Votos por partido'!P36+'Votos por partido'!Q36</f>
        <v>35924519</v>
      </c>
      <c r="C36" s="15" t="n">
        <f aca="false">'Votos por partido'!C36+'Votos por partido'!D36+'Votos por partido'!E36+'Votos por partido'!J36+'Votos por partido'!K36+'Votos por partido'!L36+'Votos por partido'!M36</f>
        <v>16502697</v>
      </c>
      <c r="D36" s="15" t="n">
        <f aca="false">'Votos por partido'!H36</f>
        <v>6204710</v>
      </c>
      <c r="E36" s="15" t="n">
        <f aca="false">'Votos por partido'!R36</f>
        <v>83114</v>
      </c>
      <c r="F36" s="15" t="n">
        <f aca="false">'Votos por partido'!S36</f>
        <v>1400144</v>
      </c>
      <c r="G36" s="15" t="n">
        <f aca="false">'Votos por partido'!T36</f>
        <v>60115184</v>
      </c>
      <c r="H36" s="15" t="n">
        <f aca="false">'Votos por partido'!U36</f>
        <v>98468994</v>
      </c>
      <c r="I36" s="16" t="n">
        <f aca="false">G36/H36</f>
        <v>0.610498610354443</v>
      </c>
      <c r="J36" s="16" t="n">
        <f aca="false">B36/G36</f>
        <v>0.597594760751294</v>
      </c>
      <c r="K36" s="16" t="n">
        <f aca="false">C36/G36</f>
        <v>0.274517948743199</v>
      </c>
      <c r="L36" s="16" t="n">
        <f aca="false">D36/G36</f>
        <v>0.103213690571088</v>
      </c>
      <c r="M36" s="16" t="n">
        <f aca="false">F36/G36</f>
        <v>0.0232910207843662</v>
      </c>
      <c r="N36" s="14" t="str">
        <f aca="false">INDEX($B$3:$D$3,MATCH(MAX(B36:D36),B36:D36,0))</f>
        <v>Sheinbaum (PVEM-PT-Morena)</v>
      </c>
      <c r="O36" s="17" t="n">
        <f aca="false">(MAX(B36:D36)-LARGE(B36:D36,2))/G36*100</f>
        <v>32.3076812008094</v>
      </c>
      <c r="P36" s="14" t="n">
        <f aca="false">SUM(P4:P35)</f>
        <v>275</v>
      </c>
      <c r="Q36" s="14" t="n">
        <f aca="false">SUM(Q4:Q35)</f>
        <v>25</v>
      </c>
      <c r="R36" s="14" t="n">
        <f aca="false">SUM(R4:R35)</f>
        <v>0</v>
      </c>
      <c r="S36" s="14" t="n">
        <f aca="false">SUM(S4:S35)</f>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12" min="2" style="0" width="15"/>
    <col collapsed="false" customWidth="true" hidden="false" outlineLevel="0" max="13" min="13" style="0" width="26"/>
    <col collapsed="false" customWidth="true" hidden="false" outlineLevel="0" max="14" min="14" style="0" width="15"/>
  </cols>
  <sheetData>
    <row r="1" customFormat="false" ht="16.15" hidden="false" customHeight="false" outlineLevel="0" collapsed="false">
      <c r="A1" s="12" t="s">
        <v>42</v>
      </c>
    </row>
    <row r="2" customFormat="false" ht="15" hidden="false" customHeight="false" outlineLevel="0" collapsed="false">
      <c r="A2" s="2" t="s">
        <v>43</v>
      </c>
    </row>
    <row r="3" customFormat="false" ht="48" hidden="false" customHeight="true" outlineLevel="0" collapsed="false">
      <c r="A3" s="3" t="s">
        <v>32</v>
      </c>
      <c r="B3" s="3" t="s">
        <v>44</v>
      </c>
      <c r="C3" s="3" t="s">
        <v>8</v>
      </c>
      <c r="D3" s="3" t="s">
        <v>9</v>
      </c>
      <c r="E3" s="3" t="s">
        <v>10</v>
      </c>
      <c r="F3" s="3" t="s">
        <v>11</v>
      </c>
      <c r="G3" s="3" t="s">
        <v>12</v>
      </c>
      <c r="H3" s="3" t="s">
        <v>33</v>
      </c>
      <c r="I3" s="3" t="s">
        <v>19</v>
      </c>
      <c r="J3" s="3" t="s">
        <v>20</v>
      </c>
      <c r="K3" s="3" t="s">
        <v>21</v>
      </c>
      <c r="L3" s="3" t="s">
        <v>34</v>
      </c>
      <c r="M3" s="3" t="s">
        <v>35</v>
      </c>
      <c r="N3" s="3" t="s">
        <v>36</v>
      </c>
    </row>
    <row r="4" customFormat="false" ht="15" hidden="false" customHeight="false" outlineLevel="0" collapsed="false">
      <c r="A4" s="4" t="s">
        <v>45</v>
      </c>
      <c r="B4" s="4" t="n">
        <v>1</v>
      </c>
      <c r="C4" s="5" t="n">
        <v>103495</v>
      </c>
      <c r="D4" s="5" t="n">
        <v>94132</v>
      </c>
      <c r="E4" s="5" t="n">
        <v>19600</v>
      </c>
      <c r="F4" s="5" t="n">
        <v>374</v>
      </c>
      <c r="G4" s="5" t="n">
        <v>5645</v>
      </c>
      <c r="H4" s="5" t="n">
        <v>223246</v>
      </c>
      <c r="I4" s="9" t="n">
        <f aca="false">IF(H4=0,0,C4/H4)</f>
        <v>0.463591732886591</v>
      </c>
      <c r="J4" s="9" t="n">
        <f aca="false">IF(H4=0,0,D4/H4)</f>
        <v>0.421651451761734</v>
      </c>
      <c r="K4" s="9" t="n">
        <f aca="false">IF(H4=0,0,E4/H4)</f>
        <v>0.0877955260116643</v>
      </c>
      <c r="L4" s="9" t="n">
        <f aca="false">IF(H4=0,0,G4/H4)</f>
        <v>0.0252860073640737</v>
      </c>
      <c r="M4" s="4" t="str">
        <f aca="false">INDEX($C$3:$E$3,MATCH(MAX(C4:E4),C4:E4,0))</f>
        <v>Sheinbaum (PVEM-PT-Morena)</v>
      </c>
      <c r="N4" s="18" t="n">
        <f aca="false">IF(H4=0,0,(MAX(C4:E4)-LARGE(C4:E4,2))/H4*100)</f>
        <v>4.19402811248578</v>
      </c>
    </row>
    <row r="5" customFormat="false" ht="15" hidden="false" customHeight="false" outlineLevel="0" collapsed="false">
      <c r="A5" s="4" t="s">
        <v>45</v>
      </c>
      <c r="B5" s="4" t="n">
        <v>2</v>
      </c>
      <c r="C5" s="5" t="n">
        <v>91844</v>
      </c>
      <c r="D5" s="5" t="n">
        <v>78823</v>
      </c>
      <c r="E5" s="5" t="n">
        <v>19977</v>
      </c>
      <c r="F5" s="5" t="n">
        <v>497</v>
      </c>
      <c r="G5" s="5" t="n">
        <v>4223</v>
      </c>
      <c r="H5" s="5" t="n">
        <v>195364</v>
      </c>
      <c r="I5" s="9" t="n">
        <f aca="false">IF(H5=0,0,C5/H5)</f>
        <v>0.470117319465203</v>
      </c>
      <c r="J5" s="9" t="n">
        <f aca="false">IF(H5=0,0,D5/H5)</f>
        <v>0.403467373722897</v>
      </c>
      <c r="K5" s="9" t="n">
        <f aca="false">IF(H5=0,0,E5/H5)</f>
        <v>0.102255277328474</v>
      </c>
      <c r="L5" s="9" t="n">
        <f aca="false">IF(H5=0,0,G5/H5)</f>
        <v>0.0216160602772261</v>
      </c>
      <c r="M5" s="4" t="str">
        <f aca="false">INDEX($C$3:$E$3,MATCH(MAX(C5:E5),C5:E5,0))</f>
        <v>Sheinbaum (PVEM-PT-Morena)</v>
      </c>
      <c r="N5" s="18" t="n">
        <f aca="false">IF(H5=0,0,(MAX(C5:E5)-LARGE(C5:E5,2))/H5*100)</f>
        <v>6.66499457423067</v>
      </c>
    </row>
    <row r="6" customFormat="false" ht="15" hidden="false" customHeight="false" outlineLevel="0" collapsed="false">
      <c r="A6" s="4" t="s">
        <v>45</v>
      </c>
      <c r="B6" s="4" t="n">
        <v>3</v>
      </c>
      <c r="C6" s="5" t="n">
        <v>88506</v>
      </c>
      <c r="D6" s="5" t="n">
        <v>132159</v>
      </c>
      <c r="E6" s="5" t="n">
        <v>19857</v>
      </c>
      <c r="F6" s="5" t="n">
        <v>694</v>
      </c>
      <c r="G6" s="5" t="n">
        <v>4320</v>
      </c>
      <c r="H6" s="5" t="n">
        <v>245536</v>
      </c>
      <c r="I6" s="9" t="n">
        <f aca="false">IF(H6=0,0,C6/H6)</f>
        <v>0.360460380555194</v>
      </c>
      <c r="J6" s="9" t="n">
        <f aca="false">IF(H6=0,0,D6/H6)</f>
        <v>0.538246937312655</v>
      </c>
      <c r="K6" s="9" t="n">
        <f aca="false">IF(H6=0,0,E6/H6)</f>
        <v>0.0808720513488857</v>
      </c>
      <c r="L6" s="9" t="n">
        <f aca="false">IF(H6=0,0,G6/H6)</f>
        <v>0.0175941613449759</v>
      </c>
      <c r="M6" s="4" t="str">
        <f aca="false">INDEX($C$3:$E$3,MATCH(MAX(C6:E6),C6:E6,0))</f>
        <v>Gálvez (PAN-PRI-PRD)</v>
      </c>
      <c r="N6" s="18" t="n">
        <f aca="false">IF(H6=0,0,(MAX(C6:E6)-LARGE(C6:E6,2))/H6*100)</f>
        <v>17.7786556757461</v>
      </c>
    </row>
    <row r="7" customFormat="false" ht="15" hidden="false" customHeight="false" outlineLevel="0" collapsed="false">
      <c r="A7" s="4" t="s">
        <v>46</v>
      </c>
      <c r="B7" s="4" t="n">
        <v>1</v>
      </c>
      <c r="C7" s="5" t="n">
        <v>93594</v>
      </c>
      <c r="D7" s="5" t="n">
        <v>56853</v>
      </c>
      <c r="E7" s="5" t="n">
        <v>16684</v>
      </c>
      <c r="F7" s="5" t="n">
        <v>262</v>
      </c>
      <c r="G7" s="5" t="n">
        <v>2942</v>
      </c>
      <c r="H7" s="5" t="n">
        <v>170335</v>
      </c>
      <c r="I7" s="9" t="n">
        <f aca="false">IF(H7=0,0,C7/H7)</f>
        <v>0.5494701617401</v>
      </c>
      <c r="J7" s="9" t="n">
        <f aca="false">IF(H7=0,0,D7/H7)</f>
        <v>0.33377168520856</v>
      </c>
      <c r="K7" s="9" t="n">
        <f aca="false">IF(H7=0,0,E7/H7)</f>
        <v>0.0979481609768985</v>
      </c>
      <c r="L7" s="9" t="n">
        <f aca="false">IF(H7=0,0,G7/H7)</f>
        <v>0.0172718466551208</v>
      </c>
      <c r="M7" s="4" t="str">
        <f aca="false">INDEX($C$3:$E$3,MATCH(MAX(C7:E7),C7:E7,0))</f>
        <v>Sheinbaum (PVEM-PT-Morena)</v>
      </c>
      <c r="N7" s="18" t="n">
        <f aca="false">IF(H7=0,0,(MAX(C7:E7)-LARGE(C7:E7,2))/H7*100)</f>
        <v>21.5698476531541</v>
      </c>
    </row>
    <row r="8" customFormat="false" ht="15" hidden="false" customHeight="false" outlineLevel="0" collapsed="false">
      <c r="A8" s="4" t="s">
        <v>46</v>
      </c>
      <c r="B8" s="4" t="n">
        <v>2</v>
      </c>
      <c r="C8" s="5" t="n">
        <v>102557</v>
      </c>
      <c r="D8" s="5" t="n">
        <v>45280</v>
      </c>
      <c r="E8" s="5" t="n">
        <v>17295</v>
      </c>
      <c r="F8" s="5" t="n">
        <v>271</v>
      </c>
      <c r="G8" s="5" t="n">
        <v>3614</v>
      </c>
      <c r="H8" s="5" t="n">
        <v>169017</v>
      </c>
      <c r="I8" s="9" t="n">
        <f aca="false">IF(H8=0,0,C8/H8)</f>
        <v>0.606785116290077</v>
      </c>
      <c r="J8" s="9" t="n">
        <f aca="false">IF(H8=0,0,D8/H8)</f>
        <v>0.267902045356384</v>
      </c>
      <c r="K8" s="9" t="n">
        <f aca="false">IF(H8=0,0,E8/H8)</f>
        <v>0.102326984859511</v>
      </c>
      <c r="L8" s="9" t="n">
        <f aca="false">IF(H8=0,0,G8/H8)</f>
        <v>0.021382464485821</v>
      </c>
      <c r="M8" s="4" t="str">
        <f aca="false">INDEX($C$3:$E$3,MATCH(MAX(C8:E8),C8:E8,0))</f>
        <v>Sheinbaum (PVEM-PT-Morena)</v>
      </c>
      <c r="N8" s="18" t="n">
        <f aca="false">IF(H8=0,0,(MAX(C8:E8)-LARGE(C8:E8,2))/H8*100)</f>
        <v>33.8883070933693</v>
      </c>
    </row>
    <row r="9" customFormat="false" ht="15" hidden="false" customHeight="false" outlineLevel="0" collapsed="false">
      <c r="A9" s="4" t="s">
        <v>46</v>
      </c>
      <c r="B9" s="4" t="n">
        <v>3</v>
      </c>
      <c r="C9" s="5" t="n">
        <v>114233</v>
      </c>
      <c r="D9" s="5" t="n">
        <v>36128</v>
      </c>
      <c r="E9" s="5" t="n">
        <v>16008</v>
      </c>
      <c r="F9" s="5" t="n">
        <v>386</v>
      </c>
      <c r="G9" s="5" t="n">
        <v>4222</v>
      </c>
      <c r="H9" s="5" t="n">
        <v>170977</v>
      </c>
      <c r="I9" s="9" t="n">
        <f aca="false">IF(H9=0,0,C9/H9)</f>
        <v>0.668119103739099</v>
      </c>
      <c r="J9" s="9" t="n">
        <f aca="false">IF(H9=0,0,D9/H9)</f>
        <v>0.211303274709464</v>
      </c>
      <c r="K9" s="9" t="n">
        <f aca="false">IF(H9=0,0,E9/H9)</f>
        <v>0.0936266281429666</v>
      </c>
      <c r="L9" s="9" t="n">
        <f aca="false">IF(H9=0,0,G9/H9)</f>
        <v>0.0246933798113197</v>
      </c>
      <c r="M9" s="4" t="str">
        <f aca="false">INDEX($C$3:$E$3,MATCH(MAX(C9:E9),C9:E9,0))</f>
        <v>Sheinbaum (PVEM-PT-Morena)</v>
      </c>
      <c r="N9" s="18" t="n">
        <f aca="false">IF(H9=0,0,(MAX(C9:E9)-LARGE(C9:E9,2))/H9*100)</f>
        <v>45.6815829029636</v>
      </c>
    </row>
    <row r="10" customFormat="false" ht="15" hidden="false" customHeight="false" outlineLevel="0" collapsed="false">
      <c r="A10" s="4" t="s">
        <v>46</v>
      </c>
      <c r="B10" s="4" t="n">
        <v>4</v>
      </c>
      <c r="C10" s="5" t="n">
        <v>139436</v>
      </c>
      <c r="D10" s="5" t="n">
        <v>15277</v>
      </c>
      <c r="E10" s="5" t="n">
        <v>17812</v>
      </c>
      <c r="F10" s="5" t="n">
        <v>266</v>
      </c>
      <c r="G10" s="5" t="n">
        <v>3259</v>
      </c>
      <c r="H10" s="5" t="n">
        <v>176050</v>
      </c>
      <c r="I10" s="9" t="n">
        <f aca="false">IF(H10=0,0,C10/H10)</f>
        <v>0.792024992899744</v>
      </c>
      <c r="J10" s="9" t="n">
        <f aca="false">IF(H10=0,0,D10/H10)</f>
        <v>0.0867764839534223</v>
      </c>
      <c r="K10" s="9" t="n">
        <f aca="false">IF(H10=0,0,E10/H10)</f>
        <v>0.101175802328884</v>
      </c>
      <c r="L10" s="9" t="n">
        <f aca="false">IF(H10=0,0,G10/H10)</f>
        <v>0.0185117864243113</v>
      </c>
      <c r="M10" s="4" t="str">
        <f aca="false">INDEX($C$3:$E$3,MATCH(MAX(C10:E10),C10:E10,0))</f>
        <v>Sheinbaum (PVEM-PT-Morena)</v>
      </c>
      <c r="N10" s="18" t="n">
        <f aca="false">IF(H10=0,0,(MAX(C10:E10)-LARGE(C10:E10,2))/H10*100)</f>
        <v>69.0849190570861</v>
      </c>
    </row>
    <row r="11" customFormat="false" ht="15" hidden="false" customHeight="false" outlineLevel="0" collapsed="false">
      <c r="A11" s="4" t="s">
        <v>46</v>
      </c>
      <c r="B11" s="4" t="n">
        <v>5</v>
      </c>
      <c r="C11" s="5" t="n">
        <v>121355</v>
      </c>
      <c r="D11" s="5" t="n">
        <v>56109</v>
      </c>
      <c r="E11" s="5" t="n">
        <v>21072</v>
      </c>
      <c r="F11" s="5" t="n">
        <v>468</v>
      </c>
      <c r="G11" s="5" t="n">
        <v>3530</v>
      </c>
      <c r="H11" s="5" t="n">
        <v>202534</v>
      </c>
      <c r="I11" s="9" t="n">
        <f aca="false">IF(H11=0,0,C11/H11)</f>
        <v>0.599183346993591</v>
      </c>
      <c r="J11" s="9" t="n">
        <f aca="false">IF(H11=0,0,D11/H11)</f>
        <v>0.277034966968509</v>
      </c>
      <c r="K11" s="9" t="n">
        <f aca="false">IF(H11=0,0,E11/H11)</f>
        <v>0.104041790514185</v>
      </c>
      <c r="L11" s="9" t="n">
        <f aca="false">IF(H11=0,0,G11/H11)</f>
        <v>0.017429172385871</v>
      </c>
      <c r="M11" s="4" t="str">
        <f aca="false">INDEX($C$3:$E$3,MATCH(MAX(C11:E11),C11:E11,0))</f>
        <v>Sheinbaum (PVEM-PT-Morena)</v>
      </c>
      <c r="N11" s="18" t="n">
        <f aca="false">IF(H11=0,0,(MAX(C11:E11)-LARGE(C11:E11,2))/H11*100)</f>
        <v>32.2148380025082</v>
      </c>
    </row>
    <row r="12" customFormat="false" ht="15" hidden="false" customHeight="false" outlineLevel="0" collapsed="false">
      <c r="A12" s="4" t="s">
        <v>46</v>
      </c>
      <c r="B12" s="4" t="n">
        <v>6</v>
      </c>
      <c r="C12" s="5" t="n">
        <v>119532</v>
      </c>
      <c r="D12" s="5" t="n">
        <v>43566</v>
      </c>
      <c r="E12" s="5" t="n">
        <v>20086</v>
      </c>
      <c r="F12" s="5" t="n">
        <v>424</v>
      </c>
      <c r="G12" s="5" t="n">
        <v>3617</v>
      </c>
      <c r="H12" s="5" t="n">
        <v>187225</v>
      </c>
      <c r="I12" s="9" t="n">
        <f aca="false">IF(H12=0,0,C12/H12)</f>
        <v>0.63844037922286</v>
      </c>
      <c r="J12" s="9" t="n">
        <f aca="false">IF(H12=0,0,D12/H12)</f>
        <v>0.232693283482441</v>
      </c>
      <c r="K12" s="9" t="n">
        <f aca="false">IF(H12=0,0,E12/H12)</f>
        <v>0.107282681265857</v>
      </c>
      <c r="L12" s="9" t="n">
        <f aca="false">IF(H12=0,0,G12/H12)</f>
        <v>0.0193190012017626</v>
      </c>
      <c r="M12" s="4" t="str">
        <f aca="false">INDEX($C$3:$E$3,MATCH(MAX(C12:E12),C12:E12,0))</f>
        <v>Sheinbaum (PVEM-PT-Morena)</v>
      </c>
      <c r="N12" s="18" t="n">
        <f aca="false">IF(H12=0,0,(MAX(C12:E12)-LARGE(C12:E12,2))/H12*100)</f>
        <v>40.5747095740419</v>
      </c>
    </row>
    <row r="13" customFormat="false" ht="15" hidden="false" customHeight="false" outlineLevel="0" collapsed="false">
      <c r="A13" s="4" t="s">
        <v>46</v>
      </c>
      <c r="B13" s="4" t="n">
        <v>7</v>
      </c>
      <c r="C13" s="5" t="n">
        <v>105369</v>
      </c>
      <c r="D13" s="5" t="n">
        <v>31267</v>
      </c>
      <c r="E13" s="5" t="n">
        <v>14554</v>
      </c>
      <c r="F13" s="5" t="n">
        <v>217</v>
      </c>
      <c r="G13" s="5" t="n">
        <v>4041</v>
      </c>
      <c r="H13" s="5" t="n">
        <v>155448</v>
      </c>
      <c r="I13" s="9" t="n">
        <f aca="false">IF(H13=0,0,C13/H13)</f>
        <v>0.677840821367917</v>
      </c>
      <c r="J13" s="9" t="n">
        <f aca="false">IF(H13=0,0,D13/H13)</f>
        <v>0.201141217641912</v>
      </c>
      <c r="K13" s="9" t="n">
        <f aca="false">IF(H13=0,0,E13/H13)</f>
        <v>0.0936261643765118</v>
      </c>
      <c r="L13" s="9" t="n">
        <f aca="false">IF(H13=0,0,G13/H13)</f>
        <v>0.0259958314034275</v>
      </c>
      <c r="M13" s="4" t="str">
        <f aca="false">INDEX($C$3:$E$3,MATCH(MAX(C13:E13),C13:E13,0))</f>
        <v>Sheinbaum (PVEM-PT-Morena)</v>
      </c>
      <c r="N13" s="18" t="n">
        <f aca="false">IF(H13=0,0,(MAX(C13:E13)-LARGE(C13:E13,2))/H13*100)</f>
        <v>47.6699603726005</v>
      </c>
    </row>
    <row r="14" customFormat="false" ht="15" hidden="false" customHeight="false" outlineLevel="0" collapsed="false">
      <c r="A14" s="4" t="s">
        <v>46</v>
      </c>
      <c r="B14" s="4" t="n">
        <v>8</v>
      </c>
      <c r="C14" s="5" t="n">
        <v>124112</v>
      </c>
      <c r="D14" s="5" t="n">
        <v>22943</v>
      </c>
      <c r="E14" s="5" t="n">
        <v>16722</v>
      </c>
      <c r="F14" s="5" t="n">
        <v>336</v>
      </c>
      <c r="G14" s="5" t="n">
        <v>3035</v>
      </c>
      <c r="H14" s="5" t="n">
        <v>167148</v>
      </c>
      <c r="I14" s="9" t="n">
        <f aca="false">IF(H14=0,0,C14/H14)</f>
        <v>0.742527580347955</v>
      </c>
      <c r="J14" s="9" t="n">
        <f aca="false">IF(H14=0,0,D14/H14)</f>
        <v>0.137261588532319</v>
      </c>
      <c r="K14" s="9" t="n">
        <f aca="false">IF(H14=0,0,E14/H14)</f>
        <v>0.100043075597674</v>
      </c>
      <c r="L14" s="9" t="n">
        <f aca="false">IF(H14=0,0,G14/H14)</f>
        <v>0.0181575609639362</v>
      </c>
      <c r="M14" s="4" t="str">
        <f aca="false">INDEX($C$3:$E$3,MATCH(MAX(C14:E14),C14:E14,0))</f>
        <v>Sheinbaum (PVEM-PT-Morena)</v>
      </c>
      <c r="N14" s="18" t="n">
        <f aca="false">IF(H14=0,0,(MAX(C14:E14)-LARGE(C14:E14,2))/H14*100)</f>
        <v>60.5265991815637</v>
      </c>
    </row>
    <row r="15" customFormat="false" ht="15" hidden="false" customHeight="false" outlineLevel="0" collapsed="false">
      <c r="A15" s="4" t="s">
        <v>46</v>
      </c>
      <c r="B15" s="4" t="n">
        <v>9</v>
      </c>
      <c r="C15" s="5" t="n">
        <v>117979</v>
      </c>
      <c r="D15" s="5" t="n">
        <v>21905</v>
      </c>
      <c r="E15" s="5" t="n">
        <v>14926</v>
      </c>
      <c r="F15" s="5" t="n">
        <v>289</v>
      </c>
      <c r="G15" s="5" t="n">
        <v>3235</v>
      </c>
      <c r="H15" s="5" t="n">
        <v>158334</v>
      </c>
      <c r="I15" s="9" t="n">
        <f aca="false">IF(H15=0,0,C15/H15)</f>
        <v>0.74512738893731</v>
      </c>
      <c r="J15" s="9" t="n">
        <f aca="false">IF(H15=0,0,D15/H15)</f>
        <v>0.13834678590827</v>
      </c>
      <c r="K15" s="9" t="n">
        <f aca="false">IF(H15=0,0,E15/H15)</f>
        <v>0.0942690767617821</v>
      </c>
      <c r="L15" s="9" t="n">
        <f aca="false">IF(H15=0,0,G15/H15)</f>
        <v>0.0204314929200298</v>
      </c>
      <c r="M15" s="4" t="str">
        <f aca="false">INDEX($C$3:$E$3,MATCH(MAX(C15:E15),C15:E15,0))</f>
        <v>Sheinbaum (PVEM-PT-Morena)</v>
      </c>
      <c r="N15" s="18" t="n">
        <f aca="false">IF(H15=0,0,(MAX(C15:E15)-LARGE(C15:E15,2))/H15*100)</f>
        <v>60.678060302904</v>
      </c>
    </row>
    <row r="16" customFormat="false" ht="15" hidden="false" customHeight="false" outlineLevel="0" collapsed="false">
      <c r="A16" s="4" t="s">
        <v>47</v>
      </c>
      <c r="B16" s="4" t="n">
        <v>1</v>
      </c>
      <c r="C16" s="5" t="n">
        <v>112913</v>
      </c>
      <c r="D16" s="5" t="n">
        <v>63393</v>
      </c>
      <c r="E16" s="5" t="n">
        <v>18932</v>
      </c>
      <c r="F16" s="5" t="n">
        <v>246</v>
      </c>
      <c r="G16" s="5" t="n">
        <v>4261</v>
      </c>
      <c r="H16" s="5" t="n">
        <v>199745</v>
      </c>
      <c r="I16" s="9" t="n">
        <f aca="false">IF(H16=0,0,C16/H16)</f>
        <v>0.56528573931763</v>
      </c>
      <c r="J16" s="9" t="n">
        <f aca="false">IF(H16=0,0,D16/H16)</f>
        <v>0.317369646299031</v>
      </c>
      <c r="K16" s="9" t="n">
        <f aca="false">IF(H16=0,0,E16/H16)</f>
        <v>0.0947808455781121</v>
      </c>
      <c r="L16" s="9" t="n">
        <f aca="false">IF(H16=0,0,G16/H16)</f>
        <v>0.0213321985531553</v>
      </c>
      <c r="M16" s="4" t="str">
        <f aca="false">INDEX($C$3:$E$3,MATCH(MAX(C16:E16),C16:E16,0))</f>
        <v>Sheinbaum (PVEM-PT-Morena)</v>
      </c>
      <c r="N16" s="18" t="n">
        <f aca="false">IF(H16=0,0,(MAX(C16:E16)-LARGE(C16:E16,2))/H16*100)</f>
        <v>24.7916093018599</v>
      </c>
    </row>
    <row r="17" customFormat="false" ht="15" hidden="false" customHeight="false" outlineLevel="0" collapsed="false">
      <c r="A17" s="4" t="s">
        <v>47</v>
      </c>
      <c r="B17" s="4" t="n">
        <v>2</v>
      </c>
      <c r="C17" s="5" t="n">
        <v>88049</v>
      </c>
      <c r="D17" s="5" t="n">
        <v>37544</v>
      </c>
      <c r="E17" s="5" t="n">
        <v>10887</v>
      </c>
      <c r="F17" s="5" t="n">
        <v>213</v>
      </c>
      <c r="G17" s="5" t="n">
        <v>3273</v>
      </c>
      <c r="H17" s="5" t="n">
        <v>139966</v>
      </c>
      <c r="I17" s="9" t="n">
        <f aca="false">IF(H17=0,0,C17/H17)</f>
        <v>0.629074203735193</v>
      </c>
      <c r="J17" s="9" t="n">
        <f aca="false">IF(H17=0,0,D17/H17)</f>
        <v>0.268236571738851</v>
      </c>
      <c r="K17" s="9" t="n">
        <f aca="false">IF(H17=0,0,E17/H17)</f>
        <v>0.0777831759141506</v>
      </c>
      <c r="L17" s="9" t="n">
        <f aca="false">IF(H17=0,0,G17/H17)</f>
        <v>0.0233842504608262</v>
      </c>
      <c r="M17" s="4" t="str">
        <f aca="false">INDEX($C$3:$E$3,MATCH(MAX(C17:E17),C17:E17,0))</f>
        <v>Sheinbaum (PVEM-PT-Morena)</v>
      </c>
      <c r="N17" s="18" t="n">
        <f aca="false">IF(H17=0,0,(MAX(C17:E17)-LARGE(C17:E17,2))/H17*100)</f>
        <v>36.0837631996342</v>
      </c>
    </row>
    <row r="18" customFormat="false" ht="15" hidden="false" customHeight="false" outlineLevel="0" collapsed="false">
      <c r="A18" s="4" t="s">
        <v>48</v>
      </c>
      <c r="B18" s="4" t="n">
        <v>1</v>
      </c>
      <c r="C18" s="5" t="n">
        <v>127784</v>
      </c>
      <c r="D18" s="5" t="n">
        <v>45497</v>
      </c>
      <c r="E18" s="5" t="n">
        <v>62303</v>
      </c>
      <c r="F18" s="5" t="n">
        <v>210</v>
      </c>
      <c r="G18" s="5" t="n">
        <v>4606</v>
      </c>
      <c r="H18" s="5" t="n">
        <v>240400</v>
      </c>
      <c r="I18" s="9" t="n">
        <f aca="false">IF(H18=0,0,C18/H18)</f>
        <v>0.531547420965058</v>
      </c>
      <c r="J18" s="9" t="n">
        <f aca="false">IF(H18=0,0,D18/H18)</f>
        <v>0.18925540765391</v>
      </c>
      <c r="K18" s="9" t="n">
        <f aca="false">IF(H18=0,0,E18/H18)</f>
        <v>0.259163893510815</v>
      </c>
      <c r="L18" s="9" t="n">
        <f aca="false">IF(H18=0,0,G18/H18)</f>
        <v>0.0191597337770383</v>
      </c>
      <c r="M18" s="4" t="str">
        <f aca="false">INDEX($C$3:$E$3,MATCH(MAX(C18:E18),C18:E18,0))</f>
        <v>Sheinbaum (PVEM-PT-Morena)</v>
      </c>
      <c r="N18" s="18" t="n">
        <f aca="false">IF(H18=0,0,(MAX(C18:E18)-LARGE(C18:E18,2))/H18*100)</f>
        <v>27.2383527454243</v>
      </c>
    </row>
    <row r="19" customFormat="false" ht="15" hidden="false" customHeight="false" outlineLevel="0" collapsed="false">
      <c r="A19" s="4" t="s">
        <v>48</v>
      </c>
      <c r="B19" s="4" t="n">
        <v>2</v>
      </c>
      <c r="C19" s="5" t="n">
        <v>147357</v>
      </c>
      <c r="D19" s="5" t="n">
        <v>23890</v>
      </c>
      <c r="E19" s="5" t="n">
        <v>31964</v>
      </c>
      <c r="F19" s="5" t="n">
        <v>222</v>
      </c>
      <c r="G19" s="5" t="n">
        <v>4962</v>
      </c>
      <c r="H19" s="5" t="n">
        <v>208395</v>
      </c>
      <c r="I19" s="9" t="n">
        <f aca="false">IF(H19=0,0,C19/H19)</f>
        <v>0.70710429712805</v>
      </c>
      <c r="J19" s="9" t="n">
        <f aca="false">IF(H19=0,0,D19/H19)</f>
        <v>0.114638067132129</v>
      </c>
      <c r="K19" s="9" t="n">
        <f aca="false">IF(H19=0,0,E19/H19)</f>
        <v>0.1533817989875</v>
      </c>
      <c r="L19" s="9" t="n">
        <f aca="false">IF(H19=0,0,G19/H19)</f>
        <v>0.0238105520765853</v>
      </c>
      <c r="M19" s="4" t="str">
        <f aca="false">INDEX($C$3:$E$3,MATCH(MAX(C19:E19),C19:E19,0))</f>
        <v>Sheinbaum (PVEM-PT-Morena)</v>
      </c>
      <c r="N19" s="18" t="n">
        <f aca="false">IF(H19=0,0,(MAX(C19:E19)-LARGE(C19:E19,2))/H19*100)</f>
        <v>55.372249814055</v>
      </c>
    </row>
    <row r="20" customFormat="false" ht="15" hidden="false" customHeight="false" outlineLevel="0" collapsed="false">
      <c r="A20" s="4" t="s">
        <v>49</v>
      </c>
      <c r="B20" s="4" t="n">
        <v>1</v>
      </c>
      <c r="C20" s="5" t="n">
        <v>110876</v>
      </c>
      <c r="D20" s="5" t="n">
        <v>71823</v>
      </c>
      <c r="E20" s="5" t="n">
        <v>8981</v>
      </c>
      <c r="F20" s="5" t="n">
        <v>101</v>
      </c>
      <c r="G20" s="5" t="n">
        <v>4631</v>
      </c>
      <c r="H20" s="5" t="n">
        <v>196412</v>
      </c>
      <c r="I20" s="9" t="n">
        <f aca="false">IF(H20=0,0,C20/H20)</f>
        <v>0.564507260248865</v>
      </c>
      <c r="J20" s="9" t="n">
        <f aca="false">IF(H20=0,0,D20/H20)</f>
        <v>0.365675213327088</v>
      </c>
      <c r="K20" s="9" t="n">
        <f aca="false">IF(H20=0,0,E20/H20)</f>
        <v>0.0457253120990571</v>
      </c>
      <c r="L20" s="9" t="n">
        <f aca="false">IF(H20=0,0,G20/H20)</f>
        <v>0.0235779891249007</v>
      </c>
      <c r="M20" s="4" t="str">
        <f aca="false">INDEX($C$3:$E$3,MATCH(MAX(C20:E20),C20:E20,0))</f>
        <v>Sheinbaum (PVEM-PT-Morena)</v>
      </c>
      <c r="N20" s="18" t="n">
        <f aca="false">IF(H20=0,0,(MAX(C20:E20)-LARGE(C20:E20,2))/H20*100)</f>
        <v>19.8832046921777</v>
      </c>
    </row>
    <row r="21" customFormat="false" ht="15" hidden="false" customHeight="false" outlineLevel="0" collapsed="false">
      <c r="A21" s="4" t="s">
        <v>49</v>
      </c>
      <c r="B21" s="4" t="n">
        <v>2</v>
      </c>
      <c r="C21" s="5" t="n">
        <v>119673</v>
      </c>
      <c r="D21" s="5" t="n">
        <v>68083</v>
      </c>
      <c r="E21" s="5" t="n">
        <v>7390</v>
      </c>
      <c r="F21" s="5" t="n">
        <v>95</v>
      </c>
      <c r="G21" s="5" t="n">
        <v>4550</v>
      </c>
      <c r="H21" s="5" t="n">
        <v>199791</v>
      </c>
      <c r="I21" s="9" t="n">
        <f aca="false">IF(H21=0,0,C21/H21)</f>
        <v>0.598990945538087</v>
      </c>
      <c r="J21" s="9" t="n">
        <f aca="false">IF(H21=0,0,D21/H21)</f>
        <v>0.340771105805567</v>
      </c>
      <c r="K21" s="9" t="n">
        <f aca="false">IF(H21=0,0,E21/H21)</f>
        <v>0.0369886531425339</v>
      </c>
      <c r="L21" s="9" t="n">
        <f aca="false">IF(H21=0,0,G21/H21)</f>
        <v>0.0227737986195574</v>
      </c>
      <c r="M21" s="4" t="str">
        <f aca="false">INDEX($C$3:$E$3,MATCH(MAX(C21:E21),C21:E21,0))</f>
        <v>Sheinbaum (PVEM-PT-Morena)</v>
      </c>
      <c r="N21" s="18" t="n">
        <f aca="false">IF(H21=0,0,(MAX(C21:E21)-LARGE(C21:E21,2))/H21*100)</f>
        <v>25.8219839732521</v>
      </c>
    </row>
    <row r="22" customFormat="false" ht="15" hidden="false" customHeight="false" outlineLevel="0" collapsed="false">
      <c r="A22" s="4" t="s">
        <v>49</v>
      </c>
      <c r="B22" s="4" t="n">
        <v>3</v>
      </c>
      <c r="C22" s="5" t="n">
        <v>112113</v>
      </c>
      <c r="D22" s="5" t="n">
        <v>89523</v>
      </c>
      <c r="E22" s="5" t="n">
        <v>10705</v>
      </c>
      <c r="F22" s="5" t="n">
        <v>111</v>
      </c>
      <c r="G22" s="5" t="n">
        <v>4204</v>
      </c>
      <c r="H22" s="5" t="n">
        <v>216656</v>
      </c>
      <c r="I22" s="9" t="n">
        <f aca="false">IF(H22=0,0,C22/H22)</f>
        <v>0.517470090835241</v>
      </c>
      <c r="J22" s="9" t="n">
        <f aca="false">IF(H22=0,0,D22/H22)</f>
        <v>0.413203419245255</v>
      </c>
      <c r="K22" s="9" t="n">
        <f aca="false">IF(H22=0,0,E22/H22)</f>
        <v>0.0494101248061443</v>
      </c>
      <c r="L22" s="9" t="n">
        <f aca="false">IF(H22=0,0,G22/H22)</f>
        <v>0.0194040321985082</v>
      </c>
      <c r="M22" s="4" t="str">
        <f aca="false">INDEX($C$3:$E$3,MATCH(MAX(C22:E22),C22:E22,0))</f>
        <v>Sheinbaum (PVEM-PT-Morena)</v>
      </c>
      <c r="N22" s="18" t="n">
        <f aca="false">IF(H22=0,0,(MAX(C22:E22)-LARGE(C22:E22,2))/H22*100)</f>
        <v>10.4266671589986</v>
      </c>
    </row>
    <row r="23" customFormat="false" ht="15" hidden="false" customHeight="false" outlineLevel="0" collapsed="false">
      <c r="A23" s="4" t="s">
        <v>49</v>
      </c>
      <c r="B23" s="4" t="n">
        <v>4</v>
      </c>
      <c r="C23" s="5" t="n">
        <v>98529</v>
      </c>
      <c r="D23" s="5" t="n">
        <v>95703</v>
      </c>
      <c r="E23" s="5" t="n">
        <v>16997</v>
      </c>
      <c r="F23" s="5" t="n">
        <v>293</v>
      </c>
      <c r="G23" s="5" t="n">
        <v>3376</v>
      </c>
      <c r="H23" s="5" t="n">
        <v>214898</v>
      </c>
      <c r="I23" s="9" t="n">
        <f aca="false">IF(H23=0,0,C23/H23)</f>
        <v>0.458491935709034</v>
      </c>
      <c r="J23" s="9" t="n">
        <f aca="false">IF(H23=0,0,D23/H23)</f>
        <v>0.445341510856313</v>
      </c>
      <c r="K23" s="9" t="n">
        <f aca="false">IF(H23=0,0,E23/H23)</f>
        <v>0.0790933373042094</v>
      </c>
      <c r="L23" s="9" t="n">
        <f aca="false">IF(H23=0,0,G23/H23)</f>
        <v>0.0157097785926346</v>
      </c>
      <c r="M23" s="4" t="str">
        <f aca="false">INDEX($C$3:$E$3,MATCH(MAX(C23:E23),C23:E23,0))</f>
        <v>Sheinbaum (PVEM-PT-Morena)</v>
      </c>
      <c r="N23" s="18" t="n">
        <f aca="false">IF(H23=0,0,(MAX(C23:E23)-LARGE(C23:E23,2))/H23*100)</f>
        <v>1.31504248527208</v>
      </c>
    </row>
    <row r="24" customFormat="false" ht="15" hidden="false" customHeight="false" outlineLevel="0" collapsed="false">
      <c r="A24" s="4" t="s">
        <v>49</v>
      </c>
      <c r="B24" s="4" t="n">
        <v>5</v>
      </c>
      <c r="C24" s="5" t="n">
        <v>97766</v>
      </c>
      <c r="D24" s="5" t="n">
        <v>85771</v>
      </c>
      <c r="E24" s="5" t="n">
        <v>8437</v>
      </c>
      <c r="F24" s="5" t="n">
        <v>193</v>
      </c>
      <c r="G24" s="5" t="n">
        <v>3347</v>
      </c>
      <c r="H24" s="5" t="n">
        <v>195514</v>
      </c>
      <c r="I24" s="9" t="n">
        <f aca="false">IF(H24=0,0,C24/H24)</f>
        <v>0.500046032509181</v>
      </c>
      <c r="J24" s="9" t="n">
        <f aca="false">IF(H24=0,0,D24/H24)</f>
        <v>0.438694927217488</v>
      </c>
      <c r="K24" s="9" t="n">
        <f aca="false">IF(H24=0,0,E24/H24)</f>
        <v>0.043152919995499</v>
      </c>
      <c r="L24" s="9" t="n">
        <f aca="false">IF(H24=0,0,G24/H24)</f>
        <v>0.017118978692063</v>
      </c>
      <c r="M24" s="4" t="str">
        <f aca="false">INDEX($C$3:$E$3,MATCH(MAX(C24:E24),C24:E24,0))</f>
        <v>Sheinbaum (PVEM-PT-Morena)</v>
      </c>
      <c r="N24" s="18" t="n">
        <f aca="false">IF(H24=0,0,(MAX(C24:E24)-LARGE(C24:E24,2))/H24*100)</f>
        <v>6.13511052916927</v>
      </c>
    </row>
    <row r="25" customFormat="false" ht="15" hidden="false" customHeight="false" outlineLevel="0" collapsed="false">
      <c r="A25" s="4" t="s">
        <v>49</v>
      </c>
      <c r="B25" s="4" t="n">
        <v>6</v>
      </c>
      <c r="C25" s="5" t="n">
        <v>97261</v>
      </c>
      <c r="D25" s="5" t="n">
        <v>74374</v>
      </c>
      <c r="E25" s="5" t="n">
        <v>9203</v>
      </c>
      <c r="F25" s="5" t="n">
        <v>145</v>
      </c>
      <c r="G25" s="5" t="n">
        <v>3486</v>
      </c>
      <c r="H25" s="5" t="n">
        <v>184469</v>
      </c>
      <c r="I25" s="9" t="n">
        <f aca="false">IF(H25=0,0,C25/H25)</f>
        <v>0.527248480774547</v>
      </c>
      <c r="J25" s="9" t="n">
        <f aca="false">IF(H25=0,0,D25/H25)</f>
        <v>0.403178853899571</v>
      </c>
      <c r="K25" s="9" t="n">
        <f aca="false">IF(H25=0,0,E25/H25)</f>
        <v>0.049889141264928</v>
      </c>
      <c r="L25" s="9" t="n">
        <f aca="false">IF(H25=0,0,G25/H25)</f>
        <v>0.0188974841301248</v>
      </c>
      <c r="M25" s="4" t="str">
        <f aca="false">INDEX($C$3:$E$3,MATCH(MAX(C25:E25),C25:E25,0))</f>
        <v>Sheinbaum (PVEM-PT-Morena)</v>
      </c>
      <c r="N25" s="18" t="n">
        <f aca="false">IF(H25=0,0,(MAX(C25:E25)-LARGE(C25:E25,2))/H25*100)</f>
        <v>12.4069626874976</v>
      </c>
    </row>
    <row r="26" customFormat="false" ht="15" hidden="false" customHeight="false" outlineLevel="0" collapsed="false">
      <c r="A26" s="4" t="s">
        <v>49</v>
      </c>
      <c r="B26" s="4" t="n">
        <v>7</v>
      </c>
      <c r="C26" s="5" t="n">
        <v>113480</v>
      </c>
      <c r="D26" s="5" t="n">
        <v>70502</v>
      </c>
      <c r="E26" s="5" t="n">
        <v>16375</v>
      </c>
      <c r="F26" s="5" t="n">
        <v>171</v>
      </c>
      <c r="G26" s="5" t="n">
        <v>3914</v>
      </c>
      <c r="H26" s="5" t="n">
        <v>204442</v>
      </c>
      <c r="I26" s="9" t="n">
        <f aca="false">IF(H26=0,0,C26/H26)</f>
        <v>0.555071854119995</v>
      </c>
      <c r="J26" s="9" t="n">
        <f aca="false">IF(H26=0,0,D26/H26)</f>
        <v>0.344850862347267</v>
      </c>
      <c r="K26" s="9" t="n">
        <f aca="false">IF(H26=0,0,E26/H26)</f>
        <v>0.0800960663660109</v>
      </c>
      <c r="L26" s="9" t="n">
        <f aca="false">IF(H26=0,0,G26/H26)</f>
        <v>0.0191447941225384</v>
      </c>
      <c r="M26" s="4" t="str">
        <f aca="false">INDEX($C$3:$E$3,MATCH(MAX(C26:E26),C26:E26,0))</f>
        <v>Sheinbaum (PVEM-PT-Morena)</v>
      </c>
      <c r="N26" s="18" t="n">
        <f aca="false">IF(H26=0,0,(MAX(C26:E26)-LARGE(C26:E26,2))/H26*100)</f>
        <v>21.0220991772728</v>
      </c>
    </row>
    <row r="27" customFormat="false" ht="15" hidden="false" customHeight="false" outlineLevel="0" collapsed="false">
      <c r="A27" s="4" t="s">
        <v>49</v>
      </c>
      <c r="B27" s="4" t="n">
        <v>8</v>
      </c>
      <c r="C27" s="5" t="n">
        <v>102369</v>
      </c>
      <c r="D27" s="5" t="n">
        <v>59574</v>
      </c>
      <c r="E27" s="5" t="n">
        <v>7700</v>
      </c>
      <c r="F27" s="5" t="n">
        <v>81</v>
      </c>
      <c r="G27" s="5" t="n">
        <v>3483</v>
      </c>
      <c r="H27" s="5" t="n">
        <v>173207</v>
      </c>
      <c r="I27" s="9" t="n">
        <f aca="false">IF(H27=0,0,C27/H27)</f>
        <v>0.591021148106024</v>
      </c>
      <c r="J27" s="9" t="n">
        <f aca="false">IF(H27=0,0,D27/H27)</f>
        <v>0.343946838176286</v>
      </c>
      <c r="K27" s="9" t="n">
        <f aca="false">IF(H27=0,0,E27/H27)</f>
        <v>0.0444554781273274</v>
      </c>
      <c r="L27" s="9" t="n">
        <f aca="false">IF(H27=0,0,G27/H27)</f>
        <v>0.0201088870542184</v>
      </c>
      <c r="M27" s="4" t="str">
        <f aca="false">INDEX($C$3:$E$3,MATCH(MAX(C27:E27),C27:E27,0))</f>
        <v>Sheinbaum (PVEM-PT-Morena)</v>
      </c>
      <c r="N27" s="18" t="n">
        <f aca="false">IF(H27=0,0,(MAX(C27:E27)-LARGE(C27:E27,2))/H27*100)</f>
        <v>24.7074309929737</v>
      </c>
    </row>
    <row r="28" customFormat="false" ht="15" hidden="false" customHeight="false" outlineLevel="0" collapsed="false">
      <c r="A28" s="4" t="s">
        <v>50</v>
      </c>
      <c r="B28" s="4" t="n">
        <v>1</v>
      </c>
      <c r="C28" s="5" t="n">
        <v>89637</v>
      </c>
      <c r="D28" s="5" t="n">
        <v>71320</v>
      </c>
      <c r="E28" s="5" t="n">
        <v>25328</v>
      </c>
      <c r="F28" s="5" t="n">
        <v>473</v>
      </c>
      <c r="G28" s="5" t="n">
        <v>3439</v>
      </c>
      <c r="H28" s="5" t="n">
        <v>190197</v>
      </c>
      <c r="I28" s="9" t="n">
        <f aca="false">IF(H28=0,0,C28/H28)</f>
        <v>0.471285036041578</v>
      </c>
      <c r="J28" s="9" t="n">
        <f aca="false">IF(H28=0,0,D28/H28)</f>
        <v>0.374979626387377</v>
      </c>
      <c r="K28" s="9" t="n">
        <f aca="false">IF(H28=0,0,E28/H28)</f>
        <v>0.133167189808462</v>
      </c>
      <c r="L28" s="9" t="n">
        <f aca="false">IF(H28=0,0,G28/H28)</f>
        <v>0.0180812525959926</v>
      </c>
      <c r="M28" s="4" t="str">
        <f aca="false">INDEX($C$3:$E$3,MATCH(MAX(C28:E28),C28:E28,0))</f>
        <v>Sheinbaum (PVEM-PT-Morena)</v>
      </c>
      <c r="N28" s="18" t="n">
        <f aca="false">IF(H28=0,0,(MAX(C28:E28)-LARGE(C28:E28,2))/H28*100)</f>
        <v>9.63054096542006</v>
      </c>
    </row>
    <row r="29" customFormat="false" ht="15" hidden="false" customHeight="false" outlineLevel="0" collapsed="false">
      <c r="A29" s="4" t="s">
        <v>50</v>
      </c>
      <c r="B29" s="4" t="n">
        <v>2</v>
      </c>
      <c r="C29" s="5" t="n">
        <v>97823</v>
      </c>
      <c r="D29" s="5" t="n">
        <v>31864</v>
      </c>
      <c r="E29" s="5" t="n">
        <v>20737</v>
      </c>
      <c r="F29" s="5" t="n">
        <v>222</v>
      </c>
      <c r="G29" s="5" t="n">
        <v>3793</v>
      </c>
      <c r="H29" s="5" t="n">
        <v>154439</v>
      </c>
      <c r="I29" s="9" t="n">
        <f aca="false">IF(H29=0,0,C29/H29)</f>
        <v>0.633408659729732</v>
      </c>
      <c r="J29" s="9" t="n">
        <f aca="false">IF(H29=0,0,D29/H29)</f>
        <v>0.206320942249043</v>
      </c>
      <c r="K29" s="9" t="n">
        <f aca="false">IF(H29=0,0,E29/H29)</f>
        <v>0.134273078691263</v>
      </c>
      <c r="L29" s="9" t="n">
        <f aca="false">IF(H29=0,0,G29/H29)</f>
        <v>0.0245598585849429</v>
      </c>
      <c r="M29" s="4" t="str">
        <f aca="false">INDEX($C$3:$E$3,MATCH(MAX(C29:E29),C29:E29,0))</f>
        <v>Sheinbaum (PVEM-PT-Morena)</v>
      </c>
      <c r="N29" s="18" t="n">
        <f aca="false">IF(H29=0,0,(MAX(C29:E29)-LARGE(C29:E29,2))/H29*100)</f>
        <v>42.7087717480688</v>
      </c>
    </row>
    <row r="30" customFormat="false" ht="15" hidden="false" customHeight="false" outlineLevel="0" collapsed="false">
      <c r="A30" s="4" t="s">
        <v>51</v>
      </c>
      <c r="B30" s="4" t="n">
        <v>1</v>
      </c>
      <c r="C30" s="5" t="n">
        <v>175228</v>
      </c>
      <c r="D30" s="5" t="n">
        <v>15854</v>
      </c>
      <c r="E30" s="5" t="n">
        <v>9319</v>
      </c>
      <c r="F30" s="5" t="n">
        <v>43</v>
      </c>
      <c r="G30" s="5" t="n">
        <v>8999</v>
      </c>
      <c r="H30" s="5" t="n">
        <v>209443</v>
      </c>
      <c r="I30" s="9" t="n">
        <f aca="false">IF(H30=0,0,C30/H30)</f>
        <v>0.836638130660848</v>
      </c>
      <c r="J30" s="9" t="n">
        <f aca="false">IF(H30=0,0,D30/H30)</f>
        <v>0.0756960127576477</v>
      </c>
      <c r="K30" s="9" t="n">
        <f aca="false">IF(H30=0,0,E30/H30)</f>
        <v>0.0444942060608376</v>
      </c>
      <c r="L30" s="9" t="n">
        <f aca="false">IF(H30=0,0,G30/H30)</f>
        <v>0.0429663440649723</v>
      </c>
      <c r="M30" s="4" t="str">
        <f aca="false">INDEX($C$3:$E$3,MATCH(MAX(C30:E30),C30:E30,0))</f>
        <v>Sheinbaum (PVEM-PT-Morena)</v>
      </c>
      <c r="N30" s="18" t="n">
        <f aca="false">IF(H30=0,0,(MAX(C30:E30)-LARGE(C30:E30,2))/H30*100)</f>
        <v>76.0942117903201</v>
      </c>
    </row>
    <row r="31" customFormat="false" ht="15" hidden="false" customHeight="false" outlineLevel="0" collapsed="false">
      <c r="A31" s="4" t="s">
        <v>51</v>
      </c>
      <c r="B31" s="4" t="n">
        <v>2</v>
      </c>
      <c r="C31" s="5" t="n">
        <v>123384</v>
      </c>
      <c r="D31" s="5" t="n">
        <v>39417</v>
      </c>
      <c r="E31" s="5" t="n">
        <v>7882</v>
      </c>
      <c r="F31" s="5" t="n">
        <v>110</v>
      </c>
      <c r="G31" s="5" t="n">
        <v>11571</v>
      </c>
      <c r="H31" s="5" t="n">
        <v>182364</v>
      </c>
      <c r="I31" s="9" t="n">
        <f aca="false">IF(H31=0,0,C31/H31)</f>
        <v>0.676580904125814</v>
      </c>
      <c r="J31" s="9" t="n">
        <f aca="false">IF(H31=0,0,D31/H31)</f>
        <v>0.216144633809304</v>
      </c>
      <c r="K31" s="9" t="n">
        <f aca="false">IF(H31=0,0,E31/H31)</f>
        <v>0.0432212498080762</v>
      </c>
      <c r="L31" s="9" t="n">
        <f aca="false">IF(H31=0,0,G31/H31)</f>
        <v>0.0634500230308614</v>
      </c>
      <c r="M31" s="4" t="str">
        <f aca="false">INDEX($C$3:$E$3,MATCH(MAX(C31:E31),C31:E31,0))</f>
        <v>Sheinbaum (PVEM-PT-Morena)</v>
      </c>
      <c r="N31" s="18" t="n">
        <f aca="false">IF(H31=0,0,(MAX(C31:E31)-LARGE(C31:E31,2))/H31*100)</f>
        <v>46.043627031651</v>
      </c>
    </row>
    <row r="32" customFormat="false" ht="15" hidden="false" customHeight="false" outlineLevel="0" collapsed="false">
      <c r="A32" s="4" t="s">
        <v>51</v>
      </c>
      <c r="B32" s="4" t="n">
        <v>3</v>
      </c>
      <c r="C32" s="5" t="n">
        <v>172548</v>
      </c>
      <c r="D32" s="5" t="n">
        <v>12057</v>
      </c>
      <c r="E32" s="5" t="n">
        <v>5742</v>
      </c>
      <c r="F32" s="5" t="n">
        <v>139</v>
      </c>
      <c r="G32" s="5" t="n">
        <v>5657</v>
      </c>
      <c r="H32" s="5" t="n">
        <v>196143</v>
      </c>
      <c r="I32" s="9" t="n">
        <f aca="false">IF(H32=0,0,C32/H32)</f>
        <v>0.879705113106254</v>
      </c>
      <c r="J32" s="9" t="n">
        <f aca="false">IF(H32=0,0,D32/H32)</f>
        <v>0.0614704577782536</v>
      </c>
      <c r="K32" s="9" t="n">
        <f aca="false">IF(H32=0,0,E32/H32)</f>
        <v>0.0292745598874291</v>
      </c>
      <c r="L32" s="9" t="n">
        <f aca="false">IF(H32=0,0,G32/H32)</f>
        <v>0.0288412025919865</v>
      </c>
      <c r="M32" s="4" t="str">
        <f aca="false">INDEX($C$3:$E$3,MATCH(MAX(C32:E32),C32:E32,0))</f>
        <v>Sheinbaum (PVEM-PT-Morena)</v>
      </c>
      <c r="N32" s="18" t="n">
        <f aca="false">IF(H32=0,0,(MAX(C32:E32)-LARGE(C32:E32,2))/H32*100)</f>
        <v>81.8234655328</v>
      </c>
    </row>
    <row r="33" customFormat="false" ht="15" hidden="false" customHeight="false" outlineLevel="0" collapsed="false">
      <c r="A33" s="4" t="s">
        <v>51</v>
      </c>
      <c r="B33" s="4" t="n">
        <v>4</v>
      </c>
      <c r="C33" s="5" t="n">
        <v>144313</v>
      </c>
      <c r="D33" s="5" t="n">
        <v>29267</v>
      </c>
      <c r="E33" s="5" t="n">
        <v>16111</v>
      </c>
      <c r="F33" s="5" t="n">
        <v>197</v>
      </c>
      <c r="G33" s="5" t="n">
        <v>11476</v>
      </c>
      <c r="H33" s="5" t="n">
        <v>201364</v>
      </c>
      <c r="I33" s="9" t="n">
        <f aca="false">IF(H33=0,0,C33/H33)</f>
        <v>0.716677261079438</v>
      </c>
      <c r="J33" s="9" t="n">
        <f aca="false">IF(H33=0,0,D33/H33)</f>
        <v>0.145343755586897</v>
      </c>
      <c r="K33" s="9" t="n">
        <f aca="false">IF(H33=0,0,E33/H33)</f>
        <v>0.0800093363262549</v>
      </c>
      <c r="L33" s="9" t="n">
        <f aca="false">IF(H33=0,0,G33/H33)</f>
        <v>0.0569913192030353</v>
      </c>
      <c r="M33" s="4" t="str">
        <f aca="false">INDEX($C$3:$E$3,MATCH(MAX(C33:E33),C33:E33,0))</f>
        <v>Sheinbaum (PVEM-PT-Morena)</v>
      </c>
      <c r="N33" s="18" t="n">
        <f aca="false">IF(H33=0,0,(MAX(C33:E33)-LARGE(C33:E33,2))/H33*100)</f>
        <v>57.1333505492541</v>
      </c>
    </row>
    <row r="34" customFormat="false" ht="15" hidden="false" customHeight="false" outlineLevel="0" collapsed="false">
      <c r="A34" s="4" t="s">
        <v>51</v>
      </c>
      <c r="B34" s="4" t="n">
        <v>5</v>
      </c>
      <c r="C34" s="5" t="n">
        <v>98181</v>
      </c>
      <c r="D34" s="5" t="n">
        <v>73980</v>
      </c>
      <c r="E34" s="5" t="n">
        <v>18101</v>
      </c>
      <c r="F34" s="5" t="n">
        <v>160</v>
      </c>
      <c r="G34" s="5" t="n">
        <v>8852</v>
      </c>
      <c r="H34" s="5" t="n">
        <v>199274</v>
      </c>
      <c r="I34" s="9" t="n">
        <f aca="false">IF(H34=0,0,C34/H34)</f>
        <v>0.492693477322681</v>
      </c>
      <c r="J34" s="9" t="n">
        <f aca="false">IF(H34=0,0,D34/H34)</f>
        <v>0.371247628892881</v>
      </c>
      <c r="K34" s="9" t="n">
        <f aca="false">IF(H34=0,0,E34/H34)</f>
        <v>0.0908347300701547</v>
      </c>
      <c r="L34" s="9" t="n">
        <f aca="false">IF(H34=0,0,G34/H34)</f>
        <v>0.0444212491343577</v>
      </c>
      <c r="M34" s="4" t="str">
        <f aca="false">INDEX($C$3:$E$3,MATCH(MAX(C34:E34),C34:E34,0))</f>
        <v>Sheinbaum (PVEM-PT-Morena)</v>
      </c>
      <c r="N34" s="18" t="n">
        <f aca="false">IF(H34=0,0,(MAX(C34:E34)-LARGE(C34:E34,2))/H34*100)</f>
        <v>12.14458484298</v>
      </c>
    </row>
    <row r="35" customFormat="false" ht="15" hidden="false" customHeight="false" outlineLevel="0" collapsed="false">
      <c r="A35" s="4" t="s">
        <v>51</v>
      </c>
      <c r="B35" s="4" t="n">
        <v>6</v>
      </c>
      <c r="C35" s="5" t="n">
        <v>134720</v>
      </c>
      <c r="D35" s="5" t="n">
        <v>27997</v>
      </c>
      <c r="E35" s="5" t="n">
        <v>18058</v>
      </c>
      <c r="F35" s="5" t="n">
        <v>226</v>
      </c>
      <c r="G35" s="5" t="n">
        <v>6341</v>
      </c>
      <c r="H35" s="5" t="n">
        <v>187342</v>
      </c>
      <c r="I35" s="9" t="n">
        <f aca="false">IF(H35=0,0,C35/H35)</f>
        <v>0.719112638917061</v>
      </c>
      <c r="J35" s="9" t="n">
        <f aca="false">IF(H35=0,0,D35/H35)</f>
        <v>0.149443264190625</v>
      </c>
      <c r="K35" s="9" t="n">
        <f aca="false">IF(H35=0,0,E35/H35)</f>
        <v>0.0963905584439154</v>
      </c>
      <c r="L35" s="9" t="n">
        <f aca="false">IF(H35=0,0,G35/H35)</f>
        <v>0.0338471885642301</v>
      </c>
      <c r="M35" s="4" t="str">
        <f aca="false">INDEX($C$3:$E$3,MATCH(MAX(C35:E35),C35:E35,0))</f>
        <v>Sheinbaum (PVEM-PT-Morena)</v>
      </c>
      <c r="N35" s="18" t="n">
        <f aca="false">IF(H35=0,0,(MAX(C35:E35)-LARGE(C35:E35,2))/H35*100)</f>
        <v>56.9669374726436</v>
      </c>
    </row>
    <row r="36" customFormat="false" ht="15" hidden="false" customHeight="false" outlineLevel="0" collapsed="false">
      <c r="A36" s="4" t="s">
        <v>51</v>
      </c>
      <c r="B36" s="4" t="n">
        <v>7</v>
      </c>
      <c r="C36" s="5" t="n">
        <v>151627</v>
      </c>
      <c r="D36" s="5" t="n">
        <v>23227</v>
      </c>
      <c r="E36" s="5" t="n">
        <v>14505</v>
      </c>
      <c r="F36" s="5" t="n">
        <v>144</v>
      </c>
      <c r="G36" s="5" t="n">
        <v>6261</v>
      </c>
      <c r="H36" s="5" t="n">
        <v>195764</v>
      </c>
      <c r="I36" s="9" t="n">
        <f aca="false">IF(H36=0,0,C36/H36)</f>
        <v>0.774539751946221</v>
      </c>
      <c r="J36" s="9" t="n">
        <f aca="false">IF(H36=0,0,D36/H36)</f>
        <v>0.11864796387487</v>
      </c>
      <c r="K36" s="9" t="n">
        <f aca="false">IF(H36=0,0,E36/H36)</f>
        <v>0.07409431764778</v>
      </c>
      <c r="L36" s="9" t="n">
        <f aca="false">IF(H36=0,0,G36/H36)</f>
        <v>0.0319823869557222</v>
      </c>
      <c r="M36" s="4" t="str">
        <f aca="false">INDEX($C$3:$E$3,MATCH(MAX(C36:E36),C36:E36,0))</f>
        <v>Sheinbaum (PVEM-PT-Morena)</v>
      </c>
      <c r="N36" s="18" t="n">
        <f aca="false">IF(H36=0,0,(MAX(C36:E36)-LARGE(C36:E36,2))/H36*100)</f>
        <v>65.5891788071351</v>
      </c>
    </row>
    <row r="37" customFormat="false" ht="15" hidden="false" customHeight="false" outlineLevel="0" collapsed="false">
      <c r="A37" s="4" t="s">
        <v>51</v>
      </c>
      <c r="B37" s="4" t="n">
        <v>8</v>
      </c>
      <c r="C37" s="5" t="n">
        <v>130453</v>
      </c>
      <c r="D37" s="5" t="n">
        <v>29861</v>
      </c>
      <c r="E37" s="5" t="n">
        <v>14836</v>
      </c>
      <c r="F37" s="5" t="n">
        <v>60</v>
      </c>
      <c r="G37" s="5" t="n">
        <v>7530</v>
      </c>
      <c r="H37" s="5" t="n">
        <v>182740</v>
      </c>
      <c r="I37" s="9" t="n">
        <f aca="false">IF(H37=0,0,C37/H37)</f>
        <v>0.713872168107694</v>
      </c>
      <c r="J37" s="9" t="n">
        <f aca="false">IF(H37=0,0,D37/H37)</f>
        <v>0.163407026376272</v>
      </c>
      <c r="K37" s="9" t="n">
        <f aca="false">IF(H37=0,0,E37/H37)</f>
        <v>0.0811863850279085</v>
      </c>
      <c r="L37" s="9" t="n">
        <f aca="false">IF(H37=0,0,G37/H37)</f>
        <v>0.0412060851482981</v>
      </c>
      <c r="M37" s="4" t="str">
        <f aca="false">INDEX($C$3:$E$3,MATCH(MAX(C37:E37),C37:E37,0))</f>
        <v>Sheinbaum (PVEM-PT-Morena)</v>
      </c>
      <c r="N37" s="18" t="n">
        <f aca="false">IF(H37=0,0,(MAX(C37:E37)-LARGE(C37:E37,2))/H37*100)</f>
        <v>55.0465141731422</v>
      </c>
    </row>
    <row r="38" customFormat="false" ht="15" hidden="false" customHeight="false" outlineLevel="0" collapsed="false">
      <c r="A38" s="4" t="s">
        <v>51</v>
      </c>
      <c r="B38" s="4" t="n">
        <v>9</v>
      </c>
      <c r="C38" s="5" t="n">
        <v>99991</v>
      </c>
      <c r="D38" s="5" t="n">
        <v>48496</v>
      </c>
      <c r="E38" s="5" t="n">
        <v>21588</v>
      </c>
      <c r="F38" s="5" t="n">
        <v>386</v>
      </c>
      <c r="G38" s="5" t="n">
        <v>4139</v>
      </c>
      <c r="H38" s="5" t="n">
        <v>174600</v>
      </c>
      <c r="I38" s="9" t="n">
        <f aca="false">IF(H38=0,0,C38/H38)</f>
        <v>0.572686139747995</v>
      </c>
      <c r="J38" s="9" t="n">
        <f aca="false">IF(H38=0,0,D38/H38)</f>
        <v>0.277754868270332</v>
      </c>
      <c r="K38" s="9" t="n">
        <f aca="false">IF(H38=0,0,E38/H38)</f>
        <v>0.123642611683849</v>
      </c>
      <c r="L38" s="9" t="n">
        <f aca="false">IF(H38=0,0,G38/H38)</f>
        <v>0.0237056128293242</v>
      </c>
      <c r="M38" s="4" t="str">
        <f aca="false">INDEX($C$3:$E$3,MATCH(MAX(C38:E38),C38:E38,0))</f>
        <v>Sheinbaum (PVEM-PT-Morena)</v>
      </c>
      <c r="N38" s="18" t="n">
        <f aca="false">IF(H38=0,0,(MAX(C38:E38)-LARGE(C38:E38,2))/H38*100)</f>
        <v>29.4931271477663</v>
      </c>
    </row>
    <row r="39" customFormat="false" ht="15" hidden="false" customHeight="false" outlineLevel="0" collapsed="false">
      <c r="A39" s="4" t="s">
        <v>51</v>
      </c>
      <c r="B39" s="4" t="n">
        <v>10</v>
      </c>
      <c r="C39" s="5" t="n">
        <v>132636</v>
      </c>
      <c r="D39" s="5" t="n">
        <v>27927</v>
      </c>
      <c r="E39" s="5" t="n">
        <v>16745</v>
      </c>
      <c r="F39" s="5" t="n">
        <v>276</v>
      </c>
      <c r="G39" s="5" t="n">
        <v>9293</v>
      </c>
      <c r="H39" s="5" t="n">
        <v>186877</v>
      </c>
      <c r="I39" s="9" t="n">
        <f aca="false">IF(H39=0,0,C39/H39)</f>
        <v>0.70975026354233</v>
      </c>
      <c r="J39" s="9" t="n">
        <f aca="false">IF(H39=0,0,D39/H39)</f>
        <v>0.149440541104577</v>
      </c>
      <c r="K39" s="9" t="n">
        <f aca="false">IF(H39=0,0,E39/H39)</f>
        <v>0.0896043921937959</v>
      </c>
      <c r="L39" s="9" t="n">
        <f aca="false">IF(H39=0,0,G39/H39)</f>
        <v>0.0497278958887397</v>
      </c>
      <c r="M39" s="4" t="str">
        <f aca="false">INDEX($C$3:$E$3,MATCH(MAX(C39:E39),C39:E39,0))</f>
        <v>Sheinbaum (PVEM-PT-Morena)</v>
      </c>
      <c r="N39" s="18" t="n">
        <f aca="false">IF(H39=0,0,(MAX(C39:E39)-LARGE(C39:E39,2))/H39*100)</f>
        <v>56.0309722437753</v>
      </c>
    </row>
    <row r="40" customFormat="false" ht="15" hidden="false" customHeight="false" outlineLevel="0" collapsed="false">
      <c r="A40" s="4" t="s">
        <v>51</v>
      </c>
      <c r="B40" s="4" t="n">
        <v>11</v>
      </c>
      <c r="C40" s="5" t="n">
        <v>148167</v>
      </c>
      <c r="D40" s="5" t="n">
        <v>16830</v>
      </c>
      <c r="E40" s="5" t="n">
        <v>8753</v>
      </c>
      <c r="F40" s="5" t="n">
        <v>127</v>
      </c>
      <c r="G40" s="5" t="n">
        <v>10625</v>
      </c>
      <c r="H40" s="5" t="n">
        <v>184502</v>
      </c>
      <c r="I40" s="9" t="n">
        <f aca="false">IF(H40=0,0,C40/H40)</f>
        <v>0.803064465425849</v>
      </c>
      <c r="J40" s="9" t="n">
        <f aca="false">IF(H40=0,0,D40/H40)</f>
        <v>0.0912185233764404</v>
      </c>
      <c r="K40" s="9" t="n">
        <f aca="false">IF(H40=0,0,E40/H40)</f>
        <v>0.0474412201493751</v>
      </c>
      <c r="L40" s="9" t="n">
        <f aca="false">IF(H40=0,0,G40/H40)</f>
        <v>0.0575874516265406</v>
      </c>
      <c r="M40" s="4" t="str">
        <f aca="false">INDEX($C$3:$E$3,MATCH(MAX(C40:E40),C40:E40,0))</f>
        <v>Sheinbaum (PVEM-PT-Morena)</v>
      </c>
      <c r="N40" s="18" t="n">
        <f aca="false">IF(H40=0,0,(MAX(C40:E40)-LARGE(C40:E40,2))/H40*100)</f>
        <v>71.1845942049409</v>
      </c>
    </row>
    <row r="41" customFormat="false" ht="15" hidden="false" customHeight="false" outlineLevel="0" collapsed="false">
      <c r="A41" s="4" t="s">
        <v>51</v>
      </c>
      <c r="B41" s="4" t="n">
        <v>12</v>
      </c>
      <c r="C41" s="5" t="n">
        <v>128666</v>
      </c>
      <c r="D41" s="5" t="n">
        <v>31387</v>
      </c>
      <c r="E41" s="5" t="n">
        <v>17446</v>
      </c>
      <c r="F41" s="5" t="n">
        <v>272</v>
      </c>
      <c r="G41" s="5" t="n">
        <v>6034</v>
      </c>
      <c r="H41" s="5" t="n">
        <v>183805</v>
      </c>
      <c r="I41" s="9" t="n">
        <f aca="false">IF(H41=0,0,C41/H41)</f>
        <v>0.700013601371018</v>
      </c>
      <c r="J41" s="9" t="n">
        <f aca="false">IF(H41=0,0,D41/H41)</f>
        <v>0.17076249285928</v>
      </c>
      <c r="K41" s="9" t="n">
        <f aca="false">IF(H41=0,0,E41/H41)</f>
        <v>0.0949158075133974</v>
      </c>
      <c r="L41" s="9" t="n">
        <f aca="false">IF(H41=0,0,G41/H41)</f>
        <v>0.0328282690895242</v>
      </c>
      <c r="M41" s="4" t="str">
        <f aca="false">INDEX($C$3:$E$3,MATCH(MAX(C41:E41),C41:E41,0))</f>
        <v>Sheinbaum (PVEM-PT-Morena)</v>
      </c>
      <c r="N41" s="18" t="n">
        <f aca="false">IF(H41=0,0,(MAX(C41:E41)-LARGE(C41:E41,2))/H41*100)</f>
        <v>52.9251108511738</v>
      </c>
    </row>
    <row r="42" customFormat="false" ht="15" hidden="false" customHeight="false" outlineLevel="0" collapsed="false">
      <c r="A42" s="4" t="s">
        <v>51</v>
      </c>
      <c r="B42" s="4" t="n">
        <v>13</v>
      </c>
      <c r="C42" s="5" t="n">
        <v>128461</v>
      </c>
      <c r="D42" s="5" t="n">
        <v>36103</v>
      </c>
      <c r="E42" s="5" t="n">
        <v>13965</v>
      </c>
      <c r="F42" s="5" t="n">
        <v>128</v>
      </c>
      <c r="G42" s="5" t="n">
        <v>8508</v>
      </c>
      <c r="H42" s="5" t="n">
        <v>187165</v>
      </c>
      <c r="I42" s="9" t="n">
        <f aca="false">IF(H42=0,0,C42/H42)</f>
        <v>0.686351614885262</v>
      </c>
      <c r="J42" s="9" t="n">
        <f aca="false">IF(H42=0,0,D42/H42)</f>
        <v>0.192893970560735</v>
      </c>
      <c r="K42" s="9" t="n">
        <f aca="false">IF(H42=0,0,E42/H42)</f>
        <v>0.0746133091122806</v>
      </c>
      <c r="L42" s="9" t="n">
        <f aca="false">IF(H42=0,0,G42/H42)</f>
        <v>0.0454572168941843</v>
      </c>
      <c r="M42" s="4" t="str">
        <f aca="false">INDEX($C$3:$E$3,MATCH(MAX(C42:E42),C42:E42,0))</f>
        <v>Sheinbaum (PVEM-PT-Morena)</v>
      </c>
      <c r="N42" s="18" t="n">
        <f aca="false">IF(H42=0,0,(MAX(C42:E42)-LARGE(C42:E42,2))/H42*100)</f>
        <v>49.3457644324527</v>
      </c>
    </row>
    <row r="43" customFormat="false" ht="15" hidden="false" customHeight="false" outlineLevel="0" collapsed="false">
      <c r="A43" s="4" t="s">
        <v>52</v>
      </c>
      <c r="B43" s="4" t="n">
        <v>1</v>
      </c>
      <c r="C43" s="5" t="n">
        <v>117458</v>
      </c>
      <c r="D43" s="5" t="n">
        <v>19456</v>
      </c>
      <c r="E43" s="5" t="n">
        <v>17759</v>
      </c>
      <c r="F43" s="5" t="n">
        <v>198</v>
      </c>
      <c r="G43" s="5" t="n">
        <v>2565</v>
      </c>
      <c r="H43" s="5" t="n">
        <v>157436</v>
      </c>
      <c r="I43" s="9" t="n">
        <f aca="false">IF(H43=0,0,C43/H43)</f>
        <v>0.74606824360375</v>
      </c>
      <c r="J43" s="9" t="n">
        <f aca="false">IF(H43=0,0,D43/H43)</f>
        <v>0.123580375517671</v>
      </c>
      <c r="K43" s="9" t="n">
        <f aca="false">IF(H43=0,0,E43/H43)</f>
        <v>0.112801392311797</v>
      </c>
      <c r="L43" s="9" t="n">
        <f aca="false">IF(H43=0,0,G43/H43)</f>
        <v>0.0162923346629742</v>
      </c>
      <c r="M43" s="4" t="str">
        <f aca="false">INDEX($C$3:$E$3,MATCH(MAX(C43:E43),C43:E43,0))</f>
        <v>Sheinbaum (PVEM-PT-Morena)</v>
      </c>
      <c r="N43" s="18" t="n">
        <f aca="false">IF(H43=0,0,(MAX(C43:E43)-LARGE(C43:E43,2))/H43*100)</f>
        <v>62.2487868086079</v>
      </c>
    </row>
    <row r="44" customFormat="false" ht="15" hidden="false" customHeight="false" outlineLevel="0" collapsed="false">
      <c r="A44" s="4" t="s">
        <v>52</v>
      </c>
      <c r="B44" s="4" t="n">
        <v>2</v>
      </c>
      <c r="C44" s="5" t="n">
        <v>104597</v>
      </c>
      <c r="D44" s="5" t="n">
        <v>11158</v>
      </c>
      <c r="E44" s="5" t="n">
        <v>10274</v>
      </c>
      <c r="F44" s="5" t="n">
        <v>113</v>
      </c>
      <c r="G44" s="5" t="n">
        <v>2353</v>
      </c>
      <c r="H44" s="5" t="n">
        <v>128495</v>
      </c>
      <c r="I44" s="9" t="n">
        <f aca="false">IF(H44=0,0,C44/H44)</f>
        <v>0.814016109576248</v>
      </c>
      <c r="J44" s="9" t="n">
        <f aca="false">IF(H44=0,0,D44/H44)</f>
        <v>0.0868360636600646</v>
      </c>
      <c r="K44" s="9" t="n">
        <f aca="false">IF(H44=0,0,E44/H44)</f>
        <v>0.0799564185376863</v>
      </c>
      <c r="L44" s="9" t="n">
        <f aca="false">IF(H44=0,0,G44/H44)</f>
        <v>0.0183119965757422</v>
      </c>
      <c r="M44" s="4" t="str">
        <f aca="false">INDEX($C$3:$E$3,MATCH(MAX(C44:E44),C44:E44,0))</f>
        <v>Sheinbaum (PVEM-PT-Morena)</v>
      </c>
      <c r="N44" s="18" t="n">
        <f aca="false">IF(H44=0,0,(MAX(C44:E44)-LARGE(C44:E44,2))/H44*100)</f>
        <v>72.7180045916184</v>
      </c>
    </row>
    <row r="45" customFormat="false" ht="15" hidden="false" customHeight="false" outlineLevel="0" collapsed="false">
      <c r="A45" s="4" t="s">
        <v>52</v>
      </c>
      <c r="B45" s="4" t="n">
        <v>3</v>
      </c>
      <c r="C45" s="5" t="n">
        <v>119275</v>
      </c>
      <c r="D45" s="5" t="n">
        <v>21078</v>
      </c>
      <c r="E45" s="5" t="n">
        <v>14737</v>
      </c>
      <c r="F45" s="5" t="n">
        <v>229</v>
      </c>
      <c r="G45" s="5" t="n">
        <v>4615</v>
      </c>
      <c r="H45" s="5" t="n">
        <v>159934</v>
      </c>
      <c r="I45" s="9" t="n">
        <f aca="false">IF(H45=0,0,C45/H45)</f>
        <v>0.745776382757888</v>
      </c>
      <c r="J45" s="9" t="n">
        <f aca="false">IF(H45=0,0,D45/H45)</f>
        <v>0.131791864143959</v>
      </c>
      <c r="K45" s="9" t="n">
        <f aca="false">IF(H45=0,0,E45/H45)</f>
        <v>0.0921442595070467</v>
      </c>
      <c r="L45" s="9" t="n">
        <f aca="false">IF(H45=0,0,G45/H45)</f>
        <v>0.0288556529568447</v>
      </c>
      <c r="M45" s="4" t="str">
        <f aca="false">INDEX($C$3:$E$3,MATCH(MAX(C45:E45),C45:E45,0))</f>
        <v>Sheinbaum (PVEM-PT-Morena)</v>
      </c>
      <c r="N45" s="18" t="n">
        <f aca="false">IF(H45=0,0,(MAX(C45:E45)-LARGE(C45:E45,2))/H45*100)</f>
        <v>61.3984518613928</v>
      </c>
    </row>
    <row r="46" customFormat="false" ht="15" hidden="false" customHeight="false" outlineLevel="0" collapsed="false">
      <c r="A46" s="4" t="s">
        <v>52</v>
      </c>
      <c r="B46" s="4" t="n">
        <v>4</v>
      </c>
      <c r="C46" s="5" t="n">
        <v>103099</v>
      </c>
      <c r="D46" s="5" t="n">
        <v>67092</v>
      </c>
      <c r="E46" s="5" t="n">
        <v>18738</v>
      </c>
      <c r="F46" s="5" t="n">
        <v>386</v>
      </c>
      <c r="G46" s="5" t="n">
        <v>3042</v>
      </c>
      <c r="H46" s="5" t="n">
        <v>192357</v>
      </c>
      <c r="I46" s="9" t="n">
        <f aca="false">IF(H46=0,0,C46/H46)</f>
        <v>0.535977375400947</v>
      </c>
      <c r="J46" s="9" t="n">
        <f aca="false">IF(H46=0,0,D46/H46)</f>
        <v>0.348788970507962</v>
      </c>
      <c r="K46" s="9" t="n">
        <f aca="false">IF(H46=0,0,E46/H46)</f>
        <v>0.0974126234033594</v>
      </c>
      <c r="L46" s="9" t="n">
        <f aca="false">IF(H46=0,0,G46/H46)</f>
        <v>0.0158143452018902</v>
      </c>
      <c r="M46" s="4" t="str">
        <f aca="false">INDEX($C$3:$E$3,MATCH(MAX(C46:E46),C46:E46,0))</f>
        <v>Sheinbaum (PVEM-PT-Morena)</v>
      </c>
      <c r="N46" s="18" t="n">
        <f aca="false">IF(H46=0,0,(MAX(C46:E46)-LARGE(C46:E46,2))/H46*100)</f>
        <v>18.7188404892985</v>
      </c>
    </row>
    <row r="47" customFormat="false" ht="15" hidden="false" customHeight="false" outlineLevel="0" collapsed="false">
      <c r="A47" s="4" t="s">
        <v>52</v>
      </c>
      <c r="B47" s="4" t="n">
        <v>5</v>
      </c>
      <c r="C47" s="5" t="n">
        <v>89192</v>
      </c>
      <c r="D47" s="5" t="n">
        <v>83986</v>
      </c>
      <c r="E47" s="5" t="n">
        <v>19224</v>
      </c>
      <c r="F47" s="5" t="n">
        <v>182</v>
      </c>
      <c r="G47" s="5" t="n">
        <v>4553</v>
      </c>
      <c r="H47" s="5" t="n">
        <v>197137</v>
      </c>
      <c r="I47" s="9" t="n">
        <f aca="false">IF(H47=0,0,C47/H47)</f>
        <v>0.452436630363656</v>
      </c>
      <c r="J47" s="9" t="n">
        <f aca="false">IF(H47=0,0,D47/H47)</f>
        <v>0.426028599400417</v>
      </c>
      <c r="K47" s="9" t="n">
        <f aca="false">IF(H47=0,0,E47/H47)</f>
        <v>0.0975159406909915</v>
      </c>
      <c r="L47" s="9" t="n">
        <f aca="false">IF(H47=0,0,G47/H47)</f>
        <v>0.0230956137102624</v>
      </c>
      <c r="M47" s="4" t="str">
        <f aca="false">INDEX($C$3:$E$3,MATCH(MAX(C47:E47),C47:E47,0))</f>
        <v>Sheinbaum (PVEM-PT-Morena)</v>
      </c>
      <c r="N47" s="18" t="n">
        <f aca="false">IF(H47=0,0,(MAX(C47:E47)-LARGE(C47:E47,2))/H47*100)</f>
        <v>2.64080309632388</v>
      </c>
    </row>
    <row r="48" customFormat="false" ht="15" hidden="false" customHeight="false" outlineLevel="0" collapsed="false">
      <c r="A48" s="4" t="s">
        <v>52</v>
      </c>
      <c r="B48" s="4" t="n">
        <v>6</v>
      </c>
      <c r="C48" s="5" t="n">
        <v>83219</v>
      </c>
      <c r="D48" s="5" t="n">
        <v>123519</v>
      </c>
      <c r="E48" s="5" t="n">
        <v>18257</v>
      </c>
      <c r="F48" s="5" t="n">
        <v>508</v>
      </c>
      <c r="G48" s="5" t="n">
        <v>3471</v>
      </c>
      <c r="H48" s="5" t="n">
        <v>228974</v>
      </c>
      <c r="I48" s="9" t="n">
        <f aca="false">IF(H48=0,0,C48/H48)</f>
        <v>0.363443010996882</v>
      </c>
      <c r="J48" s="9" t="n">
        <f aca="false">IF(H48=0,0,D48/H48)</f>
        <v>0.539445526566335</v>
      </c>
      <c r="K48" s="9" t="n">
        <f aca="false">IF(H48=0,0,E48/H48)</f>
        <v>0.0797339435918489</v>
      </c>
      <c r="L48" s="9" t="n">
        <f aca="false">IF(H48=0,0,G48/H48)</f>
        <v>0.0151589263409819</v>
      </c>
      <c r="M48" s="4" t="str">
        <f aca="false">INDEX($C$3:$E$3,MATCH(MAX(C48:E48),C48:E48,0))</f>
        <v>Gálvez (PAN-PRI-PRD)</v>
      </c>
      <c r="N48" s="18" t="n">
        <f aca="false">IF(H48=0,0,(MAX(C48:E48)-LARGE(C48:E48,2))/H48*100)</f>
        <v>17.6002515569453</v>
      </c>
    </row>
    <row r="49" customFormat="false" ht="15" hidden="false" customHeight="false" outlineLevel="0" collapsed="false">
      <c r="A49" s="4" t="s">
        <v>52</v>
      </c>
      <c r="B49" s="4" t="n">
        <v>7</v>
      </c>
      <c r="C49" s="5" t="n">
        <v>89966</v>
      </c>
      <c r="D49" s="5" t="n">
        <v>71577</v>
      </c>
      <c r="E49" s="5" t="n">
        <v>18099</v>
      </c>
      <c r="F49" s="5" t="n">
        <v>141</v>
      </c>
      <c r="G49" s="5" t="n">
        <v>6624</v>
      </c>
      <c r="H49" s="5" t="n">
        <v>186407</v>
      </c>
      <c r="I49" s="9" t="n">
        <f aca="false">IF(H49=0,0,C49/H49)</f>
        <v>0.48263208999662</v>
      </c>
      <c r="J49" s="9" t="n">
        <f aca="false">IF(H49=0,0,D49/H49)</f>
        <v>0.383982361177424</v>
      </c>
      <c r="K49" s="9" t="n">
        <f aca="false">IF(H49=0,0,E49/H49)</f>
        <v>0.0970939932513264</v>
      </c>
      <c r="L49" s="9" t="n">
        <f aca="false">IF(H49=0,0,G49/H49)</f>
        <v>0.0355351462123204</v>
      </c>
      <c r="M49" s="4" t="str">
        <f aca="false">INDEX($C$3:$E$3,MATCH(MAX(C49:E49),C49:E49,0))</f>
        <v>Sheinbaum (PVEM-PT-Morena)</v>
      </c>
      <c r="N49" s="18" t="n">
        <f aca="false">IF(H49=0,0,(MAX(C49:E49)-LARGE(C49:E49,2))/H49*100)</f>
        <v>9.86497288191967</v>
      </c>
    </row>
    <row r="50" customFormat="false" ht="15" hidden="false" customHeight="false" outlineLevel="0" collapsed="false">
      <c r="A50" s="4" t="s">
        <v>52</v>
      </c>
      <c r="B50" s="4" t="n">
        <v>8</v>
      </c>
      <c r="C50" s="5" t="n">
        <v>95209</v>
      </c>
      <c r="D50" s="5" t="n">
        <v>92137</v>
      </c>
      <c r="E50" s="5" t="n">
        <v>18720</v>
      </c>
      <c r="F50" s="5" t="n">
        <v>395</v>
      </c>
      <c r="G50" s="5" t="n">
        <v>3967</v>
      </c>
      <c r="H50" s="5" t="n">
        <v>210428</v>
      </c>
      <c r="I50" s="9" t="n">
        <f aca="false">IF(H50=0,0,C50/H50)</f>
        <v>0.4524540460395</v>
      </c>
      <c r="J50" s="9" t="n">
        <f aca="false">IF(H50=0,0,D50/H50)</f>
        <v>0.437855228391659</v>
      </c>
      <c r="K50" s="9" t="n">
        <f aca="false">IF(H50=0,0,E50/H50)</f>
        <v>0.0889615450415344</v>
      </c>
      <c r="L50" s="9" t="n">
        <f aca="false">IF(H50=0,0,G50/H50)</f>
        <v>0.0188520539091756</v>
      </c>
      <c r="M50" s="4" t="str">
        <f aca="false">INDEX($C$3:$E$3,MATCH(MAX(C50:E50),C50:E50,0))</f>
        <v>Sheinbaum (PVEM-PT-Morena)</v>
      </c>
      <c r="N50" s="18" t="n">
        <f aca="false">IF(H50=0,0,(MAX(C50:E50)-LARGE(C50:E50,2))/H50*100)</f>
        <v>1.45988176478415</v>
      </c>
    </row>
    <row r="51" customFormat="false" ht="15" hidden="false" customHeight="false" outlineLevel="0" collapsed="false">
      <c r="A51" s="4" t="s">
        <v>52</v>
      </c>
      <c r="B51" s="4" t="n">
        <v>9</v>
      </c>
      <c r="C51" s="5" t="n">
        <v>81433</v>
      </c>
      <c r="D51" s="5" t="n">
        <v>67046</v>
      </c>
      <c r="E51" s="5" t="n">
        <v>21126</v>
      </c>
      <c r="F51" s="5" t="n">
        <v>104</v>
      </c>
      <c r="G51" s="5" t="n">
        <v>8516</v>
      </c>
      <c r="H51" s="5" t="n">
        <v>178225</v>
      </c>
      <c r="I51" s="9" t="n">
        <f aca="false">IF(H51=0,0,C51/H51)</f>
        <v>0.456911207743021</v>
      </c>
      <c r="J51" s="9" t="n">
        <f aca="false">IF(H51=0,0,D51/H51)</f>
        <v>0.376187403562912</v>
      </c>
      <c r="K51" s="9" t="n">
        <f aca="false">IF(H51=0,0,E51/H51)</f>
        <v>0.11853555898443</v>
      </c>
      <c r="L51" s="9" t="n">
        <f aca="false">IF(H51=0,0,G51/H51)</f>
        <v>0.0477822976574555</v>
      </c>
      <c r="M51" s="4" t="str">
        <f aca="false">INDEX($C$3:$E$3,MATCH(MAX(C51:E51),C51:E51,0))</f>
        <v>Sheinbaum (PVEM-PT-Morena)</v>
      </c>
      <c r="N51" s="18" t="n">
        <f aca="false">IF(H51=0,0,(MAX(C51:E51)-LARGE(C51:E51,2))/H51*100)</f>
        <v>8.07238041801094</v>
      </c>
    </row>
    <row r="52" customFormat="false" ht="15" hidden="false" customHeight="false" outlineLevel="0" collapsed="false">
      <c r="A52" s="4" t="s">
        <v>53</v>
      </c>
      <c r="B52" s="4" t="n">
        <v>1</v>
      </c>
      <c r="C52" s="5" t="n">
        <v>160652</v>
      </c>
      <c r="D52" s="5" t="n">
        <v>49890</v>
      </c>
      <c r="E52" s="5" t="n">
        <v>19955</v>
      </c>
      <c r="F52" s="5" t="n">
        <v>306</v>
      </c>
      <c r="G52" s="5" t="n">
        <v>4438</v>
      </c>
      <c r="H52" s="5" t="n">
        <v>235241</v>
      </c>
      <c r="I52" s="9" t="n">
        <f aca="false">IF(H52=0,0,C52/H52)</f>
        <v>0.682925170357208</v>
      </c>
      <c r="J52" s="9" t="n">
        <f aca="false">IF(H52=0,0,D52/H52)</f>
        <v>0.212080377145141</v>
      </c>
      <c r="K52" s="9" t="n">
        <f aca="false">IF(H52=0,0,E52/H52)</f>
        <v>0.0848278998984021</v>
      </c>
      <c r="L52" s="9" t="n">
        <f aca="false">IF(H52=0,0,G52/H52)</f>
        <v>0.0188657589450819</v>
      </c>
      <c r="M52" s="4" t="str">
        <f aca="false">INDEX($C$3:$E$3,MATCH(MAX(C52:E52),C52:E52,0))</f>
        <v>Sheinbaum (PVEM-PT-Morena)</v>
      </c>
      <c r="N52" s="18" t="n">
        <f aca="false">IF(H52=0,0,(MAX(C52:E52)-LARGE(C52:E52,2))/H52*100)</f>
        <v>47.0844793212068</v>
      </c>
    </row>
    <row r="53" customFormat="false" ht="15" hidden="false" customHeight="false" outlineLevel="0" collapsed="false">
      <c r="A53" s="4" t="s">
        <v>53</v>
      </c>
      <c r="B53" s="4" t="n">
        <v>2</v>
      </c>
      <c r="C53" s="5" t="n">
        <v>149269</v>
      </c>
      <c r="D53" s="5" t="n">
        <v>111873</v>
      </c>
      <c r="E53" s="5" t="n">
        <v>25400</v>
      </c>
      <c r="F53" s="5" t="n">
        <v>620</v>
      </c>
      <c r="G53" s="5" t="n">
        <v>5386</v>
      </c>
      <c r="H53" s="5" t="n">
        <v>292548</v>
      </c>
      <c r="I53" s="9" t="n">
        <f aca="false">IF(H53=0,0,C53/H53)</f>
        <v>0.510237636216963</v>
      </c>
      <c r="J53" s="9" t="n">
        <f aca="false">IF(H53=0,0,D53/H53)</f>
        <v>0.382409040567702</v>
      </c>
      <c r="K53" s="9" t="n">
        <f aca="false">IF(H53=0,0,E53/H53)</f>
        <v>0.0868233589017871</v>
      </c>
      <c r="L53" s="9" t="n">
        <f aca="false">IF(H53=0,0,G53/H53)</f>
        <v>0.0184106539781506</v>
      </c>
      <c r="M53" s="4" t="str">
        <f aca="false">INDEX($C$3:$E$3,MATCH(MAX(C53:E53),C53:E53,0))</f>
        <v>Sheinbaum (PVEM-PT-Morena)</v>
      </c>
      <c r="N53" s="18" t="n">
        <f aca="false">IF(H53=0,0,(MAX(C53:E53)-LARGE(C53:E53,2))/H53*100)</f>
        <v>12.7828595649261</v>
      </c>
    </row>
    <row r="54" customFormat="false" ht="15" hidden="false" customHeight="false" outlineLevel="0" collapsed="false">
      <c r="A54" s="4" t="s">
        <v>53</v>
      </c>
      <c r="B54" s="4" t="n">
        <v>3</v>
      </c>
      <c r="C54" s="5" t="n">
        <v>152817</v>
      </c>
      <c r="D54" s="5" t="n">
        <v>96515</v>
      </c>
      <c r="E54" s="5" t="n">
        <v>25318</v>
      </c>
      <c r="F54" s="5" t="n">
        <v>452</v>
      </c>
      <c r="G54" s="5" t="n">
        <v>4334</v>
      </c>
      <c r="H54" s="5" t="n">
        <v>279436</v>
      </c>
      <c r="I54" s="9" t="n">
        <f aca="false">IF(H54=0,0,C54/H54)</f>
        <v>0.546876565653674</v>
      </c>
      <c r="J54" s="9" t="n">
        <f aca="false">IF(H54=0,0,D54/H54)</f>
        <v>0.345392147039036</v>
      </c>
      <c r="K54" s="9" t="n">
        <f aca="false">IF(H54=0,0,E54/H54)</f>
        <v>0.0906039307748465</v>
      </c>
      <c r="L54" s="9" t="n">
        <f aca="false">IF(H54=0,0,G54/H54)</f>
        <v>0.0155098126225683</v>
      </c>
      <c r="M54" s="4" t="str">
        <f aca="false">INDEX($C$3:$E$3,MATCH(MAX(C54:E54),C54:E54,0))</f>
        <v>Sheinbaum (PVEM-PT-Morena)</v>
      </c>
      <c r="N54" s="18" t="n">
        <f aca="false">IF(H54=0,0,(MAX(C54:E54)-LARGE(C54:E54,2))/H54*100)</f>
        <v>20.1484418614638</v>
      </c>
    </row>
    <row r="55" customFormat="false" ht="15" hidden="false" customHeight="false" outlineLevel="0" collapsed="false">
      <c r="A55" s="4" t="s">
        <v>53</v>
      </c>
      <c r="B55" s="4" t="n">
        <v>4</v>
      </c>
      <c r="C55" s="5" t="n">
        <v>141253</v>
      </c>
      <c r="D55" s="5" t="n">
        <v>41270</v>
      </c>
      <c r="E55" s="5" t="n">
        <v>16399</v>
      </c>
      <c r="F55" s="5" t="n">
        <v>275</v>
      </c>
      <c r="G55" s="5" t="n">
        <v>3677</v>
      </c>
      <c r="H55" s="5" t="n">
        <v>202874</v>
      </c>
      <c r="I55" s="9" t="n">
        <f aca="false">IF(H55=0,0,C55/H55)</f>
        <v>0.696259747429439</v>
      </c>
      <c r="J55" s="9" t="n">
        <f aca="false">IF(H55=0,0,D55/H55)</f>
        <v>0.2034267574948</v>
      </c>
      <c r="K55" s="9" t="n">
        <f aca="false">IF(H55=0,0,E55/H55)</f>
        <v>0.0808334237014107</v>
      </c>
      <c r="L55" s="9" t="n">
        <f aca="false">IF(H55=0,0,G55/H55)</f>
        <v>0.018124550213433</v>
      </c>
      <c r="M55" s="4" t="str">
        <f aca="false">INDEX($C$3:$E$3,MATCH(MAX(C55:E55),C55:E55,0))</f>
        <v>Sheinbaum (PVEM-PT-Morena)</v>
      </c>
      <c r="N55" s="18" t="n">
        <f aca="false">IF(H55=0,0,(MAX(C55:E55)-LARGE(C55:E55,2))/H55*100)</f>
        <v>49.2832989934639</v>
      </c>
    </row>
    <row r="56" customFormat="false" ht="15" hidden="false" customHeight="false" outlineLevel="0" collapsed="false">
      <c r="A56" s="4" t="s">
        <v>53</v>
      </c>
      <c r="B56" s="4" t="n">
        <v>5</v>
      </c>
      <c r="C56" s="5" t="n">
        <v>136012</v>
      </c>
      <c r="D56" s="5" t="n">
        <v>76464</v>
      </c>
      <c r="E56" s="5" t="n">
        <v>22127</v>
      </c>
      <c r="F56" s="5" t="n">
        <v>360</v>
      </c>
      <c r="G56" s="5" t="n">
        <v>4508</v>
      </c>
      <c r="H56" s="5" t="n">
        <v>239471</v>
      </c>
      <c r="I56" s="9" t="n">
        <f aca="false">IF(H56=0,0,C56/H56)</f>
        <v>0.567968564043245</v>
      </c>
      <c r="J56" s="9" t="n">
        <f aca="false">IF(H56=0,0,D56/H56)</f>
        <v>0.319303798789833</v>
      </c>
      <c r="K56" s="9" t="n">
        <f aca="false">IF(H56=0,0,E56/H56)</f>
        <v>0.0923994972251337</v>
      </c>
      <c r="L56" s="9" t="n">
        <f aca="false">IF(H56=0,0,G56/H56)</f>
        <v>0.0188248263881639</v>
      </c>
      <c r="M56" s="4" t="str">
        <f aca="false">INDEX($C$3:$E$3,MATCH(MAX(C56:E56),C56:E56,0))</f>
        <v>Sheinbaum (PVEM-PT-Morena)</v>
      </c>
      <c r="N56" s="18" t="n">
        <f aca="false">IF(H56=0,0,(MAX(C56:E56)-LARGE(C56:E56,2))/H56*100)</f>
        <v>24.8664765253413</v>
      </c>
    </row>
    <row r="57" customFormat="false" ht="15" hidden="false" customHeight="false" outlineLevel="0" collapsed="false">
      <c r="A57" s="4" t="s">
        <v>53</v>
      </c>
      <c r="B57" s="4" t="n">
        <v>6</v>
      </c>
      <c r="C57" s="5" t="n">
        <v>127228</v>
      </c>
      <c r="D57" s="5" t="n">
        <v>101033</v>
      </c>
      <c r="E57" s="5" t="n">
        <v>19129</v>
      </c>
      <c r="F57" s="5" t="n">
        <v>433</v>
      </c>
      <c r="G57" s="5" t="n">
        <v>4333</v>
      </c>
      <c r="H57" s="5" t="n">
        <v>252156</v>
      </c>
      <c r="I57" s="9" t="n">
        <f aca="false">IF(H57=0,0,C57/H57)</f>
        <v>0.504560668792335</v>
      </c>
      <c r="J57" s="9" t="n">
        <f aca="false">IF(H57=0,0,D57/H57)</f>
        <v>0.400676565300846</v>
      </c>
      <c r="K57" s="9" t="n">
        <f aca="false">IF(H57=0,0,E57/H57)</f>
        <v>0.0758617681118038</v>
      </c>
      <c r="L57" s="9" t="n">
        <f aca="false">IF(H57=0,0,G57/H57)</f>
        <v>0.0171838068497279</v>
      </c>
      <c r="M57" s="4" t="str">
        <f aca="false">INDEX($C$3:$E$3,MATCH(MAX(C57:E57),C57:E57,0))</f>
        <v>Sheinbaum (PVEM-PT-Morena)</v>
      </c>
      <c r="N57" s="18" t="n">
        <f aca="false">IF(H57=0,0,(MAX(C57:E57)-LARGE(C57:E57,2))/H57*100)</f>
        <v>10.3884103491489</v>
      </c>
    </row>
    <row r="58" customFormat="false" ht="15" hidden="false" customHeight="false" outlineLevel="0" collapsed="false">
      <c r="A58" s="4" t="s">
        <v>53</v>
      </c>
      <c r="B58" s="4" t="n">
        <v>7</v>
      </c>
      <c r="C58" s="5" t="n">
        <v>171839</v>
      </c>
      <c r="D58" s="5" t="n">
        <v>85554</v>
      </c>
      <c r="E58" s="5" t="n">
        <v>28235</v>
      </c>
      <c r="F58" s="5" t="n">
        <v>445</v>
      </c>
      <c r="G58" s="5" t="n">
        <v>5173</v>
      </c>
      <c r="H58" s="5" t="n">
        <v>291246</v>
      </c>
      <c r="I58" s="9" t="n">
        <f aca="false">IF(H58=0,0,C58/H58)</f>
        <v>0.590013253400905</v>
      </c>
      <c r="J58" s="9" t="n">
        <f aca="false">IF(H58=0,0,D58/H58)</f>
        <v>0.293751673842731</v>
      </c>
      <c r="K58" s="9" t="n">
        <f aca="false">IF(H58=0,0,E58/H58)</f>
        <v>0.0969455374494414</v>
      </c>
      <c r="L58" s="9" t="n">
        <f aca="false">IF(H58=0,0,G58/H58)</f>
        <v>0.0177616173269332</v>
      </c>
      <c r="M58" s="4" t="str">
        <f aca="false">INDEX($C$3:$E$3,MATCH(MAX(C58:E58),C58:E58,0))</f>
        <v>Sheinbaum (PVEM-PT-Morena)</v>
      </c>
      <c r="N58" s="18" t="n">
        <f aca="false">IF(H58=0,0,(MAX(C58:E58)-LARGE(C58:E58,2))/H58*100)</f>
        <v>29.6261579558174</v>
      </c>
    </row>
    <row r="59" customFormat="false" ht="15" hidden="false" customHeight="false" outlineLevel="0" collapsed="false">
      <c r="A59" s="4" t="s">
        <v>53</v>
      </c>
      <c r="B59" s="4" t="n">
        <v>8</v>
      </c>
      <c r="C59" s="5" t="n">
        <v>138412</v>
      </c>
      <c r="D59" s="5" t="n">
        <v>109831</v>
      </c>
      <c r="E59" s="5" t="n">
        <v>22684</v>
      </c>
      <c r="F59" s="5" t="n">
        <v>632</v>
      </c>
      <c r="G59" s="5" t="n">
        <v>5009</v>
      </c>
      <c r="H59" s="5" t="n">
        <v>276568</v>
      </c>
      <c r="I59" s="9" t="n">
        <f aca="false">IF(H59=0,0,C59/H59)</f>
        <v>0.50046281565474</v>
      </c>
      <c r="J59" s="9" t="n">
        <f aca="false">IF(H59=0,0,D59/H59)</f>
        <v>0.397121141997628</v>
      </c>
      <c r="K59" s="9" t="n">
        <f aca="false">IF(H59=0,0,E59/H59)</f>
        <v>0.0820196118133696</v>
      </c>
      <c r="L59" s="9" t="n">
        <f aca="false">IF(H59=0,0,G59/H59)</f>
        <v>0.0181112782389864</v>
      </c>
      <c r="M59" s="4" t="str">
        <f aca="false">INDEX($C$3:$E$3,MATCH(MAX(C59:E59),C59:E59,0))</f>
        <v>Sheinbaum (PVEM-PT-Morena)</v>
      </c>
      <c r="N59" s="18" t="n">
        <f aca="false">IF(H59=0,0,(MAX(C59:E59)-LARGE(C59:E59,2))/H59*100)</f>
        <v>10.3341673657111</v>
      </c>
    </row>
    <row r="60" customFormat="false" ht="15" hidden="false" customHeight="false" outlineLevel="0" collapsed="false">
      <c r="A60" s="4" t="s">
        <v>53</v>
      </c>
      <c r="B60" s="4" t="n">
        <v>9</v>
      </c>
      <c r="C60" s="5" t="n">
        <v>139087</v>
      </c>
      <c r="D60" s="5" t="n">
        <v>44567</v>
      </c>
      <c r="E60" s="5" t="n">
        <v>21586</v>
      </c>
      <c r="F60" s="5" t="n">
        <v>295</v>
      </c>
      <c r="G60" s="5" t="n">
        <v>3853</v>
      </c>
      <c r="H60" s="5" t="n">
        <v>209388</v>
      </c>
      <c r="I60" s="9" t="n">
        <f aca="false">IF(H60=0,0,C60/H60)</f>
        <v>0.664254876115155</v>
      </c>
      <c r="J60" s="9" t="n">
        <f aca="false">IF(H60=0,0,D60/H60)</f>
        <v>0.212844098038092</v>
      </c>
      <c r="K60" s="9" t="n">
        <f aca="false">IF(H60=0,0,E60/H60)</f>
        <v>0.103090912564235</v>
      </c>
      <c r="L60" s="9" t="n">
        <f aca="false">IF(H60=0,0,G60/H60)</f>
        <v>0.0184012455346056</v>
      </c>
      <c r="M60" s="4" t="str">
        <f aca="false">INDEX($C$3:$E$3,MATCH(MAX(C60:E60),C60:E60,0))</f>
        <v>Sheinbaum (PVEM-PT-Morena)</v>
      </c>
      <c r="N60" s="18" t="n">
        <f aca="false">IF(H60=0,0,(MAX(C60:E60)-LARGE(C60:E60,2))/H60*100)</f>
        <v>45.1410778077063</v>
      </c>
    </row>
    <row r="61" customFormat="false" ht="15" hidden="false" customHeight="false" outlineLevel="0" collapsed="false">
      <c r="A61" s="4" t="s">
        <v>53</v>
      </c>
      <c r="B61" s="4" t="n">
        <v>10</v>
      </c>
      <c r="C61" s="5" t="n">
        <v>100455</v>
      </c>
      <c r="D61" s="5" t="n">
        <v>121561</v>
      </c>
      <c r="E61" s="5" t="n">
        <v>16465</v>
      </c>
      <c r="F61" s="5" t="n">
        <v>459</v>
      </c>
      <c r="G61" s="5" t="n">
        <v>3128</v>
      </c>
      <c r="H61" s="5" t="n">
        <v>242068</v>
      </c>
      <c r="I61" s="9" t="n">
        <f aca="false">IF(H61=0,0,C61/H61)</f>
        <v>0.414986697952641</v>
      </c>
      <c r="J61" s="9" t="n">
        <f aca="false">IF(H61=0,0,D61/H61)</f>
        <v>0.502177074210552</v>
      </c>
      <c r="K61" s="9" t="n">
        <f aca="false">IF(H61=0,0,E61/H61)</f>
        <v>0.0680180775649817</v>
      </c>
      <c r="L61" s="9" t="n">
        <f aca="false">IF(H61=0,0,G61/H61)</f>
        <v>0.0129219888626336</v>
      </c>
      <c r="M61" s="4" t="str">
        <f aca="false">INDEX($C$3:$E$3,MATCH(MAX(C61:E61),C61:E61,0))</f>
        <v>Gálvez (PAN-PRI-PRD)</v>
      </c>
      <c r="N61" s="18" t="n">
        <f aca="false">IF(H61=0,0,(MAX(C61:E61)-LARGE(C61:E61,2))/H61*100)</f>
        <v>8.7190376257911</v>
      </c>
    </row>
    <row r="62" customFormat="false" ht="15" hidden="false" customHeight="false" outlineLevel="0" collapsed="false">
      <c r="A62" s="4" t="s">
        <v>53</v>
      </c>
      <c r="B62" s="4" t="n">
        <v>11</v>
      </c>
      <c r="C62" s="5" t="n">
        <v>156239</v>
      </c>
      <c r="D62" s="5" t="n">
        <v>96687</v>
      </c>
      <c r="E62" s="5" t="n">
        <v>26813</v>
      </c>
      <c r="F62" s="5" t="n">
        <v>488</v>
      </c>
      <c r="G62" s="5" t="n">
        <v>5045</v>
      </c>
      <c r="H62" s="5" t="n">
        <v>285272</v>
      </c>
      <c r="I62" s="9" t="n">
        <f aca="false">IF(H62=0,0,C62/H62)</f>
        <v>0.547684315320116</v>
      </c>
      <c r="J62" s="9" t="n">
        <f aca="false">IF(H62=0,0,D62/H62)</f>
        <v>0.338929162343307</v>
      </c>
      <c r="K62" s="9" t="n">
        <f aca="false">IF(H62=0,0,E62/H62)</f>
        <v>0.0939909980650046</v>
      </c>
      <c r="L62" s="9" t="n">
        <f aca="false">IF(H62=0,0,G62/H62)</f>
        <v>0.0176848761883396</v>
      </c>
      <c r="M62" s="4" t="str">
        <f aca="false">INDEX($C$3:$E$3,MATCH(MAX(C62:E62),C62:E62,0))</f>
        <v>Sheinbaum (PVEM-PT-Morena)</v>
      </c>
      <c r="N62" s="18" t="n">
        <f aca="false">IF(H62=0,0,(MAX(C62:E62)-LARGE(C62:E62,2))/H62*100)</f>
        <v>20.8755152976808</v>
      </c>
    </row>
    <row r="63" customFormat="false" ht="15" hidden="false" customHeight="false" outlineLevel="0" collapsed="false">
      <c r="A63" s="4" t="s">
        <v>53</v>
      </c>
      <c r="B63" s="4" t="n">
        <v>12</v>
      </c>
      <c r="C63" s="5" t="n">
        <v>126053</v>
      </c>
      <c r="D63" s="5" t="n">
        <v>109594</v>
      </c>
      <c r="E63" s="5" t="n">
        <v>20907</v>
      </c>
      <c r="F63" s="5" t="n">
        <v>768</v>
      </c>
      <c r="G63" s="5" t="n">
        <v>4702</v>
      </c>
      <c r="H63" s="5" t="n">
        <v>262024</v>
      </c>
      <c r="I63" s="9" t="n">
        <f aca="false">IF(H63=0,0,C63/H63)</f>
        <v>0.481074252740207</v>
      </c>
      <c r="J63" s="9" t="n">
        <f aca="false">IF(H63=0,0,D63/H63)</f>
        <v>0.418259396085855</v>
      </c>
      <c r="K63" s="9" t="n">
        <f aca="false">IF(H63=0,0,E63/H63)</f>
        <v>0.0797904008793088</v>
      </c>
      <c r="L63" s="9" t="n">
        <f aca="false">IF(H63=0,0,G63/H63)</f>
        <v>0.017944921075932</v>
      </c>
      <c r="M63" s="4" t="str">
        <f aca="false">INDEX($C$3:$E$3,MATCH(MAX(C63:E63),C63:E63,0))</f>
        <v>Sheinbaum (PVEM-PT-Morena)</v>
      </c>
      <c r="N63" s="18" t="n">
        <f aca="false">IF(H63=0,0,(MAX(C63:E63)-LARGE(C63:E63,2))/H63*100)</f>
        <v>6.28148566543523</v>
      </c>
    </row>
    <row r="64" customFormat="false" ht="15" hidden="false" customHeight="false" outlineLevel="0" collapsed="false">
      <c r="A64" s="4" t="s">
        <v>53</v>
      </c>
      <c r="B64" s="4" t="n">
        <v>13</v>
      </c>
      <c r="C64" s="5" t="n">
        <v>143829</v>
      </c>
      <c r="D64" s="5" t="n">
        <v>84398</v>
      </c>
      <c r="E64" s="5" t="n">
        <v>24040</v>
      </c>
      <c r="F64" s="5" t="n">
        <v>391</v>
      </c>
      <c r="G64" s="5" t="n">
        <v>4451</v>
      </c>
      <c r="H64" s="5" t="n">
        <v>257109</v>
      </c>
      <c r="I64" s="9" t="n">
        <f aca="false">IF(H64=0,0,C64/H64)</f>
        <v>0.559408655472971</v>
      </c>
      <c r="J64" s="9" t="n">
        <f aca="false">IF(H64=0,0,D64/H64)</f>
        <v>0.328257665037008</v>
      </c>
      <c r="K64" s="9" t="n">
        <f aca="false">IF(H64=0,0,E64/H64)</f>
        <v>0.0935011998802064</v>
      </c>
      <c r="L64" s="9" t="n">
        <f aca="false">IF(H64=0,0,G64/H64)</f>
        <v>0.0173117238214143</v>
      </c>
      <c r="M64" s="4" t="str">
        <f aca="false">INDEX($C$3:$E$3,MATCH(MAX(C64:E64),C64:E64,0))</f>
        <v>Sheinbaum (PVEM-PT-Morena)</v>
      </c>
      <c r="N64" s="18" t="n">
        <f aca="false">IF(H64=0,0,(MAX(C64:E64)-LARGE(C64:E64,2))/H64*100)</f>
        <v>23.1150990435963</v>
      </c>
    </row>
    <row r="65" customFormat="false" ht="15" hidden="false" customHeight="false" outlineLevel="0" collapsed="false">
      <c r="A65" s="4" t="s">
        <v>53</v>
      </c>
      <c r="B65" s="4" t="n">
        <v>14</v>
      </c>
      <c r="C65" s="5" t="n">
        <v>133655</v>
      </c>
      <c r="D65" s="5" t="n">
        <v>104960</v>
      </c>
      <c r="E65" s="5" t="n">
        <v>21598</v>
      </c>
      <c r="F65" s="5" t="n">
        <v>587</v>
      </c>
      <c r="G65" s="5" t="n">
        <v>4382</v>
      </c>
      <c r="H65" s="5" t="n">
        <v>265182</v>
      </c>
      <c r="I65" s="9" t="n">
        <f aca="false">IF(H65=0,0,C65/H65)</f>
        <v>0.504012338695688</v>
      </c>
      <c r="J65" s="9" t="n">
        <f aca="false">IF(H65=0,0,D65/H65)</f>
        <v>0.395803636747592</v>
      </c>
      <c r="K65" s="9" t="n">
        <f aca="false">IF(H65=0,0,E65/H65)</f>
        <v>0.0814459503284537</v>
      </c>
      <c r="L65" s="9" t="n">
        <f aca="false">IF(H65=0,0,G65/H65)</f>
        <v>0.0165245001546108</v>
      </c>
      <c r="M65" s="4" t="str">
        <f aca="false">INDEX($C$3:$E$3,MATCH(MAX(C65:E65),C65:E65,0))</f>
        <v>Sheinbaum (PVEM-PT-Morena)</v>
      </c>
      <c r="N65" s="18" t="n">
        <f aca="false">IF(H65=0,0,(MAX(C65:E65)-LARGE(C65:E65,2))/H65*100)</f>
        <v>10.8208701948096</v>
      </c>
    </row>
    <row r="66" customFormat="false" ht="15" hidden="false" customHeight="false" outlineLevel="0" collapsed="false">
      <c r="A66" s="4" t="s">
        <v>53</v>
      </c>
      <c r="B66" s="4" t="n">
        <v>15</v>
      </c>
      <c r="C66" s="5" t="n">
        <v>89892</v>
      </c>
      <c r="D66" s="5" t="n">
        <v>186310</v>
      </c>
      <c r="E66" s="5" t="n">
        <v>16173</v>
      </c>
      <c r="F66" s="5" t="n">
        <v>841</v>
      </c>
      <c r="G66" s="5" t="n">
        <v>4307</v>
      </c>
      <c r="H66" s="5" t="n">
        <v>297523</v>
      </c>
      <c r="I66" s="9" t="n">
        <f aca="false">IF(H66=0,0,C66/H66)</f>
        <v>0.302134624886143</v>
      </c>
      <c r="J66" s="9" t="n">
        <f aca="false">IF(H66=0,0,D66/H66)</f>
        <v>0.626203688454338</v>
      </c>
      <c r="K66" s="9" t="n">
        <f aca="false">IF(H66=0,0,E66/H66)</f>
        <v>0.0543588226792551</v>
      </c>
      <c r="L66" s="9" t="n">
        <f aca="false">IF(H66=0,0,G66/H66)</f>
        <v>0.0144761917566037</v>
      </c>
      <c r="M66" s="4" t="str">
        <f aca="false">INDEX($C$3:$E$3,MATCH(MAX(C66:E66),C66:E66,0))</f>
        <v>Gálvez (PAN-PRI-PRD)</v>
      </c>
      <c r="N66" s="18" t="n">
        <f aca="false">IF(H66=0,0,(MAX(C66:E66)-LARGE(C66:E66,2))/H66*100)</f>
        <v>32.4069063568195</v>
      </c>
    </row>
    <row r="67" customFormat="false" ht="15" hidden="false" customHeight="false" outlineLevel="0" collapsed="false">
      <c r="A67" s="4" t="s">
        <v>53</v>
      </c>
      <c r="B67" s="4" t="n">
        <v>16</v>
      </c>
      <c r="C67" s="5" t="n">
        <v>129227</v>
      </c>
      <c r="D67" s="5" t="n">
        <v>73398</v>
      </c>
      <c r="E67" s="5" t="n">
        <v>18564</v>
      </c>
      <c r="F67" s="5" t="n">
        <v>323</v>
      </c>
      <c r="G67" s="5" t="n">
        <v>4164</v>
      </c>
      <c r="H67" s="5" t="n">
        <v>225676</v>
      </c>
      <c r="I67" s="9" t="n">
        <f aca="false">IF(H67=0,0,C67/H67)</f>
        <v>0.572621811800989</v>
      </c>
      <c r="J67" s="9" t="n">
        <f aca="false">IF(H67=0,0,D67/H67)</f>
        <v>0.325236179301299</v>
      </c>
      <c r="K67" s="9" t="n">
        <f aca="false">IF(H67=0,0,E67/H67)</f>
        <v>0.082259522501285</v>
      </c>
      <c r="L67" s="9" t="n">
        <f aca="false">IF(H67=0,0,G67/H67)</f>
        <v>0.0184512309682908</v>
      </c>
      <c r="M67" s="4" t="str">
        <f aca="false">INDEX($C$3:$E$3,MATCH(MAX(C67:E67),C67:E67,0))</f>
        <v>Sheinbaum (PVEM-PT-Morena)</v>
      </c>
      <c r="N67" s="18" t="n">
        <f aca="false">IF(H67=0,0,(MAX(C67:E67)-LARGE(C67:E67,2))/H67*100)</f>
        <v>24.738563249969</v>
      </c>
    </row>
    <row r="68" customFormat="false" ht="15" hidden="false" customHeight="false" outlineLevel="0" collapsed="false">
      <c r="A68" s="4" t="s">
        <v>53</v>
      </c>
      <c r="B68" s="4" t="n">
        <v>17</v>
      </c>
      <c r="C68" s="5" t="n">
        <v>129577</v>
      </c>
      <c r="D68" s="5" t="n">
        <v>100506</v>
      </c>
      <c r="E68" s="5" t="n">
        <v>20906</v>
      </c>
      <c r="F68" s="5" t="n">
        <v>360</v>
      </c>
      <c r="G68" s="5" t="n">
        <v>3992</v>
      </c>
      <c r="H68" s="5" t="n">
        <v>255341</v>
      </c>
      <c r="I68" s="9" t="n">
        <f aca="false">IF(H68=0,0,C68/H68)</f>
        <v>0.50746648599324</v>
      </c>
      <c r="J68" s="9" t="n">
        <f aca="false">IF(H68=0,0,D68/H68)</f>
        <v>0.393614813132243</v>
      </c>
      <c r="K68" s="9" t="n">
        <f aca="false">IF(H68=0,0,E68/H68)</f>
        <v>0.08187482621279</v>
      </c>
      <c r="L68" s="9" t="n">
        <f aca="false">IF(H68=0,0,G68/H68)</f>
        <v>0.0156339953239002</v>
      </c>
      <c r="M68" s="4" t="str">
        <f aca="false">INDEX($C$3:$E$3,MATCH(MAX(C68:E68),C68:E68,0))</f>
        <v>Sheinbaum (PVEM-PT-Morena)</v>
      </c>
      <c r="N68" s="18" t="n">
        <f aca="false">IF(H68=0,0,(MAX(C68:E68)-LARGE(C68:E68,2))/H68*100)</f>
        <v>11.3851672860998</v>
      </c>
    </row>
    <row r="69" customFormat="false" ht="15" hidden="false" customHeight="false" outlineLevel="0" collapsed="false">
      <c r="A69" s="4" t="s">
        <v>53</v>
      </c>
      <c r="B69" s="4" t="n">
        <v>18</v>
      </c>
      <c r="C69" s="5" t="n">
        <v>159630</v>
      </c>
      <c r="D69" s="5" t="n">
        <v>71229</v>
      </c>
      <c r="E69" s="5" t="n">
        <v>22312</v>
      </c>
      <c r="F69" s="5" t="n">
        <v>354</v>
      </c>
      <c r="G69" s="5" t="n">
        <v>4625</v>
      </c>
      <c r="H69" s="5" t="n">
        <v>258150</v>
      </c>
      <c r="I69" s="9" t="n">
        <f aca="false">IF(H69=0,0,C69/H69)</f>
        <v>0.61836141778036</v>
      </c>
      <c r="J69" s="9" t="n">
        <f aca="false">IF(H69=0,0,D69/H69)</f>
        <v>0.275920976176641</v>
      </c>
      <c r="K69" s="9" t="n">
        <f aca="false">IF(H69=0,0,E69/H69)</f>
        <v>0.0864303699399574</v>
      </c>
      <c r="L69" s="9" t="n">
        <f aca="false">IF(H69=0,0,G69/H69)</f>
        <v>0.0179159403447608</v>
      </c>
      <c r="M69" s="4" t="str">
        <f aca="false">INDEX($C$3:$E$3,MATCH(MAX(C69:E69),C69:E69,0))</f>
        <v>Sheinbaum (PVEM-PT-Morena)</v>
      </c>
      <c r="N69" s="18" t="n">
        <f aca="false">IF(H69=0,0,(MAX(C69:E69)-LARGE(C69:E69,2))/H69*100)</f>
        <v>34.2440441603719</v>
      </c>
    </row>
    <row r="70" customFormat="false" ht="15" hidden="false" customHeight="false" outlineLevel="0" collapsed="false">
      <c r="A70" s="4" t="s">
        <v>53</v>
      </c>
      <c r="B70" s="4" t="n">
        <v>19</v>
      </c>
      <c r="C70" s="5" t="n">
        <v>113682</v>
      </c>
      <c r="D70" s="5" t="n">
        <v>112047</v>
      </c>
      <c r="E70" s="5" t="n">
        <v>19226</v>
      </c>
      <c r="F70" s="5" t="n">
        <v>454</v>
      </c>
      <c r="G70" s="5" t="n">
        <v>4025</v>
      </c>
      <c r="H70" s="5" t="n">
        <v>249434</v>
      </c>
      <c r="I70" s="9" t="n">
        <f aca="false">IF(H70=0,0,C70/H70)</f>
        <v>0.45575984027839</v>
      </c>
      <c r="J70" s="9" t="n">
        <f aca="false">IF(H70=0,0,D70/H70)</f>
        <v>0.449205000120272</v>
      </c>
      <c r="K70" s="9" t="n">
        <f aca="false">IF(H70=0,0,E70/H70)</f>
        <v>0.0770785057369886</v>
      </c>
      <c r="L70" s="9" t="n">
        <f aca="false">IF(H70=0,0,G70/H70)</f>
        <v>0.0161365331109632</v>
      </c>
      <c r="M70" s="4" t="str">
        <f aca="false">INDEX($C$3:$E$3,MATCH(MAX(C70:E70),C70:E70,0))</f>
        <v>Sheinbaum (PVEM-PT-Morena)</v>
      </c>
      <c r="N70" s="18" t="n">
        <f aca="false">IF(H70=0,0,(MAX(C70:E70)-LARGE(C70:E70,2))/H70*100)</f>
        <v>0.655484015811798</v>
      </c>
    </row>
    <row r="71" customFormat="false" ht="15" hidden="false" customHeight="false" outlineLevel="0" collapsed="false">
      <c r="A71" s="4" t="s">
        <v>53</v>
      </c>
      <c r="B71" s="4" t="n">
        <v>20</v>
      </c>
      <c r="C71" s="5" t="n">
        <v>183661</v>
      </c>
      <c r="D71" s="5" t="n">
        <v>58218</v>
      </c>
      <c r="E71" s="5" t="n">
        <v>21515</v>
      </c>
      <c r="F71" s="5" t="n">
        <v>333</v>
      </c>
      <c r="G71" s="5" t="n">
        <v>4930</v>
      </c>
      <c r="H71" s="5" t="n">
        <v>268657</v>
      </c>
      <c r="I71" s="9" t="n">
        <f aca="false">IF(H71=0,0,C71/H71)</f>
        <v>0.683626333949981</v>
      </c>
      <c r="J71" s="9" t="n">
        <f aca="false">IF(H71=0,0,D71/H71)</f>
        <v>0.216700104594334</v>
      </c>
      <c r="K71" s="9" t="n">
        <f aca="false">IF(H71=0,0,E71/H71)</f>
        <v>0.0800835265784997</v>
      </c>
      <c r="L71" s="9" t="n">
        <f aca="false">IF(H71=0,0,G71/H71)</f>
        <v>0.0183505361855451</v>
      </c>
      <c r="M71" s="4" t="str">
        <f aca="false">INDEX($C$3:$E$3,MATCH(MAX(C71:E71),C71:E71,0))</f>
        <v>Sheinbaum (PVEM-PT-Morena)</v>
      </c>
      <c r="N71" s="18" t="n">
        <f aca="false">IF(H71=0,0,(MAX(C71:E71)-LARGE(C71:E71,2))/H71*100)</f>
        <v>46.6926229355647</v>
      </c>
    </row>
    <row r="72" customFormat="false" ht="15" hidden="false" customHeight="false" outlineLevel="0" collapsed="false">
      <c r="A72" s="4" t="s">
        <v>53</v>
      </c>
      <c r="B72" s="4" t="n">
        <v>21</v>
      </c>
      <c r="C72" s="5" t="n">
        <v>152343</v>
      </c>
      <c r="D72" s="5" t="n">
        <v>47535</v>
      </c>
      <c r="E72" s="5" t="n">
        <v>24263</v>
      </c>
      <c r="F72" s="5" t="n">
        <v>218</v>
      </c>
      <c r="G72" s="5" t="n">
        <v>4703</v>
      </c>
      <c r="H72" s="5" t="n">
        <v>229062</v>
      </c>
      <c r="I72" s="9" t="n">
        <f aca="false">IF(H72=0,0,C72/H72)</f>
        <v>0.665073211619562</v>
      </c>
      <c r="J72" s="9" t="n">
        <f aca="false">IF(H72=0,0,D72/H72)</f>
        <v>0.207520234696283</v>
      </c>
      <c r="K72" s="9" t="n">
        <f aca="false">IF(H72=0,0,E72/H72)</f>
        <v>0.105923287144965</v>
      </c>
      <c r="L72" s="9" t="n">
        <f aca="false">IF(H72=0,0,G72/H72)</f>
        <v>0.0205315591411932</v>
      </c>
      <c r="M72" s="4" t="str">
        <f aca="false">INDEX($C$3:$E$3,MATCH(MAX(C72:E72),C72:E72,0))</f>
        <v>Sheinbaum (PVEM-PT-Morena)</v>
      </c>
      <c r="N72" s="18" t="n">
        <f aca="false">IF(H72=0,0,(MAX(C72:E72)-LARGE(C72:E72,2))/H72*100)</f>
        <v>45.7552976923278</v>
      </c>
    </row>
    <row r="73" customFormat="false" ht="15" hidden="false" customHeight="false" outlineLevel="0" collapsed="false">
      <c r="A73" s="4" t="s">
        <v>53</v>
      </c>
      <c r="B73" s="4" t="n">
        <v>22</v>
      </c>
      <c r="C73" s="5" t="n">
        <v>146023</v>
      </c>
      <c r="D73" s="5" t="n">
        <v>23975</v>
      </c>
      <c r="E73" s="5" t="n">
        <v>13418</v>
      </c>
      <c r="F73" s="5" t="n">
        <v>155</v>
      </c>
      <c r="G73" s="5" t="n">
        <v>3781</v>
      </c>
      <c r="H73" s="5" t="n">
        <v>187352</v>
      </c>
      <c r="I73" s="9" t="n">
        <f aca="false">IF(H73=0,0,C73/H73)</f>
        <v>0.779404543319527</v>
      </c>
      <c r="J73" s="9" t="n">
        <f aca="false">IF(H73=0,0,D73/H73)</f>
        <v>0.12796767581878</v>
      </c>
      <c r="K73" s="9" t="n">
        <f aca="false">IF(H73=0,0,E73/H73)</f>
        <v>0.0716191980870234</v>
      </c>
      <c r="L73" s="9" t="n">
        <f aca="false">IF(H73=0,0,G73/H73)</f>
        <v>0.0201812630769888</v>
      </c>
      <c r="M73" s="4" t="str">
        <f aca="false">INDEX($C$3:$E$3,MATCH(MAX(C73:E73),C73:E73,0))</f>
        <v>Sheinbaum (PVEM-PT-Morena)</v>
      </c>
      <c r="N73" s="18" t="n">
        <f aca="false">IF(H73=0,0,(MAX(C73:E73)-LARGE(C73:E73,2))/H73*100)</f>
        <v>65.1436867500747</v>
      </c>
    </row>
    <row r="74" customFormat="false" ht="15" hidden="false" customHeight="false" outlineLevel="0" collapsed="false">
      <c r="A74" s="4" t="s">
        <v>54</v>
      </c>
      <c r="B74" s="4" t="n">
        <v>1</v>
      </c>
      <c r="C74" s="5" t="n">
        <v>104325</v>
      </c>
      <c r="D74" s="5" t="n">
        <v>58382</v>
      </c>
      <c r="E74" s="5" t="n">
        <v>11279</v>
      </c>
      <c r="F74" s="5" t="n">
        <v>160</v>
      </c>
      <c r="G74" s="5" t="n">
        <v>5052</v>
      </c>
      <c r="H74" s="5" t="n">
        <v>179198</v>
      </c>
      <c r="I74" s="9" t="n">
        <f aca="false">IF(H74=0,0,C74/H74)</f>
        <v>0.582177256442594</v>
      </c>
      <c r="J74" s="9" t="n">
        <f aca="false">IF(H74=0,0,D74/H74)</f>
        <v>0.32579604683088</v>
      </c>
      <c r="K74" s="9" t="n">
        <f aca="false">IF(H74=0,0,E74/H74)</f>
        <v>0.0629415506869496</v>
      </c>
      <c r="L74" s="9" t="n">
        <f aca="false">IF(H74=0,0,G74/H74)</f>
        <v>0.0281922789316845</v>
      </c>
      <c r="M74" s="4" t="str">
        <f aca="false">INDEX($C$3:$E$3,MATCH(MAX(C74:E74),C74:E74,0))</f>
        <v>Sheinbaum (PVEM-PT-Morena)</v>
      </c>
      <c r="N74" s="18" t="n">
        <f aca="false">IF(H74=0,0,(MAX(C74:E74)-LARGE(C74:E74,2))/H74*100)</f>
        <v>25.6381209611714</v>
      </c>
    </row>
    <row r="75" customFormat="false" ht="15" hidden="false" customHeight="false" outlineLevel="0" collapsed="false">
      <c r="A75" s="4" t="s">
        <v>54</v>
      </c>
      <c r="B75" s="4" t="n">
        <v>2</v>
      </c>
      <c r="C75" s="5" t="n">
        <v>126480</v>
      </c>
      <c r="D75" s="5" t="n">
        <v>53643</v>
      </c>
      <c r="E75" s="5" t="n">
        <v>11735</v>
      </c>
      <c r="F75" s="5" t="n">
        <v>179</v>
      </c>
      <c r="G75" s="5" t="n">
        <v>3693</v>
      </c>
      <c r="H75" s="5" t="n">
        <v>195730</v>
      </c>
      <c r="I75" s="9" t="n">
        <f aca="false">IF(H75=0,0,C75/H75)</f>
        <v>0.646196290808767</v>
      </c>
      <c r="J75" s="9" t="n">
        <f aca="false">IF(H75=0,0,D75/H75)</f>
        <v>0.274066315843253</v>
      </c>
      <c r="K75" s="9" t="n">
        <f aca="false">IF(H75=0,0,E75/H75)</f>
        <v>0.0599550401062688</v>
      </c>
      <c r="L75" s="9" t="n">
        <f aca="false">IF(H75=0,0,G75/H75)</f>
        <v>0.0188678281305881</v>
      </c>
      <c r="M75" s="4" t="str">
        <f aca="false">INDEX($C$3:$E$3,MATCH(MAX(C75:E75),C75:E75,0))</f>
        <v>Sheinbaum (PVEM-PT-Morena)</v>
      </c>
      <c r="N75" s="18" t="n">
        <f aca="false">IF(H75=0,0,(MAX(C75:E75)-LARGE(C75:E75,2))/H75*100)</f>
        <v>37.2129974965514</v>
      </c>
    </row>
    <row r="76" customFormat="false" ht="15" hidden="false" customHeight="false" outlineLevel="0" collapsed="false">
      <c r="A76" s="4" t="s">
        <v>54</v>
      </c>
      <c r="B76" s="4" t="n">
        <v>3</v>
      </c>
      <c r="C76" s="5" t="n">
        <v>121106</v>
      </c>
      <c r="D76" s="5" t="n">
        <v>58338</v>
      </c>
      <c r="E76" s="5" t="n">
        <v>11752</v>
      </c>
      <c r="F76" s="5" t="n">
        <v>139</v>
      </c>
      <c r="G76" s="5" t="n">
        <v>4489</v>
      </c>
      <c r="H76" s="5" t="n">
        <v>195824</v>
      </c>
      <c r="I76" s="9" t="n">
        <f aca="false">IF(H76=0,0,C76/H76)</f>
        <v>0.618443091755862</v>
      </c>
      <c r="J76" s="9" t="n">
        <f aca="false">IF(H76=0,0,D76/H76)</f>
        <v>0.297910368494158</v>
      </c>
      <c r="K76" s="9" t="n">
        <f aca="false">IF(H76=0,0,E76/H76)</f>
        <v>0.0600130729634774</v>
      </c>
      <c r="L76" s="9" t="n">
        <f aca="false">IF(H76=0,0,G76/H76)</f>
        <v>0.0229236457226898</v>
      </c>
      <c r="M76" s="4" t="str">
        <f aca="false">INDEX($C$3:$E$3,MATCH(MAX(C76:E76),C76:E76,0))</f>
        <v>Sheinbaum (PVEM-PT-Morena)</v>
      </c>
      <c r="N76" s="18" t="n">
        <f aca="false">IF(H76=0,0,(MAX(C76:E76)-LARGE(C76:E76,2))/H76*100)</f>
        <v>32.0532723261704</v>
      </c>
    </row>
    <row r="77" customFormat="false" ht="15" hidden="false" customHeight="false" outlineLevel="0" collapsed="false">
      <c r="A77" s="4" t="s">
        <v>54</v>
      </c>
      <c r="B77" s="4" t="n">
        <v>4</v>
      </c>
      <c r="C77" s="5" t="n">
        <v>101668</v>
      </c>
      <c r="D77" s="5" t="n">
        <v>79228</v>
      </c>
      <c r="E77" s="5" t="n">
        <v>21310</v>
      </c>
      <c r="F77" s="5" t="n">
        <v>213</v>
      </c>
      <c r="G77" s="5" t="n">
        <v>3318</v>
      </c>
      <c r="H77" s="5" t="n">
        <v>205737</v>
      </c>
      <c r="I77" s="9" t="n">
        <f aca="false">IF(H77=0,0,C77/H77)</f>
        <v>0.494164880405566</v>
      </c>
      <c r="J77" s="9" t="n">
        <f aca="false">IF(H77=0,0,D77/H77)</f>
        <v>0.385093590360509</v>
      </c>
      <c r="K77" s="9" t="n">
        <f aca="false">IF(H77=0,0,E77/H77)</f>
        <v>0.103578840947423</v>
      </c>
      <c r="L77" s="9" t="n">
        <f aca="false">IF(H77=0,0,G77/H77)</f>
        <v>0.0161273859344697</v>
      </c>
      <c r="M77" s="4" t="str">
        <f aca="false">INDEX($C$3:$E$3,MATCH(MAX(C77:E77),C77:E77,0))</f>
        <v>Sheinbaum (PVEM-PT-Morena)</v>
      </c>
      <c r="N77" s="18" t="n">
        <f aca="false">IF(H77=0,0,(MAX(C77:E77)-LARGE(C77:E77,2))/H77*100)</f>
        <v>10.9071290045058</v>
      </c>
    </row>
    <row r="78" customFormat="false" ht="15" hidden="false" customHeight="false" outlineLevel="0" collapsed="false">
      <c r="A78" s="4" t="s">
        <v>55</v>
      </c>
      <c r="B78" s="4" t="n">
        <v>1</v>
      </c>
      <c r="C78" s="5" t="n">
        <v>79011</v>
      </c>
      <c r="D78" s="5" t="n">
        <v>64819</v>
      </c>
      <c r="E78" s="5" t="n">
        <v>21141</v>
      </c>
      <c r="F78" s="5" t="n">
        <v>335</v>
      </c>
      <c r="G78" s="5" t="n">
        <v>5153</v>
      </c>
      <c r="H78" s="5" t="n">
        <v>170459</v>
      </c>
      <c r="I78" s="9" t="n">
        <f aca="false">IF(H78=0,0,C78/H78)</f>
        <v>0.463519086701201</v>
      </c>
      <c r="J78" s="9" t="n">
        <f aca="false">IF(H78=0,0,D78/H78)</f>
        <v>0.380261529165371</v>
      </c>
      <c r="K78" s="9" t="n">
        <f aca="false">IF(H78=0,0,E78/H78)</f>
        <v>0.124023958840542</v>
      </c>
      <c r="L78" s="9" t="n">
        <f aca="false">IF(H78=0,0,G78/H78)</f>
        <v>0.0302301433189213</v>
      </c>
      <c r="M78" s="4" t="str">
        <f aca="false">INDEX($C$3:$E$3,MATCH(MAX(C78:E78),C78:E78,0))</f>
        <v>Sheinbaum (PVEM-PT-Morena)</v>
      </c>
      <c r="N78" s="18" t="n">
        <f aca="false">IF(H78=0,0,(MAX(C78:E78)-LARGE(C78:E78,2))/H78*100)</f>
        <v>8.32575575358297</v>
      </c>
    </row>
    <row r="79" customFormat="false" ht="15" hidden="false" customHeight="false" outlineLevel="0" collapsed="false">
      <c r="A79" s="4" t="s">
        <v>55</v>
      </c>
      <c r="B79" s="4" t="n">
        <v>2</v>
      </c>
      <c r="C79" s="5" t="n">
        <v>97421</v>
      </c>
      <c r="D79" s="5" t="n">
        <v>61608</v>
      </c>
      <c r="E79" s="5" t="n">
        <v>22958</v>
      </c>
      <c r="F79" s="5" t="n">
        <v>359</v>
      </c>
      <c r="G79" s="5" t="n">
        <v>4764</v>
      </c>
      <c r="H79" s="5" t="n">
        <v>187110</v>
      </c>
      <c r="I79" s="9" t="n">
        <f aca="false">IF(H79=0,0,C79/H79)</f>
        <v>0.520661642883865</v>
      </c>
      <c r="J79" s="9" t="n">
        <f aca="false">IF(H79=0,0,D79/H79)</f>
        <v>0.329260862594196</v>
      </c>
      <c r="K79" s="9" t="n">
        <f aca="false">IF(H79=0,0,E79/H79)</f>
        <v>0.122697878253434</v>
      </c>
      <c r="L79" s="9" t="n">
        <f aca="false">IF(H79=0,0,G79/H79)</f>
        <v>0.0254609587942921</v>
      </c>
      <c r="M79" s="4" t="str">
        <f aca="false">INDEX($C$3:$E$3,MATCH(MAX(C79:E79),C79:E79,0))</f>
        <v>Sheinbaum (PVEM-PT-Morena)</v>
      </c>
      <c r="N79" s="18" t="n">
        <f aca="false">IF(H79=0,0,(MAX(C79:E79)-LARGE(C79:E79,2))/H79*100)</f>
        <v>19.1400780289669</v>
      </c>
    </row>
    <row r="80" customFormat="false" ht="15" hidden="false" customHeight="false" outlineLevel="0" collapsed="false">
      <c r="A80" s="4" t="s">
        <v>55</v>
      </c>
      <c r="B80" s="4" t="n">
        <v>3</v>
      </c>
      <c r="C80" s="5" t="n">
        <v>69746</v>
      </c>
      <c r="D80" s="5" t="n">
        <v>128382</v>
      </c>
      <c r="E80" s="5" t="n">
        <v>16666</v>
      </c>
      <c r="F80" s="5" t="n">
        <v>404</v>
      </c>
      <c r="G80" s="5" t="n">
        <v>3311</v>
      </c>
      <c r="H80" s="5" t="n">
        <v>218509</v>
      </c>
      <c r="I80" s="9" t="n">
        <f aca="false">IF(H80=0,0,C80/H80)</f>
        <v>0.319190513891876</v>
      </c>
      <c r="J80" s="9" t="n">
        <f aca="false">IF(H80=0,0,D80/H80)</f>
        <v>0.58753644014663</v>
      </c>
      <c r="K80" s="9" t="n">
        <f aca="false">IF(H80=0,0,E80/H80)</f>
        <v>0.0762714579262181</v>
      </c>
      <c r="L80" s="9" t="n">
        <f aca="false">IF(H80=0,0,G80/H80)</f>
        <v>0.0151526939393801</v>
      </c>
      <c r="M80" s="4" t="str">
        <f aca="false">INDEX($C$3:$E$3,MATCH(MAX(C80:E80),C80:E80,0))</f>
        <v>Gálvez (PAN-PRI-PRD)</v>
      </c>
      <c r="N80" s="18" t="n">
        <f aca="false">IF(H80=0,0,(MAX(C80:E80)-LARGE(C80:E80,2))/H80*100)</f>
        <v>26.8345926254754</v>
      </c>
    </row>
    <row r="81" customFormat="false" ht="15" hidden="false" customHeight="false" outlineLevel="0" collapsed="false">
      <c r="A81" s="4" t="s">
        <v>55</v>
      </c>
      <c r="B81" s="4" t="n">
        <v>4</v>
      </c>
      <c r="C81" s="5" t="n">
        <v>78464</v>
      </c>
      <c r="D81" s="5" t="n">
        <v>66367</v>
      </c>
      <c r="E81" s="5" t="n">
        <v>19873</v>
      </c>
      <c r="F81" s="5" t="n">
        <v>322</v>
      </c>
      <c r="G81" s="5" t="n">
        <v>3964</v>
      </c>
      <c r="H81" s="5" t="n">
        <v>168990</v>
      </c>
      <c r="I81" s="9" t="n">
        <f aca="false">IF(H81=0,0,C81/H81)</f>
        <v>0.464311497721759</v>
      </c>
      <c r="J81" s="9" t="n">
        <f aca="false">IF(H81=0,0,D81/H81)</f>
        <v>0.392727380318362</v>
      </c>
      <c r="K81" s="9" t="n">
        <f aca="false">IF(H81=0,0,E81/H81)</f>
        <v>0.11759867447778</v>
      </c>
      <c r="L81" s="9" t="n">
        <f aca="false">IF(H81=0,0,G81/H81)</f>
        <v>0.0234570092904906</v>
      </c>
      <c r="M81" s="4" t="str">
        <f aca="false">INDEX($C$3:$E$3,MATCH(MAX(C81:E81),C81:E81,0))</f>
        <v>Sheinbaum (PVEM-PT-Morena)</v>
      </c>
      <c r="N81" s="18" t="n">
        <f aca="false">IF(H81=0,0,(MAX(C81:E81)-LARGE(C81:E81,2))/H81*100)</f>
        <v>7.15841174033967</v>
      </c>
    </row>
    <row r="82" customFormat="false" ht="15" hidden="false" customHeight="false" outlineLevel="0" collapsed="false">
      <c r="A82" s="4" t="s">
        <v>55</v>
      </c>
      <c r="B82" s="4" t="n">
        <v>5</v>
      </c>
      <c r="C82" s="5" t="n">
        <v>71444</v>
      </c>
      <c r="D82" s="5" t="n">
        <v>84937</v>
      </c>
      <c r="E82" s="5" t="n">
        <v>16362</v>
      </c>
      <c r="F82" s="5" t="n">
        <v>399</v>
      </c>
      <c r="G82" s="5" t="n">
        <v>3224</v>
      </c>
      <c r="H82" s="5" t="n">
        <v>176366</v>
      </c>
      <c r="I82" s="9" t="n">
        <f aca="false">IF(H82=0,0,C82/H82)</f>
        <v>0.40508941632741</v>
      </c>
      <c r="J82" s="9" t="n">
        <f aca="false">IF(H82=0,0,D82/H82)</f>
        <v>0.48159509202454</v>
      </c>
      <c r="K82" s="9" t="n">
        <f aca="false">IF(H82=0,0,E82/H82)</f>
        <v>0.0927729834548609</v>
      </c>
      <c r="L82" s="9" t="n">
        <f aca="false">IF(H82=0,0,G82/H82)</f>
        <v>0.0182801673792001</v>
      </c>
      <c r="M82" s="4" t="str">
        <f aca="false">INDEX($C$3:$E$3,MATCH(MAX(C82:E82),C82:E82,0))</f>
        <v>Gálvez (PAN-PRI-PRD)</v>
      </c>
      <c r="N82" s="18" t="n">
        <f aca="false">IF(H82=0,0,(MAX(C82:E82)-LARGE(C82:E82,2))/H82*100)</f>
        <v>7.65056756971298</v>
      </c>
    </row>
    <row r="83" customFormat="false" ht="15" hidden="false" customHeight="false" outlineLevel="0" collapsed="false">
      <c r="A83" s="4" t="s">
        <v>55</v>
      </c>
      <c r="B83" s="4" t="n">
        <v>6</v>
      </c>
      <c r="C83" s="5" t="n">
        <v>70663</v>
      </c>
      <c r="D83" s="5" t="n">
        <v>86061</v>
      </c>
      <c r="E83" s="5" t="n">
        <v>16105</v>
      </c>
      <c r="F83" s="5" t="n">
        <v>337</v>
      </c>
      <c r="G83" s="5" t="n">
        <v>2895</v>
      </c>
      <c r="H83" s="5" t="n">
        <v>176061</v>
      </c>
      <c r="I83" s="9" t="n">
        <f aca="false">IF(H83=0,0,C83/H83)</f>
        <v>0.401355212113983</v>
      </c>
      <c r="J83" s="9" t="n">
        <f aca="false">IF(H83=0,0,D83/H83)</f>
        <v>0.488813536217561</v>
      </c>
      <c r="K83" s="9" t="n">
        <f aca="false">IF(H83=0,0,E83/H83)</f>
        <v>0.0914739777690687</v>
      </c>
      <c r="L83" s="9" t="n">
        <f aca="false">IF(H83=0,0,G83/H83)</f>
        <v>0.0164431645850018</v>
      </c>
      <c r="M83" s="4" t="str">
        <f aca="false">INDEX($C$3:$E$3,MATCH(MAX(C83:E83),C83:E83,0))</f>
        <v>Gálvez (PAN-PRI-PRD)</v>
      </c>
      <c r="N83" s="18" t="n">
        <f aca="false">IF(H83=0,0,(MAX(C83:E83)-LARGE(C83:E83,2))/H83*100)</f>
        <v>8.74583241035777</v>
      </c>
    </row>
    <row r="84" customFormat="false" ht="15" hidden="false" customHeight="false" outlineLevel="0" collapsed="false">
      <c r="A84" s="4" t="s">
        <v>55</v>
      </c>
      <c r="B84" s="4" t="n">
        <v>7</v>
      </c>
      <c r="C84" s="5" t="n">
        <v>60741</v>
      </c>
      <c r="D84" s="5" t="n">
        <v>77413</v>
      </c>
      <c r="E84" s="5" t="n">
        <v>14147</v>
      </c>
      <c r="F84" s="5" t="n">
        <v>149</v>
      </c>
      <c r="G84" s="5" t="n">
        <v>3378</v>
      </c>
      <c r="H84" s="5" t="n">
        <v>155828</v>
      </c>
      <c r="I84" s="9" t="n">
        <f aca="false">IF(H84=0,0,C84/H84)</f>
        <v>0.389795158764792</v>
      </c>
      <c r="J84" s="9" t="n">
        <f aca="false">IF(H84=0,0,D84/H84)</f>
        <v>0.496784916703032</v>
      </c>
      <c r="K84" s="9" t="n">
        <f aca="false">IF(H84=0,0,E84/H84)</f>
        <v>0.0907859948147958</v>
      </c>
      <c r="L84" s="9" t="n">
        <f aca="false">IF(H84=0,0,G84/H84)</f>
        <v>0.0216777472597993</v>
      </c>
      <c r="M84" s="4" t="str">
        <f aca="false">INDEX($C$3:$E$3,MATCH(MAX(C84:E84),C84:E84,0))</f>
        <v>Gálvez (PAN-PRI-PRD)</v>
      </c>
      <c r="N84" s="18" t="n">
        <f aca="false">IF(H84=0,0,(MAX(C84:E84)-LARGE(C84:E84,2))/H84*100)</f>
        <v>10.698975793824</v>
      </c>
    </row>
    <row r="85" customFormat="false" ht="15" hidden="false" customHeight="false" outlineLevel="0" collapsed="false">
      <c r="A85" s="4" t="s">
        <v>55</v>
      </c>
      <c r="B85" s="4" t="n">
        <v>8</v>
      </c>
      <c r="C85" s="5" t="n">
        <v>113767</v>
      </c>
      <c r="D85" s="5" t="n">
        <v>59377</v>
      </c>
      <c r="E85" s="5" t="n">
        <v>22034</v>
      </c>
      <c r="F85" s="5" t="n">
        <v>366</v>
      </c>
      <c r="G85" s="5" t="n">
        <v>4173</v>
      </c>
      <c r="H85" s="5" t="n">
        <v>199717</v>
      </c>
      <c r="I85" s="9" t="n">
        <f aca="false">IF(H85=0,0,C85/H85)</f>
        <v>0.569641042074536</v>
      </c>
      <c r="J85" s="9" t="n">
        <f aca="false">IF(H85=0,0,D85/H85)</f>
        <v>0.29730568754788</v>
      </c>
      <c r="K85" s="9" t="n">
        <f aca="false">IF(H85=0,0,E85/H85)</f>
        <v>0.110326111447699</v>
      </c>
      <c r="L85" s="9" t="n">
        <f aca="false">IF(H85=0,0,G85/H85)</f>
        <v>0.020894565810622</v>
      </c>
      <c r="M85" s="4" t="str">
        <f aca="false">INDEX($C$3:$E$3,MATCH(MAX(C85:E85),C85:E85,0))</f>
        <v>Sheinbaum (PVEM-PT-Morena)</v>
      </c>
      <c r="N85" s="18" t="n">
        <f aca="false">IF(H85=0,0,(MAX(C85:E85)-LARGE(C85:E85,2))/H85*100)</f>
        <v>27.2335354526655</v>
      </c>
    </row>
    <row r="86" customFormat="false" ht="15" hidden="false" customHeight="false" outlineLevel="0" collapsed="false">
      <c r="A86" s="4" t="s">
        <v>55</v>
      </c>
      <c r="B86" s="4" t="n">
        <v>9</v>
      </c>
      <c r="C86" s="5" t="n">
        <v>80100</v>
      </c>
      <c r="D86" s="5" t="n">
        <v>67734</v>
      </c>
      <c r="E86" s="5" t="n">
        <v>17862</v>
      </c>
      <c r="F86" s="5" t="n">
        <v>240</v>
      </c>
      <c r="G86" s="5" t="n">
        <v>3099</v>
      </c>
      <c r="H86" s="5" t="n">
        <v>169035</v>
      </c>
      <c r="I86" s="9" t="n">
        <f aca="false">IF(H86=0,0,C86/H86)</f>
        <v>0.473866359038069</v>
      </c>
      <c r="J86" s="9" t="n">
        <f aca="false">IF(H86=0,0,D86/H86)</f>
        <v>0.400709912148372</v>
      </c>
      <c r="K86" s="9" t="n">
        <f aca="false">IF(H86=0,0,E86/H86)</f>
        <v>0.105670423285118</v>
      </c>
      <c r="L86" s="9" t="n">
        <f aca="false">IF(H86=0,0,G86/H86)</f>
        <v>0.0183334812316976</v>
      </c>
      <c r="M86" s="4" t="str">
        <f aca="false">INDEX($C$3:$E$3,MATCH(MAX(C86:E86),C86:E86,0))</f>
        <v>Sheinbaum (PVEM-PT-Morena)</v>
      </c>
      <c r="N86" s="18" t="n">
        <f aca="false">IF(H86=0,0,(MAX(C86:E86)-LARGE(C86:E86,2))/H86*100)</f>
        <v>7.31564468896974</v>
      </c>
    </row>
    <row r="87" customFormat="false" ht="15" hidden="false" customHeight="false" outlineLevel="0" collapsed="false">
      <c r="A87" s="4" t="s">
        <v>55</v>
      </c>
      <c r="B87" s="4" t="n">
        <v>10</v>
      </c>
      <c r="C87" s="5" t="n">
        <v>118408</v>
      </c>
      <c r="D87" s="5" t="n">
        <v>55076</v>
      </c>
      <c r="E87" s="5" t="n">
        <v>27914</v>
      </c>
      <c r="F87" s="5" t="n">
        <v>249</v>
      </c>
      <c r="G87" s="5" t="n">
        <v>4559</v>
      </c>
      <c r="H87" s="5" t="n">
        <v>206206</v>
      </c>
      <c r="I87" s="9" t="n">
        <f aca="false">IF(H87=0,0,C87/H87)</f>
        <v>0.574221894610244</v>
      </c>
      <c r="J87" s="9" t="n">
        <f aca="false">IF(H87=0,0,D87/H87)</f>
        <v>0.267092131169801</v>
      </c>
      <c r="K87" s="9" t="n">
        <f aca="false">IF(H87=0,0,E87/H87)</f>
        <v>0.135369484884048</v>
      </c>
      <c r="L87" s="9" t="n">
        <f aca="false">IF(H87=0,0,G87/H87)</f>
        <v>0.0221089590021629</v>
      </c>
      <c r="M87" s="4" t="str">
        <f aca="false">INDEX($C$3:$E$3,MATCH(MAX(C87:E87),C87:E87,0))</f>
        <v>Sheinbaum (PVEM-PT-Morena)</v>
      </c>
      <c r="N87" s="18" t="n">
        <f aca="false">IF(H87=0,0,(MAX(C87:E87)-LARGE(C87:E87,2))/H87*100)</f>
        <v>30.7129763440443</v>
      </c>
    </row>
    <row r="88" customFormat="false" ht="15" hidden="false" customHeight="false" outlineLevel="0" collapsed="false">
      <c r="A88" s="4" t="s">
        <v>55</v>
      </c>
      <c r="B88" s="4" t="n">
        <v>11</v>
      </c>
      <c r="C88" s="5" t="n">
        <v>80125</v>
      </c>
      <c r="D88" s="5" t="n">
        <v>97531</v>
      </c>
      <c r="E88" s="5" t="n">
        <v>18583</v>
      </c>
      <c r="F88" s="5" t="n">
        <v>345</v>
      </c>
      <c r="G88" s="5" t="n">
        <v>3293</v>
      </c>
      <c r="H88" s="5" t="n">
        <v>199877</v>
      </c>
      <c r="I88" s="9" t="n">
        <f aca="false">IF(H88=0,0,C88/H88)</f>
        <v>0.400871535994637</v>
      </c>
      <c r="J88" s="9" t="n">
        <f aca="false">IF(H88=0,0,D88/H88)</f>
        <v>0.487955092381815</v>
      </c>
      <c r="K88" s="9" t="n">
        <f aca="false">IF(H88=0,0,E88/H88)</f>
        <v>0.092972177889402</v>
      </c>
      <c r="L88" s="9" t="n">
        <f aca="false">IF(H88=0,0,G88/H88)</f>
        <v>0.0164751322063069</v>
      </c>
      <c r="M88" s="4" t="str">
        <f aca="false">INDEX($C$3:$E$3,MATCH(MAX(C88:E88),C88:E88,0))</f>
        <v>Gálvez (PAN-PRI-PRD)</v>
      </c>
      <c r="N88" s="18" t="n">
        <f aca="false">IF(H88=0,0,(MAX(C88:E88)-LARGE(C88:E88,2))/H88*100)</f>
        <v>8.70835563871781</v>
      </c>
    </row>
    <row r="89" customFormat="false" ht="15" hidden="false" customHeight="false" outlineLevel="0" collapsed="false">
      <c r="A89" s="4" t="s">
        <v>55</v>
      </c>
      <c r="B89" s="4" t="n">
        <v>12</v>
      </c>
      <c r="C89" s="5" t="n">
        <v>99031</v>
      </c>
      <c r="D89" s="5" t="n">
        <v>76627</v>
      </c>
      <c r="E89" s="5" t="n">
        <v>23386</v>
      </c>
      <c r="F89" s="5" t="n">
        <v>423</v>
      </c>
      <c r="G89" s="5" t="n">
        <v>3120</v>
      </c>
      <c r="H89" s="5" t="n">
        <v>202587</v>
      </c>
      <c r="I89" s="9" t="n">
        <f aca="false">IF(H89=0,0,C89/H89)</f>
        <v>0.488831958615311</v>
      </c>
      <c r="J89" s="9" t="n">
        <f aca="false">IF(H89=0,0,D89/H89)</f>
        <v>0.378242434114726</v>
      </c>
      <c r="K89" s="9" t="n">
        <f aca="false">IF(H89=0,0,E89/H89)</f>
        <v>0.115436824672857</v>
      </c>
      <c r="L89" s="9" t="n">
        <f aca="false">IF(H89=0,0,G89/H89)</f>
        <v>0.0154007907713723</v>
      </c>
      <c r="M89" s="4" t="str">
        <f aca="false">INDEX($C$3:$E$3,MATCH(MAX(C89:E89),C89:E89,0))</f>
        <v>Sheinbaum (PVEM-PT-Morena)</v>
      </c>
      <c r="N89" s="18" t="n">
        <f aca="false">IF(H89=0,0,(MAX(C89:E89)-LARGE(C89:E89,2))/H89*100)</f>
        <v>11.0589524500585</v>
      </c>
    </row>
    <row r="90" customFormat="false" ht="15" hidden="false" customHeight="false" outlineLevel="0" collapsed="false">
      <c r="A90" s="4" t="s">
        <v>55</v>
      </c>
      <c r="B90" s="4" t="n">
        <v>13</v>
      </c>
      <c r="C90" s="5" t="n">
        <v>100720</v>
      </c>
      <c r="D90" s="5" t="n">
        <v>61103</v>
      </c>
      <c r="E90" s="5" t="n">
        <v>18251</v>
      </c>
      <c r="F90" s="5" t="n">
        <v>170</v>
      </c>
      <c r="G90" s="5" t="n">
        <v>4368</v>
      </c>
      <c r="H90" s="5" t="n">
        <v>184612</v>
      </c>
      <c r="I90" s="9" t="n">
        <f aca="false">IF(H90=0,0,C90/H90)</f>
        <v>0.545576668905597</v>
      </c>
      <c r="J90" s="9" t="n">
        <f aca="false">IF(H90=0,0,D90/H90)</f>
        <v>0.330980651311941</v>
      </c>
      <c r="K90" s="9" t="n">
        <f aca="false">IF(H90=0,0,E90/H90)</f>
        <v>0.0988613957922562</v>
      </c>
      <c r="L90" s="9" t="n">
        <f aca="false">IF(H90=0,0,G90/H90)</f>
        <v>0.0236604337746192</v>
      </c>
      <c r="M90" s="4" t="str">
        <f aca="false">INDEX($C$3:$E$3,MATCH(MAX(C90:E90),C90:E90,0))</f>
        <v>Sheinbaum (PVEM-PT-Morena)</v>
      </c>
      <c r="N90" s="18" t="n">
        <f aca="false">IF(H90=0,0,(MAX(C90:E90)-LARGE(C90:E90,2))/H90*100)</f>
        <v>21.4596017593656</v>
      </c>
    </row>
    <row r="91" customFormat="false" ht="15" hidden="false" customHeight="false" outlineLevel="0" collapsed="false">
      <c r="A91" s="4" t="s">
        <v>55</v>
      </c>
      <c r="B91" s="4" t="n">
        <v>14</v>
      </c>
      <c r="C91" s="5" t="n">
        <v>91488</v>
      </c>
      <c r="D91" s="5" t="n">
        <v>55768</v>
      </c>
      <c r="E91" s="5" t="n">
        <v>18318</v>
      </c>
      <c r="F91" s="5" t="n">
        <v>247</v>
      </c>
      <c r="G91" s="5" t="n">
        <v>4716</v>
      </c>
      <c r="H91" s="5" t="n">
        <v>170537</v>
      </c>
      <c r="I91" s="9" t="n">
        <f aca="false">IF(H91=0,0,C91/H91)</f>
        <v>0.536470091534388</v>
      </c>
      <c r="J91" s="9" t="n">
        <f aca="false">IF(H91=0,0,D91/H91)</f>
        <v>0.327014079056158</v>
      </c>
      <c r="K91" s="9" t="n">
        <f aca="false">IF(H91=0,0,E91/H91)</f>
        <v>0.107413640441664</v>
      </c>
      <c r="L91" s="9" t="n">
        <f aca="false">IF(H91=0,0,G91/H91)</f>
        <v>0.0276538229240575</v>
      </c>
      <c r="M91" s="4" t="str">
        <f aca="false">INDEX($C$3:$E$3,MATCH(MAX(C91:E91),C91:E91,0))</f>
        <v>Sheinbaum (PVEM-PT-Morena)</v>
      </c>
      <c r="N91" s="18" t="n">
        <f aca="false">IF(H91=0,0,(MAX(C91:E91)-LARGE(C91:E91,2))/H91*100)</f>
        <v>20.9456012478231</v>
      </c>
    </row>
    <row r="92" customFormat="false" ht="15" hidden="false" customHeight="false" outlineLevel="0" collapsed="false">
      <c r="A92" s="4" t="s">
        <v>55</v>
      </c>
      <c r="B92" s="4" t="n">
        <v>15</v>
      </c>
      <c r="C92" s="5" t="n">
        <v>86062</v>
      </c>
      <c r="D92" s="5" t="n">
        <v>57111</v>
      </c>
      <c r="E92" s="5" t="n">
        <v>17579</v>
      </c>
      <c r="F92" s="5" t="n">
        <v>234</v>
      </c>
      <c r="G92" s="5" t="n">
        <v>2998</v>
      </c>
      <c r="H92" s="5" t="n">
        <v>163984</v>
      </c>
      <c r="I92" s="9" t="n">
        <f aca="false">IF(H92=0,0,C92/H92)</f>
        <v>0.524819494584838</v>
      </c>
      <c r="J92" s="9" t="n">
        <f aca="false">IF(H92=0,0,D92/H92)</f>
        <v>0.348271782612938</v>
      </c>
      <c r="K92" s="9" t="n">
        <f aca="false">IF(H92=0,0,E92/H92)</f>
        <v>0.107199482876378</v>
      </c>
      <c r="L92" s="9" t="n">
        <f aca="false">IF(H92=0,0,G92/H92)</f>
        <v>0.0182822714411162</v>
      </c>
      <c r="M92" s="4" t="str">
        <f aca="false">INDEX($C$3:$E$3,MATCH(MAX(C92:E92),C92:E92,0))</f>
        <v>Sheinbaum (PVEM-PT-Morena)</v>
      </c>
      <c r="N92" s="18" t="n">
        <f aca="false">IF(H92=0,0,(MAX(C92:E92)-LARGE(C92:E92,2))/H92*100)</f>
        <v>17.65477119719</v>
      </c>
    </row>
    <row r="93" customFormat="false" ht="15" hidden="false" customHeight="false" outlineLevel="0" collapsed="false">
      <c r="A93" s="4" t="s">
        <v>56</v>
      </c>
      <c r="B93" s="4" t="n">
        <v>1</v>
      </c>
      <c r="C93" s="5" t="n">
        <v>148218</v>
      </c>
      <c r="D93" s="5" t="n">
        <v>46625</v>
      </c>
      <c r="E93" s="5" t="n">
        <v>14736</v>
      </c>
      <c r="F93" s="5" t="n">
        <v>237</v>
      </c>
      <c r="G93" s="5" t="n">
        <v>6357</v>
      </c>
      <c r="H93" s="5" t="n">
        <v>216173</v>
      </c>
      <c r="I93" s="9" t="n">
        <f aca="false">IF(H93=0,0,C93/H93)</f>
        <v>0.685645293353009</v>
      </c>
      <c r="J93" s="9" t="n">
        <f aca="false">IF(H93=0,0,D93/H93)</f>
        <v>0.21568373478649</v>
      </c>
      <c r="K93" s="9" t="n">
        <f aca="false">IF(H93=0,0,E93/H93)</f>
        <v>0.0681676250040477</v>
      </c>
      <c r="L93" s="9" t="n">
        <f aca="false">IF(H93=0,0,G93/H93)</f>
        <v>0.0294070027246696</v>
      </c>
      <c r="M93" s="4" t="str">
        <f aca="false">INDEX($C$3:$E$3,MATCH(MAX(C93:E93),C93:E93,0))</f>
        <v>Sheinbaum (PVEM-PT-Morena)</v>
      </c>
      <c r="N93" s="18" t="n">
        <f aca="false">IF(H93=0,0,(MAX(C93:E93)-LARGE(C93:E93,2))/H93*100)</f>
        <v>46.9961558566519</v>
      </c>
    </row>
    <row r="94" customFormat="false" ht="15" hidden="false" customHeight="false" outlineLevel="0" collapsed="false">
      <c r="A94" s="4" t="s">
        <v>56</v>
      </c>
      <c r="B94" s="4" t="n">
        <v>2</v>
      </c>
      <c r="C94" s="5" t="n">
        <v>121479</v>
      </c>
      <c r="D94" s="5" t="n">
        <v>17841</v>
      </c>
      <c r="E94" s="5" t="n">
        <v>7465</v>
      </c>
      <c r="F94" s="5" t="n">
        <v>132</v>
      </c>
      <c r="G94" s="5" t="n">
        <v>3188</v>
      </c>
      <c r="H94" s="5" t="n">
        <v>150105</v>
      </c>
      <c r="I94" s="9" t="n">
        <f aca="false">IF(H94=0,0,C94/H94)</f>
        <v>0.809293494553812</v>
      </c>
      <c r="J94" s="9" t="n">
        <f aca="false">IF(H94=0,0,D94/H94)</f>
        <v>0.118856800239832</v>
      </c>
      <c r="K94" s="9" t="n">
        <f aca="false">IF(H94=0,0,E94/H94)</f>
        <v>0.0497318543686086</v>
      </c>
      <c r="L94" s="9" t="n">
        <f aca="false">IF(H94=0,0,G94/H94)</f>
        <v>0.0212384664068485</v>
      </c>
      <c r="M94" s="4" t="str">
        <f aca="false">INDEX($C$3:$E$3,MATCH(MAX(C94:E94),C94:E94,0))</f>
        <v>Sheinbaum (PVEM-PT-Morena)</v>
      </c>
      <c r="N94" s="18" t="n">
        <f aca="false">IF(H94=0,0,(MAX(C94:E94)-LARGE(C94:E94,2))/H94*100)</f>
        <v>69.043669431398</v>
      </c>
    </row>
    <row r="95" customFormat="false" ht="15" hidden="false" customHeight="false" outlineLevel="0" collapsed="false">
      <c r="A95" s="4" t="s">
        <v>56</v>
      </c>
      <c r="B95" s="4" t="n">
        <v>3</v>
      </c>
      <c r="C95" s="5" t="n">
        <v>144720</v>
      </c>
      <c r="D95" s="5" t="n">
        <v>30849</v>
      </c>
      <c r="E95" s="5" t="n">
        <v>7715</v>
      </c>
      <c r="F95" s="5" t="n">
        <v>160</v>
      </c>
      <c r="G95" s="5" t="n">
        <v>4779</v>
      </c>
      <c r="H95" s="5" t="n">
        <v>188223</v>
      </c>
      <c r="I95" s="9" t="n">
        <f aca="false">IF(H95=0,0,C95/H95)</f>
        <v>0.768875217162621</v>
      </c>
      <c r="J95" s="9" t="n">
        <f aca="false">IF(H95=0,0,D95/H95)</f>
        <v>0.163896016958608</v>
      </c>
      <c r="K95" s="9" t="n">
        <f aca="false">IF(H95=0,0,E95/H95)</f>
        <v>0.040988614568889</v>
      </c>
      <c r="L95" s="9" t="n">
        <f aca="false">IF(H95=0,0,G95/H95)</f>
        <v>0.0253900957906313</v>
      </c>
      <c r="M95" s="4" t="str">
        <f aca="false">INDEX($C$3:$E$3,MATCH(MAX(C95:E95),C95:E95,0))</f>
        <v>Sheinbaum (PVEM-PT-Morena)</v>
      </c>
      <c r="N95" s="18" t="n">
        <f aca="false">IF(H95=0,0,(MAX(C95:E95)-LARGE(C95:E95,2))/H95*100)</f>
        <v>60.4979200204013</v>
      </c>
    </row>
    <row r="96" customFormat="false" ht="15" hidden="false" customHeight="false" outlineLevel="0" collapsed="false">
      <c r="A96" s="4" t="s">
        <v>56</v>
      </c>
      <c r="B96" s="4" t="n">
        <v>4</v>
      </c>
      <c r="C96" s="5" t="n">
        <v>135550</v>
      </c>
      <c r="D96" s="5" t="n">
        <v>21045</v>
      </c>
      <c r="E96" s="5" t="n">
        <v>9913</v>
      </c>
      <c r="F96" s="5" t="n">
        <v>172</v>
      </c>
      <c r="G96" s="5" t="n">
        <v>3112</v>
      </c>
      <c r="H96" s="5" t="n">
        <v>169792</v>
      </c>
      <c r="I96" s="9" t="n">
        <f aca="false">IF(H96=0,0,C96/H96)</f>
        <v>0.798329721070486</v>
      </c>
      <c r="J96" s="9" t="n">
        <f aca="false">IF(H96=0,0,D96/H96)</f>
        <v>0.123945768940822</v>
      </c>
      <c r="K96" s="9" t="n">
        <f aca="false">IF(H96=0,0,E96/H96)</f>
        <v>0.0583831982661138</v>
      </c>
      <c r="L96" s="9" t="n">
        <f aca="false">IF(H96=0,0,G96/H96)</f>
        <v>0.0183283075763287</v>
      </c>
      <c r="M96" s="4" t="str">
        <f aca="false">INDEX($C$3:$E$3,MATCH(MAX(C96:E96),C96:E96,0))</f>
        <v>Sheinbaum (PVEM-PT-Morena)</v>
      </c>
      <c r="N96" s="18" t="n">
        <f aca="false">IF(H96=0,0,(MAX(C96:E96)-LARGE(C96:E96,2))/H96*100)</f>
        <v>67.4383952129665</v>
      </c>
    </row>
    <row r="97" customFormat="false" ht="15" hidden="false" customHeight="false" outlineLevel="0" collapsed="false">
      <c r="A97" s="4" t="s">
        <v>56</v>
      </c>
      <c r="B97" s="4" t="n">
        <v>5</v>
      </c>
      <c r="C97" s="5" t="n">
        <v>141338</v>
      </c>
      <c r="D97" s="5" t="n">
        <v>45693</v>
      </c>
      <c r="E97" s="5" t="n">
        <v>12694</v>
      </c>
      <c r="F97" s="5" t="n">
        <v>164</v>
      </c>
      <c r="G97" s="5" t="n">
        <v>10624</v>
      </c>
      <c r="H97" s="5" t="n">
        <v>210513</v>
      </c>
      <c r="I97" s="9" t="n">
        <f aca="false">IF(H97=0,0,C97/H97)</f>
        <v>0.671397965921345</v>
      </c>
      <c r="J97" s="9" t="n">
        <f aca="false">IF(H97=0,0,D97/H97)</f>
        <v>0.217055478759032</v>
      </c>
      <c r="K97" s="9" t="n">
        <f aca="false">IF(H97=0,0,E97/H97)</f>
        <v>0.0603003139948602</v>
      </c>
      <c r="L97" s="9" t="n">
        <f aca="false">IF(H97=0,0,G97/H97)</f>
        <v>0.0504671920498972</v>
      </c>
      <c r="M97" s="4" t="str">
        <f aca="false">INDEX($C$3:$E$3,MATCH(MAX(C97:E97),C97:E97,0))</f>
        <v>Sheinbaum (PVEM-PT-Morena)</v>
      </c>
      <c r="N97" s="18" t="n">
        <f aca="false">IF(H97=0,0,(MAX(C97:E97)-LARGE(C97:E97,2))/H97*100)</f>
        <v>45.4342487162313</v>
      </c>
    </row>
    <row r="98" customFormat="false" ht="15" hidden="false" customHeight="false" outlineLevel="0" collapsed="false">
      <c r="A98" s="4" t="s">
        <v>56</v>
      </c>
      <c r="B98" s="4" t="n">
        <v>6</v>
      </c>
      <c r="C98" s="5" t="n">
        <v>120678</v>
      </c>
      <c r="D98" s="5" t="n">
        <v>58431</v>
      </c>
      <c r="E98" s="5" t="n">
        <v>15377</v>
      </c>
      <c r="F98" s="5" t="n">
        <v>169</v>
      </c>
      <c r="G98" s="5" t="n">
        <v>6902</v>
      </c>
      <c r="H98" s="5" t="n">
        <v>201557</v>
      </c>
      <c r="I98" s="9" t="n">
        <f aca="false">IF(H98=0,0,C98/H98)</f>
        <v>0.598728895548158</v>
      </c>
      <c r="J98" s="9" t="n">
        <f aca="false">IF(H98=0,0,D98/H98)</f>
        <v>0.289898142957079</v>
      </c>
      <c r="K98" s="9" t="n">
        <f aca="false">IF(H98=0,0,E98/H98)</f>
        <v>0.0762910739889957</v>
      </c>
      <c r="L98" s="9" t="n">
        <f aca="false">IF(H98=0,0,G98/H98)</f>
        <v>0.0342434150141151</v>
      </c>
      <c r="M98" s="4" t="str">
        <f aca="false">INDEX($C$3:$E$3,MATCH(MAX(C98:E98),C98:E98,0))</f>
        <v>Sheinbaum (PVEM-PT-Morena)</v>
      </c>
      <c r="N98" s="18" t="n">
        <f aca="false">IF(H98=0,0,(MAX(C98:E98)-LARGE(C98:E98,2))/H98*100)</f>
        <v>30.8830752591078</v>
      </c>
    </row>
    <row r="99" customFormat="false" ht="15" hidden="false" customHeight="false" outlineLevel="0" collapsed="false">
      <c r="A99" s="4" t="s">
        <v>56</v>
      </c>
      <c r="B99" s="4" t="n">
        <v>7</v>
      </c>
      <c r="C99" s="5" t="n">
        <v>126161</v>
      </c>
      <c r="D99" s="5" t="n">
        <v>36633</v>
      </c>
      <c r="E99" s="5" t="n">
        <v>18308</v>
      </c>
      <c r="F99" s="5" t="n">
        <v>269</v>
      </c>
      <c r="G99" s="5" t="n">
        <v>5088</v>
      </c>
      <c r="H99" s="5" t="n">
        <v>186459</v>
      </c>
      <c r="I99" s="9" t="n">
        <f aca="false">IF(H99=0,0,C99/H99)</f>
        <v>0.676615234448324</v>
      </c>
      <c r="J99" s="9" t="n">
        <f aca="false">IF(H99=0,0,D99/H99)</f>
        <v>0.19646678358245</v>
      </c>
      <c r="K99" s="9" t="n">
        <f aca="false">IF(H99=0,0,E99/H99)</f>
        <v>0.0981878053620367</v>
      </c>
      <c r="L99" s="9" t="n">
        <f aca="false">IF(H99=0,0,G99/H99)</f>
        <v>0.0272875002011166</v>
      </c>
      <c r="M99" s="4" t="str">
        <f aca="false">INDEX($C$3:$E$3,MATCH(MAX(C99:E99),C99:E99,0))</f>
        <v>Sheinbaum (PVEM-PT-Morena)</v>
      </c>
      <c r="N99" s="18" t="n">
        <f aca="false">IF(H99=0,0,(MAX(C99:E99)-LARGE(C99:E99,2))/H99*100)</f>
        <v>48.0148450865874</v>
      </c>
    </row>
    <row r="100" customFormat="false" ht="15" hidden="false" customHeight="false" outlineLevel="0" collapsed="false">
      <c r="A100" s="4" t="s">
        <v>56</v>
      </c>
      <c r="B100" s="4" t="n">
        <v>8</v>
      </c>
      <c r="C100" s="5" t="n">
        <v>167765</v>
      </c>
      <c r="D100" s="5" t="n">
        <v>33388</v>
      </c>
      <c r="E100" s="5" t="n">
        <v>12565</v>
      </c>
      <c r="F100" s="5" t="n">
        <v>110</v>
      </c>
      <c r="G100" s="5" t="n">
        <v>7806</v>
      </c>
      <c r="H100" s="5" t="n">
        <v>221634</v>
      </c>
      <c r="I100" s="9" t="n">
        <f aca="false">IF(H100=0,0,C100/H100)</f>
        <v>0.756946136423112</v>
      </c>
      <c r="J100" s="9" t="n">
        <f aca="false">IF(H100=0,0,D100/H100)</f>
        <v>0.150644756670908</v>
      </c>
      <c r="K100" s="9" t="n">
        <f aca="false">IF(H100=0,0,E100/H100)</f>
        <v>0.0566925652201377</v>
      </c>
      <c r="L100" s="9" t="n">
        <f aca="false">IF(H100=0,0,G100/H100)</f>
        <v>0.0352202279433661</v>
      </c>
      <c r="M100" s="4" t="str">
        <f aca="false">INDEX($C$3:$E$3,MATCH(MAX(C100:E100),C100:E100,0))</f>
        <v>Sheinbaum (PVEM-PT-Morena)</v>
      </c>
      <c r="N100" s="18" t="n">
        <f aca="false">IF(H100=0,0,(MAX(C100:E100)-LARGE(C100:E100,2))/H100*100)</f>
        <v>60.6301379752204</v>
      </c>
    </row>
    <row r="101" customFormat="false" ht="15" hidden="false" customHeight="false" outlineLevel="0" collapsed="false">
      <c r="A101" s="4" t="s">
        <v>57</v>
      </c>
      <c r="B101" s="4" t="n">
        <v>1</v>
      </c>
      <c r="C101" s="5" t="n">
        <v>170364</v>
      </c>
      <c r="D101" s="5" t="n">
        <v>40589</v>
      </c>
      <c r="E101" s="5" t="n">
        <v>14057</v>
      </c>
      <c r="F101" s="5" t="n">
        <v>172</v>
      </c>
      <c r="G101" s="5" t="n">
        <v>8075</v>
      </c>
      <c r="H101" s="5" t="n">
        <v>233257</v>
      </c>
      <c r="I101" s="9" t="n">
        <f aca="false">IF(H101=0,0,C101/H101)</f>
        <v>0.730370364019086</v>
      </c>
      <c r="J101" s="9" t="n">
        <f aca="false">IF(H101=0,0,D101/H101)</f>
        <v>0.174009783200504</v>
      </c>
      <c r="K101" s="9" t="n">
        <f aca="false">IF(H101=0,0,E101/H101)</f>
        <v>0.0602640006516418</v>
      </c>
      <c r="L101" s="9" t="n">
        <f aca="false">IF(H101=0,0,G101/H101)</f>
        <v>0.0346184680416879</v>
      </c>
      <c r="M101" s="4" t="str">
        <f aca="false">INDEX($C$3:$E$3,MATCH(MAX(C101:E101),C101:E101,0))</f>
        <v>Sheinbaum (PVEM-PT-Morena)</v>
      </c>
      <c r="N101" s="18" t="n">
        <f aca="false">IF(H101=0,0,(MAX(C101:E101)-LARGE(C101:E101,2))/H101*100)</f>
        <v>55.6360580818582</v>
      </c>
    </row>
    <row r="102" customFormat="false" ht="15" hidden="false" customHeight="false" outlineLevel="0" collapsed="false">
      <c r="A102" s="4" t="s">
        <v>57</v>
      </c>
      <c r="B102" s="4" t="n">
        <v>2</v>
      </c>
      <c r="C102" s="5" t="n">
        <v>165062</v>
      </c>
      <c r="D102" s="5" t="n">
        <v>39765</v>
      </c>
      <c r="E102" s="5" t="n">
        <v>21054</v>
      </c>
      <c r="F102" s="5" t="n">
        <v>273</v>
      </c>
      <c r="G102" s="5" t="n">
        <v>5877</v>
      </c>
      <c r="H102" s="5" t="n">
        <v>232031</v>
      </c>
      <c r="I102" s="9" t="n">
        <f aca="false">IF(H102=0,0,C102/H102)</f>
        <v>0.711379082967362</v>
      </c>
      <c r="J102" s="9" t="n">
        <f aca="false">IF(H102=0,0,D102/H102)</f>
        <v>0.171377962427434</v>
      </c>
      <c r="K102" s="9" t="n">
        <f aca="false">IF(H102=0,0,E102/H102)</f>
        <v>0.0907378755424922</v>
      </c>
      <c r="L102" s="9" t="n">
        <f aca="false">IF(H102=0,0,G102/H102)</f>
        <v>0.0253285121384643</v>
      </c>
      <c r="M102" s="4" t="str">
        <f aca="false">INDEX($C$3:$E$3,MATCH(MAX(C102:E102),C102:E102,0))</f>
        <v>Sheinbaum (PVEM-PT-Morena)</v>
      </c>
      <c r="N102" s="18" t="n">
        <f aca="false">IF(H102=0,0,(MAX(C102:E102)-LARGE(C102:E102,2))/H102*100)</f>
        <v>54.0001120539928</v>
      </c>
    </row>
    <row r="103" customFormat="false" ht="15" hidden="false" customHeight="false" outlineLevel="0" collapsed="false">
      <c r="A103" s="4" t="s">
        <v>57</v>
      </c>
      <c r="B103" s="4" t="n">
        <v>3</v>
      </c>
      <c r="C103" s="5" t="n">
        <v>138272</v>
      </c>
      <c r="D103" s="5" t="n">
        <v>45632</v>
      </c>
      <c r="E103" s="5" t="n">
        <v>26168</v>
      </c>
      <c r="F103" s="5" t="n">
        <v>184</v>
      </c>
      <c r="G103" s="5" t="n">
        <v>4477</v>
      </c>
      <c r="H103" s="5" t="n">
        <v>214733</v>
      </c>
      <c r="I103" s="9" t="n">
        <f aca="false">IF(H103=0,0,C103/H103)</f>
        <v>0.643925246701718</v>
      </c>
      <c r="J103" s="9" t="n">
        <f aca="false">IF(H103=0,0,D103/H103)</f>
        <v>0.212505762970759</v>
      </c>
      <c r="K103" s="9" t="n">
        <f aca="false">IF(H103=0,0,E103/H103)</f>
        <v>0.121862964705006</v>
      </c>
      <c r="L103" s="9" t="n">
        <f aca="false">IF(H103=0,0,G103/H103)</f>
        <v>0.0208491475460223</v>
      </c>
      <c r="M103" s="4" t="str">
        <f aca="false">INDEX($C$3:$E$3,MATCH(MAX(C103:E103),C103:E103,0))</f>
        <v>Sheinbaum (PVEM-PT-Morena)</v>
      </c>
      <c r="N103" s="18" t="n">
        <f aca="false">IF(H103=0,0,(MAX(C103:E103)-LARGE(C103:E103,2))/H103*100)</f>
        <v>43.1419483730959</v>
      </c>
    </row>
    <row r="104" customFormat="false" ht="15" hidden="false" customHeight="false" outlineLevel="0" collapsed="false">
      <c r="A104" s="4" t="s">
        <v>57</v>
      </c>
      <c r="B104" s="4" t="n">
        <v>4</v>
      </c>
      <c r="C104" s="5" t="n">
        <v>121428</v>
      </c>
      <c r="D104" s="5" t="n">
        <v>39079</v>
      </c>
      <c r="E104" s="5" t="n">
        <v>23950</v>
      </c>
      <c r="F104" s="5" t="n">
        <v>264</v>
      </c>
      <c r="G104" s="5" t="n">
        <v>5130</v>
      </c>
      <c r="H104" s="5" t="n">
        <v>189851</v>
      </c>
      <c r="I104" s="9" t="n">
        <f aca="false">IF(H104=0,0,C104/H104)</f>
        <v>0.639596315004925</v>
      </c>
      <c r="J104" s="9" t="n">
        <f aca="false">IF(H104=0,0,D104/H104)</f>
        <v>0.205840369552965</v>
      </c>
      <c r="K104" s="9" t="n">
        <f aca="false">IF(H104=0,0,E104/H104)</f>
        <v>0.126151560960964</v>
      </c>
      <c r="L104" s="9" t="n">
        <f aca="false">IF(H104=0,0,G104/H104)</f>
        <v>0.0270211903018683</v>
      </c>
      <c r="M104" s="4" t="str">
        <f aca="false">INDEX($C$3:$E$3,MATCH(MAX(C104:E104),C104:E104,0))</f>
        <v>Sheinbaum (PVEM-PT-Morena)</v>
      </c>
      <c r="N104" s="18" t="n">
        <f aca="false">IF(H104=0,0,(MAX(C104:E104)-LARGE(C104:E104,2))/H104*100)</f>
        <v>43.375594545196</v>
      </c>
    </row>
    <row r="105" customFormat="false" ht="15" hidden="false" customHeight="false" outlineLevel="0" collapsed="false">
      <c r="A105" s="4" t="s">
        <v>57</v>
      </c>
      <c r="B105" s="4" t="n">
        <v>5</v>
      </c>
      <c r="C105" s="5" t="n">
        <v>171666</v>
      </c>
      <c r="D105" s="5" t="n">
        <v>41715</v>
      </c>
      <c r="E105" s="5" t="n">
        <v>23926</v>
      </c>
      <c r="F105" s="5" t="n">
        <v>221</v>
      </c>
      <c r="G105" s="5" t="n">
        <v>4416</v>
      </c>
      <c r="H105" s="5" t="n">
        <v>241944</v>
      </c>
      <c r="I105" s="9" t="n">
        <f aca="false">IF(H105=0,0,C105/H105)</f>
        <v>0.709527824620573</v>
      </c>
      <c r="J105" s="9" t="n">
        <f aca="false">IF(H105=0,0,D105/H105)</f>
        <v>0.17241593095923</v>
      </c>
      <c r="K105" s="9" t="n">
        <f aca="false">IF(H105=0,0,E105/H105)</f>
        <v>0.0988906523823695</v>
      </c>
      <c r="L105" s="9" t="n">
        <f aca="false">IF(H105=0,0,G105/H105)</f>
        <v>0.0182521575240552</v>
      </c>
      <c r="M105" s="4" t="str">
        <f aca="false">INDEX($C$3:$E$3,MATCH(MAX(C105:E105),C105:E105,0))</f>
        <v>Sheinbaum (PVEM-PT-Morena)</v>
      </c>
      <c r="N105" s="18" t="n">
        <f aca="false">IF(H105=0,0,(MAX(C105:E105)-LARGE(C105:E105,2))/H105*100)</f>
        <v>53.7111893661343</v>
      </c>
    </row>
    <row r="106" customFormat="false" ht="15" hidden="false" customHeight="false" outlineLevel="0" collapsed="false">
      <c r="A106" s="4" t="s">
        <v>57</v>
      </c>
      <c r="B106" s="4" t="n">
        <v>6</v>
      </c>
      <c r="C106" s="5" t="n">
        <v>141146</v>
      </c>
      <c r="D106" s="5" t="n">
        <v>58010</v>
      </c>
      <c r="E106" s="5" t="n">
        <v>26346</v>
      </c>
      <c r="F106" s="5" t="n">
        <v>226</v>
      </c>
      <c r="G106" s="5" t="n">
        <v>3832</v>
      </c>
      <c r="H106" s="5" t="n">
        <v>229560</v>
      </c>
      <c r="I106" s="9" t="n">
        <f aca="false">IF(H106=0,0,C106/H106)</f>
        <v>0.614854504269036</v>
      </c>
      <c r="J106" s="9" t="n">
        <f aca="false">IF(H106=0,0,D106/H106)</f>
        <v>0.252700818958007</v>
      </c>
      <c r="K106" s="9" t="n">
        <f aca="false">IF(H106=0,0,E106/H106)</f>
        <v>0.114767381076843</v>
      </c>
      <c r="L106" s="9" t="n">
        <f aca="false">IF(H106=0,0,G106/H106)</f>
        <v>0.0166928036243248</v>
      </c>
      <c r="M106" s="4" t="str">
        <f aca="false">INDEX($C$3:$E$3,MATCH(MAX(C106:E106),C106:E106,0))</f>
        <v>Sheinbaum (PVEM-PT-Morena)</v>
      </c>
      <c r="N106" s="18" t="n">
        <f aca="false">IF(H106=0,0,(MAX(C106:E106)-LARGE(C106:E106,2))/H106*100)</f>
        <v>36.215368531103</v>
      </c>
    </row>
    <row r="107" customFormat="false" ht="15" hidden="false" customHeight="false" outlineLevel="0" collapsed="false">
      <c r="A107" s="4" t="s">
        <v>57</v>
      </c>
      <c r="B107" s="4" t="n">
        <v>7</v>
      </c>
      <c r="C107" s="5" t="n">
        <v>133276</v>
      </c>
      <c r="D107" s="5" t="n">
        <v>41532</v>
      </c>
      <c r="E107" s="5" t="n">
        <v>24335</v>
      </c>
      <c r="F107" s="5" t="n">
        <v>234</v>
      </c>
      <c r="G107" s="5" t="n">
        <v>3727</v>
      </c>
      <c r="H107" s="5" t="n">
        <v>203104</v>
      </c>
      <c r="I107" s="9" t="n">
        <f aca="false">IF(H107=0,0,C107/H107)</f>
        <v>0.656195840554593</v>
      </c>
      <c r="J107" s="9" t="n">
        <f aca="false">IF(H107=0,0,D107/H107)</f>
        <v>0.204486371514101</v>
      </c>
      <c r="K107" s="9" t="n">
        <f aca="false">IF(H107=0,0,E107/H107)</f>
        <v>0.11981546399874</v>
      </c>
      <c r="L107" s="9" t="n">
        <f aca="false">IF(H107=0,0,G107/H107)</f>
        <v>0.0183502048211754</v>
      </c>
      <c r="M107" s="4" t="str">
        <f aca="false">INDEX($C$3:$E$3,MATCH(MAX(C107:E107),C107:E107,0))</f>
        <v>Sheinbaum (PVEM-PT-Morena)</v>
      </c>
      <c r="N107" s="18" t="n">
        <f aca="false">IF(H107=0,0,(MAX(C107:E107)-LARGE(C107:E107,2))/H107*100)</f>
        <v>45.1709469040492</v>
      </c>
    </row>
    <row r="108" customFormat="false" ht="15" hidden="false" customHeight="false" outlineLevel="0" collapsed="false">
      <c r="A108" s="4" t="s">
        <v>58</v>
      </c>
      <c r="B108" s="4" t="n">
        <v>1</v>
      </c>
      <c r="C108" s="5" t="n">
        <v>103967</v>
      </c>
      <c r="D108" s="5" t="n">
        <v>54838</v>
      </c>
      <c r="E108" s="5" t="n">
        <v>43916</v>
      </c>
      <c r="F108" s="5" t="n">
        <v>187</v>
      </c>
      <c r="G108" s="5" t="n">
        <v>5105</v>
      </c>
      <c r="H108" s="5" t="n">
        <v>208013</v>
      </c>
      <c r="I108" s="9" t="n">
        <f aca="false">IF(H108=0,0,C108/H108)</f>
        <v>0.499810108022095</v>
      </c>
      <c r="J108" s="9" t="n">
        <f aca="false">IF(H108=0,0,D108/H108)</f>
        <v>0.263627754034604</v>
      </c>
      <c r="K108" s="9" t="n">
        <f aca="false">IF(H108=0,0,E108/H108)</f>
        <v>0.211121420295847</v>
      </c>
      <c r="L108" s="9" t="n">
        <f aca="false">IF(H108=0,0,G108/H108)</f>
        <v>0.0245417353723085</v>
      </c>
      <c r="M108" s="4" t="str">
        <f aca="false">INDEX($C$3:$E$3,MATCH(MAX(C108:E108),C108:E108,0))</f>
        <v>Sheinbaum (PVEM-PT-Morena)</v>
      </c>
      <c r="N108" s="18" t="n">
        <f aca="false">IF(H108=0,0,(MAX(C108:E108)-LARGE(C108:E108,2))/H108*100)</f>
        <v>23.6182353987491</v>
      </c>
    </row>
    <row r="109" customFormat="false" ht="15" hidden="false" customHeight="false" outlineLevel="0" collapsed="false">
      <c r="A109" s="4" t="s">
        <v>58</v>
      </c>
      <c r="B109" s="4" t="n">
        <v>2</v>
      </c>
      <c r="C109" s="5" t="n">
        <v>68096</v>
      </c>
      <c r="D109" s="5" t="n">
        <v>68726</v>
      </c>
      <c r="E109" s="5" t="n">
        <v>41135</v>
      </c>
      <c r="F109" s="5" t="n">
        <v>405</v>
      </c>
      <c r="G109" s="5" t="n">
        <v>5656</v>
      </c>
      <c r="H109" s="5" t="n">
        <v>184018</v>
      </c>
      <c r="I109" s="9" t="n">
        <f aca="false">IF(H109=0,0,C109/H109)</f>
        <v>0.370050755904314</v>
      </c>
      <c r="J109" s="9" t="n">
        <f aca="false">IF(H109=0,0,D109/H109)</f>
        <v>0.37347433403254</v>
      </c>
      <c r="K109" s="9" t="n">
        <f aca="false">IF(H109=0,0,E109/H109)</f>
        <v>0.223537914769207</v>
      </c>
      <c r="L109" s="9" t="n">
        <f aca="false">IF(H109=0,0,G109/H109)</f>
        <v>0.0307361236400787</v>
      </c>
      <c r="M109" s="4" t="str">
        <f aca="false">INDEX($C$3:$E$3,MATCH(MAX(C109:E109),C109:E109,0))</f>
        <v>Gálvez (PAN-PRI-PRD)</v>
      </c>
      <c r="N109" s="18" t="n">
        <f aca="false">IF(H109=0,0,(MAX(C109:E109)-LARGE(C109:E109,2))/H109*100)</f>
        <v>0.342357812822659</v>
      </c>
    </row>
    <row r="110" customFormat="false" ht="15" hidden="false" customHeight="false" outlineLevel="0" collapsed="false">
      <c r="A110" s="4" t="s">
        <v>58</v>
      </c>
      <c r="B110" s="4" t="n">
        <v>3</v>
      </c>
      <c r="C110" s="5" t="n">
        <v>62213</v>
      </c>
      <c r="D110" s="5" t="n">
        <v>92641</v>
      </c>
      <c r="E110" s="5" t="n">
        <v>37230</v>
      </c>
      <c r="F110" s="5" t="n">
        <v>412</v>
      </c>
      <c r="G110" s="5" t="n">
        <v>5429</v>
      </c>
      <c r="H110" s="5" t="n">
        <v>197925</v>
      </c>
      <c r="I110" s="9" t="n">
        <f aca="false">IF(H110=0,0,C110/H110)</f>
        <v>0.314326133636479</v>
      </c>
      <c r="J110" s="9" t="n">
        <f aca="false">IF(H110=0,0,D110/H110)</f>
        <v>0.468061134268031</v>
      </c>
      <c r="K110" s="9" t="n">
        <f aca="false">IF(H110=0,0,E110/H110)</f>
        <v>0.188101553618795</v>
      </c>
      <c r="L110" s="9" t="n">
        <f aca="false">IF(H110=0,0,G110/H110)</f>
        <v>0.0274295819123405</v>
      </c>
      <c r="M110" s="4" t="str">
        <f aca="false">INDEX($C$3:$E$3,MATCH(MAX(C110:E110),C110:E110,0))</f>
        <v>Gálvez (PAN-PRI-PRD)</v>
      </c>
      <c r="N110" s="18" t="n">
        <f aca="false">IF(H110=0,0,(MAX(C110:E110)-LARGE(C110:E110,2))/H110*100)</f>
        <v>15.3735000631552</v>
      </c>
    </row>
    <row r="111" customFormat="false" ht="15" hidden="false" customHeight="false" outlineLevel="0" collapsed="false">
      <c r="A111" s="4" t="s">
        <v>58</v>
      </c>
      <c r="B111" s="4" t="n">
        <v>4</v>
      </c>
      <c r="C111" s="5" t="n">
        <v>85543</v>
      </c>
      <c r="D111" s="5" t="n">
        <v>81888</v>
      </c>
      <c r="E111" s="5" t="n">
        <v>32909</v>
      </c>
      <c r="F111" s="5" t="n">
        <v>529</v>
      </c>
      <c r="G111" s="5" t="n">
        <v>4194</v>
      </c>
      <c r="H111" s="5" t="n">
        <v>205063</v>
      </c>
      <c r="I111" s="9" t="n">
        <f aca="false">IF(H111=0,0,C111/H111)</f>
        <v>0.417154728059182</v>
      </c>
      <c r="J111" s="9" t="n">
        <f aca="false">IF(H111=0,0,D111/H111)</f>
        <v>0.399330937321701</v>
      </c>
      <c r="K111" s="9" t="n">
        <f aca="false">IF(H111=0,0,E111/H111)</f>
        <v>0.160482388339193</v>
      </c>
      <c r="L111" s="9" t="n">
        <f aca="false">IF(H111=0,0,G111/H111)</f>
        <v>0.0204522512593691</v>
      </c>
      <c r="M111" s="4" t="str">
        <f aca="false">INDEX($C$3:$E$3,MATCH(MAX(C111:E111),C111:E111,0))</f>
        <v>Sheinbaum (PVEM-PT-Morena)</v>
      </c>
      <c r="N111" s="18" t="n">
        <f aca="false">IF(H111=0,0,(MAX(C111:E111)-LARGE(C111:E111,2))/H111*100)</f>
        <v>1.78237907374807</v>
      </c>
    </row>
    <row r="112" customFormat="false" ht="15" hidden="false" customHeight="false" outlineLevel="0" collapsed="false">
      <c r="A112" s="4" t="s">
        <v>58</v>
      </c>
      <c r="B112" s="4" t="n">
        <v>5</v>
      </c>
      <c r="C112" s="5" t="n">
        <v>111504</v>
      </c>
      <c r="D112" s="5" t="n">
        <v>36012</v>
      </c>
      <c r="E112" s="5" t="n">
        <v>38565</v>
      </c>
      <c r="F112" s="5" t="n">
        <v>272</v>
      </c>
      <c r="G112" s="5" t="n">
        <v>4115</v>
      </c>
      <c r="H112" s="5" t="n">
        <v>190468</v>
      </c>
      <c r="I112" s="9" t="n">
        <f aca="false">IF(H112=0,0,C112/H112)</f>
        <v>0.585421173110444</v>
      </c>
      <c r="J112" s="9" t="n">
        <f aca="false">IF(H112=0,0,D112/H112)</f>
        <v>0.189071130058593</v>
      </c>
      <c r="K112" s="9" t="n">
        <f aca="false">IF(H112=0,0,E112/H112)</f>
        <v>0.202474956423126</v>
      </c>
      <c r="L112" s="9" t="n">
        <f aca="false">IF(H112=0,0,G112/H112)</f>
        <v>0.0216046790011971</v>
      </c>
      <c r="M112" s="4" t="str">
        <f aca="false">INDEX($C$3:$E$3,MATCH(MAX(C112:E112),C112:E112,0))</f>
        <v>Sheinbaum (PVEM-PT-Morena)</v>
      </c>
      <c r="N112" s="18" t="n">
        <f aca="false">IF(H112=0,0,(MAX(C112:E112)-LARGE(C112:E112,2))/H112*100)</f>
        <v>38.2946216687318</v>
      </c>
    </row>
    <row r="113" customFormat="false" ht="15" hidden="false" customHeight="false" outlineLevel="0" collapsed="false">
      <c r="A113" s="4" t="s">
        <v>58</v>
      </c>
      <c r="B113" s="4" t="n">
        <v>6</v>
      </c>
      <c r="C113" s="5" t="n">
        <v>67104</v>
      </c>
      <c r="D113" s="5" t="n">
        <v>78505</v>
      </c>
      <c r="E113" s="5" t="n">
        <v>26433</v>
      </c>
      <c r="F113" s="5" t="n">
        <v>531</v>
      </c>
      <c r="G113" s="5" t="n">
        <v>3417</v>
      </c>
      <c r="H113" s="5" t="n">
        <v>175990</v>
      </c>
      <c r="I113" s="9" t="n">
        <f aca="false">IF(H113=0,0,C113/H113)</f>
        <v>0.381294391726803</v>
      </c>
      <c r="J113" s="9" t="n">
        <f aca="false">IF(H113=0,0,D113/H113)</f>
        <v>0.446076481618274</v>
      </c>
      <c r="K113" s="9" t="n">
        <f aca="false">IF(H113=0,0,E113/H113)</f>
        <v>0.150196033865561</v>
      </c>
      <c r="L113" s="9" t="n">
        <f aca="false">IF(H113=0,0,G113/H113)</f>
        <v>0.0194158759020399</v>
      </c>
      <c r="M113" s="4" t="str">
        <f aca="false">INDEX($C$3:$E$3,MATCH(MAX(C113:E113),C113:E113,0))</f>
        <v>Gálvez (PAN-PRI-PRD)</v>
      </c>
      <c r="N113" s="18" t="n">
        <f aca="false">IF(H113=0,0,(MAX(C113:E113)-LARGE(C113:E113,2))/H113*100)</f>
        <v>6.47820898914711</v>
      </c>
    </row>
    <row r="114" customFormat="false" ht="15" hidden="false" customHeight="false" outlineLevel="0" collapsed="false">
      <c r="A114" s="4" t="s">
        <v>58</v>
      </c>
      <c r="B114" s="4" t="n">
        <v>7</v>
      </c>
      <c r="C114" s="5" t="n">
        <v>78427</v>
      </c>
      <c r="D114" s="5" t="n">
        <v>37112</v>
      </c>
      <c r="E114" s="5" t="n">
        <v>25516</v>
      </c>
      <c r="F114" s="5" t="n">
        <v>400</v>
      </c>
      <c r="G114" s="5" t="n">
        <v>2962</v>
      </c>
      <c r="H114" s="5" t="n">
        <v>144417</v>
      </c>
      <c r="I114" s="9" t="n">
        <f aca="false">IF(H114=0,0,C114/H114)</f>
        <v>0.543059335119827</v>
      </c>
      <c r="J114" s="9" t="n">
        <f aca="false">IF(H114=0,0,D114/H114)</f>
        <v>0.256978056599985</v>
      </c>
      <c r="K114" s="9" t="n">
        <f aca="false">IF(H114=0,0,E114/H114)</f>
        <v>0.176682800501326</v>
      </c>
      <c r="L114" s="9" t="n">
        <f aca="false">IF(H114=0,0,G114/H114)</f>
        <v>0.0205100507557974</v>
      </c>
      <c r="M114" s="4" t="str">
        <f aca="false">INDEX($C$3:$E$3,MATCH(MAX(C114:E114),C114:E114,0))</f>
        <v>Sheinbaum (PVEM-PT-Morena)</v>
      </c>
      <c r="N114" s="18" t="n">
        <f aca="false">IF(H114=0,0,(MAX(C114:E114)-LARGE(C114:E114,2))/H114*100)</f>
        <v>28.6081278519842</v>
      </c>
    </row>
    <row r="115" customFormat="false" ht="15" hidden="false" customHeight="false" outlineLevel="0" collapsed="false">
      <c r="A115" s="4" t="s">
        <v>58</v>
      </c>
      <c r="B115" s="4" t="n">
        <v>8</v>
      </c>
      <c r="C115" s="5" t="n">
        <v>88337</v>
      </c>
      <c r="D115" s="5" t="n">
        <v>143883</v>
      </c>
      <c r="E115" s="5" t="n">
        <v>30651</v>
      </c>
      <c r="F115" s="5" t="n">
        <v>935</v>
      </c>
      <c r="G115" s="5" t="n">
        <v>5035</v>
      </c>
      <c r="H115" s="5" t="n">
        <v>268841</v>
      </c>
      <c r="I115" s="9" t="n">
        <f aca="false">IF(H115=0,0,C115/H115)</f>
        <v>0.328584553695307</v>
      </c>
      <c r="J115" s="9" t="n">
        <f aca="false">IF(H115=0,0,D115/H115)</f>
        <v>0.535197384327539</v>
      </c>
      <c r="K115" s="9" t="n">
        <f aca="false">IF(H115=0,0,E115/H115)</f>
        <v>0.114011627690717</v>
      </c>
      <c r="L115" s="9" t="n">
        <f aca="false">IF(H115=0,0,G115/H115)</f>
        <v>0.0187285421494489</v>
      </c>
      <c r="M115" s="4" t="str">
        <f aca="false">INDEX($C$3:$E$3,MATCH(MAX(C115:E115),C115:E115,0))</f>
        <v>Gálvez (PAN-PRI-PRD)</v>
      </c>
      <c r="N115" s="18" t="n">
        <f aca="false">IF(H115=0,0,(MAX(C115:E115)-LARGE(C115:E115,2))/H115*100)</f>
        <v>20.6612830632232</v>
      </c>
    </row>
    <row r="116" customFormat="false" ht="15" hidden="false" customHeight="false" outlineLevel="0" collapsed="false">
      <c r="A116" s="4" t="s">
        <v>58</v>
      </c>
      <c r="B116" s="4" t="n">
        <v>9</v>
      </c>
      <c r="C116" s="5" t="n">
        <v>101967</v>
      </c>
      <c r="D116" s="5" t="n">
        <v>70443</v>
      </c>
      <c r="E116" s="5" t="n">
        <v>34042</v>
      </c>
      <c r="F116" s="5" t="n">
        <v>548</v>
      </c>
      <c r="G116" s="5" t="n">
        <v>4624</v>
      </c>
      <c r="H116" s="5" t="n">
        <v>211624</v>
      </c>
      <c r="I116" s="9" t="n">
        <f aca="false">IF(H116=0,0,C116/H116)</f>
        <v>0.481830983253317</v>
      </c>
      <c r="J116" s="9" t="n">
        <f aca="false">IF(H116=0,0,D116/H116)</f>
        <v>0.332868672740332</v>
      </c>
      <c r="K116" s="9" t="n">
        <f aca="false">IF(H116=0,0,E116/H116)</f>
        <v>0.16086077193513</v>
      </c>
      <c r="L116" s="9" t="n">
        <f aca="false">IF(H116=0,0,G116/H116)</f>
        <v>0.0218500737156466</v>
      </c>
      <c r="M116" s="4" t="str">
        <f aca="false">INDEX($C$3:$E$3,MATCH(MAX(C116:E116),C116:E116,0))</f>
        <v>Sheinbaum (PVEM-PT-Morena)</v>
      </c>
      <c r="N116" s="18" t="n">
        <f aca="false">IF(H116=0,0,(MAX(C116:E116)-LARGE(C116:E116,2))/H116*100)</f>
        <v>14.8962310512985</v>
      </c>
    </row>
    <row r="117" customFormat="false" ht="15" hidden="false" customHeight="false" outlineLevel="0" collapsed="false">
      <c r="A117" s="4" t="s">
        <v>58</v>
      </c>
      <c r="B117" s="4" t="n">
        <v>10</v>
      </c>
      <c r="C117" s="5" t="n">
        <v>64887</v>
      </c>
      <c r="D117" s="5" t="n">
        <v>149117</v>
      </c>
      <c r="E117" s="5" t="n">
        <v>22873</v>
      </c>
      <c r="F117" s="5" t="n">
        <v>760</v>
      </c>
      <c r="G117" s="5" t="n">
        <v>4004</v>
      </c>
      <c r="H117" s="5" t="n">
        <v>241641</v>
      </c>
      <c r="I117" s="9" t="n">
        <f aca="false">IF(H117=0,0,C117/H117)</f>
        <v>0.268526450395421</v>
      </c>
      <c r="J117" s="9" t="n">
        <f aca="false">IF(H117=0,0,D117/H117)</f>
        <v>0.617101402493782</v>
      </c>
      <c r="K117" s="9" t="n">
        <f aca="false">IF(H117=0,0,E117/H117)</f>
        <v>0.0946569497725965</v>
      </c>
      <c r="L117" s="9" t="n">
        <f aca="false">IF(H117=0,0,G117/H117)</f>
        <v>0.0165700357141379</v>
      </c>
      <c r="M117" s="4" t="str">
        <f aca="false">INDEX($C$3:$E$3,MATCH(MAX(C117:E117),C117:E117,0))</f>
        <v>Gálvez (PAN-PRI-PRD)</v>
      </c>
      <c r="N117" s="18" t="n">
        <f aca="false">IF(H117=0,0,(MAX(C117:E117)-LARGE(C117:E117,2))/H117*100)</f>
        <v>34.8574952098361</v>
      </c>
    </row>
    <row r="118" customFormat="false" ht="15" hidden="false" customHeight="false" outlineLevel="0" collapsed="false">
      <c r="A118" s="4" t="s">
        <v>58</v>
      </c>
      <c r="B118" s="4" t="n">
        <v>11</v>
      </c>
      <c r="C118" s="5" t="n">
        <v>107212</v>
      </c>
      <c r="D118" s="5" t="n">
        <v>85650</v>
      </c>
      <c r="E118" s="5" t="n">
        <v>36781</v>
      </c>
      <c r="F118" s="5" t="n">
        <v>619</v>
      </c>
      <c r="G118" s="5" t="n">
        <v>5119</v>
      </c>
      <c r="H118" s="5" t="n">
        <v>235381</v>
      </c>
      <c r="I118" s="9" t="n">
        <f aca="false">IF(H118=0,0,C118/H118)</f>
        <v>0.45548281297131</v>
      </c>
      <c r="J118" s="9" t="n">
        <f aca="false">IF(H118=0,0,D118/H118)</f>
        <v>0.363878137997544</v>
      </c>
      <c r="K118" s="9" t="n">
        <f aca="false">IF(H118=0,0,E118/H118)</f>
        <v>0.156261550422507</v>
      </c>
      <c r="L118" s="9" t="n">
        <f aca="false">IF(H118=0,0,G118/H118)</f>
        <v>0.0217477196545176</v>
      </c>
      <c r="M118" s="4" t="str">
        <f aca="false">INDEX($C$3:$E$3,MATCH(MAX(C118:E118),C118:E118,0))</f>
        <v>Sheinbaum (PVEM-PT-Morena)</v>
      </c>
      <c r="N118" s="18" t="n">
        <f aca="false">IF(H118=0,0,(MAX(C118:E118)-LARGE(C118:E118,2))/H118*100)</f>
        <v>9.16046749737659</v>
      </c>
    </row>
    <row r="119" customFormat="false" ht="15" hidden="false" customHeight="false" outlineLevel="0" collapsed="false">
      <c r="A119" s="4" t="s">
        <v>58</v>
      </c>
      <c r="B119" s="4" t="n">
        <v>12</v>
      </c>
      <c r="C119" s="5" t="n">
        <v>69971</v>
      </c>
      <c r="D119" s="5" t="n">
        <v>80186</v>
      </c>
      <c r="E119" s="5" t="n">
        <v>28935</v>
      </c>
      <c r="F119" s="5" t="n">
        <v>506</v>
      </c>
      <c r="G119" s="5" t="n">
        <v>3438</v>
      </c>
      <c r="H119" s="5" t="n">
        <v>183036</v>
      </c>
      <c r="I119" s="9" t="n">
        <f aca="false">IF(H119=0,0,C119/H119)</f>
        <v>0.382279988636115</v>
      </c>
      <c r="J119" s="9" t="n">
        <f aca="false">IF(H119=0,0,D119/H119)</f>
        <v>0.438088682007911</v>
      </c>
      <c r="K119" s="9" t="n">
        <f aca="false">IF(H119=0,0,E119/H119)</f>
        <v>0.158083655674294</v>
      </c>
      <c r="L119" s="9" t="n">
        <f aca="false">IF(H119=0,0,G119/H119)</f>
        <v>0.0187831901920934</v>
      </c>
      <c r="M119" s="4" t="str">
        <f aca="false">INDEX($C$3:$E$3,MATCH(MAX(C119:E119),C119:E119,0))</f>
        <v>Gálvez (PAN-PRI-PRD)</v>
      </c>
      <c r="N119" s="18" t="n">
        <f aca="false">IF(H119=0,0,(MAX(C119:E119)-LARGE(C119:E119,2))/H119*100)</f>
        <v>5.58086933717957</v>
      </c>
    </row>
    <row r="120" customFormat="false" ht="15" hidden="false" customHeight="false" outlineLevel="0" collapsed="false">
      <c r="A120" s="4" t="s">
        <v>58</v>
      </c>
      <c r="B120" s="4" t="n">
        <v>13</v>
      </c>
      <c r="C120" s="5" t="n">
        <v>89216</v>
      </c>
      <c r="D120" s="5" t="n">
        <v>59836</v>
      </c>
      <c r="E120" s="5" t="n">
        <v>30537</v>
      </c>
      <c r="F120" s="5" t="n">
        <v>421</v>
      </c>
      <c r="G120" s="5" t="n">
        <v>3895</v>
      </c>
      <c r="H120" s="5" t="n">
        <v>183905</v>
      </c>
      <c r="I120" s="9" t="n">
        <f aca="false">IF(H120=0,0,C120/H120)</f>
        <v>0.485120034800576</v>
      </c>
      <c r="J120" s="9" t="n">
        <f aca="false">IF(H120=0,0,D120/H120)</f>
        <v>0.325363638835268</v>
      </c>
      <c r="K120" s="9" t="n">
        <f aca="false">IF(H120=0,0,E120/H120)</f>
        <v>0.166047687664827</v>
      </c>
      <c r="L120" s="9" t="n">
        <f aca="false">IF(H120=0,0,G120/H120)</f>
        <v>0.0211794132840325</v>
      </c>
      <c r="M120" s="4" t="str">
        <f aca="false">INDEX($C$3:$E$3,MATCH(MAX(C120:E120),C120:E120,0))</f>
        <v>Sheinbaum (PVEM-PT-Morena)</v>
      </c>
      <c r="N120" s="18" t="n">
        <f aca="false">IF(H120=0,0,(MAX(C120:E120)-LARGE(C120:E120,2))/H120*100)</f>
        <v>15.9756395965308</v>
      </c>
    </row>
    <row r="121" customFormat="false" ht="15" hidden="false" customHeight="false" outlineLevel="0" collapsed="false">
      <c r="A121" s="4" t="s">
        <v>58</v>
      </c>
      <c r="B121" s="4" t="n">
        <v>14</v>
      </c>
      <c r="C121" s="5" t="n">
        <v>67088</v>
      </c>
      <c r="D121" s="5" t="n">
        <v>20822</v>
      </c>
      <c r="E121" s="5" t="n">
        <v>26312</v>
      </c>
      <c r="F121" s="5" t="n">
        <v>226</v>
      </c>
      <c r="G121" s="5" t="n">
        <v>2222</v>
      </c>
      <c r="H121" s="5" t="n">
        <v>116670</v>
      </c>
      <c r="I121" s="9" t="n">
        <f aca="false">IF(H121=0,0,C121/H121)</f>
        <v>0.575023570755121</v>
      </c>
      <c r="J121" s="9" t="n">
        <f aca="false">IF(H121=0,0,D121/H121)</f>
        <v>0.178469186594669</v>
      </c>
      <c r="K121" s="9" t="n">
        <f aca="false">IF(H121=0,0,E121/H121)</f>
        <v>0.225524985000429</v>
      </c>
      <c r="L121" s="9" t="n">
        <f aca="false">IF(H121=0,0,G121/H121)</f>
        <v>0.0190451701379961</v>
      </c>
      <c r="M121" s="4" t="str">
        <f aca="false">INDEX($C$3:$E$3,MATCH(MAX(C121:E121),C121:E121,0))</f>
        <v>Sheinbaum (PVEM-PT-Morena)</v>
      </c>
      <c r="N121" s="18" t="n">
        <f aca="false">IF(H121=0,0,(MAX(C121:E121)-LARGE(C121:E121,2))/H121*100)</f>
        <v>34.9498585754693</v>
      </c>
    </row>
    <row r="122" customFormat="false" ht="15" hidden="false" customHeight="false" outlineLevel="0" collapsed="false">
      <c r="A122" s="4" t="s">
        <v>58</v>
      </c>
      <c r="B122" s="4" t="n">
        <v>15</v>
      </c>
      <c r="C122" s="5" t="n">
        <v>63305</v>
      </c>
      <c r="D122" s="5" t="n">
        <v>85590</v>
      </c>
      <c r="E122" s="5" t="n">
        <v>36126</v>
      </c>
      <c r="F122" s="5" t="n">
        <v>382</v>
      </c>
      <c r="G122" s="5" t="n">
        <v>5897</v>
      </c>
      <c r="H122" s="5" t="n">
        <v>191300</v>
      </c>
      <c r="I122" s="9" t="n">
        <f aca="false">IF(H122=0,0,C122/H122)</f>
        <v>0.330920020909566</v>
      </c>
      <c r="J122" s="9" t="n">
        <f aca="false">IF(H122=0,0,D122/H122)</f>
        <v>0.447412441191845</v>
      </c>
      <c r="K122" s="9" t="n">
        <f aca="false">IF(H122=0,0,E122/H122)</f>
        <v>0.188844746471511</v>
      </c>
      <c r="L122" s="9" t="n">
        <f aca="false">IF(H122=0,0,G122/H122)</f>
        <v>0.0308259278619969</v>
      </c>
      <c r="M122" s="4" t="str">
        <f aca="false">INDEX($C$3:$E$3,MATCH(MAX(C122:E122),C122:E122,0))</f>
        <v>Gálvez (PAN-PRI-PRD)</v>
      </c>
      <c r="N122" s="18" t="n">
        <f aca="false">IF(H122=0,0,(MAX(C122:E122)-LARGE(C122:E122,2))/H122*100)</f>
        <v>11.6492420282279</v>
      </c>
    </row>
    <row r="123" customFormat="false" ht="15" hidden="false" customHeight="false" outlineLevel="0" collapsed="false">
      <c r="A123" s="4" t="s">
        <v>58</v>
      </c>
      <c r="B123" s="4" t="n">
        <v>16</v>
      </c>
      <c r="C123" s="5" t="n">
        <v>90885</v>
      </c>
      <c r="D123" s="5" t="n">
        <v>51450</v>
      </c>
      <c r="E123" s="5" t="n">
        <v>31914</v>
      </c>
      <c r="F123" s="5" t="n">
        <v>319</v>
      </c>
      <c r="G123" s="5" t="n">
        <v>3866</v>
      </c>
      <c r="H123" s="5" t="n">
        <v>178434</v>
      </c>
      <c r="I123" s="9" t="n">
        <f aca="false">IF(H123=0,0,C123/H123)</f>
        <v>0.509347994216349</v>
      </c>
      <c r="J123" s="9" t="n">
        <f aca="false">IF(H123=0,0,D123/H123)</f>
        <v>0.288341907932345</v>
      </c>
      <c r="K123" s="9" t="n">
        <f aca="false">IF(H123=0,0,E123/H123)</f>
        <v>0.178856047614244</v>
      </c>
      <c r="L123" s="9" t="n">
        <f aca="false">IF(H123=0,0,G123/H123)</f>
        <v>0.0216662743647511</v>
      </c>
      <c r="M123" s="4" t="str">
        <f aca="false">INDEX($C$3:$E$3,MATCH(MAX(C123:E123),C123:E123,0))</f>
        <v>Sheinbaum (PVEM-PT-Morena)</v>
      </c>
      <c r="N123" s="18" t="n">
        <f aca="false">IF(H123=0,0,(MAX(C123:E123)-LARGE(C123:E123,2))/H123*100)</f>
        <v>22.1006086284004</v>
      </c>
    </row>
    <row r="124" customFormat="false" ht="15" hidden="false" customHeight="false" outlineLevel="0" collapsed="false">
      <c r="A124" s="4" t="s">
        <v>58</v>
      </c>
      <c r="B124" s="4" t="n">
        <v>17</v>
      </c>
      <c r="C124" s="5" t="n">
        <v>99488</v>
      </c>
      <c r="D124" s="5" t="n">
        <v>46105</v>
      </c>
      <c r="E124" s="5" t="n">
        <v>32627</v>
      </c>
      <c r="F124" s="5" t="n">
        <v>305</v>
      </c>
      <c r="G124" s="5" t="n">
        <v>4094</v>
      </c>
      <c r="H124" s="5" t="n">
        <v>182619</v>
      </c>
      <c r="I124" s="9" t="n">
        <f aca="false">IF(H124=0,0,C124/H124)</f>
        <v>0.544784496684354</v>
      </c>
      <c r="J124" s="9" t="n">
        <f aca="false">IF(H124=0,0,D124/H124)</f>
        <v>0.25246551563638</v>
      </c>
      <c r="K124" s="9" t="n">
        <f aca="false">IF(H124=0,0,E124/H124)</f>
        <v>0.178661585048653</v>
      </c>
      <c r="L124" s="9" t="n">
        <f aca="false">IF(H124=0,0,G124/H124)</f>
        <v>0.022418258779207</v>
      </c>
      <c r="M124" s="4" t="str">
        <f aca="false">INDEX($C$3:$E$3,MATCH(MAX(C124:E124),C124:E124,0))</f>
        <v>Sheinbaum (PVEM-PT-Morena)</v>
      </c>
      <c r="N124" s="18" t="n">
        <f aca="false">IF(H124=0,0,(MAX(C124:E124)-LARGE(C124:E124,2))/H124*100)</f>
        <v>29.2318981047974</v>
      </c>
    </row>
    <row r="125" customFormat="false" ht="15" hidden="false" customHeight="false" outlineLevel="0" collapsed="false">
      <c r="A125" s="4" t="s">
        <v>58</v>
      </c>
      <c r="B125" s="4" t="n">
        <v>18</v>
      </c>
      <c r="C125" s="5" t="n">
        <v>107527</v>
      </c>
      <c r="D125" s="5" t="n">
        <v>54051</v>
      </c>
      <c r="E125" s="5" t="n">
        <v>41434</v>
      </c>
      <c r="F125" s="5" t="n">
        <v>230</v>
      </c>
      <c r="G125" s="5" t="n">
        <v>6320</v>
      </c>
      <c r="H125" s="5" t="n">
        <v>209562</v>
      </c>
      <c r="I125" s="9" t="n">
        <f aca="false">IF(H125=0,0,C125/H125)</f>
        <v>0.513103520676459</v>
      </c>
      <c r="J125" s="9" t="n">
        <f aca="false">IF(H125=0,0,D125/H125)</f>
        <v>0.257923669367538</v>
      </c>
      <c r="K125" s="9" t="n">
        <f aca="false">IF(H125=0,0,E125/H125)</f>
        <v>0.19771714337523</v>
      </c>
      <c r="L125" s="9" t="n">
        <f aca="false">IF(H125=0,0,G125/H125)</f>
        <v>0.0301581393573262</v>
      </c>
      <c r="M125" s="4" t="str">
        <f aca="false">INDEX($C$3:$E$3,MATCH(MAX(C125:E125),C125:E125,0))</f>
        <v>Sheinbaum (PVEM-PT-Morena)</v>
      </c>
      <c r="N125" s="18" t="n">
        <f aca="false">IF(H125=0,0,(MAX(C125:E125)-LARGE(C125:E125,2))/H125*100)</f>
        <v>25.5179851308921</v>
      </c>
    </row>
    <row r="126" customFormat="false" ht="15" hidden="false" customHeight="false" outlineLevel="0" collapsed="false">
      <c r="A126" s="4" t="s">
        <v>58</v>
      </c>
      <c r="B126" s="4" t="n">
        <v>19</v>
      </c>
      <c r="C126" s="5" t="n">
        <v>110577</v>
      </c>
      <c r="D126" s="5" t="n">
        <v>49205</v>
      </c>
      <c r="E126" s="5" t="n">
        <v>43600</v>
      </c>
      <c r="F126" s="5" t="n">
        <v>225</v>
      </c>
      <c r="G126" s="5" t="n">
        <v>5194</v>
      </c>
      <c r="H126" s="5" t="n">
        <v>208801</v>
      </c>
      <c r="I126" s="9" t="n">
        <f aca="false">IF(H126=0,0,C126/H126)</f>
        <v>0.529580797026834</v>
      </c>
      <c r="J126" s="9" t="n">
        <f aca="false">IF(H126=0,0,D126/H126)</f>
        <v>0.235655001652291</v>
      </c>
      <c r="K126" s="9" t="n">
        <f aca="false">IF(H126=0,0,E126/H126)</f>
        <v>0.208811260482469</v>
      </c>
      <c r="L126" s="9" t="n">
        <f aca="false">IF(H126=0,0,G126/H126)</f>
        <v>0.0248753597923382</v>
      </c>
      <c r="M126" s="4" t="str">
        <f aca="false">INDEX($C$3:$E$3,MATCH(MAX(C126:E126),C126:E126,0))</f>
        <v>Sheinbaum (PVEM-PT-Morena)</v>
      </c>
      <c r="N126" s="18" t="n">
        <f aca="false">IF(H126=0,0,(MAX(C126:E126)-LARGE(C126:E126,2))/H126*100)</f>
        <v>29.3925795374543</v>
      </c>
    </row>
    <row r="127" customFormat="false" ht="15" hidden="false" customHeight="false" outlineLevel="0" collapsed="false">
      <c r="A127" s="4" t="s">
        <v>58</v>
      </c>
      <c r="B127" s="4" t="n">
        <v>20</v>
      </c>
      <c r="C127" s="5" t="n">
        <v>75386</v>
      </c>
      <c r="D127" s="5" t="n">
        <v>30963</v>
      </c>
      <c r="E127" s="5" t="n">
        <v>28387</v>
      </c>
      <c r="F127" s="5" t="n">
        <v>342</v>
      </c>
      <c r="G127" s="5" t="n">
        <v>2784</v>
      </c>
      <c r="H127" s="5" t="n">
        <v>137862</v>
      </c>
      <c r="I127" s="9" t="n">
        <f aca="false">IF(H127=0,0,C127/H127)</f>
        <v>0.546822184503344</v>
      </c>
      <c r="J127" s="9" t="n">
        <f aca="false">IF(H127=0,0,D127/H127)</f>
        <v>0.224594159376768</v>
      </c>
      <c r="K127" s="9" t="n">
        <f aca="false">IF(H127=0,0,E127/H127)</f>
        <v>0.205908807358083</v>
      </c>
      <c r="L127" s="9" t="n">
        <f aca="false">IF(H127=0,0,G127/H127)</f>
        <v>0.0201941071506289</v>
      </c>
      <c r="M127" s="4" t="str">
        <f aca="false">INDEX($C$3:$E$3,MATCH(MAX(C127:E127),C127:E127,0))</f>
        <v>Sheinbaum (PVEM-PT-Morena)</v>
      </c>
      <c r="N127" s="18" t="n">
        <f aca="false">IF(H127=0,0,(MAX(C127:E127)-LARGE(C127:E127,2))/H127*100)</f>
        <v>32.2228025126576</v>
      </c>
    </row>
    <row r="128" customFormat="false" ht="15" hidden="false" customHeight="false" outlineLevel="0" collapsed="false">
      <c r="A128" s="4" t="s">
        <v>59</v>
      </c>
      <c r="B128" s="4" t="n">
        <v>1</v>
      </c>
      <c r="C128" s="5" t="n">
        <v>146350</v>
      </c>
      <c r="D128" s="5" t="n">
        <v>61844</v>
      </c>
      <c r="E128" s="5" t="n">
        <v>21425</v>
      </c>
      <c r="F128" s="5" t="n">
        <v>176</v>
      </c>
      <c r="G128" s="5" t="n">
        <v>5663</v>
      </c>
      <c r="H128" s="5" t="n">
        <v>235458</v>
      </c>
      <c r="I128" s="9" t="n">
        <f aca="false">IF(H128=0,0,C128/H128)</f>
        <v>0.621554587229994</v>
      </c>
      <c r="J128" s="9" t="n">
        <f aca="false">IF(H128=0,0,D128/H128)</f>
        <v>0.262654061446203</v>
      </c>
      <c r="K128" s="9" t="n">
        <f aca="false">IF(H128=0,0,E128/H128)</f>
        <v>0.0909928734636326</v>
      </c>
      <c r="L128" s="9" t="n">
        <f aca="false">IF(H128=0,0,G128/H128)</f>
        <v>0.024050998479559</v>
      </c>
      <c r="M128" s="4" t="str">
        <f aca="false">INDEX($C$3:$E$3,MATCH(MAX(C128:E128),C128:E128,0))</f>
        <v>Sheinbaum (PVEM-PT-Morena)</v>
      </c>
      <c r="N128" s="18" t="n">
        <f aca="false">IF(H128=0,0,(MAX(C128:E128)-LARGE(C128:E128,2))/H128*100)</f>
        <v>35.8900525783792</v>
      </c>
    </row>
    <row r="129" customFormat="false" ht="15" hidden="false" customHeight="false" outlineLevel="0" collapsed="false">
      <c r="A129" s="4" t="s">
        <v>59</v>
      </c>
      <c r="B129" s="4" t="n">
        <v>2</v>
      </c>
      <c r="C129" s="5" t="n">
        <v>124790</v>
      </c>
      <c r="D129" s="5" t="n">
        <v>42271</v>
      </c>
      <c r="E129" s="5" t="n">
        <v>20580</v>
      </c>
      <c r="F129" s="5" t="n">
        <v>212</v>
      </c>
      <c r="G129" s="5" t="n">
        <v>3105</v>
      </c>
      <c r="H129" s="5" t="n">
        <v>190958</v>
      </c>
      <c r="I129" s="9" t="n">
        <f aca="false">IF(H129=0,0,C129/H129)</f>
        <v>0.653494485698426</v>
      </c>
      <c r="J129" s="9" t="n">
        <f aca="false">IF(H129=0,0,D129/H129)</f>
        <v>0.221362812765111</v>
      </c>
      <c r="K129" s="9" t="n">
        <f aca="false">IF(H129=0,0,E129/H129)</f>
        <v>0.107772389740152</v>
      </c>
      <c r="L129" s="9" t="n">
        <f aca="false">IF(H129=0,0,G129/H129)</f>
        <v>0.0162601200263932</v>
      </c>
      <c r="M129" s="4" t="str">
        <f aca="false">INDEX($C$3:$E$3,MATCH(MAX(C129:E129),C129:E129,0))</f>
        <v>Sheinbaum (PVEM-PT-Morena)</v>
      </c>
      <c r="N129" s="18" t="n">
        <f aca="false">IF(H129=0,0,(MAX(C129:E129)-LARGE(C129:E129,2))/H129*100)</f>
        <v>43.2131672933315</v>
      </c>
    </row>
    <row r="130" customFormat="false" ht="15" hidden="false" customHeight="false" outlineLevel="0" collapsed="false">
      <c r="A130" s="4" t="s">
        <v>59</v>
      </c>
      <c r="B130" s="4" t="n">
        <v>3</v>
      </c>
      <c r="C130" s="5" t="n">
        <v>134673</v>
      </c>
      <c r="D130" s="5" t="n">
        <v>58051</v>
      </c>
      <c r="E130" s="5" t="n">
        <v>24935</v>
      </c>
      <c r="F130" s="5" t="n">
        <v>379</v>
      </c>
      <c r="G130" s="5" t="n">
        <v>5324</v>
      </c>
      <c r="H130" s="5" t="n">
        <v>223362</v>
      </c>
      <c r="I130" s="9" t="n">
        <f aca="false">IF(H130=0,0,C130/H130)</f>
        <v>0.602936041045478</v>
      </c>
      <c r="J130" s="9" t="n">
        <f aca="false">IF(H130=0,0,D130/H130)</f>
        <v>0.259896490898183</v>
      </c>
      <c r="K130" s="9" t="n">
        <f aca="false">IF(H130=0,0,E130/H130)</f>
        <v>0.111634924472381</v>
      </c>
      <c r="L130" s="9" t="n">
        <f aca="false">IF(H130=0,0,G130/H130)</f>
        <v>0.023835746456425</v>
      </c>
      <c r="M130" s="4" t="str">
        <f aca="false">INDEX($C$3:$E$3,MATCH(MAX(C130:E130),C130:E130,0))</f>
        <v>Sheinbaum (PVEM-PT-Morena)</v>
      </c>
      <c r="N130" s="18" t="n">
        <f aca="false">IF(H130=0,0,(MAX(C130:E130)-LARGE(C130:E130,2))/H130*100)</f>
        <v>34.3039550147295</v>
      </c>
    </row>
    <row r="131" customFormat="false" ht="15" hidden="false" customHeight="false" outlineLevel="0" collapsed="false">
      <c r="A131" s="4" t="s">
        <v>59</v>
      </c>
      <c r="B131" s="4" t="n">
        <v>4</v>
      </c>
      <c r="C131" s="5" t="n">
        <v>121940</v>
      </c>
      <c r="D131" s="5" t="n">
        <v>41287</v>
      </c>
      <c r="E131" s="5" t="n">
        <v>21787</v>
      </c>
      <c r="F131" s="5" t="n">
        <v>307</v>
      </c>
      <c r="G131" s="5" t="n">
        <v>4050</v>
      </c>
      <c r="H131" s="5" t="n">
        <v>189371</v>
      </c>
      <c r="I131" s="9" t="n">
        <f aca="false">IF(H131=0,0,C131/H131)</f>
        <v>0.643921191734743</v>
      </c>
      <c r="J131" s="9" t="n">
        <f aca="false">IF(H131=0,0,D131/H131)</f>
        <v>0.218021766796394</v>
      </c>
      <c r="K131" s="9" t="n">
        <f aca="false">IF(H131=0,0,E131/H131)</f>
        <v>0.115049294770583</v>
      </c>
      <c r="L131" s="9" t="n">
        <f aca="false">IF(H131=0,0,G131/H131)</f>
        <v>0.0213865903438224</v>
      </c>
      <c r="M131" s="4" t="str">
        <f aca="false">INDEX($C$3:$E$3,MATCH(MAX(C131:E131),C131:E131,0))</f>
        <v>Sheinbaum (PVEM-PT-Morena)</v>
      </c>
      <c r="N131" s="18" t="n">
        <f aca="false">IF(H131=0,0,(MAX(C131:E131)-LARGE(C131:E131,2))/H131*100)</f>
        <v>42.5899424938349</v>
      </c>
    </row>
    <row r="132" customFormat="false" ht="15" hidden="false" customHeight="false" outlineLevel="0" collapsed="false">
      <c r="A132" s="4" t="s">
        <v>59</v>
      </c>
      <c r="B132" s="4" t="n">
        <v>5</v>
      </c>
      <c r="C132" s="5" t="n">
        <v>125209</v>
      </c>
      <c r="D132" s="5" t="n">
        <v>49502</v>
      </c>
      <c r="E132" s="5" t="n">
        <v>18513</v>
      </c>
      <c r="F132" s="5" t="n">
        <v>231</v>
      </c>
      <c r="G132" s="5" t="n">
        <v>3682</v>
      </c>
      <c r="H132" s="5" t="n">
        <v>197137</v>
      </c>
      <c r="I132" s="9" t="n">
        <f aca="false">IF(H132=0,0,C132/H132)</f>
        <v>0.635136985953931</v>
      </c>
      <c r="J132" s="9" t="n">
        <f aca="false">IF(H132=0,0,D132/H132)</f>
        <v>0.251104561802199</v>
      </c>
      <c r="K132" s="9" t="n">
        <f aca="false">IF(H132=0,0,E132/H132)</f>
        <v>0.093909311798394</v>
      </c>
      <c r="L132" s="9" t="n">
        <f aca="false">IF(H132=0,0,G132/H132)</f>
        <v>0.0186773665014685</v>
      </c>
      <c r="M132" s="4" t="str">
        <f aca="false">INDEX($C$3:$E$3,MATCH(MAX(C132:E132),C132:E132,0))</f>
        <v>Sheinbaum (PVEM-PT-Morena)</v>
      </c>
      <c r="N132" s="18" t="n">
        <f aca="false">IF(H132=0,0,(MAX(C132:E132)-LARGE(C132:E132,2))/H132*100)</f>
        <v>38.4032424151732</v>
      </c>
    </row>
    <row r="133" customFormat="false" ht="15" hidden="false" customHeight="false" outlineLevel="0" collapsed="false">
      <c r="A133" s="4" t="s">
        <v>59</v>
      </c>
      <c r="B133" s="4" t="n">
        <v>6</v>
      </c>
      <c r="C133" s="5" t="n">
        <v>141291</v>
      </c>
      <c r="D133" s="5" t="n">
        <v>62410</v>
      </c>
      <c r="E133" s="5" t="n">
        <v>24990</v>
      </c>
      <c r="F133" s="5" t="n">
        <v>308</v>
      </c>
      <c r="G133" s="5" t="n">
        <v>3890</v>
      </c>
      <c r="H133" s="5" t="n">
        <v>232889</v>
      </c>
      <c r="I133" s="9" t="n">
        <f aca="false">IF(H133=0,0,C133/H133)</f>
        <v>0.606688164748013</v>
      </c>
      <c r="J133" s="9" t="n">
        <f aca="false">IF(H133=0,0,D133/H133)</f>
        <v>0.267981742375123</v>
      </c>
      <c r="K133" s="9" t="n">
        <f aca="false">IF(H133=0,0,E133/H133)</f>
        <v>0.107304338118159</v>
      </c>
      <c r="L133" s="9" t="n">
        <f aca="false">IF(H133=0,0,G133/H133)</f>
        <v>0.0167032363057079</v>
      </c>
      <c r="M133" s="4" t="str">
        <f aca="false">INDEX($C$3:$E$3,MATCH(MAX(C133:E133),C133:E133,0))</f>
        <v>Sheinbaum (PVEM-PT-Morena)</v>
      </c>
      <c r="N133" s="18" t="n">
        <f aca="false">IF(H133=0,0,(MAX(C133:E133)-LARGE(C133:E133,2))/H133*100)</f>
        <v>33.870642237289</v>
      </c>
    </row>
    <row r="134" customFormat="false" ht="15" hidden="false" customHeight="false" outlineLevel="0" collapsed="false">
      <c r="A134" s="4" t="s">
        <v>59</v>
      </c>
      <c r="B134" s="4" t="n">
        <v>7</v>
      </c>
      <c r="C134" s="5" t="n">
        <v>144138</v>
      </c>
      <c r="D134" s="5" t="n">
        <v>72769</v>
      </c>
      <c r="E134" s="5" t="n">
        <v>23398</v>
      </c>
      <c r="F134" s="5" t="n">
        <v>307</v>
      </c>
      <c r="G134" s="5" t="n">
        <v>4335</v>
      </c>
      <c r="H134" s="5" t="n">
        <v>244947</v>
      </c>
      <c r="I134" s="9" t="n">
        <f aca="false">IF(H134=0,0,C134/H134)</f>
        <v>0.588445663755833</v>
      </c>
      <c r="J134" s="9" t="n">
        <f aca="false">IF(H134=0,0,D134/H134)</f>
        <v>0.297080592944596</v>
      </c>
      <c r="K134" s="9" t="n">
        <f aca="false">IF(H134=0,0,E134/H134)</f>
        <v>0.0955227049116748</v>
      </c>
      <c r="L134" s="9" t="n">
        <f aca="false">IF(H134=0,0,G134/H134)</f>
        <v>0.0176977060343666</v>
      </c>
      <c r="M134" s="4" t="str">
        <f aca="false">INDEX($C$3:$E$3,MATCH(MAX(C134:E134),C134:E134,0))</f>
        <v>Sheinbaum (PVEM-PT-Morena)</v>
      </c>
      <c r="N134" s="18" t="n">
        <f aca="false">IF(H134=0,0,(MAX(C134:E134)-LARGE(C134:E134,2))/H134*100)</f>
        <v>29.1365070811237</v>
      </c>
    </row>
    <row r="135" customFormat="false" ht="15" hidden="false" customHeight="false" outlineLevel="0" collapsed="false">
      <c r="A135" s="4" t="s">
        <v>59</v>
      </c>
      <c r="B135" s="4" t="n">
        <v>8</v>
      </c>
      <c r="C135" s="5" t="n">
        <v>144179</v>
      </c>
      <c r="D135" s="5" t="n">
        <v>52475</v>
      </c>
      <c r="E135" s="5" t="n">
        <v>23490</v>
      </c>
      <c r="F135" s="5" t="n">
        <v>284</v>
      </c>
      <c r="G135" s="5" t="n">
        <v>3907</v>
      </c>
      <c r="H135" s="5" t="n">
        <v>224335</v>
      </c>
      <c r="I135" s="9" t="n">
        <f aca="false">IF(H135=0,0,C135/H135)</f>
        <v>0.64269507655961</v>
      </c>
      <c r="J135" s="9" t="n">
        <f aca="false">IF(H135=0,0,D135/H135)</f>
        <v>0.233913566763991</v>
      </c>
      <c r="K135" s="9" t="n">
        <f aca="false">IF(H135=0,0,E135/H135)</f>
        <v>0.104709474669579</v>
      </c>
      <c r="L135" s="9" t="n">
        <f aca="false">IF(H135=0,0,G135/H135)</f>
        <v>0.0174159181581118</v>
      </c>
      <c r="M135" s="4" t="str">
        <f aca="false">INDEX($C$3:$E$3,MATCH(MAX(C135:E135),C135:E135,0))</f>
        <v>Sheinbaum (PVEM-PT-Morena)</v>
      </c>
      <c r="N135" s="18" t="n">
        <f aca="false">IF(H135=0,0,(MAX(C135:E135)-LARGE(C135:E135,2))/H135*100)</f>
        <v>40.8781509795618</v>
      </c>
    </row>
    <row r="136" customFormat="false" ht="15" hidden="false" customHeight="false" outlineLevel="0" collapsed="false">
      <c r="A136" s="4" t="s">
        <v>59</v>
      </c>
      <c r="B136" s="4" t="n">
        <v>9</v>
      </c>
      <c r="C136" s="5" t="n">
        <v>121026</v>
      </c>
      <c r="D136" s="5" t="n">
        <v>64527</v>
      </c>
      <c r="E136" s="5" t="n">
        <v>13964</v>
      </c>
      <c r="F136" s="5" t="n">
        <v>115</v>
      </c>
      <c r="G136" s="5" t="n">
        <v>7296</v>
      </c>
      <c r="H136" s="5" t="n">
        <v>206928</v>
      </c>
      <c r="I136" s="9" t="n">
        <f aca="false">IF(H136=0,0,C136/H136)</f>
        <v>0.584870099744839</v>
      </c>
      <c r="J136" s="9" t="n">
        <f aca="false">IF(H136=0,0,D136/H136)</f>
        <v>0.311833101368592</v>
      </c>
      <c r="K136" s="9" t="n">
        <f aca="false">IF(H136=0,0,E136/H136)</f>
        <v>0.0674824093404469</v>
      </c>
      <c r="L136" s="9" t="n">
        <f aca="false">IF(H136=0,0,G136/H136)</f>
        <v>0.0352586406866156</v>
      </c>
      <c r="M136" s="4" t="str">
        <f aca="false">INDEX($C$3:$E$3,MATCH(MAX(C136:E136),C136:E136,0))</f>
        <v>Sheinbaum (PVEM-PT-Morena)</v>
      </c>
      <c r="N136" s="18" t="n">
        <f aca="false">IF(H136=0,0,(MAX(C136:E136)-LARGE(C136:E136,2))/H136*100)</f>
        <v>27.3036998376247</v>
      </c>
    </row>
    <row r="137" customFormat="false" ht="15" hidden="false" customHeight="false" outlineLevel="0" collapsed="false">
      <c r="A137" s="4" t="s">
        <v>59</v>
      </c>
      <c r="B137" s="4" t="n">
        <v>10</v>
      </c>
      <c r="C137" s="5" t="n">
        <v>121955</v>
      </c>
      <c r="D137" s="5" t="n">
        <v>40806</v>
      </c>
      <c r="E137" s="5" t="n">
        <v>21012</v>
      </c>
      <c r="F137" s="5" t="n">
        <v>322</v>
      </c>
      <c r="G137" s="5" t="n">
        <v>3696</v>
      </c>
      <c r="H137" s="5" t="n">
        <v>187791</v>
      </c>
      <c r="I137" s="9" t="n">
        <f aca="false">IF(H137=0,0,C137/H137)</f>
        <v>0.649418768737586</v>
      </c>
      <c r="J137" s="9" t="n">
        <f aca="false">IF(H137=0,0,D137/H137)</f>
        <v>0.217294758534754</v>
      </c>
      <c r="K137" s="9" t="n">
        <f aca="false">IF(H137=0,0,E137/H137)</f>
        <v>0.111890346182724</v>
      </c>
      <c r="L137" s="9" t="n">
        <f aca="false">IF(H137=0,0,G137/H137)</f>
        <v>0.0196814543827979</v>
      </c>
      <c r="M137" s="4" t="str">
        <f aca="false">INDEX($C$3:$E$3,MATCH(MAX(C137:E137),C137:E137,0))</f>
        <v>Sheinbaum (PVEM-PT-Morena)</v>
      </c>
      <c r="N137" s="18" t="n">
        <f aca="false">IF(H137=0,0,(MAX(C137:E137)-LARGE(C137:E137,2))/H137*100)</f>
        <v>43.2124010202832</v>
      </c>
    </row>
    <row r="138" customFormat="false" ht="15" hidden="false" customHeight="false" outlineLevel="0" collapsed="false">
      <c r="A138" s="4" t="s">
        <v>59</v>
      </c>
      <c r="B138" s="4" t="n">
        <v>11</v>
      </c>
      <c r="C138" s="5" t="n">
        <v>133993</v>
      </c>
      <c r="D138" s="5" t="n">
        <v>39950</v>
      </c>
      <c r="E138" s="5" t="n">
        <v>21552</v>
      </c>
      <c r="F138" s="5" t="n">
        <v>272</v>
      </c>
      <c r="G138" s="5" t="n">
        <v>4223</v>
      </c>
      <c r="H138" s="5" t="n">
        <v>199990</v>
      </c>
      <c r="I138" s="9" t="n">
        <f aca="false">IF(H138=0,0,C138/H138)</f>
        <v>0.669998499924996</v>
      </c>
      <c r="J138" s="9" t="n">
        <f aca="false">IF(H138=0,0,D138/H138)</f>
        <v>0.1997599879994</v>
      </c>
      <c r="K138" s="9" t="n">
        <f aca="false">IF(H138=0,0,E138/H138)</f>
        <v>0.107765388269413</v>
      </c>
      <c r="L138" s="9" t="n">
        <f aca="false">IF(H138=0,0,G138/H138)</f>
        <v>0.0211160558027901</v>
      </c>
      <c r="M138" s="4" t="str">
        <f aca="false">INDEX($C$3:$E$3,MATCH(MAX(C138:E138),C138:E138,0))</f>
        <v>Sheinbaum (PVEM-PT-Morena)</v>
      </c>
      <c r="N138" s="18" t="n">
        <f aca="false">IF(H138=0,0,(MAX(C138:E138)-LARGE(C138:E138,2))/H138*100)</f>
        <v>47.0238511925596</v>
      </c>
    </row>
    <row r="139" customFormat="false" ht="15" hidden="false" customHeight="false" outlineLevel="0" collapsed="false">
      <c r="A139" s="4" t="s">
        <v>59</v>
      </c>
      <c r="B139" s="4" t="n">
        <v>12</v>
      </c>
      <c r="C139" s="5" t="n">
        <v>115240</v>
      </c>
      <c r="D139" s="5" t="n">
        <v>33469</v>
      </c>
      <c r="E139" s="5" t="n">
        <v>19013</v>
      </c>
      <c r="F139" s="5" t="n">
        <v>227</v>
      </c>
      <c r="G139" s="5" t="n">
        <v>3377</v>
      </c>
      <c r="H139" s="5" t="n">
        <v>171326</v>
      </c>
      <c r="I139" s="9" t="n">
        <f aca="false">IF(H139=0,0,C139/H139)</f>
        <v>0.672635793749927</v>
      </c>
      <c r="J139" s="9" t="n">
        <f aca="false">IF(H139=0,0,D139/H139)</f>
        <v>0.195352719377094</v>
      </c>
      <c r="K139" s="9" t="n">
        <f aca="false">IF(H139=0,0,E139/H139)</f>
        <v>0.110975567047617</v>
      </c>
      <c r="L139" s="9" t="n">
        <f aca="false">IF(H139=0,0,G139/H139)</f>
        <v>0.0197109603913008</v>
      </c>
      <c r="M139" s="4" t="str">
        <f aca="false">INDEX($C$3:$E$3,MATCH(MAX(C139:E139),C139:E139,0))</f>
        <v>Sheinbaum (PVEM-PT-Morena)</v>
      </c>
      <c r="N139" s="18" t="n">
        <f aca="false">IF(H139=0,0,(MAX(C139:E139)-LARGE(C139:E139,2))/H139*100)</f>
        <v>47.7283074372833</v>
      </c>
    </row>
    <row r="140" customFormat="false" ht="15" hidden="false" customHeight="false" outlineLevel="0" collapsed="false">
      <c r="A140" s="4" t="s">
        <v>59</v>
      </c>
      <c r="B140" s="4" t="n">
        <v>13</v>
      </c>
      <c r="C140" s="5" t="n">
        <v>151800</v>
      </c>
      <c r="D140" s="5" t="n">
        <v>64190</v>
      </c>
      <c r="E140" s="5" t="n">
        <v>26757</v>
      </c>
      <c r="F140" s="5" t="n">
        <v>375</v>
      </c>
      <c r="G140" s="5" t="n">
        <v>5274</v>
      </c>
      <c r="H140" s="5" t="n">
        <v>248396</v>
      </c>
      <c r="I140" s="9" t="n">
        <f aca="false">IF(H140=0,0,C140/H140)</f>
        <v>0.611120952028213</v>
      </c>
      <c r="J140" s="9" t="n">
        <f aca="false">IF(H140=0,0,D140/H140)</f>
        <v>0.258418009951851</v>
      </c>
      <c r="K140" s="9" t="n">
        <f aca="false">IF(H140=0,0,E140/H140)</f>
        <v>0.10771912591185</v>
      </c>
      <c r="L140" s="9" t="n">
        <f aca="false">IF(H140=0,0,G140/H140)</f>
        <v>0.0212322259617707</v>
      </c>
      <c r="M140" s="4" t="str">
        <f aca="false">INDEX($C$3:$E$3,MATCH(MAX(C140:E140),C140:E140,0))</f>
        <v>Sheinbaum (PVEM-PT-Morena)</v>
      </c>
      <c r="N140" s="18" t="n">
        <f aca="false">IF(H140=0,0,(MAX(C140:E140)-LARGE(C140:E140,2))/H140*100)</f>
        <v>35.2702942076362</v>
      </c>
    </row>
    <row r="141" customFormat="false" ht="15" hidden="false" customHeight="false" outlineLevel="0" collapsed="false">
      <c r="A141" s="4" t="s">
        <v>59</v>
      </c>
      <c r="B141" s="4" t="n">
        <v>14</v>
      </c>
      <c r="C141" s="5" t="n">
        <v>116451</v>
      </c>
      <c r="D141" s="5" t="n">
        <v>40947</v>
      </c>
      <c r="E141" s="5" t="n">
        <v>20988</v>
      </c>
      <c r="F141" s="5" t="n">
        <v>202</v>
      </c>
      <c r="G141" s="5" t="n">
        <v>3646</v>
      </c>
      <c r="H141" s="5" t="n">
        <v>182234</v>
      </c>
      <c r="I141" s="9" t="n">
        <f aca="false">IF(H141=0,0,C141/H141)</f>
        <v>0.639019063402</v>
      </c>
      <c r="J141" s="9" t="n">
        <f aca="false">IF(H141=0,0,D141/H141)</f>
        <v>0.224694623396293</v>
      </c>
      <c r="K141" s="9" t="n">
        <f aca="false">IF(H141=0,0,E141/H141)</f>
        <v>0.115170604826761</v>
      </c>
      <c r="L141" s="9" t="n">
        <f aca="false">IF(H141=0,0,G141/H141)</f>
        <v>0.0200072434342658</v>
      </c>
      <c r="M141" s="4" t="str">
        <f aca="false">INDEX($C$3:$E$3,MATCH(MAX(C141:E141),C141:E141,0))</f>
        <v>Sheinbaum (PVEM-PT-Morena)</v>
      </c>
      <c r="N141" s="18" t="n">
        <f aca="false">IF(H141=0,0,(MAX(C141:E141)-LARGE(C141:E141,2))/H141*100)</f>
        <v>41.4324440005707</v>
      </c>
    </row>
    <row r="142" customFormat="false" ht="15" hidden="false" customHeight="false" outlineLevel="0" collapsed="false">
      <c r="A142" s="4" t="s">
        <v>59</v>
      </c>
      <c r="B142" s="4" t="n">
        <v>15</v>
      </c>
      <c r="C142" s="5" t="n">
        <v>126731</v>
      </c>
      <c r="D142" s="5" t="n">
        <v>83495</v>
      </c>
      <c r="E142" s="5" t="n">
        <v>20527</v>
      </c>
      <c r="F142" s="5" t="n">
        <v>370</v>
      </c>
      <c r="G142" s="5" t="n">
        <v>4525</v>
      </c>
      <c r="H142" s="5" t="n">
        <v>235648</v>
      </c>
      <c r="I142" s="9" t="n">
        <f aca="false">IF(H142=0,0,C142/H142)</f>
        <v>0.537797901955459</v>
      </c>
      <c r="J142" s="9" t="n">
        <f aca="false">IF(H142=0,0,D142/H142)</f>
        <v>0.354320851439435</v>
      </c>
      <c r="K142" s="9" t="n">
        <f aca="false">IF(H142=0,0,E142/H142)</f>
        <v>0.0871087384573601</v>
      </c>
      <c r="L142" s="9" t="n">
        <f aca="false">IF(H142=0,0,G142/H142)</f>
        <v>0.0192023696360674</v>
      </c>
      <c r="M142" s="4" t="str">
        <f aca="false">INDEX($C$3:$E$3,MATCH(MAX(C142:E142),C142:E142,0))</f>
        <v>Sheinbaum (PVEM-PT-Morena)</v>
      </c>
      <c r="N142" s="18" t="n">
        <f aca="false">IF(H142=0,0,(MAX(C142:E142)-LARGE(C142:E142,2))/H142*100)</f>
        <v>18.3477050516024</v>
      </c>
    </row>
    <row r="143" customFormat="false" ht="15" hidden="false" customHeight="false" outlineLevel="0" collapsed="false">
      <c r="A143" s="4" t="s">
        <v>59</v>
      </c>
      <c r="B143" s="4" t="n">
        <v>16</v>
      </c>
      <c r="C143" s="5" t="n">
        <v>131861</v>
      </c>
      <c r="D143" s="5" t="n">
        <v>42208</v>
      </c>
      <c r="E143" s="5" t="n">
        <v>18317</v>
      </c>
      <c r="F143" s="5" t="n">
        <v>184</v>
      </c>
      <c r="G143" s="5" t="n">
        <v>4098</v>
      </c>
      <c r="H143" s="5" t="n">
        <v>196668</v>
      </c>
      <c r="I143" s="9" t="n">
        <f aca="false">IF(H143=0,0,C143/H143)</f>
        <v>0.670475115422946</v>
      </c>
      <c r="J143" s="9" t="n">
        <f aca="false">IF(H143=0,0,D143/H143)</f>
        <v>0.214615494132243</v>
      </c>
      <c r="K143" s="9" t="n">
        <f aca="false">IF(H143=0,0,E143/H143)</f>
        <v>0.0931366567006325</v>
      </c>
      <c r="L143" s="9" t="n">
        <f aca="false">IF(H143=0,0,G143/H143)</f>
        <v>0.0208371468668009</v>
      </c>
      <c r="M143" s="4" t="str">
        <f aca="false">INDEX($C$3:$E$3,MATCH(MAX(C143:E143),C143:E143,0))</f>
        <v>Sheinbaum (PVEM-PT-Morena)</v>
      </c>
      <c r="N143" s="18" t="n">
        <f aca="false">IF(H143=0,0,(MAX(C143:E143)-LARGE(C143:E143,2))/H143*100)</f>
        <v>45.5859621290703</v>
      </c>
    </row>
    <row r="144" customFormat="false" ht="15" hidden="false" customHeight="false" outlineLevel="0" collapsed="false">
      <c r="A144" s="4" t="s">
        <v>59</v>
      </c>
      <c r="B144" s="4" t="n">
        <v>17</v>
      </c>
      <c r="C144" s="5" t="n">
        <v>105812</v>
      </c>
      <c r="D144" s="5" t="n">
        <v>52907</v>
      </c>
      <c r="E144" s="5" t="n">
        <v>18766</v>
      </c>
      <c r="F144" s="5" t="n">
        <v>267</v>
      </c>
      <c r="G144" s="5" t="n">
        <v>3394</v>
      </c>
      <c r="H144" s="5" t="n">
        <v>181146</v>
      </c>
      <c r="I144" s="9" t="n">
        <f aca="false">IF(H144=0,0,C144/H144)</f>
        <v>0.58412551201793</v>
      </c>
      <c r="J144" s="9" t="n">
        <f aca="false">IF(H144=0,0,D144/H144)</f>
        <v>0.292068276417917</v>
      </c>
      <c r="K144" s="9" t="n">
        <f aca="false">IF(H144=0,0,E144/H144)</f>
        <v>0.103595994391265</v>
      </c>
      <c r="L144" s="9" t="n">
        <f aca="false">IF(H144=0,0,G144/H144)</f>
        <v>0.0187362679827322</v>
      </c>
      <c r="M144" s="4" t="str">
        <f aca="false">INDEX($C$3:$E$3,MATCH(MAX(C144:E144),C144:E144,0))</f>
        <v>Sheinbaum (PVEM-PT-Morena)</v>
      </c>
      <c r="N144" s="18" t="n">
        <f aca="false">IF(H144=0,0,(MAX(C144:E144)-LARGE(C144:E144,2))/H144*100)</f>
        <v>29.2057235600013</v>
      </c>
    </row>
    <row r="145" customFormat="false" ht="15" hidden="false" customHeight="false" outlineLevel="0" collapsed="false">
      <c r="A145" s="4" t="s">
        <v>59</v>
      </c>
      <c r="B145" s="4" t="n">
        <v>18</v>
      </c>
      <c r="C145" s="5" t="n">
        <v>124693</v>
      </c>
      <c r="D145" s="5" t="n">
        <v>93881</v>
      </c>
      <c r="E145" s="5" t="n">
        <v>26514</v>
      </c>
      <c r="F145" s="5" t="n">
        <v>251</v>
      </c>
      <c r="G145" s="5" t="n">
        <v>4427</v>
      </c>
      <c r="H145" s="5" t="n">
        <v>249766</v>
      </c>
      <c r="I145" s="9" t="n">
        <f aca="false">IF(H145=0,0,C145/H145)</f>
        <v>0.499239287973543</v>
      </c>
      <c r="J145" s="9" t="n">
        <f aca="false">IF(H145=0,0,D145/H145)</f>
        <v>0.375875819767302</v>
      </c>
      <c r="K145" s="9" t="n">
        <f aca="false">IF(H145=0,0,E145/H145)</f>
        <v>0.106155361418288</v>
      </c>
      <c r="L145" s="9" t="n">
        <f aca="false">IF(H145=0,0,G145/H145)</f>
        <v>0.0177245902164426</v>
      </c>
      <c r="M145" s="4" t="str">
        <f aca="false">INDEX($C$3:$E$3,MATCH(MAX(C145:E145),C145:E145,0))</f>
        <v>Sheinbaum (PVEM-PT-Morena)</v>
      </c>
      <c r="N145" s="18" t="n">
        <f aca="false">IF(H145=0,0,(MAX(C145:E145)-LARGE(C145:E145,2))/H145*100)</f>
        <v>12.3363468206241</v>
      </c>
    </row>
    <row r="146" customFormat="false" ht="15" hidden="false" customHeight="false" outlineLevel="0" collapsed="false">
      <c r="A146" s="4" t="s">
        <v>59</v>
      </c>
      <c r="B146" s="4" t="n">
        <v>19</v>
      </c>
      <c r="C146" s="5" t="n">
        <v>147507</v>
      </c>
      <c r="D146" s="5" t="n">
        <v>116866</v>
      </c>
      <c r="E146" s="5" t="n">
        <v>23954</v>
      </c>
      <c r="F146" s="5" t="n">
        <v>412</v>
      </c>
      <c r="G146" s="5" t="n">
        <v>4944</v>
      </c>
      <c r="H146" s="5" t="n">
        <v>293683</v>
      </c>
      <c r="I146" s="9" t="n">
        <f aca="false">IF(H146=0,0,C146/H146)</f>
        <v>0.502266048766868</v>
      </c>
      <c r="J146" s="9" t="n">
        <f aca="false">IF(H146=0,0,D146/H146)</f>
        <v>0.39793246459618</v>
      </c>
      <c r="K146" s="9" t="n">
        <f aca="false">IF(H146=0,0,E146/H146)</f>
        <v>0.0815641354794115</v>
      </c>
      <c r="L146" s="9" t="n">
        <f aca="false">IF(H146=0,0,G146/H146)</f>
        <v>0.016834477991576</v>
      </c>
      <c r="M146" s="4" t="str">
        <f aca="false">INDEX($C$3:$E$3,MATCH(MAX(C146:E146),C146:E146,0))</f>
        <v>Sheinbaum (PVEM-PT-Morena)</v>
      </c>
      <c r="N146" s="18" t="n">
        <f aca="false">IF(H146=0,0,(MAX(C146:E146)-LARGE(C146:E146,2))/H146*100)</f>
        <v>10.4333584170687</v>
      </c>
    </row>
    <row r="147" customFormat="false" ht="15" hidden="false" customHeight="false" outlineLevel="0" collapsed="false">
      <c r="A147" s="4" t="s">
        <v>59</v>
      </c>
      <c r="B147" s="4" t="n">
        <v>20</v>
      </c>
      <c r="C147" s="5" t="n">
        <v>98448</v>
      </c>
      <c r="D147" s="5" t="n">
        <v>40884</v>
      </c>
      <c r="E147" s="5" t="n">
        <v>19811</v>
      </c>
      <c r="F147" s="5" t="n">
        <v>181</v>
      </c>
      <c r="G147" s="5" t="n">
        <v>2683</v>
      </c>
      <c r="H147" s="5" t="n">
        <v>162007</v>
      </c>
      <c r="I147" s="9" t="n">
        <f aca="false">IF(H147=0,0,C147/H147)</f>
        <v>0.607677446036282</v>
      </c>
      <c r="J147" s="9" t="n">
        <f aca="false">IF(H147=0,0,D147/H147)</f>
        <v>0.252359465949002</v>
      </c>
      <c r="K147" s="9" t="n">
        <f aca="false">IF(H147=0,0,E147/H147)</f>
        <v>0.12228483954397</v>
      </c>
      <c r="L147" s="9" t="n">
        <f aca="false">IF(H147=0,0,G147/H147)</f>
        <v>0.0165610127957434</v>
      </c>
      <c r="M147" s="4" t="str">
        <f aca="false">INDEX($C$3:$E$3,MATCH(MAX(C147:E147),C147:E147,0))</f>
        <v>Sheinbaum (PVEM-PT-Morena)</v>
      </c>
      <c r="N147" s="18" t="n">
        <f aca="false">IF(H147=0,0,(MAX(C147:E147)-LARGE(C147:E147,2))/H147*100)</f>
        <v>35.531798008728</v>
      </c>
    </row>
    <row r="148" customFormat="false" ht="15" hidden="false" customHeight="false" outlineLevel="0" collapsed="false">
      <c r="A148" s="4" t="s">
        <v>59</v>
      </c>
      <c r="B148" s="4" t="n">
        <v>21</v>
      </c>
      <c r="C148" s="5" t="n">
        <v>139242</v>
      </c>
      <c r="D148" s="5" t="n">
        <v>35698</v>
      </c>
      <c r="E148" s="5" t="n">
        <v>25347</v>
      </c>
      <c r="F148" s="5" t="n">
        <v>127</v>
      </c>
      <c r="G148" s="5" t="n">
        <v>4049</v>
      </c>
      <c r="H148" s="5" t="n">
        <v>204463</v>
      </c>
      <c r="I148" s="9" t="n">
        <f aca="false">IF(H148=0,0,C148/H148)</f>
        <v>0.681013190650631</v>
      </c>
      <c r="J148" s="9" t="n">
        <f aca="false">IF(H148=0,0,D148/H148)</f>
        <v>0.174593936311215</v>
      </c>
      <c r="K148" s="9" t="n">
        <f aca="false">IF(H148=0,0,E148/H148)</f>
        <v>0.123968639802801</v>
      </c>
      <c r="L148" s="9" t="n">
        <f aca="false">IF(H148=0,0,G148/H148)</f>
        <v>0.0198030939583201</v>
      </c>
      <c r="M148" s="4" t="str">
        <f aca="false">INDEX($C$3:$E$3,MATCH(MAX(C148:E148),C148:E148,0))</f>
        <v>Sheinbaum (PVEM-PT-Morena)</v>
      </c>
      <c r="N148" s="18" t="n">
        <f aca="false">IF(H148=0,0,(MAX(C148:E148)-LARGE(C148:E148,2))/H148*100)</f>
        <v>50.6419254339416</v>
      </c>
    </row>
    <row r="149" customFormat="false" ht="15" hidden="false" customHeight="false" outlineLevel="0" collapsed="false">
      <c r="A149" s="4" t="s">
        <v>59</v>
      </c>
      <c r="B149" s="4" t="n">
        <v>22</v>
      </c>
      <c r="C149" s="5" t="n">
        <v>101593</v>
      </c>
      <c r="D149" s="5" t="n">
        <v>125996</v>
      </c>
      <c r="E149" s="5" t="n">
        <v>17220</v>
      </c>
      <c r="F149" s="5" t="n">
        <v>413</v>
      </c>
      <c r="G149" s="5" t="n">
        <v>4020</v>
      </c>
      <c r="H149" s="5" t="n">
        <v>249242</v>
      </c>
      <c r="I149" s="9" t="n">
        <f aca="false">IF(H149=0,0,C149/H149)</f>
        <v>0.407607867052904</v>
      </c>
      <c r="J149" s="9" t="n">
        <f aca="false">IF(H149=0,0,D149/H149)</f>
        <v>0.505516726715401</v>
      </c>
      <c r="K149" s="9" t="n">
        <f aca="false">IF(H149=0,0,E149/H149)</f>
        <v>0.0690894793012414</v>
      </c>
      <c r="L149" s="9" t="n">
        <f aca="false">IF(H149=0,0,G149/H149)</f>
        <v>0.0161289028333908</v>
      </c>
      <c r="M149" s="4" t="str">
        <f aca="false">INDEX($C$3:$E$3,MATCH(MAX(C149:E149),C149:E149,0))</f>
        <v>Gálvez (PAN-PRI-PRD)</v>
      </c>
      <c r="N149" s="18" t="n">
        <f aca="false">IF(H149=0,0,(MAX(C149:E149)-LARGE(C149:E149,2))/H149*100)</f>
        <v>9.79088596624967</v>
      </c>
    </row>
    <row r="150" customFormat="false" ht="15" hidden="false" customHeight="false" outlineLevel="0" collapsed="false">
      <c r="A150" s="4" t="s">
        <v>59</v>
      </c>
      <c r="B150" s="4" t="n">
        <v>23</v>
      </c>
      <c r="C150" s="5" t="n">
        <v>134086</v>
      </c>
      <c r="D150" s="5" t="n">
        <v>51169</v>
      </c>
      <c r="E150" s="5" t="n">
        <v>25610</v>
      </c>
      <c r="F150" s="5" t="n">
        <v>314</v>
      </c>
      <c r="G150" s="5" t="n">
        <v>4342</v>
      </c>
      <c r="H150" s="5" t="n">
        <v>215521</v>
      </c>
      <c r="I150" s="9" t="n">
        <f aca="false">IF(H150=0,0,C150/H150)</f>
        <v>0.622148189735571</v>
      </c>
      <c r="J150" s="9" t="n">
        <f aca="false">IF(H150=0,0,D150/H150)</f>
        <v>0.237420019394862</v>
      </c>
      <c r="K150" s="9" t="n">
        <f aca="false">IF(H150=0,0,E150/H150)</f>
        <v>0.118828327633966</v>
      </c>
      <c r="L150" s="9" t="n">
        <f aca="false">IF(H150=0,0,G150/H150)</f>
        <v>0.0201465286445404</v>
      </c>
      <c r="M150" s="4" t="str">
        <f aca="false">INDEX($C$3:$E$3,MATCH(MAX(C150:E150),C150:E150,0))</f>
        <v>Sheinbaum (PVEM-PT-Morena)</v>
      </c>
      <c r="N150" s="18" t="n">
        <f aca="false">IF(H150=0,0,(MAX(C150:E150)-LARGE(C150:E150,2))/H150*100)</f>
        <v>38.4728170340709</v>
      </c>
    </row>
    <row r="151" customFormat="false" ht="15" hidden="false" customHeight="false" outlineLevel="0" collapsed="false">
      <c r="A151" s="4" t="s">
        <v>59</v>
      </c>
      <c r="B151" s="4" t="n">
        <v>24</v>
      </c>
      <c r="C151" s="5" t="n">
        <v>157294</v>
      </c>
      <c r="D151" s="5" t="n">
        <v>67745</v>
      </c>
      <c r="E151" s="5" t="n">
        <v>23476</v>
      </c>
      <c r="F151" s="5" t="n">
        <v>256</v>
      </c>
      <c r="G151" s="5" t="n">
        <v>5029</v>
      </c>
      <c r="H151" s="5" t="n">
        <v>253800</v>
      </c>
      <c r="I151" s="9" t="n">
        <f aca="false">IF(H151=0,0,C151/H151)</f>
        <v>0.619755713159969</v>
      </c>
      <c r="J151" s="9" t="n">
        <f aca="false">IF(H151=0,0,D151/H151)</f>
        <v>0.266922773837667</v>
      </c>
      <c r="K151" s="9" t="n">
        <f aca="false">IF(H151=0,0,E151/H151)</f>
        <v>0.0924980299448385</v>
      </c>
      <c r="L151" s="9" t="n">
        <f aca="false">IF(H151=0,0,G151/H151)</f>
        <v>0.0198148148148148</v>
      </c>
      <c r="M151" s="4" t="str">
        <f aca="false">INDEX($C$3:$E$3,MATCH(MAX(C151:E151),C151:E151,0))</f>
        <v>Sheinbaum (PVEM-PT-Morena)</v>
      </c>
      <c r="N151" s="18" t="n">
        <f aca="false">IF(H151=0,0,(MAX(C151:E151)-LARGE(C151:E151,2))/H151*100)</f>
        <v>35.2832939322301</v>
      </c>
    </row>
    <row r="152" customFormat="false" ht="15" hidden="false" customHeight="false" outlineLevel="0" collapsed="false">
      <c r="A152" s="4" t="s">
        <v>59</v>
      </c>
      <c r="B152" s="4" t="n">
        <v>25</v>
      </c>
      <c r="C152" s="5" t="n">
        <v>109730</v>
      </c>
      <c r="D152" s="5" t="n">
        <v>32816</v>
      </c>
      <c r="E152" s="5" t="n">
        <v>16530</v>
      </c>
      <c r="F152" s="5" t="n">
        <v>170</v>
      </c>
      <c r="G152" s="5" t="n">
        <v>3729</v>
      </c>
      <c r="H152" s="5" t="n">
        <v>162975</v>
      </c>
      <c r="I152" s="9" t="n">
        <f aca="false">IF(H152=0,0,C152/H152)</f>
        <v>0.673293449915631</v>
      </c>
      <c r="J152" s="9" t="n">
        <f aca="false">IF(H152=0,0,D152/H152)</f>
        <v>0.201356036201871</v>
      </c>
      <c r="K152" s="9" t="n">
        <f aca="false">IF(H152=0,0,E152/H152)</f>
        <v>0.101426599171652</v>
      </c>
      <c r="L152" s="9" t="n">
        <f aca="false">IF(H152=0,0,G152/H152)</f>
        <v>0.0228808099401749</v>
      </c>
      <c r="M152" s="4" t="str">
        <f aca="false">INDEX($C$3:$E$3,MATCH(MAX(C152:E152),C152:E152,0))</f>
        <v>Sheinbaum (PVEM-PT-Morena)</v>
      </c>
      <c r="N152" s="18" t="n">
        <f aca="false">IF(H152=0,0,(MAX(C152:E152)-LARGE(C152:E152,2))/H152*100)</f>
        <v>47.193741371376</v>
      </c>
    </row>
    <row r="153" customFormat="false" ht="15" hidden="false" customHeight="false" outlineLevel="0" collapsed="false">
      <c r="A153" s="4" t="s">
        <v>59</v>
      </c>
      <c r="B153" s="4" t="n">
        <v>26</v>
      </c>
      <c r="C153" s="5" t="n">
        <v>123050</v>
      </c>
      <c r="D153" s="5" t="n">
        <v>63647</v>
      </c>
      <c r="E153" s="5" t="n">
        <v>26963</v>
      </c>
      <c r="F153" s="5" t="n">
        <v>368</v>
      </c>
      <c r="G153" s="5" t="n">
        <v>4257</v>
      </c>
      <c r="H153" s="5" t="n">
        <v>218285</v>
      </c>
      <c r="I153" s="9" t="n">
        <f aca="false">IF(H153=0,0,C153/H153)</f>
        <v>0.563712577593513</v>
      </c>
      <c r="J153" s="9" t="n">
        <f aca="false">IF(H153=0,0,D153/H153)</f>
        <v>0.291577524795565</v>
      </c>
      <c r="K153" s="9" t="n">
        <f aca="false">IF(H153=0,0,E153/H153)</f>
        <v>0.123522001053668</v>
      </c>
      <c r="L153" s="9" t="n">
        <f aca="false">IF(H153=0,0,G153/H153)</f>
        <v>0.0195020271663193</v>
      </c>
      <c r="M153" s="4" t="str">
        <f aca="false">INDEX($C$3:$E$3,MATCH(MAX(C153:E153),C153:E153,0))</f>
        <v>Sheinbaum (PVEM-PT-Morena)</v>
      </c>
      <c r="N153" s="18" t="n">
        <f aca="false">IF(H153=0,0,(MAX(C153:E153)-LARGE(C153:E153,2))/H153*100)</f>
        <v>27.2135052797948</v>
      </c>
    </row>
    <row r="154" customFormat="false" ht="15" hidden="false" customHeight="false" outlineLevel="0" collapsed="false">
      <c r="A154" s="4" t="s">
        <v>59</v>
      </c>
      <c r="B154" s="4" t="n">
        <v>27</v>
      </c>
      <c r="C154" s="5" t="n">
        <v>130490</v>
      </c>
      <c r="D154" s="5" t="n">
        <v>98948</v>
      </c>
      <c r="E154" s="5" t="n">
        <v>29312</v>
      </c>
      <c r="F154" s="5" t="n">
        <v>429</v>
      </c>
      <c r="G154" s="5" t="n">
        <v>4042</v>
      </c>
      <c r="H154" s="5" t="n">
        <v>263221</v>
      </c>
      <c r="I154" s="9" t="n">
        <f aca="false">IF(H154=0,0,C154/H154)</f>
        <v>0.495743120799632</v>
      </c>
      <c r="J154" s="9" t="n">
        <f aca="false">IF(H154=0,0,D154/H154)</f>
        <v>0.375912256240953</v>
      </c>
      <c r="K154" s="9" t="n">
        <f aca="false">IF(H154=0,0,E154/H154)</f>
        <v>0.111358896136706</v>
      </c>
      <c r="L154" s="9" t="n">
        <f aca="false">IF(H154=0,0,G154/H154)</f>
        <v>0.0153559176509473</v>
      </c>
      <c r="M154" s="4" t="str">
        <f aca="false">INDEX($C$3:$E$3,MATCH(MAX(C154:E154),C154:E154,0))</f>
        <v>Sheinbaum (PVEM-PT-Morena)</v>
      </c>
      <c r="N154" s="18" t="n">
        <f aca="false">IF(H154=0,0,(MAX(C154:E154)-LARGE(C154:E154,2))/H154*100)</f>
        <v>11.9830864558679</v>
      </c>
    </row>
    <row r="155" customFormat="false" ht="15" hidden="false" customHeight="false" outlineLevel="0" collapsed="false">
      <c r="A155" s="4" t="s">
        <v>59</v>
      </c>
      <c r="B155" s="4" t="n">
        <v>28</v>
      </c>
      <c r="C155" s="5" t="n">
        <v>110705</v>
      </c>
      <c r="D155" s="5" t="n">
        <v>29106</v>
      </c>
      <c r="E155" s="5" t="n">
        <v>19327</v>
      </c>
      <c r="F155" s="5" t="n">
        <v>110</v>
      </c>
      <c r="G155" s="5" t="n">
        <v>3359</v>
      </c>
      <c r="H155" s="5" t="n">
        <v>162607</v>
      </c>
      <c r="I155" s="9" t="n">
        <f aca="false">IF(H155=0,0,C155/H155)</f>
        <v>0.680813249122117</v>
      </c>
      <c r="J155" s="9" t="n">
        <f aca="false">IF(H155=0,0,D155/H155)</f>
        <v>0.178995984182723</v>
      </c>
      <c r="K155" s="9" t="n">
        <f aca="false">IF(H155=0,0,E155/H155)</f>
        <v>0.118857121772125</v>
      </c>
      <c r="L155" s="9" t="n">
        <f aca="false">IF(H155=0,0,G155/H155)</f>
        <v>0.0206571672806214</v>
      </c>
      <c r="M155" s="4" t="str">
        <f aca="false">INDEX($C$3:$E$3,MATCH(MAX(C155:E155),C155:E155,0))</f>
        <v>Sheinbaum (PVEM-PT-Morena)</v>
      </c>
      <c r="N155" s="18" t="n">
        <f aca="false">IF(H155=0,0,(MAX(C155:E155)-LARGE(C155:E155,2))/H155*100)</f>
        <v>50.1817264939394</v>
      </c>
    </row>
    <row r="156" customFormat="false" ht="15" hidden="false" customHeight="false" outlineLevel="0" collapsed="false">
      <c r="A156" s="4" t="s">
        <v>59</v>
      </c>
      <c r="B156" s="4" t="n">
        <v>29</v>
      </c>
      <c r="C156" s="5" t="n">
        <v>147470</v>
      </c>
      <c r="D156" s="5" t="n">
        <v>50350</v>
      </c>
      <c r="E156" s="5" t="n">
        <v>27025</v>
      </c>
      <c r="F156" s="5" t="n">
        <v>271</v>
      </c>
      <c r="G156" s="5" t="n">
        <v>4728</v>
      </c>
      <c r="H156" s="5" t="n">
        <v>229844</v>
      </c>
      <c r="I156" s="9" t="n">
        <f aca="false">IF(H156=0,0,C156/H156)</f>
        <v>0.641609091383721</v>
      </c>
      <c r="J156" s="9" t="n">
        <f aca="false">IF(H156=0,0,D156/H156)</f>
        <v>0.219061624406119</v>
      </c>
      <c r="K156" s="9" t="n">
        <f aca="false">IF(H156=0,0,E156/H156)</f>
        <v>0.117579749743304</v>
      </c>
      <c r="L156" s="9" t="n">
        <f aca="false">IF(H156=0,0,G156/H156)</f>
        <v>0.0205704738866362</v>
      </c>
      <c r="M156" s="4" t="str">
        <f aca="false">INDEX($C$3:$E$3,MATCH(MAX(C156:E156),C156:E156,0))</f>
        <v>Sheinbaum (PVEM-PT-Morena)</v>
      </c>
      <c r="N156" s="18" t="n">
        <f aca="false">IF(H156=0,0,(MAX(C156:E156)-LARGE(C156:E156,2))/H156*100)</f>
        <v>42.2547466977602</v>
      </c>
    </row>
    <row r="157" customFormat="false" ht="15" hidden="false" customHeight="false" outlineLevel="0" collapsed="false">
      <c r="A157" s="4" t="s">
        <v>59</v>
      </c>
      <c r="B157" s="4" t="n">
        <v>30</v>
      </c>
      <c r="C157" s="5" t="n">
        <v>104106</v>
      </c>
      <c r="D157" s="5" t="n">
        <v>34256</v>
      </c>
      <c r="E157" s="5" t="n">
        <v>17171</v>
      </c>
      <c r="F157" s="5" t="n">
        <v>184</v>
      </c>
      <c r="G157" s="5" t="n">
        <v>3470</v>
      </c>
      <c r="H157" s="5" t="n">
        <v>159187</v>
      </c>
      <c r="I157" s="9" t="n">
        <f aca="false">IF(H157=0,0,C157/H157)</f>
        <v>0.653985564147826</v>
      </c>
      <c r="J157" s="9" t="n">
        <f aca="false">IF(H157=0,0,D157/H157)</f>
        <v>0.215193451726586</v>
      </c>
      <c r="K157" s="9" t="n">
        <f aca="false">IF(H157=0,0,E157/H157)</f>
        <v>0.107866848423552</v>
      </c>
      <c r="L157" s="9" t="n">
        <f aca="false">IF(H157=0,0,G157/H157)</f>
        <v>0.0217982624209263</v>
      </c>
      <c r="M157" s="4" t="str">
        <f aca="false">INDEX($C$3:$E$3,MATCH(MAX(C157:E157),C157:E157,0))</f>
        <v>Sheinbaum (PVEM-PT-Morena)</v>
      </c>
      <c r="N157" s="18" t="n">
        <f aca="false">IF(H157=0,0,(MAX(C157:E157)-LARGE(C157:E157,2))/H157*100)</f>
        <v>43.879211242124</v>
      </c>
    </row>
    <row r="158" customFormat="false" ht="15" hidden="false" customHeight="false" outlineLevel="0" collapsed="false">
      <c r="A158" s="4" t="s">
        <v>59</v>
      </c>
      <c r="B158" s="4" t="n">
        <v>31</v>
      </c>
      <c r="C158" s="5" t="n">
        <v>151816</v>
      </c>
      <c r="D158" s="5" t="n">
        <v>46325</v>
      </c>
      <c r="E158" s="5" t="n">
        <v>27709</v>
      </c>
      <c r="F158" s="5" t="n">
        <v>271</v>
      </c>
      <c r="G158" s="5" t="n">
        <v>4555</v>
      </c>
      <c r="H158" s="5" t="n">
        <v>230676</v>
      </c>
      <c r="I158" s="9" t="n">
        <f aca="false">IF(H158=0,0,C158/H158)</f>
        <v>0.658135219962198</v>
      </c>
      <c r="J158" s="9" t="n">
        <f aca="false">IF(H158=0,0,D158/H158)</f>
        <v>0.200822799077494</v>
      </c>
      <c r="K158" s="9" t="n">
        <f aca="false">IF(H158=0,0,E158/H158)</f>
        <v>0.120120862161647</v>
      </c>
      <c r="L158" s="9" t="n">
        <f aca="false">IF(H158=0,0,G158/H158)</f>
        <v>0.0197463108429139</v>
      </c>
      <c r="M158" s="4" t="str">
        <f aca="false">INDEX($C$3:$E$3,MATCH(MAX(C158:E158),C158:E158,0))</f>
        <v>Sheinbaum (PVEM-PT-Morena)</v>
      </c>
      <c r="N158" s="18" t="n">
        <f aca="false">IF(H158=0,0,(MAX(C158:E158)-LARGE(C158:E158,2))/H158*100)</f>
        <v>45.7312420884704</v>
      </c>
    </row>
    <row r="159" customFormat="false" ht="15" hidden="false" customHeight="false" outlineLevel="0" collapsed="false">
      <c r="A159" s="4" t="s">
        <v>59</v>
      </c>
      <c r="B159" s="4" t="n">
        <v>32</v>
      </c>
      <c r="C159" s="5" t="n">
        <v>121522</v>
      </c>
      <c r="D159" s="5" t="n">
        <v>25269</v>
      </c>
      <c r="E159" s="5" t="n">
        <v>16540</v>
      </c>
      <c r="F159" s="5" t="n">
        <v>164</v>
      </c>
      <c r="G159" s="5" t="n">
        <v>3741</v>
      </c>
      <c r="H159" s="5" t="n">
        <v>167236</v>
      </c>
      <c r="I159" s="9" t="n">
        <f aca="false">IF(H159=0,0,C159/H159)</f>
        <v>0.726649764404793</v>
      </c>
      <c r="J159" s="9" t="n">
        <f aca="false">IF(H159=0,0,D159/H159)</f>
        <v>0.15109784974527</v>
      </c>
      <c r="K159" s="9" t="n">
        <f aca="false">IF(H159=0,0,E159/H159)</f>
        <v>0.0989021502547298</v>
      </c>
      <c r="L159" s="9" t="n">
        <f aca="false">IF(H159=0,0,G159/H159)</f>
        <v>0.0223695854959458</v>
      </c>
      <c r="M159" s="4" t="str">
        <f aca="false">INDEX($C$3:$E$3,MATCH(MAX(C159:E159),C159:E159,0))</f>
        <v>Sheinbaum (PVEM-PT-Morena)</v>
      </c>
      <c r="N159" s="18" t="n">
        <f aca="false">IF(H159=0,0,(MAX(C159:E159)-LARGE(C159:E159,2))/H159*100)</f>
        <v>57.5551914659523</v>
      </c>
    </row>
    <row r="160" customFormat="false" ht="15" hidden="false" customHeight="false" outlineLevel="0" collapsed="false">
      <c r="A160" s="4" t="s">
        <v>59</v>
      </c>
      <c r="B160" s="4" t="n">
        <v>33</v>
      </c>
      <c r="C160" s="5" t="n">
        <v>122851</v>
      </c>
      <c r="D160" s="5" t="n">
        <v>27012</v>
      </c>
      <c r="E160" s="5" t="n">
        <v>16702</v>
      </c>
      <c r="F160" s="5" t="n">
        <v>162</v>
      </c>
      <c r="G160" s="5" t="n">
        <v>3484</v>
      </c>
      <c r="H160" s="5" t="n">
        <v>170211</v>
      </c>
      <c r="I160" s="9" t="n">
        <f aca="false">IF(H160=0,0,C160/H160)</f>
        <v>0.72175711323005</v>
      </c>
      <c r="J160" s="9" t="n">
        <f aca="false">IF(H160=0,0,D160/H160)</f>
        <v>0.158697146482895</v>
      </c>
      <c r="K160" s="9" t="n">
        <f aca="false">IF(H160=0,0,E160/H160)</f>
        <v>0.098125268049656</v>
      </c>
      <c r="L160" s="9" t="n">
        <f aca="false">IF(H160=0,0,G160/H160)</f>
        <v>0.0204687123628908</v>
      </c>
      <c r="M160" s="4" t="str">
        <f aca="false">INDEX($C$3:$E$3,MATCH(MAX(C160:E160),C160:E160,0))</f>
        <v>Sheinbaum (PVEM-PT-Morena)</v>
      </c>
      <c r="N160" s="18" t="n">
        <f aca="false">IF(H160=0,0,(MAX(C160:E160)-LARGE(C160:E160,2))/H160*100)</f>
        <v>56.3059966747155</v>
      </c>
    </row>
    <row r="161" customFormat="false" ht="15" hidden="false" customHeight="false" outlineLevel="0" collapsed="false">
      <c r="A161" s="4" t="s">
        <v>59</v>
      </c>
      <c r="B161" s="4" t="n">
        <v>34</v>
      </c>
      <c r="C161" s="5" t="n">
        <v>127199</v>
      </c>
      <c r="D161" s="5" t="n">
        <v>97819</v>
      </c>
      <c r="E161" s="5" t="n">
        <v>34154</v>
      </c>
      <c r="F161" s="5" t="n">
        <v>485</v>
      </c>
      <c r="G161" s="5" t="n">
        <v>4495</v>
      </c>
      <c r="H161" s="5" t="n">
        <v>264152</v>
      </c>
      <c r="I161" s="9" t="n">
        <f aca="false">IF(H161=0,0,C161/H161)</f>
        <v>0.48153714527999</v>
      </c>
      <c r="J161" s="9" t="n">
        <f aca="false">IF(H161=0,0,D161/H161)</f>
        <v>0.370313304461068</v>
      </c>
      <c r="K161" s="9" t="n">
        <f aca="false">IF(H161=0,0,E161/H161)</f>
        <v>0.129296768527212</v>
      </c>
      <c r="L161" s="9" t="n">
        <f aca="false">IF(H161=0,0,G161/H161)</f>
        <v>0.0170167176474151</v>
      </c>
      <c r="M161" s="4" t="str">
        <f aca="false">INDEX($C$3:$E$3,MATCH(MAX(C161:E161),C161:E161,0))</f>
        <v>Sheinbaum (PVEM-PT-Morena)</v>
      </c>
      <c r="N161" s="18" t="n">
        <f aca="false">IF(H161=0,0,(MAX(C161:E161)-LARGE(C161:E161,2))/H161*100)</f>
        <v>11.1223840818922</v>
      </c>
    </row>
    <row r="162" customFormat="false" ht="15" hidden="false" customHeight="false" outlineLevel="0" collapsed="false">
      <c r="A162" s="4" t="s">
        <v>59</v>
      </c>
      <c r="B162" s="4" t="n">
        <v>35</v>
      </c>
      <c r="C162" s="5" t="n">
        <v>127462</v>
      </c>
      <c r="D162" s="5" t="n">
        <v>47798</v>
      </c>
      <c r="E162" s="5" t="n">
        <v>37009</v>
      </c>
      <c r="F162" s="5" t="n">
        <v>286</v>
      </c>
      <c r="G162" s="5" t="n">
        <v>6218</v>
      </c>
      <c r="H162" s="5" t="n">
        <v>218773</v>
      </c>
      <c r="I162" s="9" t="n">
        <f aca="false">IF(H162=0,0,C162/H162)</f>
        <v>0.582622170011839</v>
      </c>
      <c r="J162" s="9" t="n">
        <f aca="false">IF(H162=0,0,D162/H162)</f>
        <v>0.218482171017447</v>
      </c>
      <c r="K162" s="9" t="n">
        <f aca="false">IF(H162=0,0,E162/H162)</f>
        <v>0.169166213380993</v>
      </c>
      <c r="L162" s="9" t="n">
        <f aca="false">IF(H162=0,0,G162/H162)</f>
        <v>0.0284221544706157</v>
      </c>
      <c r="M162" s="4" t="str">
        <f aca="false">INDEX($C$3:$E$3,MATCH(MAX(C162:E162),C162:E162,0))</f>
        <v>Sheinbaum (PVEM-PT-Morena)</v>
      </c>
      <c r="N162" s="18" t="n">
        <f aca="false">IF(H162=0,0,(MAX(C162:E162)-LARGE(C162:E162,2))/H162*100)</f>
        <v>36.4139998994391</v>
      </c>
    </row>
    <row r="163" customFormat="false" ht="15" hidden="false" customHeight="false" outlineLevel="0" collapsed="false">
      <c r="A163" s="4" t="s">
        <v>59</v>
      </c>
      <c r="B163" s="4" t="n">
        <v>36</v>
      </c>
      <c r="C163" s="5" t="n">
        <v>130594</v>
      </c>
      <c r="D163" s="5" t="n">
        <v>56908</v>
      </c>
      <c r="E163" s="5" t="n">
        <v>21355</v>
      </c>
      <c r="F163" s="5" t="n">
        <v>346</v>
      </c>
      <c r="G163" s="5" t="n">
        <v>7321</v>
      </c>
      <c r="H163" s="5" t="n">
        <v>216524</v>
      </c>
      <c r="I163" s="9" t="n">
        <f aca="false">IF(H163=0,0,C163/H163)</f>
        <v>0.603138682086051</v>
      </c>
      <c r="J163" s="9" t="n">
        <f aca="false">IF(H163=0,0,D163/H163)</f>
        <v>0.262825368088526</v>
      </c>
      <c r="K163" s="9" t="n">
        <f aca="false">IF(H163=0,0,E163/H163)</f>
        <v>0.0986264802054276</v>
      </c>
      <c r="L163" s="9" t="n">
        <f aca="false">IF(H163=0,0,G163/H163)</f>
        <v>0.0338114943378101</v>
      </c>
      <c r="M163" s="4" t="str">
        <f aca="false">INDEX($C$3:$E$3,MATCH(MAX(C163:E163),C163:E163,0))</f>
        <v>Sheinbaum (PVEM-PT-Morena)</v>
      </c>
      <c r="N163" s="18" t="n">
        <f aca="false">IF(H163=0,0,(MAX(C163:E163)-LARGE(C163:E163,2))/H163*100)</f>
        <v>34.0313313997525</v>
      </c>
    </row>
    <row r="164" customFormat="false" ht="15" hidden="false" customHeight="false" outlineLevel="0" collapsed="false">
      <c r="A164" s="4" t="s">
        <v>59</v>
      </c>
      <c r="B164" s="4" t="n">
        <v>37</v>
      </c>
      <c r="C164" s="5" t="n">
        <v>145378</v>
      </c>
      <c r="D164" s="5" t="n">
        <v>39479</v>
      </c>
      <c r="E164" s="5" t="n">
        <v>22737</v>
      </c>
      <c r="F164" s="5" t="n">
        <v>370</v>
      </c>
      <c r="G164" s="5" t="n">
        <v>4470</v>
      </c>
      <c r="H164" s="5" t="n">
        <v>212434</v>
      </c>
      <c r="I164" s="9" t="n">
        <f aca="false">IF(H164=0,0,C164/H164)</f>
        <v>0.684344313998701</v>
      </c>
      <c r="J164" s="9" t="n">
        <f aca="false">IF(H164=0,0,D164/H164)</f>
        <v>0.185841249517497</v>
      </c>
      <c r="K164" s="9" t="n">
        <f aca="false">IF(H164=0,0,E164/H164)</f>
        <v>0.107030889593944</v>
      </c>
      <c r="L164" s="9" t="n">
        <f aca="false">IF(H164=0,0,G164/H164)</f>
        <v>0.0210418294623271</v>
      </c>
      <c r="M164" s="4" t="str">
        <f aca="false">INDEX($C$3:$E$3,MATCH(MAX(C164:E164),C164:E164,0))</f>
        <v>Sheinbaum (PVEM-PT-Morena)</v>
      </c>
      <c r="N164" s="18" t="n">
        <f aca="false">IF(H164=0,0,(MAX(C164:E164)-LARGE(C164:E164,2))/H164*100)</f>
        <v>49.8503064481204</v>
      </c>
    </row>
    <row r="165" customFormat="false" ht="15" hidden="false" customHeight="false" outlineLevel="0" collapsed="false">
      <c r="A165" s="4" t="s">
        <v>59</v>
      </c>
      <c r="B165" s="4" t="n">
        <v>38</v>
      </c>
      <c r="C165" s="5" t="n">
        <v>112938</v>
      </c>
      <c r="D165" s="5" t="n">
        <v>43532</v>
      </c>
      <c r="E165" s="5" t="n">
        <v>21811</v>
      </c>
      <c r="F165" s="5" t="n">
        <v>248</v>
      </c>
      <c r="G165" s="5" t="n">
        <v>3535</v>
      </c>
      <c r="H165" s="5" t="n">
        <v>182064</v>
      </c>
      <c r="I165" s="9" t="n">
        <f aca="false">IF(H165=0,0,C165/H165)</f>
        <v>0.620320326918007</v>
      </c>
      <c r="J165" s="9" t="n">
        <f aca="false">IF(H165=0,0,D165/H165)</f>
        <v>0.239102733104842</v>
      </c>
      <c r="K165" s="9" t="n">
        <f aca="false">IF(H165=0,0,E165/H165)</f>
        <v>0.119798532384217</v>
      </c>
      <c r="L165" s="9" t="n">
        <f aca="false">IF(H165=0,0,G165/H165)</f>
        <v>0.0194162492310396</v>
      </c>
      <c r="M165" s="4" t="str">
        <f aca="false">INDEX($C$3:$E$3,MATCH(MAX(C165:E165),C165:E165,0))</f>
        <v>Sheinbaum (PVEM-PT-Morena)</v>
      </c>
      <c r="N165" s="18" t="n">
        <f aca="false">IF(H165=0,0,(MAX(C165:E165)-LARGE(C165:E165,2))/H165*100)</f>
        <v>38.1217593813165</v>
      </c>
    </row>
    <row r="166" customFormat="false" ht="15" hidden="false" customHeight="false" outlineLevel="0" collapsed="false">
      <c r="A166" s="4" t="s">
        <v>59</v>
      </c>
      <c r="B166" s="4" t="n">
        <v>39</v>
      </c>
      <c r="C166" s="5" t="n">
        <v>113438</v>
      </c>
      <c r="D166" s="5" t="n">
        <v>37983</v>
      </c>
      <c r="E166" s="5" t="n">
        <v>15209</v>
      </c>
      <c r="F166" s="5" t="n">
        <v>194</v>
      </c>
      <c r="G166" s="5" t="n">
        <v>3872</v>
      </c>
      <c r="H166" s="5" t="n">
        <v>170696</v>
      </c>
      <c r="I166" s="9" t="n">
        <f aca="false">IF(H166=0,0,C166/H166)</f>
        <v>0.664561559731921</v>
      </c>
      <c r="J166" s="9" t="n">
        <f aca="false">IF(H166=0,0,D166/H166)</f>
        <v>0.222518395275812</v>
      </c>
      <c r="K166" s="9" t="n">
        <f aca="false">IF(H166=0,0,E166/H166)</f>
        <v>0.0890999203261939</v>
      </c>
      <c r="L166" s="9" t="n">
        <f aca="false">IF(H166=0,0,G166/H166)</f>
        <v>0.0226836012560341</v>
      </c>
      <c r="M166" s="4" t="str">
        <f aca="false">INDEX($C$3:$E$3,MATCH(MAX(C166:E166),C166:E166,0))</f>
        <v>Sheinbaum (PVEM-PT-Morena)</v>
      </c>
      <c r="N166" s="18" t="n">
        <f aca="false">IF(H166=0,0,(MAX(C166:E166)-LARGE(C166:E166,2))/H166*100)</f>
        <v>44.2043164456109</v>
      </c>
    </row>
    <row r="167" customFormat="false" ht="15" hidden="false" customHeight="false" outlineLevel="0" collapsed="false">
      <c r="A167" s="4" t="s">
        <v>59</v>
      </c>
      <c r="B167" s="4" t="n">
        <v>40</v>
      </c>
      <c r="C167" s="5" t="n">
        <v>130202</v>
      </c>
      <c r="D167" s="5" t="n">
        <v>66773</v>
      </c>
      <c r="E167" s="5" t="n">
        <v>33650</v>
      </c>
      <c r="F167" s="5" t="n">
        <v>289</v>
      </c>
      <c r="G167" s="5" t="n">
        <v>6118</v>
      </c>
      <c r="H167" s="5" t="n">
        <v>237032</v>
      </c>
      <c r="I167" s="9" t="n">
        <f aca="false">IF(H167=0,0,C167/H167)</f>
        <v>0.549301360153903</v>
      </c>
      <c r="J167" s="9" t="n">
        <f aca="false">IF(H167=0,0,D167/H167)</f>
        <v>0.281704579972324</v>
      </c>
      <c r="K167" s="9" t="n">
        <f aca="false">IF(H167=0,0,E167/H167)</f>
        <v>0.141963954234027</v>
      </c>
      <c r="L167" s="9" t="n">
        <f aca="false">IF(H167=0,0,G167/H167)</f>
        <v>0.0258108609807958</v>
      </c>
      <c r="M167" s="4" t="str">
        <f aca="false">INDEX($C$3:$E$3,MATCH(MAX(C167:E167),C167:E167,0))</f>
        <v>Sheinbaum (PVEM-PT-Morena)</v>
      </c>
      <c r="N167" s="18" t="n">
        <f aca="false">IF(H167=0,0,(MAX(C167:E167)-LARGE(C167:E167,2))/H167*100)</f>
        <v>26.7596780181579</v>
      </c>
    </row>
    <row r="168" customFormat="false" ht="15" hidden="false" customHeight="false" outlineLevel="0" collapsed="false">
      <c r="A168" s="4" t="s">
        <v>60</v>
      </c>
      <c r="B168" s="4" t="n">
        <v>1</v>
      </c>
      <c r="C168" s="5" t="n">
        <v>124895</v>
      </c>
      <c r="D168" s="5" t="n">
        <v>28692</v>
      </c>
      <c r="E168" s="5" t="n">
        <v>12634</v>
      </c>
      <c r="F168" s="5" t="n">
        <v>127</v>
      </c>
      <c r="G168" s="5" t="n">
        <v>4595</v>
      </c>
      <c r="H168" s="5" t="n">
        <v>170943</v>
      </c>
      <c r="I168" s="9" t="n">
        <f aca="false">IF(H168=0,0,C168/H168)</f>
        <v>0.730623658178457</v>
      </c>
      <c r="J168" s="9" t="n">
        <f aca="false">IF(H168=0,0,D168/H168)</f>
        <v>0.167845422158263</v>
      </c>
      <c r="K168" s="9" t="n">
        <f aca="false">IF(H168=0,0,E168/H168)</f>
        <v>0.0739076768279485</v>
      </c>
      <c r="L168" s="9" t="n">
        <f aca="false">IF(H168=0,0,G168/H168)</f>
        <v>0.0268803051309501</v>
      </c>
      <c r="M168" s="4" t="str">
        <f aca="false">INDEX($C$3:$E$3,MATCH(MAX(C168:E168),C168:E168,0))</f>
        <v>Sheinbaum (PVEM-PT-Morena)</v>
      </c>
      <c r="N168" s="18" t="n">
        <f aca="false">IF(H168=0,0,(MAX(C168:E168)-LARGE(C168:E168,2))/H168*100)</f>
        <v>56.2778236020194</v>
      </c>
    </row>
    <row r="169" customFormat="false" ht="15" hidden="false" customHeight="false" outlineLevel="0" collapsed="false">
      <c r="A169" s="4" t="s">
        <v>60</v>
      </c>
      <c r="B169" s="4" t="n">
        <v>2</v>
      </c>
      <c r="C169" s="5" t="n">
        <v>84972</v>
      </c>
      <c r="D169" s="5" t="n">
        <v>44818</v>
      </c>
      <c r="E169" s="5" t="n">
        <v>17048</v>
      </c>
      <c r="F169" s="5" t="n">
        <v>192</v>
      </c>
      <c r="G169" s="5" t="n">
        <v>5413</v>
      </c>
      <c r="H169" s="5" t="n">
        <v>152443</v>
      </c>
      <c r="I169" s="9" t="n">
        <f aca="false">IF(H169=0,0,C169/H169)</f>
        <v>0.5574017829615</v>
      </c>
      <c r="J169" s="9" t="n">
        <f aca="false">IF(H169=0,0,D169/H169)</f>
        <v>0.293998412521401</v>
      </c>
      <c r="K169" s="9" t="n">
        <f aca="false">IF(H169=0,0,E169/H169)</f>
        <v>0.111831963422394</v>
      </c>
      <c r="L169" s="9" t="n">
        <f aca="false">IF(H169=0,0,G169/H169)</f>
        <v>0.0355083539421292</v>
      </c>
      <c r="M169" s="4" t="str">
        <f aca="false">INDEX($C$3:$E$3,MATCH(MAX(C169:E169),C169:E169,0))</f>
        <v>Sheinbaum (PVEM-PT-Morena)</v>
      </c>
      <c r="N169" s="18" t="n">
        <f aca="false">IF(H169=0,0,(MAX(C169:E169)-LARGE(C169:E169,2))/H169*100)</f>
        <v>26.3403370440099</v>
      </c>
    </row>
    <row r="170" customFormat="false" ht="15" hidden="false" customHeight="false" outlineLevel="0" collapsed="false">
      <c r="A170" s="4" t="s">
        <v>60</v>
      </c>
      <c r="B170" s="4" t="n">
        <v>3</v>
      </c>
      <c r="C170" s="5" t="n">
        <v>115672</v>
      </c>
      <c r="D170" s="5" t="n">
        <v>56292</v>
      </c>
      <c r="E170" s="5" t="n">
        <v>26807</v>
      </c>
      <c r="F170" s="5" t="n">
        <v>291</v>
      </c>
      <c r="G170" s="5" t="n">
        <v>8297</v>
      </c>
      <c r="H170" s="5" t="n">
        <v>207359</v>
      </c>
      <c r="I170" s="9" t="n">
        <f aca="false">IF(H170=0,0,C170/H170)</f>
        <v>0.557834480297455</v>
      </c>
      <c r="J170" s="9" t="n">
        <f aca="false">IF(H170=0,0,D170/H170)</f>
        <v>0.271471216585728</v>
      </c>
      <c r="K170" s="9" t="n">
        <f aca="false">IF(H170=0,0,E170/H170)</f>
        <v>0.129278208324693</v>
      </c>
      <c r="L170" s="9" t="n">
        <f aca="false">IF(H170=0,0,G170/H170)</f>
        <v>0.0400127315428797</v>
      </c>
      <c r="M170" s="4" t="str">
        <f aca="false">INDEX($C$3:$E$3,MATCH(MAX(C170:E170),C170:E170,0))</f>
        <v>Sheinbaum (PVEM-PT-Morena)</v>
      </c>
      <c r="N170" s="18" t="n">
        <f aca="false">IF(H170=0,0,(MAX(C170:E170)-LARGE(C170:E170,2))/H170*100)</f>
        <v>28.6363263711727</v>
      </c>
    </row>
    <row r="171" customFormat="false" ht="15" hidden="false" customHeight="false" outlineLevel="0" collapsed="false">
      <c r="A171" s="4" t="s">
        <v>60</v>
      </c>
      <c r="B171" s="4" t="n">
        <v>4</v>
      </c>
      <c r="C171" s="5" t="n">
        <v>89275</v>
      </c>
      <c r="D171" s="5" t="n">
        <v>56822</v>
      </c>
      <c r="E171" s="5" t="n">
        <v>21144</v>
      </c>
      <c r="F171" s="5" t="n">
        <v>247</v>
      </c>
      <c r="G171" s="5" t="n">
        <v>5077</v>
      </c>
      <c r="H171" s="5" t="n">
        <v>172565</v>
      </c>
      <c r="I171" s="9" t="n">
        <f aca="false">IF(H171=0,0,C171/H171)</f>
        <v>0.51734129168719</v>
      </c>
      <c r="J171" s="9" t="n">
        <f aca="false">IF(H171=0,0,D171/H171)</f>
        <v>0.329278822472691</v>
      </c>
      <c r="K171" s="9" t="n">
        <f aca="false">IF(H171=0,0,E171/H171)</f>
        <v>0.122527743169241</v>
      </c>
      <c r="L171" s="9" t="n">
        <f aca="false">IF(H171=0,0,G171/H171)</f>
        <v>0.0294207979601889</v>
      </c>
      <c r="M171" s="4" t="str">
        <f aca="false">INDEX($C$3:$E$3,MATCH(MAX(C171:E171),C171:E171,0))</f>
        <v>Sheinbaum (PVEM-PT-Morena)</v>
      </c>
      <c r="N171" s="18" t="n">
        <f aca="false">IF(H171=0,0,(MAX(C171:E171)-LARGE(C171:E171,2))/H171*100)</f>
        <v>18.8062469214499</v>
      </c>
    </row>
    <row r="172" customFormat="false" ht="15" hidden="false" customHeight="false" outlineLevel="0" collapsed="false">
      <c r="A172" s="4" t="s">
        <v>60</v>
      </c>
      <c r="B172" s="4" t="n">
        <v>5</v>
      </c>
      <c r="C172" s="5" t="n">
        <v>97710</v>
      </c>
      <c r="D172" s="5" t="n">
        <v>62173</v>
      </c>
      <c r="E172" s="5" t="n">
        <v>18852</v>
      </c>
      <c r="F172" s="5" t="n">
        <v>260</v>
      </c>
      <c r="G172" s="5" t="n">
        <v>5042</v>
      </c>
      <c r="H172" s="5" t="n">
        <v>184037</v>
      </c>
      <c r="I172" s="9" t="n">
        <f aca="false">IF(H172=0,0,C172/H172)</f>
        <v>0.530925846433054</v>
      </c>
      <c r="J172" s="9" t="n">
        <f aca="false">IF(H172=0,0,D172/H172)</f>
        <v>0.337828806163978</v>
      </c>
      <c r="K172" s="9" t="n">
        <f aca="false">IF(H172=0,0,E172/H172)</f>
        <v>0.102435923211093</v>
      </c>
      <c r="L172" s="9" t="n">
        <f aca="false">IF(H172=0,0,G172/H172)</f>
        <v>0.0273966648010998</v>
      </c>
      <c r="M172" s="4" t="str">
        <f aca="false">INDEX($C$3:$E$3,MATCH(MAX(C172:E172),C172:E172,0))</f>
        <v>Sheinbaum (PVEM-PT-Morena)</v>
      </c>
      <c r="N172" s="18" t="n">
        <f aca="false">IF(H172=0,0,(MAX(C172:E172)-LARGE(C172:E172,2))/H172*100)</f>
        <v>19.3097040269076</v>
      </c>
    </row>
    <row r="173" customFormat="false" ht="15" hidden="false" customHeight="false" outlineLevel="0" collapsed="false">
      <c r="A173" s="4" t="s">
        <v>60</v>
      </c>
      <c r="B173" s="4" t="n">
        <v>6</v>
      </c>
      <c r="C173" s="5" t="n">
        <v>106224</v>
      </c>
      <c r="D173" s="5" t="n">
        <v>62715</v>
      </c>
      <c r="E173" s="5" t="n">
        <v>29485</v>
      </c>
      <c r="F173" s="5" t="n">
        <v>296</v>
      </c>
      <c r="G173" s="5" t="n">
        <v>7939</v>
      </c>
      <c r="H173" s="5" t="n">
        <v>206659</v>
      </c>
      <c r="I173" s="9" t="n">
        <f aca="false">IF(H173=0,0,C173/H173)</f>
        <v>0.514006164744821</v>
      </c>
      <c r="J173" s="9" t="n">
        <f aca="false">IF(H173=0,0,D173/H173)</f>
        <v>0.303470935212113</v>
      </c>
      <c r="K173" s="9" t="n">
        <f aca="false">IF(H173=0,0,E173/H173)</f>
        <v>0.142674647607895</v>
      </c>
      <c r="L173" s="9" t="n">
        <f aca="false">IF(H173=0,0,G173/H173)</f>
        <v>0.0384159412365297</v>
      </c>
      <c r="M173" s="4" t="str">
        <f aca="false">INDEX($C$3:$E$3,MATCH(MAX(C173:E173),C173:E173,0))</f>
        <v>Sheinbaum (PVEM-PT-Morena)</v>
      </c>
      <c r="N173" s="18" t="n">
        <f aca="false">IF(H173=0,0,(MAX(C173:E173)-LARGE(C173:E173,2))/H173*100)</f>
        <v>21.0535229532708</v>
      </c>
    </row>
    <row r="174" customFormat="false" ht="15" hidden="false" customHeight="false" outlineLevel="0" collapsed="false">
      <c r="A174" s="4" t="s">
        <v>60</v>
      </c>
      <c r="B174" s="4" t="n">
        <v>7</v>
      </c>
      <c r="C174" s="5" t="n">
        <v>122434</v>
      </c>
      <c r="D174" s="5" t="n">
        <v>45764</v>
      </c>
      <c r="E174" s="5" t="n">
        <v>27120</v>
      </c>
      <c r="F174" s="5" t="n">
        <v>208</v>
      </c>
      <c r="G174" s="5" t="n">
        <v>8233</v>
      </c>
      <c r="H174" s="5" t="n">
        <v>203759</v>
      </c>
      <c r="I174" s="9" t="n">
        <f aca="false">IF(H174=0,0,C174/H174)</f>
        <v>0.600876525699478</v>
      </c>
      <c r="J174" s="9" t="n">
        <f aca="false">IF(H174=0,0,D174/H174)</f>
        <v>0.224598668034295</v>
      </c>
      <c r="K174" s="9" t="n">
        <f aca="false">IF(H174=0,0,E174/H174)</f>
        <v>0.133098415284724</v>
      </c>
      <c r="L174" s="9" t="n">
        <f aca="false">IF(H174=0,0,G174/H174)</f>
        <v>0.0404055771769591</v>
      </c>
      <c r="M174" s="4" t="str">
        <f aca="false">INDEX($C$3:$E$3,MATCH(MAX(C174:E174),C174:E174,0))</f>
        <v>Sheinbaum (PVEM-PT-Morena)</v>
      </c>
      <c r="N174" s="18" t="n">
        <f aca="false">IF(H174=0,0,(MAX(C174:E174)-LARGE(C174:E174,2))/H174*100)</f>
        <v>37.6277857665183</v>
      </c>
    </row>
    <row r="175" customFormat="false" ht="15" hidden="false" customHeight="false" outlineLevel="0" collapsed="false">
      <c r="A175" s="4" t="s">
        <v>60</v>
      </c>
      <c r="B175" s="4" t="n">
        <v>8</v>
      </c>
      <c r="C175" s="5" t="n">
        <v>96068</v>
      </c>
      <c r="D175" s="5" t="n">
        <v>59939</v>
      </c>
      <c r="E175" s="5" t="n">
        <v>24363</v>
      </c>
      <c r="F175" s="5" t="n">
        <v>402</v>
      </c>
      <c r="G175" s="5" t="n">
        <v>4721</v>
      </c>
      <c r="H175" s="5" t="n">
        <v>185493</v>
      </c>
      <c r="I175" s="9" t="n">
        <f aca="false">IF(H175=0,0,C175/H175)</f>
        <v>0.517906336088154</v>
      </c>
      <c r="J175" s="9" t="n">
        <f aca="false">IF(H175=0,0,D175/H175)</f>
        <v>0.323133487517049</v>
      </c>
      <c r="K175" s="9" t="n">
        <f aca="false">IF(H175=0,0,E175/H175)</f>
        <v>0.131341883521211</v>
      </c>
      <c r="L175" s="9" t="n">
        <f aca="false">IF(H175=0,0,G175/H175)</f>
        <v>0.0254510951895759</v>
      </c>
      <c r="M175" s="4" t="str">
        <f aca="false">INDEX($C$3:$E$3,MATCH(MAX(C175:E175),C175:E175,0))</f>
        <v>Sheinbaum (PVEM-PT-Morena)</v>
      </c>
      <c r="N175" s="18" t="n">
        <f aca="false">IF(H175=0,0,(MAX(C175:E175)-LARGE(C175:E175,2))/H175*100)</f>
        <v>19.4772848571105</v>
      </c>
    </row>
    <row r="176" customFormat="false" ht="15" hidden="false" customHeight="false" outlineLevel="0" collapsed="false">
      <c r="A176" s="4" t="s">
        <v>60</v>
      </c>
      <c r="B176" s="4" t="n">
        <v>9</v>
      </c>
      <c r="C176" s="5" t="n">
        <v>96364</v>
      </c>
      <c r="D176" s="5" t="n">
        <v>49045</v>
      </c>
      <c r="E176" s="5" t="n">
        <v>26922</v>
      </c>
      <c r="F176" s="5" t="n">
        <v>975</v>
      </c>
      <c r="G176" s="5" t="n">
        <v>6156</v>
      </c>
      <c r="H176" s="5" t="n">
        <v>179462</v>
      </c>
      <c r="I176" s="9" t="n">
        <f aca="false">IF(H176=0,0,C176/H176)</f>
        <v>0.536960470740324</v>
      </c>
      <c r="J176" s="9" t="n">
        <f aca="false">IF(H176=0,0,D176/H176)</f>
        <v>0.273289052835698</v>
      </c>
      <c r="K176" s="9" t="n">
        <f aca="false">IF(H176=0,0,E176/H176)</f>
        <v>0.150015044967737</v>
      </c>
      <c r="L176" s="9" t="n">
        <f aca="false">IF(H176=0,0,G176/H176)</f>
        <v>0.0343025264401377</v>
      </c>
      <c r="M176" s="4" t="str">
        <f aca="false">INDEX($C$3:$E$3,MATCH(MAX(C176:E176),C176:E176,0))</f>
        <v>Sheinbaum (PVEM-PT-Morena)</v>
      </c>
      <c r="N176" s="18" t="n">
        <f aca="false">IF(H176=0,0,(MAX(C176:E176)-LARGE(C176:E176,2))/H176*100)</f>
        <v>26.3671417904626</v>
      </c>
    </row>
    <row r="177" customFormat="false" ht="15" hidden="false" customHeight="false" outlineLevel="0" collapsed="false">
      <c r="A177" s="4" t="s">
        <v>60</v>
      </c>
      <c r="B177" s="4" t="n">
        <v>10</v>
      </c>
      <c r="C177" s="5" t="n">
        <v>86451</v>
      </c>
      <c r="D177" s="5" t="n">
        <v>91461</v>
      </c>
      <c r="E177" s="5" t="n">
        <v>23203</v>
      </c>
      <c r="F177" s="5" t="n">
        <v>437</v>
      </c>
      <c r="G177" s="5" t="n">
        <v>4803</v>
      </c>
      <c r="H177" s="5" t="n">
        <v>206355</v>
      </c>
      <c r="I177" s="9" t="n">
        <f aca="false">IF(H177=0,0,C177/H177)</f>
        <v>0.418943083521117</v>
      </c>
      <c r="J177" s="9" t="n">
        <f aca="false">IF(H177=0,0,D177/H177)</f>
        <v>0.443221632623392</v>
      </c>
      <c r="K177" s="9" t="n">
        <f aca="false">IF(H177=0,0,E177/H177)</f>
        <v>0.112442150662693</v>
      </c>
      <c r="L177" s="9" t="n">
        <f aca="false">IF(H177=0,0,G177/H177)</f>
        <v>0.023275423420804</v>
      </c>
      <c r="M177" s="4" t="str">
        <f aca="false">INDEX($C$3:$E$3,MATCH(MAX(C177:E177),C177:E177,0))</f>
        <v>Gálvez (PAN-PRI-PRD)</v>
      </c>
      <c r="N177" s="18" t="n">
        <f aca="false">IF(H177=0,0,(MAX(C177:E177)-LARGE(C177:E177,2))/H177*100)</f>
        <v>2.42785491022752</v>
      </c>
    </row>
    <row r="178" customFormat="false" ht="15" hidden="false" customHeight="false" outlineLevel="0" collapsed="false">
      <c r="A178" s="4" t="s">
        <v>60</v>
      </c>
      <c r="B178" s="4" t="n">
        <v>11</v>
      </c>
      <c r="C178" s="5" t="n">
        <v>113561</v>
      </c>
      <c r="D178" s="5" t="n">
        <v>47575</v>
      </c>
      <c r="E178" s="5" t="n">
        <v>22634</v>
      </c>
      <c r="F178" s="5" t="n">
        <v>326</v>
      </c>
      <c r="G178" s="5" t="n">
        <v>8715</v>
      </c>
      <c r="H178" s="5" t="n">
        <v>192811</v>
      </c>
      <c r="I178" s="9" t="n">
        <f aca="false">IF(H178=0,0,C178/H178)</f>
        <v>0.588975732712345</v>
      </c>
      <c r="J178" s="9" t="n">
        <f aca="false">IF(H178=0,0,D178/H178)</f>
        <v>0.246744221024734</v>
      </c>
      <c r="K178" s="9" t="n">
        <f aca="false">IF(H178=0,0,E178/H178)</f>
        <v>0.117389568022571</v>
      </c>
      <c r="L178" s="9" t="n">
        <f aca="false">IF(H178=0,0,G178/H178)</f>
        <v>0.0451997033364279</v>
      </c>
      <c r="M178" s="4" t="str">
        <f aca="false">INDEX($C$3:$E$3,MATCH(MAX(C178:E178),C178:E178,0))</f>
        <v>Sheinbaum (PVEM-PT-Morena)</v>
      </c>
      <c r="N178" s="18" t="n">
        <f aca="false">IF(H178=0,0,(MAX(C178:E178)-LARGE(C178:E178,2))/H178*100)</f>
        <v>34.2231511687611</v>
      </c>
    </row>
    <row r="179" customFormat="false" ht="15" hidden="false" customHeight="false" outlineLevel="0" collapsed="false">
      <c r="A179" s="4" t="s">
        <v>61</v>
      </c>
      <c r="B179" s="4" t="n">
        <v>1</v>
      </c>
      <c r="C179" s="5" t="n">
        <v>105284</v>
      </c>
      <c r="D179" s="5" t="n">
        <v>76658</v>
      </c>
      <c r="E179" s="5" t="n">
        <v>25707</v>
      </c>
      <c r="F179" s="5" t="n">
        <v>340</v>
      </c>
      <c r="G179" s="5" t="n">
        <v>3590</v>
      </c>
      <c r="H179" s="5" t="n">
        <v>211579</v>
      </c>
      <c r="I179" s="9" t="n">
        <f aca="false">IF(H179=0,0,C179/H179)</f>
        <v>0.497610821489845</v>
      </c>
      <c r="J179" s="9" t="n">
        <f aca="false">IF(H179=0,0,D179/H179)</f>
        <v>0.362313840220438</v>
      </c>
      <c r="K179" s="9" t="n">
        <f aca="false">IF(H179=0,0,E179/H179)</f>
        <v>0.121500716044598</v>
      </c>
      <c r="L179" s="9" t="n">
        <f aca="false">IF(H179=0,0,G179/H179)</f>
        <v>0.016967657470732</v>
      </c>
      <c r="M179" s="4" t="str">
        <f aca="false">INDEX($C$3:$E$3,MATCH(MAX(C179:E179),C179:E179,0))</f>
        <v>Sheinbaum (PVEM-PT-Morena)</v>
      </c>
      <c r="N179" s="18" t="n">
        <f aca="false">IF(H179=0,0,(MAX(C179:E179)-LARGE(C179:E179,2))/H179*100)</f>
        <v>13.5296981269408</v>
      </c>
    </row>
    <row r="180" customFormat="false" ht="15" hidden="false" customHeight="false" outlineLevel="0" collapsed="false">
      <c r="A180" s="4" t="s">
        <v>61</v>
      </c>
      <c r="B180" s="4" t="n">
        <v>2</v>
      </c>
      <c r="C180" s="5" t="n">
        <v>130054</v>
      </c>
      <c r="D180" s="5" t="n">
        <v>48791</v>
      </c>
      <c r="E180" s="5" t="n">
        <v>27057</v>
      </c>
      <c r="F180" s="5" t="n">
        <v>251</v>
      </c>
      <c r="G180" s="5" t="n">
        <v>4157</v>
      </c>
      <c r="H180" s="5" t="n">
        <v>210310</v>
      </c>
      <c r="I180" s="9" t="n">
        <f aca="false">IF(H180=0,0,C180/H180)</f>
        <v>0.618391897674861</v>
      </c>
      <c r="J180" s="9" t="n">
        <f aca="false">IF(H180=0,0,D180/H180)</f>
        <v>0.231995625505207</v>
      </c>
      <c r="K180" s="9" t="n">
        <f aca="false">IF(H180=0,0,E180/H180)</f>
        <v>0.128652940896771</v>
      </c>
      <c r="L180" s="9" t="n">
        <f aca="false">IF(H180=0,0,G180/H180)</f>
        <v>0.019766059626266</v>
      </c>
      <c r="M180" s="4" t="str">
        <f aca="false">INDEX($C$3:$E$3,MATCH(MAX(C180:E180),C180:E180,0))</f>
        <v>Sheinbaum (PVEM-PT-Morena)</v>
      </c>
      <c r="N180" s="18" t="n">
        <f aca="false">IF(H180=0,0,(MAX(C180:E180)-LARGE(C180:E180,2))/H180*100)</f>
        <v>38.6396272169654</v>
      </c>
    </row>
    <row r="181" customFormat="false" ht="15" hidden="false" customHeight="false" outlineLevel="0" collapsed="false">
      <c r="A181" s="4" t="s">
        <v>61</v>
      </c>
      <c r="B181" s="4" t="n">
        <v>3</v>
      </c>
      <c r="C181" s="5" t="n">
        <v>132589</v>
      </c>
      <c r="D181" s="5" t="n">
        <v>29447</v>
      </c>
      <c r="E181" s="5" t="n">
        <v>24917</v>
      </c>
      <c r="F181" s="5" t="n">
        <v>156</v>
      </c>
      <c r="G181" s="5" t="n">
        <v>4038</v>
      </c>
      <c r="H181" s="5" t="n">
        <v>191147</v>
      </c>
      <c r="I181" s="9" t="n">
        <f aca="false">IF(H181=0,0,C181/H181)</f>
        <v>0.693649390259852</v>
      </c>
      <c r="J181" s="9" t="n">
        <f aca="false">IF(H181=0,0,D181/H181)</f>
        <v>0.154054209587386</v>
      </c>
      <c r="K181" s="9" t="n">
        <f aca="false">IF(H181=0,0,E181/H181)</f>
        <v>0.130355171674157</v>
      </c>
      <c r="L181" s="9" t="n">
        <f aca="false">IF(H181=0,0,G181/H181)</f>
        <v>0.0211251026696731</v>
      </c>
      <c r="M181" s="4" t="str">
        <f aca="false">INDEX($C$3:$E$3,MATCH(MAX(C181:E181),C181:E181,0))</f>
        <v>Sheinbaum (PVEM-PT-Morena)</v>
      </c>
      <c r="N181" s="18" t="n">
        <f aca="false">IF(H181=0,0,(MAX(C181:E181)-LARGE(C181:E181,2))/H181*100)</f>
        <v>53.9595180672467</v>
      </c>
    </row>
    <row r="182" customFormat="false" ht="15" hidden="false" customHeight="false" outlineLevel="0" collapsed="false">
      <c r="A182" s="4" t="s">
        <v>61</v>
      </c>
      <c r="B182" s="4" t="n">
        <v>4</v>
      </c>
      <c r="C182" s="5" t="n">
        <v>142933</v>
      </c>
      <c r="D182" s="5" t="n">
        <v>28690</v>
      </c>
      <c r="E182" s="5" t="n">
        <v>21982</v>
      </c>
      <c r="F182" s="5" t="n">
        <v>151</v>
      </c>
      <c r="G182" s="5" t="n">
        <v>4094</v>
      </c>
      <c r="H182" s="5" t="n">
        <v>197850</v>
      </c>
      <c r="I182" s="9" t="n">
        <f aca="false">IF(H182=0,0,C182/H182)</f>
        <v>0.722431134698004</v>
      </c>
      <c r="J182" s="9" t="n">
        <f aca="false">IF(H182=0,0,D182/H182)</f>
        <v>0.14500884508466</v>
      </c>
      <c r="K182" s="9" t="n">
        <f aca="false">IF(H182=0,0,E182/H182)</f>
        <v>0.111104371998989</v>
      </c>
      <c r="L182" s="9" t="n">
        <f aca="false">IF(H182=0,0,G182/H182)</f>
        <v>0.0206924437705332</v>
      </c>
      <c r="M182" s="4" t="str">
        <f aca="false">INDEX($C$3:$E$3,MATCH(MAX(C182:E182),C182:E182,0))</f>
        <v>Sheinbaum (PVEM-PT-Morena)</v>
      </c>
      <c r="N182" s="18" t="n">
        <f aca="false">IF(H182=0,0,(MAX(C182:E182)-LARGE(C182:E182,2))/H182*100)</f>
        <v>57.7422289613343</v>
      </c>
    </row>
    <row r="183" customFormat="false" ht="15" hidden="false" customHeight="false" outlineLevel="0" collapsed="false">
      <c r="A183" s="4" t="s">
        <v>61</v>
      </c>
      <c r="B183" s="4" t="n">
        <v>5</v>
      </c>
      <c r="C183" s="5" t="n">
        <v>118738</v>
      </c>
      <c r="D183" s="5" t="n">
        <v>26342</v>
      </c>
      <c r="E183" s="5" t="n">
        <v>26549</v>
      </c>
      <c r="F183" s="5" t="n">
        <v>166</v>
      </c>
      <c r="G183" s="5" t="n">
        <v>3814</v>
      </c>
      <c r="H183" s="5" t="n">
        <v>175609</v>
      </c>
      <c r="I183" s="9" t="n">
        <f aca="false">IF(H183=0,0,C183/H183)</f>
        <v>0.676149855645212</v>
      </c>
      <c r="J183" s="9" t="n">
        <f aca="false">IF(H183=0,0,D183/H183)</f>
        <v>0.150003701404826</v>
      </c>
      <c r="K183" s="9" t="n">
        <f aca="false">IF(H183=0,0,E183/H183)</f>
        <v>0.151182456480021</v>
      </c>
      <c r="L183" s="9" t="n">
        <f aca="false">IF(H183=0,0,G183/H183)</f>
        <v>0.0217187046222005</v>
      </c>
      <c r="M183" s="4" t="str">
        <f aca="false">INDEX($C$3:$E$3,MATCH(MAX(C183:E183),C183:E183,0))</f>
        <v>Sheinbaum (PVEM-PT-Morena)</v>
      </c>
      <c r="N183" s="18" t="n">
        <f aca="false">IF(H183=0,0,(MAX(C183:E183)-LARGE(C183:E183,2))/H183*100)</f>
        <v>52.4967399165191</v>
      </c>
    </row>
    <row r="184" customFormat="false" ht="15" hidden="false" customHeight="false" outlineLevel="0" collapsed="false">
      <c r="A184" s="4" t="s">
        <v>62</v>
      </c>
      <c r="B184" s="4" t="n">
        <v>1</v>
      </c>
      <c r="C184" s="5" t="n">
        <v>116391</v>
      </c>
      <c r="D184" s="5" t="n">
        <v>25224</v>
      </c>
      <c r="E184" s="5" t="n">
        <v>22389</v>
      </c>
      <c r="F184" s="5" t="n">
        <v>203</v>
      </c>
      <c r="G184" s="5" t="n">
        <v>5476</v>
      </c>
      <c r="H184" s="5" t="n">
        <v>169683</v>
      </c>
      <c r="I184" s="9" t="n">
        <f aca="false">IF(H184=0,0,C184/H184)</f>
        <v>0.685932002616644</v>
      </c>
      <c r="J184" s="9" t="n">
        <f aca="false">IF(H184=0,0,D184/H184)</f>
        <v>0.148653665953572</v>
      </c>
      <c r="K184" s="9" t="n">
        <f aca="false">IF(H184=0,0,E184/H184)</f>
        <v>0.131946040557982</v>
      </c>
      <c r="L184" s="9" t="n">
        <f aca="false">IF(H184=0,0,G184/H184)</f>
        <v>0.0322719423866858</v>
      </c>
      <c r="M184" s="4" t="str">
        <f aca="false">INDEX($C$3:$E$3,MATCH(MAX(C184:E184),C184:E184,0))</f>
        <v>Sheinbaum (PVEM-PT-Morena)</v>
      </c>
      <c r="N184" s="18" t="n">
        <f aca="false">IF(H184=0,0,(MAX(C184:E184)-LARGE(C184:E184,2))/H184*100)</f>
        <v>53.7278336663072</v>
      </c>
    </row>
    <row r="185" customFormat="false" ht="15" hidden="false" customHeight="false" outlineLevel="0" collapsed="false">
      <c r="A185" s="4" t="s">
        <v>62</v>
      </c>
      <c r="B185" s="4" t="n">
        <v>2</v>
      </c>
      <c r="C185" s="5" t="n">
        <v>105383</v>
      </c>
      <c r="D185" s="5" t="n">
        <v>45073</v>
      </c>
      <c r="E185" s="5" t="n">
        <v>28986</v>
      </c>
      <c r="F185" s="5" t="n">
        <v>267</v>
      </c>
      <c r="G185" s="5" t="n">
        <v>3645</v>
      </c>
      <c r="H185" s="5" t="n">
        <v>183354</v>
      </c>
      <c r="I185" s="9" t="n">
        <f aca="false">IF(H185=0,0,C185/H185)</f>
        <v>0.574751573458992</v>
      </c>
      <c r="J185" s="9" t="n">
        <f aca="false">IF(H185=0,0,D185/H185)</f>
        <v>0.245825016089095</v>
      </c>
      <c r="K185" s="9" t="n">
        <f aca="false">IF(H185=0,0,E185/H185)</f>
        <v>0.158087633757649</v>
      </c>
      <c r="L185" s="9" t="n">
        <f aca="false">IF(H185=0,0,G185/H185)</f>
        <v>0.0198795772112962</v>
      </c>
      <c r="M185" s="4" t="str">
        <f aca="false">INDEX($C$3:$E$3,MATCH(MAX(C185:E185),C185:E185,0))</f>
        <v>Sheinbaum (PVEM-PT-Morena)</v>
      </c>
      <c r="N185" s="18" t="n">
        <f aca="false">IF(H185=0,0,(MAX(C185:E185)-LARGE(C185:E185,2))/H185*100)</f>
        <v>32.8926557369897</v>
      </c>
    </row>
    <row r="186" customFormat="false" ht="15" hidden="false" customHeight="false" outlineLevel="0" collapsed="false">
      <c r="A186" s="4" t="s">
        <v>62</v>
      </c>
      <c r="B186" s="4" t="n">
        <v>3</v>
      </c>
      <c r="C186" s="5" t="n">
        <v>119814</v>
      </c>
      <c r="D186" s="5" t="n">
        <v>38856</v>
      </c>
      <c r="E186" s="5" t="n">
        <v>23205</v>
      </c>
      <c r="F186" s="5" t="n">
        <v>236</v>
      </c>
      <c r="G186" s="5" t="n">
        <v>5008</v>
      </c>
      <c r="H186" s="5" t="n">
        <v>187119</v>
      </c>
      <c r="I186" s="9" t="n">
        <f aca="false">IF(H186=0,0,C186/H186)</f>
        <v>0.640309108107675</v>
      </c>
      <c r="J186" s="9" t="n">
        <f aca="false">IF(H186=0,0,D186/H186)</f>
        <v>0.207653952832155</v>
      </c>
      <c r="K186" s="9" t="n">
        <f aca="false">IF(H186=0,0,E186/H186)</f>
        <v>0.124011992368493</v>
      </c>
      <c r="L186" s="9" t="n">
        <f aca="false">IF(H186=0,0,G186/H186)</f>
        <v>0.0267637172066973</v>
      </c>
      <c r="M186" s="4" t="str">
        <f aca="false">INDEX($C$3:$E$3,MATCH(MAX(C186:E186),C186:E186,0))</f>
        <v>Sheinbaum (PVEM-PT-Morena)</v>
      </c>
      <c r="N186" s="18" t="n">
        <f aca="false">IF(H186=0,0,(MAX(C186:E186)-LARGE(C186:E186,2))/H186*100)</f>
        <v>43.265515527552</v>
      </c>
    </row>
    <row r="187" customFormat="false" ht="15" hidden="false" customHeight="false" outlineLevel="0" collapsed="false">
      <c r="A187" s="4" t="s">
        <v>63</v>
      </c>
      <c r="B187" s="4" t="n">
        <v>1</v>
      </c>
      <c r="C187" s="5" t="n">
        <v>74634</v>
      </c>
      <c r="D187" s="5" t="n">
        <v>102734</v>
      </c>
      <c r="E187" s="5" t="n">
        <v>36424</v>
      </c>
      <c r="F187" s="5" t="n">
        <v>314</v>
      </c>
      <c r="G187" s="5" t="n">
        <v>3507</v>
      </c>
      <c r="H187" s="5" t="n">
        <v>217613</v>
      </c>
      <c r="I187" s="9" t="n">
        <f aca="false">IF(H187=0,0,C187/H187)</f>
        <v>0.342966642617858</v>
      </c>
      <c r="J187" s="9" t="n">
        <f aca="false">IF(H187=0,0,D187/H187)</f>
        <v>0.472094957562278</v>
      </c>
      <c r="K187" s="9" t="n">
        <f aca="false">IF(H187=0,0,E187/H187)</f>
        <v>0.167379706175642</v>
      </c>
      <c r="L187" s="9" t="n">
        <f aca="false">IF(H187=0,0,G187/H187)</f>
        <v>0.0161157651427075</v>
      </c>
      <c r="M187" s="4" t="str">
        <f aca="false">INDEX($C$3:$E$3,MATCH(MAX(C187:E187),C187:E187,0))</f>
        <v>Gálvez (PAN-PRI-PRD)</v>
      </c>
      <c r="N187" s="18" t="n">
        <f aca="false">IF(H187=0,0,(MAX(C187:E187)-LARGE(C187:E187,2))/H187*100)</f>
        <v>12.912831494442</v>
      </c>
    </row>
    <row r="188" customFormat="false" ht="15" hidden="false" customHeight="false" outlineLevel="0" collapsed="false">
      <c r="A188" s="4" t="s">
        <v>63</v>
      </c>
      <c r="B188" s="4" t="n">
        <v>2</v>
      </c>
      <c r="C188" s="5" t="n">
        <v>92839</v>
      </c>
      <c r="D188" s="5" t="n">
        <v>60686</v>
      </c>
      <c r="E188" s="5" t="n">
        <v>39107</v>
      </c>
      <c r="F188" s="5" t="n">
        <v>282</v>
      </c>
      <c r="G188" s="5" t="n">
        <v>3049</v>
      </c>
      <c r="H188" s="5" t="n">
        <v>195963</v>
      </c>
      <c r="I188" s="9" t="n">
        <f aca="false">IF(H188=0,0,C188/H188)</f>
        <v>0.473757801217577</v>
      </c>
      <c r="J188" s="9" t="n">
        <f aca="false">IF(H188=0,0,D188/H188)</f>
        <v>0.309680909151217</v>
      </c>
      <c r="K188" s="9" t="n">
        <f aca="false">IF(H188=0,0,E188/H188)</f>
        <v>0.199563182845741</v>
      </c>
      <c r="L188" s="9" t="n">
        <f aca="false">IF(H188=0,0,G188/H188)</f>
        <v>0.0155590596183974</v>
      </c>
      <c r="M188" s="4" t="str">
        <f aca="false">INDEX($C$3:$E$3,MATCH(MAX(C188:E188),C188:E188,0))</f>
        <v>Sheinbaum (PVEM-PT-Morena)</v>
      </c>
      <c r="N188" s="18" t="n">
        <f aca="false">IF(H188=0,0,(MAX(C188:E188)-LARGE(C188:E188,2))/H188*100)</f>
        <v>16.4076892066359</v>
      </c>
    </row>
    <row r="189" customFormat="false" ht="15" hidden="false" customHeight="false" outlineLevel="0" collapsed="false">
      <c r="A189" s="4" t="s">
        <v>63</v>
      </c>
      <c r="B189" s="4" t="n">
        <v>3</v>
      </c>
      <c r="C189" s="5" t="n">
        <v>89998</v>
      </c>
      <c r="D189" s="5" t="n">
        <v>41027</v>
      </c>
      <c r="E189" s="5" t="n">
        <v>33517</v>
      </c>
      <c r="F189" s="5" t="n">
        <v>232</v>
      </c>
      <c r="G189" s="5" t="n">
        <v>2900</v>
      </c>
      <c r="H189" s="5" t="n">
        <v>167674</v>
      </c>
      <c r="I189" s="9" t="n">
        <f aca="false">IF(H189=0,0,C189/H189)</f>
        <v>0.536743919749037</v>
      </c>
      <c r="J189" s="9" t="n">
        <f aca="false">IF(H189=0,0,D189/H189)</f>
        <v>0.244683135131267</v>
      </c>
      <c r="K189" s="9" t="n">
        <f aca="false">IF(H189=0,0,E189/H189)</f>
        <v>0.199893841621241</v>
      </c>
      <c r="L189" s="9" t="n">
        <f aca="false">IF(H189=0,0,G189/H189)</f>
        <v>0.0172954662022735</v>
      </c>
      <c r="M189" s="4" t="str">
        <f aca="false">INDEX($C$3:$E$3,MATCH(MAX(C189:E189),C189:E189,0))</f>
        <v>Sheinbaum (PVEM-PT-Morena)</v>
      </c>
      <c r="N189" s="18" t="n">
        <f aca="false">IF(H189=0,0,(MAX(C189:E189)-LARGE(C189:E189,2))/H189*100)</f>
        <v>29.206078461777</v>
      </c>
    </row>
    <row r="190" customFormat="false" ht="15" hidden="false" customHeight="false" outlineLevel="0" collapsed="false">
      <c r="A190" s="4" t="s">
        <v>63</v>
      </c>
      <c r="B190" s="4" t="n">
        <v>4</v>
      </c>
      <c r="C190" s="5" t="n">
        <v>89291</v>
      </c>
      <c r="D190" s="5" t="n">
        <v>105710</v>
      </c>
      <c r="E190" s="5" t="n">
        <v>37622</v>
      </c>
      <c r="F190" s="5" t="n">
        <v>321</v>
      </c>
      <c r="G190" s="5" t="n">
        <v>3914</v>
      </c>
      <c r="H190" s="5" t="n">
        <v>236858</v>
      </c>
      <c r="I190" s="9" t="n">
        <f aca="false">IF(H190=0,0,C190/H190)</f>
        <v>0.376981144820948</v>
      </c>
      <c r="J190" s="9" t="n">
        <f aca="false">IF(H190=0,0,D190/H190)</f>
        <v>0.446301159344417</v>
      </c>
      <c r="K190" s="9" t="n">
        <f aca="false">IF(H190=0,0,E190/H190)</f>
        <v>0.158837784664229</v>
      </c>
      <c r="L190" s="9" t="n">
        <f aca="false">IF(H190=0,0,G190/H190)</f>
        <v>0.0165246687888946</v>
      </c>
      <c r="M190" s="4" t="str">
        <f aca="false">INDEX($C$3:$E$3,MATCH(MAX(C190:E190),C190:E190,0))</f>
        <v>Gálvez (PAN-PRI-PRD)</v>
      </c>
      <c r="N190" s="18" t="n">
        <f aca="false">IF(H190=0,0,(MAX(C190:E190)-LARGE(C190:E190,2))/H190*100)</f>
        <v>6.93200145234698</v>
      </c>
    </row>
    <row r="191" customFormat="false" ht="15" hidden="false" customHeight="false" outlineLevel="0" collapsed="false">
      <c r="A191" s="4" t="s">
        <v>63</v>
      </c>
      <c r="B191" s="4" t="n">
        <v>5</v>
      </c>
      <c r="C191" s="5" t="n">
        <v>90685</v>
      </c>
      <c r="D191" s="5" t="n">
        <v>39238</v>
      </c>
      <c r="E191" s="5" t="n">
        <v>33023</v>
      </c>
      <c r="F191" s="5" t="n">
        <v>216</v>
      </c>
      <c r="G191" s="5" t="n">
        <v>4896</v>
      </c>
      <c r="H191" s="5" t="n">
        <v>168058</v>
      </c>
      <c r="I191" s="9" t="n">
        <f aca="false">IF(H191=0,0,C191/H191)</f>
        <v>0.539605374335051</v>
      </c>
      <c r="J191" s="9" t="n">
        <f aca="false">IF(H191=0,0,D191/H191)</f>
        <v>0.233478917992598</v>
      </c>
      <c r="K191" s="9" t="n">
        <f aca="false">IF(H191=0,0,E191/H191)</f>
        <v>0.196497637720311</v>
      </c>
      <c r="L191" s="9" t="n">
        <f aca="false">IF(H191=0,0,G191/H191)</f>
        <v>0.0291327993906866</v>
      </c>
      <c r="M191" s="4" t="str">
        <f aca="false">INDEX($C$3:$E$3,MATCH(MAX(C191:E191),C191:E191,0))</f>
        <v>Sheinbaum (PVEM-PT-Morena)</v>
      </c>
      <c r="N191" s="18" t="n">
        <f aca="false">IF(H191=0,0,(MAX(C191:E191)-LARGE(C191:E191,2))/H191*100)</f>
        <v>30.6126456342453</v>
      </c>
    </row>
    <row r="192" customFormat="false" ht="15" hidden="false" customHeight="false" outlineLevel="0" collapsed="false">
      <c r="A192" s="4" t="s">
        <v>63</v>
      </c>
      <c r="B192" s="4" t="n">
        <v>6</v>
      </c>
      <c r="C192" s="5" t="n">
        <v>64236</v>
      </c>
      <c r="D192" s="5" t="n">
        <v>123724</v>
      </c>
      <c r="E192" s="5" t="n">
        <v>27398</v>
      </c>
      <c r="F192" s="5" t="n">
        <v>417</v>
      </c>
      <c r="G192" s="5" t="n">
        <v>3144</v>
      </c>
      <c r="H192" s="5" t="n">
        <v>218919</v>
      </c>
      <c r="I192" s="9" t="n">
        <f aca="false">IF(H192=0,0,C192/H192)</f>
        <v>0.293423595028298</v>
      </c>
      <c r="J192" s="9" t="n">
        <f aca="false">IF(H192=0,0,D192/H192)</f>
        <v>0.565158803027604</v>
      </c>
      <c r="K192" s="9" t="n">
        <f aca="false">IF(H192=0,0,E192/H192)</f>
        <v>0.125151311672354</v>
      </c>
      <c r="L192" s="9" t="n">
        <f aca="false">IF(H192=0,0,G192/H192)</f>
        <v>0.0143614761624162</v>
      </c>
      <c r="M192" s="4" t="str">
        <f aca="false">INDEX($C$3:$E$3,MATCH(MAX(C192:E192),C192:E192,0))</f>
        <v>Gálvez (PAN-PRI-PRD)</v>
      </c>
      <c r="N192" s="18" t="n">
        <f aca="false">IF(H192=0,0,(MAX(C192:E192)-LARGE(C192:E192,2))/H192*100)</f>
        <v>27.1735207999306</v>
      </c>
    </row>
    <row r="193" customFormat="false" ht="15" hidden="false" customHeight="false" outlineLevel="0" collapsed="false">
      <c r="A193" s="4" t="s">
        <v>63</v>
      </c>
      <c r="B193" s="4" t="n">
        <v>7</v>
      </c>
      <c r="C193" s="5" t="n">
        <v>74232</v>
      </c>
      <c r="D193" s="5" t="n">
        <v>22427</v>
      </c>
      <c r="E193" s="5" t="n">
        <v>22613</v>
      </c>
      <c r="F193" s="5" t="n">
        <v>153</v>
      </c>
      <c r="G193" s="5" t="n">
        <v>1502</v>
      </c>
      <c r="H193" s="5" t="n">
        <v>120927</v>
      </c>
      <c r="I193" s="9" t="n">
        <f aca="false">IF(H193=0,0,C193/H193)</f>
        <v>0.61385794735667</v>
      </c>
      <c r="J193" s="9" t="n">
        <f aca="false">IF(H193=0,0,D193/H193)</f>
        <v>0.18545899592316</v>
      </c>
      <c r="K193" s="9" t="n">
        <f aca="false">IF(H193=0,0,E193/H193)</f>
        <v>0.186997113961316</v>
      </c>
      <c r="L193" s="9" t="n">
        <f aca="false">IF(H193=0,0,G193/H193)</f>
        <v>0.0124207166306946</v>
      </c>
      <c r="M193" s="4" t="str">
        <f aca="false">INDEX($C$3:$E$3,MATCH(MAX(C193:E193),C193:E193,0))</f>
        <v>Sheinbaum (PVEM-PT-Morena)</v>
      </c>
      <c r="N193" s="18" t="n">
        <f aca="false">IF(H193=0,0,(MAX(C193:E193)-LARGE(C193:E193,2))/H193*100)</f>
        <v>42.6860833395354</v>
      </c>
    </row>
    <row r="194" customFormat="false" ht="15" hidden="false" customHeight="false" outlineLevel="0" collapsed="false">
      <c r="A194" s="4" t="s">
        <v>63</v>
      </c>
      <c r="B194" s="4" t="n">
        <v>8</v>
      </c>
      <c r="C194" s="5" t="n">
        <v>96578</v>
      </c>
      <c r="D194" s="5" t="n">
        <v>45143</v>
      </c>
      <c r="E194" s="5" t="n">
        <v>40616</v>
      </c>
      <c r="F194" s="5" t="n">
        <v>260</v>
      </c>
      <c r="G194" s="5" t="n">
        <v>3660</v>
      </c>
      <c r="H194" s="5" t="n">
        <v>186257</v>
      </c>
      <c r="I194" s="9" t="n">
        <f aca="false">IF(H194=0,0,C194/H194)</f>
        <v>0.518520109311328</v>
      </c>
      <c r="J194" s="9" t="n">
        <f aca="false">IF(H194=0,0,D194/H194)</f>
        <v>0.242369414303892</v>
      </c>
      <c r="K194" s="9" t="n">
        <f aca="false">IF(H194=0,0,E194/H194)</f>
        <v>0.218064287516711</v>
      </c>
      <c r="L194" s="9" t="n">
        <f aca="false">IF(H194=0,0,G194/H194)</f>
        <v>0.0196502681778403</v>
      </c>
      <c r="M194" s="4" t="str">
        <f aca="false">INDEX($C$3:$E$3,MATCH(MAX(C194:E194),C194:E194,0))</f>
        <v>Sheinbaum (PVEM-PT-Morena)</v>
      </c>
      <c r="N194" s="18" t="n">
        <f aca="false">IF(H194=0,0,(MAX(C194:E194)-LARGE(C194:E194,2))/H194*100)</f>
        <v>27.6150695007436</v>
      </c>
    </row>
    <row r="195" customFormat="false" ht="15" hidden="false" customHeight="false" outlineLevel="0" collapsed="false">
      <c r="A195" s="4" t="s">
        <v>63</v>
      </c>
      <c r="B195" s="4" t="n">
        <v>9</v>
      </c>
      <c r="C195" s="5" t="n">
        <v>83450</v>
      </c>
      <c r="D195" s="5" t="n">
        <v>67400</v>
      </c>
      <c r="E195" s="5" t="n">
        <v>31682</v>
      </c>
      <c r="F195" s="5" t="n">
        <v>95</v>
      </c>
      <c r="G195" s="5" t="n">
        <v>6184</v>
      </c>
      <c r="H195" s="5" t="n">
        <v>188811</v>
      </c>
      <c r="I195" s="9" t="n">
        <f aca="false">IF(H195=0,0,C195/H195)</f>
        <v>0.441976367902294</v>
      </c>
      <c r="J195" s="9" t="n">
        <f aca="false">IF(H195=0,0,D195/H195)</f>
        <v>0.356970727341098</v>
      </c>
      <c r="K195" s="9" t="n">
        <f aca="false">IF(H195=0,0,E195/H195)</f>
        <v>0.167797427056686</v>
      </c>
      <c r="L195" s="9" t="n">
        <f aca="false">IF(H195=0,0,G195/H195)</f>
        <v>0.0327523290486253</v>
      </c>
      <c r="M195" s="4" t="str">
        <f aca="false">INDEX($C$3:$E$3,MATCH(MAX(C195:E195),C195:E195,0))</f>
        <v>Sheinbaum (PVEM-PT-Morena)</v>
      </c>
      <c r="N195" s="18" t="n">
        <f aca="false">IF(H195=0,0,(MAX(C195:E195)-LARGE(C195:E195,2))/H195*100)</f>
        <v>8.50056405611961</v>
      </c>
    </row>
    <row r="196" customFormat="false" ht="15" hidden="false" customHeight="false" outlineLevel="0" collapsed="false">
      <c r="A196" s="4" t="s">
        <v>63</v>
      </c>
      <c r="B196" s="4" t="n">
        <v>10</v>
      </c>
      <c r="C196" s="5" t="n">
        <v>62437</v>
      </c>
      <c r="D196" s="5" t="n">
        <v>112551</v>
      </c>
      <c r="E196" s="5" t="n">
        <v>27315</v>
      </c>
      <c r="F196" s="5" t="n">
        <v>396</v>
      </c>
      <c r="G196" s="5" t="n">
        <v>3507</v>
      </c>
      <c r="H196" s="5" t="n">
        <v>206206</v>
      </c>
      <c r="I196" s="9" t="n">
        <f aca="false">IF(H196=0,0,C196/H196)</f>
        <v>0.302789443566143</v>
      </c>
      <c r="J196" s="9" t="n">
        <f aca="false">IF(H196=0,0,D196/H196)</f>
        <v>0.545818259410492</v>
      </c>
      <c r="K196" s="9" t="n">
        <f aca="false">IF(H196=0,0,E196/H196)</f>
        <v>0.132464622755885</v>
      </c>
      <c r="L196" s="9" t="n">
        <f aca="false">IF(H196=0,0,G196/H196)</f>
        <v>0.0170072645800801</v>
      </c>
      <c r="M196" s="4" t="str">
        <f aca="false">INDEX($C$3:$E$3,MATCH(MAX(C196:E196),C196:E196,0))</f>
        <v>Gálvez (PAN-PRI-PRD)</v>
      </c>
      <c r="N196" s="18" t="n">
        <f aca="false">IF(H196=0,0,(MAX(C196:E196)-LARGE(C196:E196,2))/H196*100)</f>
        <v>24.302881584435</v>
      </c>
    </row>
    <row r="197" customFormat="false" ht="15" hidden="false" customHeight="false" outlineLevel="0" collapsed="false">
      <c r="A197" s="4" t="s">
        <v>63</v>
      </c>
      <c r="B197" s="4" t="n">
        <v>11</v>
      </c>
      <c r="C197" s="5" t="n">
        <v>97809</v>
      </c>
      <c r="D197" s="5" t="n">
        <v>82210</v>
      </c>
      <c r="E197" s="5" t="n">
        <v>39977</v>
      </c>
      <c r="F197" s="5" t="n">
        <v>352</v>
      </c>
      <c r="G197" s="5" t="n">
        <v>4261</v>
      </c>
      <c r="H197" s="5" t="n">
        <v>224609</v>
      </c>
      <c r="I197" s="9" t="n">
        <f aca="false">IF(H197=0,0,C197/H197)</f>
        <v>0.435463405295425</v>
      </c>
      <c r="J197" s="9" t="n">
        <f aca="false">IF(H197=0,0,D197/H197)</f>
        <v>0.366013828475261</v>
      </c>
      <c r="K197" s="9" t="n">
        <f aca="false">IF(H197=0,0,E197/H197)</f>
        <v>0.17798485367906</v>
      </c>
      <c r="L197" s="9" t="n">
        <f aca="false">IF(H197=0,0,G197/H197)</f>
        <v>0.0189707447163738</v>
      </c>
      <c r="M197" s="4" t="str">
        <f aca="false">INDEX($C$3:$E$3,MATCH(MAX(C197:E197),C197:E197,0))</f>
        <v>Sheinbaum (PVEM-PT-Morena)</v>
      </c>
      <c r="N197" s="18" t="n">
        <f aca="false">IF(H197=0,0,(MAX(C197:E197)-LARGE(C197:E197,2))/H197*100)</f>
        <v>6.9449576820163</v>
      </c>
    </row>
    <row r="198" customFormat="false" ht="15" hidden="false" customHeight="false" outlineLevel="0" collapsed="false">
      <c r="A198" s="4" t="s">
        <v>63</v>
      </c>
      <c r="B198" s="4" t="n">
        <v>12</v>
      </c>
      <c r="C198" s="5" t="n">
        <v>80018</v>
      </c>
      <c r="D198" s="5" t="n">
        <v>26245</v>
      </c>
      <c r="E198" s="5" t="n">
        <v>34775</v>
      </c>
      <c r="F198" s="5" t="n">
        <v>116</v>
      </c>
      <c r="G198" s="5" t="n">
        <v>2999</v>
      </c>
      <c r="H198" s="5" t="n">
        <v>144153</v>
      </c>
      <c r="I198" s="9" t="n">
        <f aca="false">IF(H198=0,0,C198/H198)</f>
        <v>0.555090771610719</v>
      </c>
      <c r="J198" s="9" t="n">
        <f aca="false">IF(H198=0,0,D198/H198)</f>
        <v>0.182063501973598</v>
      </c>
      <c r="K198" s="9" t="n">
        <f aca="false">IF(H198=0,0,E198/H198)</f>
        <v>0.241236741517693</v>
      </c>
      <c r="L198" s="9" t="n">
        <f aca="false">IF(H198=0,0,G198/H198)</f>
        <v>0.0208042843367811</v>
      </c>
      <c r="M198" s="4" t="str">
        <f aca="false">INDEX($C$3:$E$3,MATCH(MAX(C198:E198),C198:E198,0))</f>
        <v>Sheinbaum (PVEM-PT-Morena)</v>
      </c>
      <c r="N198" s="18" t="n">
        <f aca="false">IF(H198=0,0,(MAX(C198:E198)-LARGE(C198:E198,2))/H198*100)</f>
        <v>31.3854030093026</v>
      </c>
    </row>
    <row r="199" customFormat="false" ht="15" hidden="false" customHeight="false" outlineLevel="0" collapsed="false">
      <c r="A199" s="4" t="s">
        <v>63</v>
      </c>
      <c r="B199" s="4" t="n">
        <v>13</v>
      </c>
      <c r="C199" s="5" t="n">
        <v>72630</v>
      </c>
      <c r="D199" s="5" t="n">
        <v>24190</v>
      </c>
      <c r="E199" s="5" t="n">
        <v>30761</v>
      </c>
      <c r="F199" s="5" t="n">
        <v>122</v>
      </c>
      <c r="G199" s="5" t="n">
        <v>3222</v>
      </c>
      <c r="H199" s="5" t="n">
        <v>130925</v>
      </c>
      <c r="I199" s="9" t="n">
        <f aca="false">IF(H199=0,0,C199/H199)</f>
        <v>0.554745083062822</v>
      </c>
      <c r="J199" s="9" t="n">
        <f aca="false">IF(H199=0,0,D199/H199)</f>
        <v>0.184762268474317</v>
      </c>
      <c r="K199" s="9" t="n">
        <f aca="false">IF(H199=0,0,E199/H199)</f>
        <v>0.234951308000764</v>
      </c>
      <c r="L199" s="9" t="n">
        <f aca="false">IF(H199=0,0,G199/H199)</f>
        <v>0.0246095092610273</v>
      </c>
      <c r="M199" s="4" t="str">
        <f aca="false">INDEX($C$3:$E$3,MATCH(MAX(C199:E199),C199:E199,0))</f>
        <v>Sheinbaum (PVEM-PT-Morena)</v>
      </c>
      <c r="N199" s="18" t="n">
        <f aca="false">IF(H199=0,0,(MAX(C199:E199)-LARGE(C199:E199,2))/H199*100)</f>
        <v>31.9793775062058</v>
      </c>
    </row>
    <row r="200" customFormat="false" ht="15" hidden="false" customHeight="false" outlineLevel="0" collapsed="false">
      <c r="A200" s="4" t="s">
        <v>63</v>
      </c>
      <c r="B200" s="4" t="n">
        <v>14</v>
      </c>
      <c r="C200" s="5" t="n">
        <v>88531</v>
      </c>
      <c r="D200" s="5" t="n">
        <v>28508</v>
      </c>
      <c r="E200" s="5" t="n">
        <v>27834</v>
      </c>
      <c r="F200" s="5" t="n">
        <v>96</v>
      </c>
      <c r="G200" s="5" t="n">
        <v>3452</v>
      </c>
      <c r="H200" s="5" t="n">
        <v>148421</v>
      </c>
      <c r="I200" s="9" t="n">
        <f aca="false">IF(H200=0,0,C200/H200)</f>
        <v>0.59648567251265</v>
      </c>
      <c r="J200" s="9" t="n">
        <f aca="false">IF(H200=0,0,D200/H200)</f>
        <v>0.192075245416754</v>
      </c>
      <c r="K200" s="9" t="n">
        <f aca="false">IF(H200=0,0,E200/H200)</f>
        <v>0.187534109054649</v>
      </c>
      <c r="L200" s="9" t="n">
        <f aca="false">IF(H200=0,0,G200/H200)</f>
        <v>0.0232581642759448</v>
      </c>
      <c r="M200" s="4" t="str">
        <f aca="false">INDEX($C$3:$E$3,MATCH(MAX(C200:E200),C200:E200,0))</f>
        <v>Sheinbaum (PVEM-PT-Morena)</v>
      </c>
      <c r="N200" s="18" t="n">
        <f aca="false">IF(H200=0,0,(MAX(C200:E200)-LARGE(C200:E200,2))/H200*100)</f>
        <v>40.4410427095896</v>
      </c>
    </row>
    <row r="201" customFormat="false" ht="15" hidden="false" customHeight="false" outlineLevel="0" collapsed="false">
      <c r="A201" s="4" t="s">
        <v>64</v>
      </c>
      <c r="B201" s="4" t="n">
        <v>1</v>
      </c>
      <c r="C201" s="5" t="n">
        <v>161035</v>
      </c>
      <c r="D201" s="5" t="n">
        <v>30885</v>
      </c>
      <c r="E201" s="5" t="n">
        <v>11719</v>
      </c>
      <c r="F201" s="5" t="n">
        <v>139</v>
      </c>
      <c r="G201" s="5" t="n">
        <v>4511</v>
      </c>
      <c r="H201" s="5" t="n">
        <v>208289</v>
      </c>
      <c r="I201" s="9" t="n">
        <f aca="false">IF(H201=0,0,C201/H201)</f>
        <v>0.773132522600809</v>
      </c>
      <c r="J201" s="9" t="n">
        <f aca="false">IF(H201=0,0,D201/H201)</f>
        <v>0.148279553889068</v>
      </c>
      <c r="K201" s="9" t="n">
        <f aca="false">IF(H201=0,0,E201/H201)</f>
        <v>0.0562631728031725</v>
      </c>
      <c r="L201" s="9" t="n">
        <f aca="false">IF(H201=0,0,G201/H201)</f>
        <v>0.0216574086965706</v>
      </c>
      <c r="M201" s="4" t="str">
        <f aca="false">INDEX($C$3:$E$3,MATCH(MAX(C201:E201),C201:E201,0))</f>
        <v>Sheinbaum (PVEM-PT-Morena)</v>
      </c>
      <c r="N201" s="18" t="n">
        <f aca="false">IF(H201=0,0,(MAX(C201:E201)-LARGE(C201:E201,2))/H201*100)</f>
        <v>62.4852968711742</v>
      </c>
    </row>
    <row r="202" customFormat="false" ht="15" hidden="false" customHeight="false" outlineLevel="0" collapsed="false">
      <c r="A202" s="4" t="s">
        <v>64</v>
      </c>
      <c r="B202" s="4" t="n">
        <v>2</v>
      </c>
      <c r="C202" s="5" t="n">
        <v>131339</v>
      </c>
      <c r="D202" s="5" t="n">
        <v>33737</v>
      </c>
      <c r="E202" s="5" t="n">
        <v>16236</v>
      </c>
      <c r="F202" s="5" t="n">
        <v>126</v>
      </c>
      <c r="G202" s="5" t="n">
        <v>5792</v>
      </c>
      <c r="H202" s="5" t="n">
        <v>187230</v>
      </c>
      <c r="I202" s="9" t="n">
        <f aca="false">IF(H202=0,0,C202/H202)</f>
        <v>0.701484804785558</v>
      </c>
      <c r="J202" s="9" t="n">
        <f aca="false">IF(H202=0,0,D202/H202)</f>
        <v>0.180190140468942</v>
      </c>
      <c r="K202" s="9" t="n">
        <f aca="false">IF(H202=0,0,E202/H202)</f>
        <v>0.0867168722961064</v>
      </c>
      <c r="L202" s="9" t="n">
        <f aca="false">IF(H202=0,0,G202/H202)</f>
        <v>0.0309352133739251</v>
      </c>
      <c r="M202" s="4" t="str">
        <f aca="false">INDEX($C$3:$E$3,MATCH(MAX(C202:E202),C202:E202,0))</f>
        <v>Sheinbaum (PVEM-PT-Morena)</v>
      </c>
      <c r="N202" s="18" t="n">
        <f aca="false">IF(H202=0,0,(MAX(C202:E202)-LARGE(C202:E202,2))/H202*100)</f>
        <v>52.1294664316616</v>
      </c>
    </row>
    <row r="203" customFormat="false" ht="15" hidden="false" customHeight="false" outlineLevel="0" collapsed="false">
      <c r="A203" s="4" t="s">
        <v>64</v>
      </c>
      <c r="B203" s="4" t="n">
        <v>3</v>
      </c>
      <c r="C203" s="5" t="n">
        <v>155496</v>
      </c>
      <c r="D203" s="5" t="n">
        <v>33699</v>
      </c>
      <c r="E203" s="5" t="n">
        <v>18702</v>
      </c>
      <c r="F203" s="5" t="n">
        <v>230</v>
      </c>
      <c r="G203" s="5" t="n">
        <v>4873</v>
      </c>
      <c r="H203" s="5" t="n">
        <v>213000</v>
      </c>
      <c r="I203" s="9" t="n">
        <f aca="false">IF(H203=0,0,C203/H203)</f>
        <v>0.730028169014085</v>
      </c>
      <c r="J203" s="9" t="n">
        <f aca="false">IF(H203=0,0,D203/H203)</f>
        <v>0.158211267605634</v>
      </c>
      <c r="K203" s="9" t="n">
        <f aca="false">IF(H203=0,0,E203/H203)</f>
        <v>0.0878028169014085</v>
      </c>
      <c r="L203" s="9" t="n">
        <f aca="false">IF(H203=0,0,G203/H203)</f>
        <v>0.0228779342723005</v>
      </c>
      <c r="M203" s="4" t="str">
        <f aca="false">INDEX($C$3:$E$3,MATCH(MAX(C203:E203),C203:E203,0))</f>
        <v>Sheinbaum (PVEM-PT-Morena)</v>
      </c>
      <c r="N203" s="18" t="n">
        <f aca="false">IF(H203=0,0,(MAX(C203:E203)-LARGE(C203:E203,2))/H203*100)</f>
        <v>57.1816901408451</v>
      </c>
    </row>
    <row r="204" customFormat="false" ht="15" hidden="false" customHeight="false" outlineLevel="0" collapsed="false">
      <c r="A204" s="4" t="s">
        <v>64</v>
      </c>
      <c r="B204" s="4" t="n">
        <v>4</v>
      </c>
      <c r="C204" s="5" t="n">
        <v>142821</v>
      </c>
      <c r="D204" s="5" t="n">
        <v>20581</v>
      </c>
      <c r="E204" s="5" t="n">
        <v>11276</v>
      </c>
      <c r="F204" s="5" t="n">
        <v>158</v>
      </c>
      <c r="G204" s="5" t="n">
        <v>5057</v>
      </c>
      <c r="H204" s="5" t="n">
        <v>179893</v>
      </c>
      <c r="I204" s="9" t="n">
        <f aca="false">IF(H204=0,0,C204/H204)</f>
        <v>0.793921942488035</v>
      </c>
      <c r="J204" s="9" t="n">
        <f aca="false">IF(H204=0,0,D204/H204)</f>
        <v>0.114406897433474</v>
      </c>
      <c r="K204" s="9" t="n">
        <f aca="false">IF(H204=0,0,E204/H204)</f>
        <v>0.0626817052358902</v>
      </c>
      <c r="L204" s="9" t="n">
        <f aca="false">IF(H204=0,0,G204/H204)</f>
        <v>0.0281111549643399</v>
      </c>
      <c r="M204" s="4" t="str">
        <f aca="false">INDEX($C$3:$E$3,MATCH(MAX(C204:E204),C204:E204,0))</f>
        <v>Sheinbaum (PVEM-PT-Morena)</v>
      </c>
      <c r="N204" s="18" t="n">
        <f aca="false">IF(H204=0,0,(MAX(C204:E204)-LARGE(C204:E204,2))/H204*100)</f>
        <v>67.951504505456</v>
      </c>
    </row>
    <row r="205" customFormat="false" ht="15" hidden="false" customHeight="false" outlineLevel="0" collapsed="false">
      <c r="A205" s="4" t="s">
        <v>64</v>
      </c>
      <c r="B205" s="4" t="n">
        <v>5</v>
      </c>
      <c r="C205" s="5" t="n">
        <v>149907</v>
      </c>
      <c r="D205" s="5" t="n">
        <v>15151</v>
      </c>
      <c r="E205" s="5" t="n">
        <v>7836</v>
      </c>
      <c r="F205" s="5" t="n">
        <v>86</v>
      </c>
      <c r="G205" s="5" t="n">
        <v>3272</v>
      </c>
      <c r="H205" s="5" t="n">
        <v>176252</v>
      </c>
      <c r="I205" s="9" t="n">
        <f aca="false">IF(H205=0,0,C205/H205)</f>
        <v>0.850526518848013</v>
      </c>
      <c r="J205" s="9" t="n">
        <f aca="false">IF(H205=0,0,D205/H205)</f>
        <v>0.0859621451104101</v>
      </c>
      <c r="K205" s="9" t="n">
        <f aca="false">IF(H205=0,0,E205/H205)</f>
        <v>0.0444590699680004</v>
      </c>
      <c r="L205" s="9" t="n">
        <f aca="false">IF(H205=0,0,G205/H205)</f>
        <v>0.0185643283480471</v>
      </c>
      <c r="M205" s="4" t="str">
        <f aca="false">INDEX($C$3:$E$3,MATCH(MAX(C205:E205),C205:E205,0))</f>
        <v>Sheinbaum (PVEM-PT-Morena)</v>
      </c>
      <c r="N205" s="18" t="n">
        <f aca="false">IF(H205=0,0,(MAX(C205:E205)-LARGE(C205:E205,2))/H205*100)</f>
        <v>76.4564373737603</v>
      </c>
    </row>
    <row r="206" customFormat="false" ht="15" hidden="false" customHeight="false" outlineLevel="0" collapsed="false">
      <c r="A206" s="4" t="s">
        <v>64</v>
      </c>
      <c r="B206" s="4" t="n">
        <v>6</v>
      </c>
      <c r="C206" s="5" t="n">
        <v>132369</v>
      </c>
      <c r="D206" s="5" t="n">
        <v>16145</v>
      </c>
      <c r="E206" s="5" t="n">
        <v>7022</v>
      </c>
      <c r="F206" s="5" t="n">
        <v>166</v>
      </c>
      <c r="G206" s="5" t="n">
        <v>5056</v>
      </c>
      <c r="H206" s="5" t="n">
        <v>160758</v>
      </c>
      <c r="I206" s="9" t="n">
        <f aca="false">IF(H206=0,0,C206/H206)</f>
        <v>0.823405367073489</v>
      </c>
      <c r="J206" s="9" t="n">
        <f aca="false">IF(H206=0,0,D206/H206)</f>
        <v>0.100430460692469</v>
      </c>
      <c r="K206" s="9" t="n">
        <f aca="false">IF(H206=0,0,E206/H206)</f>
        <v>0.0436805633312184</v>
      </c>
      <c r="L206" s="9" t="n">
        <f aca="false">IF(H206=0,0,G206/H206)</f>
        <v>0.0314510008833153</v>
      </c>
      <c r="M206" s="4" t="str">
        <f aca="false">INDEX($C$3:$E$3,MATCH(MAX(C206:E206),C206:E206,0))</f>
        <v>Sheinbaum (PVEM-PT-Morena)</v>
      </c>
      <c r="N206" s="18" t="n">
        <f aca="false">IF(H206=0,0,(MAX(C206:E206)-LARGE(C206:E206,2))/H206*100)</f>
        <v>72.297490638102</v>
      </c>
    </row>
    <row r="207" customFormat="false" ht="15" hidden="false" customHeight="false" outlineLevel="0" collapsed="false">
      <c r="A207" s="4" t="s">
        <v>64</v>
      </c>
      <c r="B207" s="4" t="n">
        <v>7</v>
      </c>
      <c r="C207" s="5" t="n">
        <v>145390</v>
      </c>
      <c r="D207" s="5" t="n">
        <v>15523</v>
      </c>
      <c r="E207" s="5" t="n">
        <v>9440</v>
      </c>
      <c r="F207" s="5" t="n">
        <v>79</v>
      </c>
      <c r="G207" s="5" t="n">
        <v>3061</v>
      </c>
      <c r="H207" s="5" t="n">
        <v>173493</v>
      </c>
      <c r="I207" s="9" t="n">
        <f aca="false">IF(H207=0,0,C207/H207)</f>
        <v>0.838016519398477</v>
      </c>
      <c r="J207" s="9" t="n">
        <f aca="false">IF(H207=0,0,D207/H207)</f>
        <v>0.0894733505098188</v>
      </c>
      <c r="K207" s="9" t="n">
        <f aca="false">IF(H207=0,0,E207/H207)</f>
        <v>0.0544114171753327</v>
      </c>
      <c r="L207" s="9" t="n">
        <f aca="false">IF(H207=0,0,G207/H207)</f>
        <v>0.0176433631328065</v>
      </c>
      <c r="M207" s="4" t="str">
        <f aca="false">INDEX($C$3:$E$3,MATCH(MAX(C207:E207),C207:E207,0))</f>
        <v>Sheinbaum (PVEM-PT-Morena)</v>
      </c>
      <c r="N207" s="18" t="n">
        <f aca="false">IF(H207=0,0,(MAX(C207:E207)-LARGE(C207:E207,2))/H207*100)</f>
        <v>74.8543168888658</v>
      </c>
    </row>
    <row r="208" customFormat="false" ht="15" hidden="false" customHeight="false" outlineLevel="0" collapsed="false">
      <c r="A208" s="4" t="s">
        <v>64</v>
      </c>
      <c r="B208" s="4" t="n">
        <v>8</v>
      </c>
      <c r="C208" s="5" t="n">
        <v>142414</v>
      </c>
      <c r="D208" s="5" t="n">
        <v>52765</v>
      </c>
      <c r="E208" s="5" t="n">
        <v>24277</v>
      </c>
      <c r="F208" s="5" t="n">
        <v>347</v>
      </c>
      <c r="G208" s="5" t="n">
        <v>3624</v>
      </c>
      <c r="H208" s="5" t="n">
        <v>223427</v>
      </c>
      <c r="I208" s="9" t="n">
        <f aca="false">IF(H208=0,0,C208/H208)</f>
        <v>0.637407296342877</v>
      </c>
      <c r="J208" s="9" t="n">
        <f aca="false">IF(H208=0,0,D208/H208)</f>
        <v>0.236162146920471</v>
      </c>
      <c r="K208" s="9" t="n">
        <f aca="false">IF(H208=0,0,E208/H208)</f>
        <v>0.108657413830916</v>
      </c>
      <c r="L208" s="9" t="n">
        <f aca="false">IF(H208=0,0,G208/H208)</f>
        <v>0.0162200629288313</v>
      </c>
      <c r="M208" s="4" t="str">
        <f aca="false">INDEX($C$3:$E$3,MATCH(MAX(C208:E208),C208:E208,0))</f>
        <v>Sheinbaum (PVEM-PT-Morena)</v>
      </c>
      <c r="N208" s="18" t="n">
        <f aca="false">IF(H208=0,0,(MAX(C208:E208)-LARGE(C208:E208,2))/H208*100)</f>
        <v>40.1245149422406</v>
      </c>
    </row>
    <row r="209" customFormat="false" ht="15" hidden="false" customHeight="false" outlineLevel="0" collapsed="false">
      <c r="A209" s="4" t="s">
        <v>64</v>
      </c>
      <c r="B209" s="4" t="n">
        <v>9</v>
      </c>
      <c r="C209" s="5" t="n">
        <v>132195</v>
      </c>
      <c r="D209" s="5" t="n">
        <v>30580</v>
      </c>
      <c r="E209" s="5" t="n">
        <v>6756</v>
      </c>
      <c r="F209" s="5" t="n">
        <v>97</v>
      </c>
      <c r="G209" s="5" t="n">
        <v>5892</v>
      </c>
      <c r="H209" s="5" t="n">
        <v>175520</v>
      </c>
      <c r="I209" s="9" t="n">
        <f aca="false">IF(H209=0,0,C209/H209)</f>
        <v>0.753162032816773</v>
      </c>
      <c r="J209" s="9" t="n">
        <f aca="false">IF(H209=0,0,D209/H209)</f>
        <v>0.17422515952598</v>
      </c>
      <c r="K209" s="9" t="n">
        <f aca="false">IF(H209=0,0,E209/H209)</f>
        <v>0.0384913400182315</v>
      </c>
      <c r="L209" s="9" t="n">
        <f aca="false">IF(H209=0,0,G209/H209)</f>
        <v>0.0335688240656335</v>
      </c>
      <c r="M209" s="4" t="str">
        <f aca="false">INDEX($C$3:$E$3,MATCH(MAX(C209:E209),C209:E209,0))</f>
        <v>Sheinbaum (PVEM-PT-Morena)</v>
      </c>
      <c r="N209" s="18" t="n">
        <f aca="false">IF(H209=0,0,(MAX(C209:E209)-LARGE(C209:E209,2))/H209*100)</f>
        <v>57.8936873290793</v>
      </c>
    </row>
    <row r="210" customFormat="false" ht="15" hidden="false" customHeight="false" outlineLevel="0" collapsed="false">
      <c r="A210" s="4" t="s">
        <v>64</v>
      </c>
      <c r="B210" s="4" t="n">
        <v>10</v>
      </c>
      <c r="C210" s="5" t="n">
        <v>143241</v>
      </c>
      <c r="D210" s="5" t="n">
        <v>22364</v>
      </c>
      <c r="E210" s="5" t="n">
        <v>11301</v>
      </c>
      <c r="F210" s="5" t="n">
        <v>188</v>
      </c>
      <c r="G210" s="5" t="n">
        <v>6477</v>
      </c>
      <c r="H210" s="5" t="n">
        <v>183571</v>
      </c>
      <c r="I210" s="9" t="n">
        <f aca="false">IF(H210=0,0,C210/H210)</f>
        <v>0.780302989034216</v>
      </c>
      <c r="J210" s="9" t="n">
        <f aca="false">IF(H210=0,0,D210/H210)</f>
        <v>0.121827521776315</v>
      </c>
      <c r="K210" s="9" t="n">
        <f aca="false">IF(H210=0,0,E210/H210)</f>
        <v>0.0615620114288205</v>
      </c>
      <c r="L210" s="9" t="n">
        <f aca="false">IF(H210=0,0,G210/H210)</f>
        <v>0.035283350856072</v>
      </c>
      <c r="M210" s="4" t="str">
        <f aca="false">INDEX($C$3:$E$3,MATCH(MAX(C210:E210),C210:E210,0))</f>
        <v>Sheinbaum (PVEM-PT-Morena)</v>
      </c>
      <c r="N210" s="18" t="n">
        <f aca="false">IF(H210=0,0,(MAX(C210:E210)-LARGE(C210:E210,2))/H210*100)</f>
        <v>65.84754672579</v>
      </c>
    </row>
    <row r="211" customFormat="false" ht="15" hidden="false" customHeight="false" outlineLevel="0" collapsed="false">
      <c r="A211" s="4" t="s">
        <v>65</v>
      </c>
      <c r="B211" s="4" t="n">
        <v>1</v>
      </c>
      <c r="C211" s="5" t="n">
        <v>133790</v>
      </c>
      <c r="D211" s="5" t="n">
        <v>40477</v>
      </c>
      <c r="E211" s="5" t="n">
        <v>17575</v>
      </c>
      <c r="F211" s="5" t="n">
        <v>223</v>
      </c>
      <c r="G211" s="5" t="n">
        <v>9179</v>
      </c>
      <c r="H211" s="5" t="n">
        <v>201244</v>
      </c>
      <c r="I211" s="9" t="n">
        <f aca="false">IF(H211=0,0,C211/H211)</f>
        <v>0.664814851622906</v>
      </c>
      <c r="J211" s="9" t="n">
        <f aca="false">IF(H211=0,0,D211/H211)</f>
        <v>0.201133946850589</v>
      </c>
      <c r="K211" s="9" t="n">
        <f aca="false">IF(H211=0,0,E211/H211)</f>
        <v>0.0873317962274652</v>
      </c>
      <c r="L211" s="9" t="n">
        <f aca="false">IF(H211=0,0,G211/H211)</f>
        <v>0.045611297728131</v>
      </c>
      <c r="M211" s="4" t="str">
        <f aca="false">INDEX($C$3:$E$3,MATCH(MAX(C211:E211),C211:E211,0))</f>
        <v>Sheinbaum (PVEM-PT-Morena)</v>
      </c>
      <c r="N211" s="18" t="n">
        <f aca="false">IF(H211=0,0,(MAX(C211:E211)-LARGE(C211:E211,2))/H211*100)</f>
        <v>46.3680904772316</v>
      </c>
    </row>
    <row r="212" customFormat="false" ht="15" hidden="false" customHeight="false" outlineLevel="0" collapsed="false">
      <c r="A212" s="4" t="s">
        <v>65</v>
      </c>
      <c r="B212" s="4" t="n">
        <v>2</v>
      </c>
      <c r="C212" s="5" t="n">
        <v>135553</v>
      </c>
      <c r="D212" s="5" t="n">
        <v>54534</v>
      </c>
      <c r="E212" s="5" t="n">
        <v>15997</v>
      </c>
      <c r="F212" s="5" t="n">
        <v>219</v>
      </c>
      <c r="G212" s="5" t="n">
        <v>8755</v>
      </c>
      <c r="H212" s="5" t="n">
        <v>215058</v>
      </c>
      <c r="I212" s="9" t="n">
        <f aca="false">IF(H212=0,0,C212/H212)</f>
        <v>0.630309032912052</v>
      </c>
      <c r="J212" s="9" t="n">
        <f aca="false">IF(H212=0,0,D212/H212)</f>
        <v>0.253578104511341</v>
      </c>
      <c r="K212" s="9" t="n">
        <f aca="false">IF(H212=0,0,E212/H212)</f>
        <v>0.0743845846236829</v>
      </c>
      <c r="L212" s="9" t="n">
        <f aca="false">IF(H212=0,0,G212/H212)</f>
        <v>0.0407099480140241</v>
      </c>
      <c r="M212" s="4" t="str">
        <f aca="false">INDEX($C$3:$E$3,MATCH(MAX(C212:E212),C212:E212,0))</f>
        <v>Sheinbaum (PVEM-PT-Morena)</v>
      </c>
      <c r="N212" s="18" t="n">
        <f aca="false">IF(H212=0,0,(MAX(C212:E212)-LARGE(C212:E212,2))/H212*100)</f>
        <v>37.6730928400711</v>
      </c>
    </row>
    <row r="213" customFormat="false" ht="15" hidden="false" customHeight="false" outlineLevel="0" collapsed="false">
      <c r="A213" s="4" t="s">
        <v>65</v>
      </c>
      <c r="B213" s="4" t="n">
        <v>3</v>
      </c>
      <c r="C213" s="5" t="n">
        <v>147535</v>
      </c>
      <c r="D213" s="5" t="n">
        <v>36494</v>
      </c>
      <c r="E213" s="5" t="n">
        <v>21721</v>
      </c>
      <c r="F213" s="5" t="n">
        <v>145</v>
      </c>
      <c r="G213" s="5" t="n">
        <v>6809</v>
      </c>
      <c r="H213" s="5" t="n">
        <v>212704</v>
      </c>
      <c r="I213" s="9" t="n">
        <f aca="false">IF(H213=0,0,C213/H213)</f>
        <v>0.693616481119302</v>
      </c>
      <c r="J213" s="9" t="n">
        <f aca="false">IF(H213=0,0,D213/H213)</f>
        <v>0.171571761697006</v>
      </c>
      <c r="K213" s="9" t="n">
        <f aca="false">IF(H213=0,0,E213/H213)</f>
        <v>0.102118436888822</v>
      </c>
      <c r="L213" s="9" t="n">
        <f aca="false">IF(H213=0,0,G213/H213)</f>
        <v>0.0320116217842636</v>
      </c>
      <c r="M213" s="4" t="str">
        <f aca="false">INDEX($C$3:$E$3,MATCH(MAX(C213:E213),C213:E213,0))</f>
        <v>Sheinbaum (PVEM-PT-Morena)</v>
      </c>
      <c r="N213" s="18" t="n">
        <f aca="false">IF(H213=0,0,(MAX(C213:E213)-LARGE(C213:E213,2))/H213*100)</f>
        <v>52.2044719422296</v>
      </c>
    </row>
    <row r="214" customFormat="false" ht="15" hidden="false" customHeight="false" outlineLevel="0" collapsed="false">
      <c r="A214" s="4" t="s">
        <v>65</v>
      </c>
      <c r="B214" s="4" t="n">
        <v>4</v>
      </c>
      <c r="C214" s="5" t="n">
        <v>143210</v>
      </c>
      <c r="D214" s="5" t="n">
        <v>33404</v>
      </c>
      <c r="E214" s="5" t="n">
        <v>28440</v>
      </c>
      <c r="F214" s="5" t="n">
        <v>222</v>
      </c>
      <c r="G214" s="5" t="n">
        <v>7772</v>
      </c>
      <c r="H214" s="5" t="n">
        <v>213048</v>
      </c>
      <c r="I214" s="9" t="n">
        <f aca="false">IF(H214=0,0,C214/H214)</f>
        <v>0.672195937065826</v>
      </c>
      <c r="J214" s="9" t="n">
        <f aca="false">IF(H214=0,0,D214/H214)</f>
        <v>0.1567909579062</v>
      </c>
      <c r="K214" s="9" t="n">
        <f aca="false">IF(H214=0,0,E214/H214)</f>
        <v>0.133491044271713</v>
      </c>
      <c r="L214" s="9" t="n">
        <f aca="false">IF(H214=0,0,G214/H214)</f>
        <v>0.0364800420562502</v>
      </c>
      <c r="M214" s="4" t="str">
        <f aca="false">INDEX($C$3:$E$3,MATCH(MAX(C214:E214),C214:E214,0))</f>
        <v>Sheinbaum (PVEM-PT-Morena)</v>
      </c>
      <c r="N214" s="18" t="n">
        <f aca="false">IF(H214=0,0,(MAX(C214:E214)-LARGE(C214:E214,2))/H214*100)</f>
        <v>51.5404979159626</v>
      </c>
    </row>
    <row r="215" customFormat="false" ht="15" hidden="false" customHeight="false" outlineLevel="0" collapsed="false">
      <c r="A215" s="4" t="s">
        <v>65</v>
      </c>
      <c r="B215" s="4" t="n">
        <v>5</v>
      </c>
      <c r="C215" s="5" t="n">
        <v>133946</v>
      </c>
      <c r="D215" s="5" t="n">
        <v>29125</v>
      </c>
      <c r="E215" s="5" t="n">
        <v>30021</v>
      </c>
      <c r="F215" s="5" t="n">
        <v>317</v>
      </c>
      <c r="G215" s="5" t="n">
        <v>5061</v>
      </c>
      <c r="H215" s="5" t="n">
        <v>198470</v>
      </c>
      <c r="I215" s="9" t="n">
        <f aca="false">IF(H215=0,0,C215/H215)</f>
        <v>0.67489293092155</v>
      </c>
      <c r="J215" s="9" t="n">
        <f aca="false">IF(H215=0,0,D215/H215)</f>
        <v>0.14674761928755</v>
      </c>
      <c r="K215" s="9" t="n">
        <f aca="false">IF(H215=0,0,E215/H215)</f>
        <v>0.151262155489495</v>
      </c>
      <c r="L215" s="9" t="n">
        <f aca="false">IF(H215=0,0,G215/H215)</f>
        <v>0.025500075578173</v>
      </c>
      <c r="M215" s="4" t="str">
        <f aca="false">INDEX($C$3:$E$3,MATCH(MAX(C215:E215),C215:E215,0))</f>
        <v>Sheinbaum (PVEM-PT-Morena)</v>
      </c>
      <c r="N215" s="18" t="n">
        <f aca="false">IF(H215=0,0,(MAX(C215:E215)-LARGE(C215:E215,2))/H215*100)</f>
        <v>52.3630775432055</v>
      </c>
    </row>
    <row r="216" customFormat="false" ht="15" hidden="false" customHeight="false" outlineLevel="0" collapsed="false">
      <c r="A216" s="4" t="s">
        <v>65</v>
      </c>
      <c r="B216" s="4" t="n">
        <v>6</v>
      </c>
      <c r="C216" s="5" t="n">
        <v>129252</v>
      </c>
      <c r="D216" s="5" t="n">
        <v>43922</v>
      </c>
      <c r="E216" s="5" t="n">
        <v>22034</v>
      </c>
      <c r="F216" s="5" t="n">
        <v>320</v>
      </c>
      <c r="G216" s="5" t="n">
        <v>4147</v>
      </c>
      <c r="H216" s="5" t="n">
        <v>199675</v>
      </c>
      <c r="I216" s="9" t="n">
        <f aca="false">IF(H216=0,0,C216/H216)</f>
        <v>0.647311881807938</v>
      </c>
      <c r="J216" s="9" t="n">
        <f aca="false">IF(H216=0,0,D216/H216)</f>
        <v>0.21996744710154</v>
      </c>
      <c r="K216" s="9" t="n">
        <f aca="false">IF(H216=0,0,E216/H216)</f>
        <v>0.110349317641167</v>
      </c>
      <c r="L216" s="9" t="n">
        <f aca="false">IF(H216=0,0,G216/H216)</f>
        <v>0.0207687492174784</v>
      </c>
      <c r="M216" s="4" t="str">
        <f aca="false">INDEX($C$3:$E$3,MATCH(MAX(C216:E216),C216:E216,0))</f>
        <v>Sheinbaum (PVEM-PT-Morena)</v>
      </c>
      <c r="N216" s="18" t="n">
        <f aca="false">IF(H216=0,0,(MAX(C216:E216)-LARGE(C216:E216,2))/H216*100)</f>
        <v>42.7344434706398</v>
      </c>
    </row>
    <row r="217" customFormat="false" ht="15" hidden="false" customHeight="false" outlineLevel="0" collapsed="false">
      <c r="A217" s="4" t="s">
        <v>65</v>
      </c>
      <c r="B217" s="4" t="n">
        <v>7</v>
      </c>
      <c r="C217" s="5" t="n">
        <v>132844</v>
      </c>
      <c r="D217" s="5" t="n">
        <v>26279</v>
      </c>
      <c r="E217" s="5" t="n">
        <v>19948</v>
      </c>
      <c r="F217" s="5" t="n">
        <v>143</v>
      </c>
      <c r="G217" s="5" t="n">
        <v>4997</v>
      </c>
      <c r="H217" s="5" t="n">
        <v>184211</v>
      </c>
      <c r="I217" s="9" t="n">
        <f aca="false">IF(H217=0,0,C217/H217)</f>
        <v>0.721151288468115</v>
      </c>
      <c r="J217" s="9" t="n">
        <f aca="false">IF(H217=0,0,D217/H217)</f>
        <v>0.142657061738984</v>
      </c>
      <c r="K217" s="9" t="n">
        <f aca="false">IF(H217=0,0,E217/H217)</f>
        <v>0.108288864400063</v>
      </c>
      <c r="L217" s="9" t="n">
        <f aca="false">IF(H217=0,0,G217/H217)</f>
        <v>0.02712650167471</v>
      </c>
      <c r="M217" s="4" t="str">
        <f aca="false">INDEX($C$3:$E$3,MATCH(MAX(C217:E217),C217:E217,0))</f>
        <v>Sheinbaum (PVEM-PT-Morena)</v>
      </c>
      <c r="N217" s="18" t="n">
        <f aca="false">IF(H217=0,0,(MAX(C217:E217)-LARGE(C217:E217,2))/H217*100)</f>
        <v>57.8494226729131</v>
      </c>
    </row>
    <row r="218" customFormat="false" ht="15" hidden="false" customHeight="false" outlineLevel="0" collapsed="false">
      <c r="A218" s="4" t="s">
        <v>65</v>
      </c>
      <c r="B218" s="4" t="n">
        <v>8</v>
      </c>
      <c r="C218" s="5" t="n">
        <v>135044</v>
      </c>
      <c r="D218" s="5" t="n">
        <v>23432</v>
      </c>
      <c r="E218" s="5" t="n">
        <v>21664</v>
      </c>
      <c r="F218" s="5" t="n">
        <v>206</v>
      </c>
      <c r="G218" s="5" t="n">
        <v>6573</v>
      </c>
      <c r="H218" s="5" t="n">
        <v>186919</v>
      </c>
      <c r="I218" s="9" t="n">
        <f aca="false">IF(H218=0,0,C218/H218)</f>
        <v>0.722473370818376</v>
      </c>
      <c r="J218" s="9" t="n">
        <f aca="false">IF(H218=0,0,D218/H218)</f>
        <v>0.125359112770772</v>
      </c>
      <c r="K218" s="9" t="n">
        <f aca="false">IF(H218=0,0,E218/H218)</f>
        <v>0.11590047025717</v>
      </c>
      <c r="L218" s="9" t="n">
        <f aca="false">IF(H218=0,0,G218/H218)</f>
        <v>0.035164964503341</v>
      </c>
      <c r="M218" s="4" t="str">
        <f aca="false">INDEX($C$3:$E$3,MATCH(MAX(C218:E218),C218:E218,0))</f>
        <v>Sheinbaum (PVEM-PT-Morena)</v>
      </c>
      <c r="N218" s="18" t="n">
        <f aca="false">IF(H218=0,0,(MAX(C218:E218)-LARGE(C218:E218,2))/H218*100)</f>
        <v>59.7114258047604</v>
      </c>
    </row>
    <row r="219" customFormat="false" ht="15" hidden="false" customHeight="false" outlineLevel="0" collapsed="false">
      <c r="A219" s="4" t="s">
        <v>65</v>
      </c>
      <c r="B219" s="4" t="n">
        <v>9</v>
      </c>
      <c r="C219" s="5" t="n">
        <v>134987</v>
      </c>
      <c r="D219" s="5" t="n">
        <v>74519</v>
      </c>
      <c r="E219" s="5" t="n">
        <v>24424</v>
      </c>
      <c r="F219" s="5" t="n">
        <v>427</v>
      </c>
      <c r="G219" s="5" t="n">
        <v>4273</v>
      </c>
      <c r="H219" s="5" t="n">
        <v>238630</v>
      </c>
      <c r="I219" s="9" t="n">
        <f aca="false">IF(H219=0,0,C219/H219)</f>
        <v>0.565674894187655</v>
      </c>
      <c r="J219" s="9" t="n">
        <f aca="false">IF(H219=0,0,D219/H219)</f>
        <v>0.3122784226627</v>
      </c>
      <c r="K219" s="9" t="n">
        <f aca="false">IF(H219=0,0,E219/H219)</f>
        <v>0.102350919834053</v>
      </c>
      <c r="L219" s="9" t="n">
        <f aca="false">IF(H219=0,0,G219/H219)</f>
        <v>0.0179063822654318</v>
      </c>
      <c r="M219" s="4" t="str">
        <f aca="false">INDEX($C$3:$E$3,MATCH(MAX(C219:E219),C219:E219,0))</f>
        <v>Sheinbaum (PVEM-PT-Morena)</v>
      </c>
      <c r="N219" s="18" t="n">
        <f aca="false">IF(H219=0,0,(MAX(C219:E219)-LARGE(C219:E219,2))/H219*100)</f>
        <v>25.3396471524955</v>
      </c>
    </row>
    <row r="220" customFormat="false" ht="15" hidden="false" customHeight="false" outlineLevel="0" collapsed="false">
      <c r="A220" s="4" t="s">
        <v>65</v>
      </c>
      <c r="B220" s="4" t="n">
        <v>10</v>
      </c>
      <c r="C220" s="5" t="n">
        <v>114089</v>
      </c>
      <c r="D220" s="5" t="n">
        <v>78082</v>
      </c>
      <c r="E220" s="5" t="n">
        <v>24732</v>
      </c>
      <c r="F220" s="5" t="n">
        <v>424</v>
      </c>
      <c r="G220" s="5" t="n">
        <v>3834</v>
      </c>
      <c r="H220" s="5" t="n">
        <v>221161</v>
      </c>
      <c r="I220" s="9" t="n">
        <f aca="false">IF(H220=0,0,C220/H220)</f>
        <v>0.51586400857294</v>
      </c>
      <c r="J220" s="9" t="n">
        <f aca="false">IF(H220=0,0,D220/H220)</f>
        <v>0.35305501422041</v>
      </c>
      <c r="K220" s="9" t="n">
        <f aca="false">IF(H220=0,0,E220/H220)</f>
        <v>0.111828034780092</v>
      </c>
      <c r="L220" s="9" t="n">
        <f aca="false">IF(H220=0,0,G220/H220)</f>
        <v>0.0173357870510623</v>
      </c>
      <c r="M220" s="4" t="str">
        <f aca="false">INDEX($C$3:$E$3,MATCH(MAX(C220:E220),C220:E220,0))</f>
        <v>Sheinbaum (PVEM-PT-Morena)</v>
      </c>
      <c r="N220" s="18" t="n">
        <f aca="false">IF(H220=0,0,(MAX(C220:E220)-LARGE(C220:E220,2))/H220*100)</f>
        <v>16.2808994352531</v>
      </c>
    </row>
    <row r="221" customFormat="false" ht="15" hidden="false" customHeight="false" outlineLevel="0" collapsed="false">
      <c r="A221" s="4" t="s">
        <v>65</v>
      </c>
      <c r="B221" s="4" t="n">
        <v>11</v>
      </c>
      <c r="C221" s="5" t="n">
        <v>118154</v>
      </c>
      <c r="D221" s="5" t="n">
        <v>60772</v>
      </c>
      <c r="E221" s="5" t="n">
        <v>22836</v>
      </c>
      <c r="F221" s="5" t="n">
        <v>362</v>
      </c>
      <c r="G221" s="5" t="n">
        <v>4024</v>
      </c>
      <c r="H221" s="5" t="n">
        <v>206148</v>
      </c>
      <c r="I221" s="9" t="n">
        <f aca="false">IF(H221=0,0,C221/H221)</f>
        <v>0.573151328171993</v>
      </c>
      <c r="J221" s="9" t="n">
        <f aca="false">IF(H221=0,0,D221/H221)</f>
        <v>0.294797912179599</v>
      </c>
      <c r="K221" s="9" t="n">
        <f aca="false">IF(H221=0,0,E221/H221)</f>
        <v>0.110774783165493</v>
      </c>
      <c r="L221" s="9" t="n">
        <f aca="false">IF(H221=0,0,G221/H221)</f>
        <v>0.0195199565360809</v>
      </c>
      <c r="M221" s="4" t="str">
        <f aca="false">INDEX($C$3:$E$3,MATCH(MAX(C221:E221),C221:E221,0))</f>
        <v>Sheinbaum (PVEM-PT-Morena)</v>
      </c>
      <c r="N221" s="18" t="n">
        <f aca="false">IF(H221=0,0,(MAX(C221:E221)-LARGE(C221:E221,2))/H221*100)</f>
        <v>27.8353415992394</v>
      </c>
    </row>
    <row r="222" customFormat="false" ht="15" hidden="false" customHeight="false" outlineLevel="0" collapsed="false">
      <c r="A222" s="4" t="s">
        <v>65</v>
      </c>
      <c r="B222" s="4" t="n">
        <v>12</v>
      </c>
      <c r="C222" s="5" t="n">
        <v>118085</v>
      </c>
      <c r="D222" s="5" t="n">
        <v>68182</v>
      </c>
      <c r="E222" s="5" t="n">
        <v>21261</v>
      </c>
      <c r="F222" s="5" t="n">
        <v>346</v>
      </c>
      <c r="G222" s="5" t="n">
        <v>4423</v>
      </c>
      <c r="H222" s="5" t="n">
        <v>212297</v>
      </c>
      <c r="I222" s="9" t="n">
        <f aca="false">IF(H222=0,0,C222/H222)</f>
        <v>0.556225476572914</v>
      </c>
      <c r="J222" s="9" t="n">
        <f aca="false">IF(H222=0,0,D222/H222)</f>
        <v>0.32116327597658</v>
      </c>
      <c r="K222" s="9" t="n">
        <f aca="false">IF(H222=0,0,E222/H222)</f>
        <v>0.100147434961398</v>
      </c>
      <c r="L222" s="9" t="n">
        <f aca="false">IF(H222=0,0,G222/H222)</f>
        <v>0.020834020264064</v>
      </c>
      <c r="M222" s="4" t="str">
        <f aca="false">INDEX($C$3:$E$3,MATCH(MAX(C222:E222),C222:E222,0))</f>
        <v>Sheinbaum (PVEM-PT-Morena)</v>
      </c>
      <c r="N222" s="18" t="n">
        <f aca="false">IF(H222=0,0,(MAX(C222:E222)-LARGE(C222:E222,2))/H222*100)</f>
        <v>23.5062200596334</v>
      </c>
    </row>
    <row r="223" customFormat="false" ht="15" hidden="false" customHeight="false" outlineLevel="0" collapsed="false">
      <c r="A223" s="4" t="s">
        <v>65</v>
      </c>
      <c r="B223" s="4" t="n">
        <v>13</v>
      </c>
      <c r="C223" s="5" t="n">
        <v>125578</v>
      </c>
      <c r="D223" s="5" t="n">
        <v>36391</v>
      </c>
      <c r="E223" s="5" t="n">
        <v>18555</v>
      </c>
      <c r="F223" s="5" t="n">
        <v>214</v>
      </c>
      <c r="G223" s="5" t="n">
        <v>5515</v>
      </c>
      <c r="H223" s="5" t="n">
        <v>186253</v>
      </c>
      <c r="I223" s="9" t="n">
        <f aca="false">IF(H223=0,0,C223/H223)</f>
        <v>0.674233435166145</v>
      </c>
      <c r="J223" s="9" t="n">
        <f aca="false">IF(H223=0,0,D223/H223)</f>
        <v>0.195384772325815</v>
      </c>
      <c r="K223" s="9" t="n">
        <f aca="false">IF(H223=0,0,E223/H223)</f>
        <v>0.0996225564151987</v>
      </c>
      <c r="L223" s="9" t="n">
        <f aca="false">IF(H223=0,0,G223/H223)</f>
        <v>0.0296102613112272</v>
      </c>
      <c r="M223" s="4" t="str">
        <f aca="false">INDEX($C$3:$E$3,MATCH(MAX(C223:E223),C223:E223,0))</f>
        <v>Sheinbaum (PVEM-PT-Morena)</v>
      </c>
      <c r="N223" s="18" t="n">
        <f aca="false">IF(H223=0,0,(MAX(C223:E223)-LARGE(C223:E223,2))/H223*100)</f>
        <v>47.884866284033</v>
      </c>
    </row>
    <row r="224" customFormat="false" ht="15" hidden="false" customHeight="false" outlineLevel="0" collapsed="false">
      <c r="A224" s="4" t="s">
        <v>65</v>
      </c>
      <c r="B224" s="4" t="n">
        <v>14</v>
      </c>
      <c r="C224" s="5" t="n">
        <v>145165</v>
      </c>
      <c r="D224" s="5" t="n">
        <v>38530</v>
      </c>
      <c r="E224" s="5" t="n">
        <v>12119</v>
      </c>
      <c r="F224" s="5" t="n">
        <v>120</v>
      </c>
      <c r="G224" s="5" t="n">
        <v>4852</v>
      </c>
      <c r="H224" s="5" t="n">
        <v>200786</v>
      </c>
      <c r="I224" s="9" t="n">
        <f aca="false">IF(H224=0,0,C224/H224)</f>
        <v>0.722983674160549</v>
      </c>
      <c r="J224" s="9" t="n">
        <f aca="false">IF(H224=0,0,D224/H224)</f>
        <v>0.191895849312203</v>
      </c>
      <c r="K224" s="9" t="n">
        <f aca="false">IF(H224=0,0,E224/H224)</f>
        <v>0.0603577938700905</v>
      </c>
      <c r="L224" s="9" t="n">
        <f aca="false">IF(H224=0,0,G224/H224)</f>
        <v>0.0241650314264939</v>
      </c>
      <c r="M224" s="4" t="str">
        <f aca="false">INDEX($C$3:$E$3,MATCH(MAX(C224:E224),C224:E224,0))</f>
        <v>Sheinbaum (PVEM-PT-Morena)</v>
      </c>
      <c r="N224" s="18" t="n">
        <f aca="false">IF(H224=0,0,(MAX(C224:E224)-LARGE(C224:E224,2))/H224*100)</f>
        <v>53.1087824848346</v>
      </c>
    </row>
    <row r="225" customFormat="false" ht="15" hidden="false" customHeight="false" outlineLevel="0" collapsed="false">
      <c r="A225" s="4" t="s">
        <v>65</v>
      </c>
      <c r="B225" s="4" t="n">
        <v>15</v>
      </c>
      <c r="C225" s="5" t="n">
        <v>143282</v>
      </c>
      <c r="D225" s="5" t="n">
        <v>27013</v>
      </c>
      <c r="E225" s="5" t="n">
        <v>17416</v>
      </c>
      <c r="F225" s="5" t="n">
        <v>241</v>
      </c>
      <c r="G225" s="5" t="n">
        <v>4264</v>
      </c>
      <c r="H225" s="5" t="n">
        <v>192216</v>
      </c>
      <c r="I225" s="9" t="n">
        <f aca="false">IF(H225=0,0,C225/H225)</f>
        <v>0.745421817122404</v>
      </c>
      <c r="J225" s="9" t="n">
        <f aca="false">IF(H225=0,0,D225/H225)</f>
        <v>0.14053460690057</v>
      </c>
      <c r="K225" s="9" t="n">
        <f aca="false">IF(H225=0,0,E225/H225)</f>
        <v>0.0906064011320598</v>
      </c>
      <c r="L225" s="9" t="n">
        <f aca="false">IF(H225=0,0,G225/H225)</f>
        <v>0.0221833770341699</v>
      </c>
      <c r="M225" s="4" t="str">
        <f aca="false">INDEX($C$3:$E$3,MATCH(MAX(C225:E225),C225:E225,0))</f>
        <v>Sheinbaum (PVEM-PT-Morena)</v>
      </c>
      <c r="N225" s="18" t="n">
        <f aca="false">IF(H225=0,0,(MAX(C225:E225)-LARGE(C225:E225,2))/H225*100)</f>
        <v>60.4887210221834</v>
      </c>
    </row>
    <row r="226" customFormat="false" ht="15" hidden="false" customHeight="false" outlineLevel="0" collapsed="false">
      <c r="A226" s="4" t="s">
        <v>65</v>
      </c>
      <c r="B226" s="4" t="n">
        <v>16</v>
      </c>
      <c r="C226" s="5" t="n">
        <v>149780</v>
      </c>
      <c r="D226" s="5" t="n">
        <v>41752</v>
      </c>
      <c r="E226" s="5" t="n">
        <v>13129</v>
      </c>
      <c r="F226" s="5" t="n">
        <v>140</v>
      </c>
      <c r="G226" s="5" t="n">
        <v>9359</v>
      </c>
      <c r="H226" s="5" t="n">
        <v>214160</v>
      </c>
      <c r="I226" s="9" t="n">
        <f aca="false">IF(H226=0,0,C226/H226)</f>
        <v>0.699383638401195</v>
      </c>
      <c r="J226" s="9" t="n">
        <f aca="false">IF(H226=0,0,D226/H226)</f>
        <v>0.194957041464326</v>
      </c>
      <c r="K226" s="9" t="n">
        <f aca="false">IF(H226=0,0,E226/H226)</f>
        <v>0.0613046320508031</v>
      </c>
      <c r="L226" s="9" t="n">
        <f aca="false">IF(H226=0,0,G226/H226)</f>
        <v>0.0437009712364587</v>
      </c>
      <c r="M226" s="4" t="str">
        <f aca="false">INDEX($C$3:$E$3,MATCH(MAX(C226:E226),C226:E226,0))</f>
        <v>Sheinbaum (PVEM-PT-Morena)</v>
      </c>
      <c r="N226" s="18" t="n">
        <f aca="false">IF(H226=0,0,(MAX(C226:E226)-LARGE(C226:E226,2))/H226*100)</f>
        <v>50.442659693687</v>
      </c>
    </row>
    <row r="227" customFormat="false" ht="15" hidden="false" customHeight="false" outlineLevel="0" collapsed="false">
      <c r="A227" s="4" t="s">
        <v>66</v>
      </c>
      <c r="B227" s="4" t="n">
        <v>1</v>
      </c>
      <c r="C227" s="5" t="n">
        <v>127307</v>
      </c>
      <c r="D227" s="5" t="n">
        <v>56083</v>
      </c>
      <c r="E227" s="5" t="n">
        <v>22980</v>
      </c>
      <c r="F227" s="5" t="n">
        <v>378</v>
      </c>
      <c r="G227" s="5" t="n">
        <v>6909</v>
      </c>
      <c r="H227" s="5" t="n">
        <v>213657</v>
      </c>
      <c r="I227" s="9" t="n">
        <f aca="false">IF(H227=0,0,C227/H227)</f>
        <v>0.595847550045166</v>
      </c>
      <c r="J227" s="9" t="n">
        <f aca="false">IF(H227=0,0,D227/H227)</f>
        <v>0.262490814717047</v>
      </c>
      <c r="K227" s="9" t="n">
        <f aca="false">IF(H227=0,0,E227/H227)</f>
        <v>0.107555568036619</v>
      </c>
      <c r="L227" s="9" t="n">
        <f aca="false">IF(H227=0,0,G227/H227)</f>
        <v>0.0323368763953439</v>
      </c>
      <c r="M227" s="4" t="str">
        <f aca="false">INDEX($C$3:$E$3,MATCH(MAX(C227:E227),C227:E227,0))</f>
        <v>Sheinbaum (PVEM-PT-Morena)</v>
      </c>
      <c r="N227" s="18" t="n">
        <f aca="false">IF(H227=0,0,(MAX(C227:E227)-LARGE(C227:E227,2))/H227*100)</f>
        <v>33.3356735328119</v>
      </c>
    </row>
    <row r="228" customFormat="false" ht="15" hidden="false" customHeight="false" outlineLevel="0" collapsed="false">
      <c r="A228" s="4" t="s">
        <v>66</v>
      </c>
      <c r="B228" s="4" t="n">
        <v>2</v>
      </c>
      <c r="C228" s="5" t="n">
        <v>99806</v>
      </c>
      <c r="D228" s="5" t="n">
        <v>53219</v>
      </c>
      <c r="E228" s="5" t="n">
        <v>19539</v>
      </c>
      <c r="F228" s="5" t="n">
        <v>379</v>
      </c>
      <c r="G228" s="5" t="n">
        <v>4832</v>
      </c>
      <c r="H228" s="5" t="n">
        <v>177775</v>
      </c>
      <c r="I228" s="9" t="n">
        <f aca="false">IF(H228=0,0,C228/H228)</f>
        <v>0.561417522148784</v>
      </c>
      <c r="J228" s="9" t="n">
        <f aca="false">IF(H228=0,0,D228/H228)</f>
        <v>0.299361552524258</v>
      </c>
      <c r="K228" s="9" t="n">
        <f aca="false">IF(H228=0,0,E228/H228)</f>
        <v>0.109908592321755</v>
      </c>
      <c r="L228" s="9" t="n">
        <f aca="false">IF(H228=0,0,G228/H228)</f>
        <v>0.0271804246941358</v>
      </c>
      <c r="M228" s="4" t="str">
        <f aca="false">INDEX($C$3:$E$3,MATCH(MAX(C228:E228),C228:E228,0))</f>
        <v>Sheinbaum (PVEM-PT-Morena)</v>
      </c>
      <c r="N228" s="18" t="n">
        <f aca="false">IF(H228=0,0,(MAX(C228:E228)-LARGE(C228:E228,2))/H228*100)</f>
        <v>26.2055969624525</v>
      </c>
    </row>
    <row r="229" customFormat="false" ht="15" hidden="false" customHeight="false" outlineLevel="0" collapsed="false">
      <c r="A229" s="4" t="s">
        <v>66</v>
      </c>
      <c r="B229" s="4" t="n">
        <v>3</v>
      </c>
      <c r="C229" s="5" t="n">
        <v>109231</v>
      </c>
      <c r="D229" s="5" t="n">
        <v>89668</v>
      </c>
      <c r="E229" s="5" t="n">
        <v>21616</v>
      </c>
      <c r="F229" s="5" t="n">
        <v>613</v>
      </c>
      <c r="G229" s="5" t="n">
        <v>4147</v>
      </c>
      <c r="H229" s="5" t="n">
        <v>225275</v>
      </c>
      <c r="I229" s="9" t="n">
        <f aca="false">IF(H229=0,0,C229/H229)</f>
        <v>0.48487848185551</v>
      </c>
      <c r="J229" s="9" t="n">
        <f aca="false">IF(H229=0,0,D229/H229)</f>
        <v>0.398037953612252</v>
      </c>
      <c r="K229" s="9" t="n">
        <f aca="false">IF(H229=0,0,E229/H229)</f>
        <v>0.0959538342026412</v>
      </c>
      <c r="L229" s="9" t="n">
        <f aca="false">IF(H229=0,0,G229/H229)</f>
        <v>0.018408611696815</v>
      </c>
      <c r="M229" s="4" t="str">
        <f aca="false">INDEX($C$3:$E$3,MATCH(MAX(C229:E229),C229:E229,0))</f>
        <v>Sheinbaum (PVEM-PT-Morena)</v>
      </c>
      <c r="N229" s="18" t="n">
        <f aca="false">IF(H229=0,0,(MAX(C229:E229)-LARGE(C229:E229,2))/H229*100)</f>
        <v>8.68405282432582</v>
      </c>
    </row>
    <row r="230" customFormat="false" ht="15" hidden="false" customHeight="false" outlineLevel="0" collapsed="false">
      <c r="A230" s="4" t="s">
        <v>66</v>
      </c>
      <c r="B230" s="4" t="n">
        <v>4</v>
      </c>
      <c r="C230" s="5" t="n">
        <v>95732</v>
      </c>
      <c r="D230" s="5" t="n">
        <v>124104</v>
      </c>
      <c r="E230" s="5" t="n">
        <v>20308</v>
      </c>
      <c r="F230" s="5" t="n">
        <v>726</v>
      </c>
      <c r="G230" s="5" t="n">
        <v>4039</v>
      </c>
      <c r="H230" s="5" t="n">
        <v>244909</v>
      </c>
      <c r="I230" s="9" t="n">
        <f aca="false">IF(H230=0,0,C230/H230)</f>
        <v>0.390888044130677</v>
      </c>
      <c r="J230" s="9" t="n">
        <f aca="false">IF(H230=0,0,D230/H230)</f>
        <v>0.506735154690109</v>
      </c>
      <c r="K230" s="9" t="n">
        <f aca="false">IF(H230=0,0,E230/H230)</f>
        <v>0.0829205949965089</v>
      </c>
      <c r="L230" s="9" t="n">
        <f aca="false">IF(H230=0,0,G230/H230)</f>
        <v>0.0164918398262212</v>
      </c>
      <c r="M230" s="4" t="str">
        <f aca="false">INDEX($C$3:$E$3,MATCH(MAX(C230:E230),C230:E230,0))</f>
        <v>Gálvez (PAN-PRI-PRD)</v>
      </c>
      <c r="N230" s="18" t="n">
        <f aca="false">IF(H230=0,0,(MAX(C230:E230)-LARGE(C230:E230,2))/H230*100)</f>
        <v>11.5847110559432</v>
      </c>
    </row>
    <row r="231" customFormat="false" ht="15" hidden="false" customHeight="false" outlineLevel="0" collapsed="false">
      <c r="A231" s="4" t="s">
        <v>66</v>
      </c>
      <c r="B231" s="4" t="n">
        <v>5</v>
      </c>
      <c r="C231" s="5" t="n">
        <v>92184</v>
      </c>
      <c r="D231" s="5" t="n">
        <v>62254</v>
      </c>
      <c r="E231" s="5" t="n">
        <v>14149</v>
      </c>
      <c r="F231" s="5" t="n">
        <v>346</v>
      </c>
      <c r="G231" s="5" t="n">
        <v>4020</v>
      </c>
      <c r="H231" s="5" t="n">
        <v>172953</v>
      </c>
      <c r="I231" s="9" t="n">
        <f aca="false">IF(H231=0,0,C231/H231)</f>
        <v>0.533000294877799</v>
      </c>
      <c r="J231" s="9" t="n">
        <f aca="false">IF(H231=0,0,D231/H231)</f>
        <v>0.359947500187912</v>
      </c>
      <c r="K231" s="9" t="n">
        <f aca="false">IF(H231=0,0,E231/H231)</f>
        <v>0.0818083525582095</v>
      </c>
      <c r="L231" s="9" t="n">
        <f aca="false">IF(H231=0,0,G231/H231)</f>
        <v>0.0232433088758218</v>
      </c>
      <c r="M231" s="4" t="str">
        <f aca="false">INDEX($C$3:$E$3,MATCH(MAX(C231:E231),C231:E231,0))</f>
        <v>Sheinbaum (PVEM-PT-Morena)</v>
      </c>
      <c r="N231" s="18" t="n">
        <f aca="false">IF(H231=0,0,(MAX(C231:E231)-LARGE(C231:E231,2))/H231*100)</f>
        <v>17.3052794689887</v>
      </c>
    </row>
    <row r="232" customFormat="false" ht="15" hidden="false" customHeight="false" outlineLevel="0" collapsed="false">
      <c r="A232" s="4" t="s">
        <v>66</v>
      </c>
      <c r="B232" s="4" t="n">
        <v>6</v>
      </c>
      <c r="C232" s="5" t="n">
        <v>96806</v>
      </c>
      <c r="D232" s="5" t="n">
        <v>61146</v>
      </c>
      <c r="E232" s="5" t="n">
        <v>17415</v>
      </c>
      <c r="F232" s="5" t="n">
        <v>504</v>
      </c>
      <c r="G232" s="5" t="n">
        <v>3571</v>
      </c>
      <c r="H232" s="5" t="n">
        <v>179442</v>
      </c>
      <c r="I232" s="9" t="n">
        <f aca="false">IF(H232=0,0,C232/H232)</f>
        <v>0.539483509992087</v>
      </c>
      <c r="J232" s="9" t="n">
        <f aca="false">IF(H232=0,0,D232/H232)</f>
        <v>0.340756344668472</v>
      </c>
      <c r="K232" s="9" t="n">
        <f aca="false">IF(H232=0,0,E232/H232)</f>
        <v>0.0970508576587421</v>
      </c>
      <c r="L232" s="9" t="n">
        <f aca="false">IF(H232=0,0,G232/H232)</f>
        <v>0.0199005806890249</v>
      </c>
      <c r="M232" s="4" t="str">
        <f aca="false">INDEX($C$3:$E$3,MATCH(MAX(C232:E232),C232:E232,0))</f>
        <v>Sheinbaum (PVEM-PT-Morena)</v>
      </c>
      <c r="N232" s="18" t="n">
        <f aca="false">IF(H232=0,0,(MAX(C232:E232)-LARGE(C232:E232,2))/H232*100)</f>
        <v>19.8727165323614</v>
      </c>
    </row>
    <row r="233" customFormat="false" ht="15" hidden="false" customHeight="false" outlineLevel="0" collapsed="false">
      <c r="A233" s="4" t="s">
        <v>67</v>
      </c>
      <c r="B233" s="4" t="n">
        <v>1</v>
      </c>
      <c r="C233" s="5" t="n">
        <v>157839</v>
      </c>
      <c r="D233" s="5" t="n">
        <v>39529</v>
      </c>
      <c r="E233" s="5" t="n">
        <v>12518</v>
      </c>
      <c r="F233" s="5" t="n">
        <v>316</v>
      </c>
      <c r="G233" s="5" t="n">
        <v>4425</v>
      </c>
      <c r="H233" s="5" t="n">
        <v>214627</v>
      </c>
      <c r="I233" s="9" t="n">
        <f aca="false">IF(H233=0,0,C233/H233)</f>
        <v>0.735410735834727</v>
      </c>
      <c r="J233" s="9" t="n">
        <f aca="false">IF(H233=0,0,D233/H233)</f>
        <v>0.184175336747008</v>
      </c>
      <c r="K233" s="9" t="n">
        <f aca="false">IF(H233=0,0,E233/H233)</f>
        <v>0.0583244419388055</v>
      </c>
      <c r="L233" s="9" t="n">
        <f aca="false">IF(H233=0,0,G233/H233)</f>
        <v>0.0206171637305651</v>
      </c>
      <c r="M233" s="4" t="str">
        <f aca="false">INDEX($C$3:$E$3,MATCH(MAX(C233:E233),C233:E233,0))</f>
        <v>Sheinbaum (PVEM-PT-Morena)</v>
      </c>
      <c r="N233" s="18" t="n">
        <f aca="false">IF(H233=0,0,(MAX(C233:E233)-LARGE(C233:E233,2))/H233*100)</f>
        <v>55.123539908772</v>
      </c>
    </row>
    <row r="234" customFormat="false" ht="15" hidden="false" customHeight="false" outlineLevel="0" collapsed="false">
      <c r="A234" s="4" t="s">
        <v>67</v>
      </c>
      <c r="B234" s="4" t="n">
        <v>2</v>
      </c>
      <c r="C234" s="5" t="n">
        <v>163615</v>
      </c>
      <c r="D234" s="5" t="n">
        <v>25312</v>
      </c>
      <c r="E234" s="5" t="n">
        <v>24956</v>
      </c>
      <c r="F234" s="5" t="n">
        <v>255</v>
      </c>
      <c r="G234" s="5" t="n">
        <v>5666</v>
      </c>
      <c r="H234" s="5" t="n">
        <v>219804</v>
      </c>
      <c r="I234" s="9" t="n">
        <f aca="false">IF(H234=0,0,C234/H234)</f>
        <v>0.744367709413841</v>
      </c>
      <c r="J234" s="9" t="n">
        <f aca="false">IF(H234=0,0,D234/H234)</f>
        <v>0.115157139997452</v>
      </c>
      <c r="K234" s="9" t="n">
        <f aca="false">IF(H234=0,0,E234/H234)</f>
        <v>0.113537515240851</v>
      </c>
      <c r="L234" s="9" t="n">
        <f aca="false">IF(H234=0,0,G234/H234)</f>
        <v>0.0257775108733235</v>
      </c>
      <c r="M234" s="4" t="str">
        <f aca="false">INDEX($C$3:$E$3,MATCH(MAX(C234:E234),C234:E234,0))</f>
        <v>Sheinbaum (PVEM-PT-Morena)</v>
      </c>
      <c r="N234" s="18" t="n">
        <f aca="false">IF(H234=0,0,(MAX(C234:E234)-LARGE(C234:E234,2))/H234*100)</f>
        <v>62.9210569416389</v>
      </c>
    </row>
    <row r="235" customFormat="false" ht="15" hidden="false" customHeight="false" outlineLevel="0" collapsed="false">
      <c r="A235" s="4" t="s">
        <v>67</v>
      </c>
      <c r="B235" s="4" t="n">
        <v>3</v>
      </c>
      <c r="C235" s="5" t="n">
        <v>166905</v>
      </c>
      <c r="D235" s="5" t="n">
        <v>26285</v>
      </c>
      <c r="E235" s="5" t="n">
        <v>14898</v>
      </c>
      <c r="F235" s="5" t="n">
        <v>384</v>
      </c>
      <c r="G235" s="5" t="n">
        <v>4499</v>
      </c>
      <c r="H235" s="5" t="n">
        <v>212971</v>
      </c>
      <c r="I235" s="9" t="n">
        <f aca="false">IF(H235=0,0,C235/H235)</f>
        <v>0.783698249996478</v>
      </c>
      <c r="J235" s="9" t="n">
        <f aca="false">IF(H235=0,0,D235/H235)</f>
        <v>0.123420559606707</v>
      </c>
      <c r="K235" s="9" t="n">
        <f aca="false">IF(H235=0,0,E235/H235)</f>
        <v>0.0699531861145414</v>
      </c>
      <c r="L235" s="9" t="n">
        <f aca="false">IF(H235=0,0,G235/H235)</f>
        <v>0.0211249418934972</v>
      </c>
      <c r="M235" s="4" t="str">
        <f aca="false">INDEX($C$3:$E$3,MATCH(MAX(C235:E235),C235:E235,0))</f>
        <v>Sheinbaum (PVEM-PT-Morena)</v>
      </c>
      <c r="N235" s="18" t="n">
        <f aca="false">IF(H235=0,0,(MAX(C235:E235)-LARGE(C235:E235,2))/H235*100)</f>
        <v>66.0277690389771</v>
      </c>
    </row>
    <row r="236" customFormat="false" ht="15" hidden="false" customHeight="false" outlineLevel="0" collapsed="false">
      <c r="A236" s="4" t="s">
        <v>67</v>
      </c>
      <c r="B236" s="4" t="n">
        <v>4</v>
      </c>
      <c r="C236" s="5" t="n">
        <v>116440</v>
      </c>
      <c r="D236" s="5" t="n">
        <v>46818</v>
      </c>
      <c r="E236" s="5" t="n">
        <v>11467</v>
      </c>
      <c r="F236" s="5" t="n">
        <v>380</v>
      </c>
      <c r="G236" s="5" t="n">
        <v>3100</v>
      </c>
      <c r="H236" s="5" t="n">
        <v>178205</v>
      </c>
      <c r="I236" s="9" t="n">
        <f aca="false">IF(H236=0,0,C236/H236)</f>
        <v>0.653404786622149</v>
      </c>
      <c r="J236" s="9" t="n">
        <f aca="false">IF(H236=0,0,D236/H236)</f>
        <v>0.262719901237339</v>
      </c>
      <c r="K236" s="9" t="n">
        <f aca="false">IF(H236=0,0,E236/H236)</f>
        <v>0.0643472405375831</v>
      </c>
      <c r="L236" s="9" t="n">
        <f aca="false">IF(H236=0,0,G236/H236)</f>
        <v>0.0173956959681266</v>
      </c>
      <c r="M236" s="4" t="str">
        <f aca="false">INDEX($C$3:$E$3,MATCH(MAX(C236:E236),C236:E236,0))</f>
        <v>Sheinbaum (PVEM-PT-Morena)</v>
      </c>
      <c r="N236" s="18" t="n">
        <f aca="false">IF(H236=0,0,(MAX(C236:E236)-LARGE(C236:E236,2))/H236*100)</f>
        <v>39.068488538481</v>
      </c>
    </row>
    <row r="237" customFormat="false" ht="15" hidden="false" customHeight="false" outlineLevel="0" collapsed="false">
      <c r="A237" s="4" t="s">
        <v>68</v>
      </c>
      <c r="B237" s="4" t="n">
        <v>1</v>
      </c>
      <c r="C237" s="5" t="n">
        <v>117890</v>
      </c>
      <c r="D237" s="5" t="n">
        <v>33231</v>
      </c>
      <c r="E237" s="5" t="n">
        <v>24857</v>
      </c>
      <c r="F237" s="5" t="n">
        <v>172</v>
      </c>
      <c r="G237" s="5" t="n">
        <v>7831</v>
      </c>
      <c r="H237" s="5" t="n">
        <v>183981</v>
      </c>
      <c r="I237" s="9" t="n">
        <f aca="false">IF(H237=0,0,C237/H237)</f>
        <v>0.640772688484137</v>
      </c>
      <c r="J237" s="9" t="n">
        <f aca="false">IF(H237=0,0,D237/H237)</f>
        <v>0.180621912045266</v>
      </c>
      <c r="K237" s="9" t="n">
        <f aca="false">IF(H237=0,0,E237/H237)</f>
        <v>0.135106342502758</v>
      </c>
      <c r="L237" s="9" t="n">
        <f aca="false">IF(H237=0,0,G237/H237)</f>
        <v>0.04256417782271</v>
      </c>
      <c r="M237" s="4" t="str">
        <f aca="false">INDEX($C$3:$E$3,MATCH(MAX(C237:E237),C237:E237,0))</f>
        <v>Sheinbaum (PVEM-PT-Morena)</v>
      </c>
      <c r="N237" s="18" t="n">
        <f aca="false">IF(H237=0,0,(MAX(C237:E237)-LARGE(C237:E237,2))/H237*100)</f>
        <v>46.0150776438871</v>
      </c>
    </row>
    <row r="238" customFormat="false" ht="15" hidden="false" customHeight="false" outlineLevel="0" collapsed="false">
      <c r="A238" s="4" t="s">
        <v>68</v>
      </c>
      <c r="B238" s="4" t="n">
        <v>2</v>
      </c>
      <c r="C238" s="5" t="n">
        <v>101277</v>
      </c>
      <c r="D238" s="5" t="n">
        <v>36422</v>
      </c>
      <c r="E238" s="5" t="n">
        <v>21398</v>
      </c>
      <c r="F238" s="5" t="n">
        <v>312</v>
      </c>
      <c r="G238" s="5" t="n">
        <v>3494</v>
      </c>
      <c r="H238" s="5" t="n">
        <v>162903</v>
      </c>
      <c r="I238" s="9" t="n">
        <f aca="false">IF(H238=0,0,C238/H238)</f>
        <v>0.621701257803724</v>
      </c>
      <c r="J238" s="9" t="n">
        <f aca="false">IF(H238=0,0,D238/H238)</f>
        <v>0.22358090397353</v>
      </c>
      <c r="K238" s="9" t="n">
        <f aca="false">IF(H238=0,0,E238/H238)</f>
        <v>0.131354241481127</v>
      </c>
      <c r="L238" s="9" t="n">
        <f aca="false">IF(H238=0,0,G238/H238)</f>
        <v>0.0214483465620645</v>
      </c>
      <c r="M238" s="4" t="str">
        <f aca="false">INDEX($C$3:$E$3,MATCH(MAX(C238:E238),C238:E238,0))</f>
        <v>Sheinbaum (PVEM-PT-Morena)</v>
      </c>
      <c r="N238" s="18" t="n">
        <f aca="false">IF(H238=0,0,(MAX(C238:E238)-LARGE(C238:E238,2))/H238*100)</f>
        <v>39.8120353830193</v>
      </c>
    </row>
    <row r="239" customFormat="false" ht="15" hidden="false" customHeight="false" outlineLevel="0" collapsed="false">
      <c r="A239" s="4" t="s">
        <v>68</v>
      </c>
      <c r="B239" s="4" t="n">
        <v>3</v>
      </c>
      <c r="C239" s="5" t="n">
        <v>113143</v>
      </c>
      <c r="D239" s="5" t="n">
        <v>36776</v>
      </c>
      <c r="E239" s="5" t="n">
        <v>19673</v>
      </c>
      <c r="F239" s="5" t="n">
        <v>180</v>
      </c>
      <c r="G239" s="5" t="n">
        <v>6799</v>
      </c>
      <c r="H239" s="5" t="n">
        <v>176571</v>
      </c>
      <c r="I239" s="9" t="n">
        <f aca="false">IF(H239=0,0,C239/H239)</f>
        <v>0.640779063379604</v>
      </c>
      <c r="J239" s="9" t="n">
        <f aca="false">IF(H239=0,0,D239/H239)</f>
        <v>0.208278822683227</v>
      </c>
      <c r="K239" s="9" t="n">
        <f aca="false">IF(H239=0,0,E239/H239)</f>
        <v>0.111416937096126</v>
      </c>
      <c r="L239" s="9" t="n">
        <f aca="false">IF(H239=0,0,G239/H239)</f>
        <v>0.0385057568909957</v>
      </c>
      <c r="M239" s="4" t="str">
        <f aca="false">INDEX($C$3:$E$3,MATCH(MAX(C239:E239),C239:E239,0))</f>
        <v>Sheinbaum (PVEM-PT-Morena)</v>
      </c>
      <c r="N239" s="18" t="n">
        <f aca="false">IF(H239=0,0,(MAX(C239:E239)-LARGE(C239:E239,2))/H239*100)</f>
        <v>43.2500240696377</v>
      </c>
    </row>
    <row r="240" customFormat="false" ht="15" hidden="false" customHeight="false" outlineLevel="0" collapsed="false">
      <c r="A240" s="4" t="s">
        <v>68</v>
      </c>
      <c r="B240" s="4" t="n">
        <v>4</v>
      </c>
      <c r="C240" s="5" t="n">
        <v>136436</v>
      </c>
      <c r="D240" s="5" t="n">
        <v>43448</v>
      </c>
      <c r="E240" s="5" t="n">
        <v>18415</v>
      </c>
      <c r="F240" s="5" t="n">
        <v>196</v>
      </c>
      <c r="G240" s="5" t="n">
        <v>7375</v>
      </c>
      <c r="H240" s="5" t="n">
        <v>205870</v>
      </c>
      <c r="I240" s="9" t="n">
        <f aca="false">IF(H240=0,0,C240/H240)</f>
        <v>0.662728906591538</v>
      </c>
      <c r="J240" s="9" t="n">
        <f aca="false">IF(H240=0,0,D240/H240)</f>
        <v>0.211045805605479</v>
      </c>
      <c r="K240" s="9" t="n">
        <f aca="false">IF(H240=0,0,E240/H240)</f>
        <v>0.0894496526934473</v>
      </c>
      <c r="L240" s="9" t="n">
        <f aca="false">IF(H240=0,0,G240/H240)</f>
        <v>0.0358235779861077</v>
      </c>
      <c r="M240" s="4" t="str">
        <f aca="false">INDEX($C$3:$E$3,MATCH(MAX(C240:E240),C240:E240,0))</f>
        <v>Sheinbaum (PVEM-PT-Morena)</v>
      </c>
      <c r="N240" s="18" t="n">
        <f aca="false">IF(H240=0,0,(MAX(C240:E240)-LARGE(C240:E240,2))/H240*100)</f>
        <v>45.1683100986059</v>
      </c>
    </row>
    <row r="241" customFormat="false" ht="15" hidden="false" customHeight="false" outlineLevel="0" collapsed="false">
      <c r="A241" s="4" t="s">
        <v>68</v>
      </c>
      <c r="B241" s="4" t="n">
        <v>5</v>
      </c>
      <c r="C241" s="5" t="n">
        <v>92749</v>
      </c>
      <c r="D241" s="5" t="n">
        <v>101394</v>
      </c>
      <c r="E241" s="5" t="n">
        <v>21049</v>
      </c>
      <c r="F241" s="5" t="n">
        <v>515</v>
      </c>
      <c r="G241" s="5" t="n">
        <v>3871</v>
      </c>
      <c r="H241" s="5" t="n">
        <v>219578</v>
      </c>
      <c r="I241" s="9" t="n">
        <f aca="false">IF(H241=0,0,C241/H241)</f>
        <v>0.422396597109</v>
      </c>
      <c r="J241" s="9" t="n">
        <f aca="false">IF(H241=0,0,D241/H241)</f>
        <v>0.461767572343313</v>
      </c>
      <c r="K241" s="9" t="n">
        <f aca="false">IF(H241=0,0,E241/H241)</f>
        <v>0.0958611518458133</v>
      </c>
      <c r="L241" s="9" t="n">
        <f aca="false">IF(H241=0,0,G241/H241)</f>
        <v>0.0176292706919637</v>
      </c>
      <c r="M241" s="4" t="str">
        <f aca="false">INDEX($C$3:$E$3,MATCH(MAX(C241:E241),C241:E241,0))</f>
        <v>Gálvez (PAN-PRI-PRD)</v>
      </c>
      <c r="N241" s="18" t="n">
        <f aca="false">IF(H241=0,0,(MAX(C241:E241)-LARGE(C241:E241,2))/H241*100)</f>
        <v>3.93709752343131</v>
      </c>
    </row>
    <row r="242" customFormat="false" ht="15" hidden="false" customHeight="false" outlineLevel="0" collapsed="false">
      <c r="A242" s="4" t="s">
        <v>68</v>
      </c>
      <c r="B242" s="4" t="n">
        <v>6</v>
      </c>
      <c r="C242" s="5" t="n">
        <v>115535</v>
      </c>
      <c r="D242" s="5" t="n">
        <v>61209</v>
      </c>
      <c r="E242" s="5" t="n">
        <v>25874</v>
      </c>
      <c r="F242" s="5" t="n">
        <v>472</v>
      </c>
      <c r="G242" s="5" t="n">
        <v>4172</v>
      </c>
      <c r="H242" s="5" t="n">
        <v>207262</v>
      </c>
      <c r="I242" s="9" t="n">
        <f aca="false">IF(H242=0,0,C242/H242)</f>
        <v>0.557434551437311</v>
      </c>
      <c r="J242" s="9" t="n">
        <f aca="false">IF(H242=0,0,D242/H242)</f>
        <v>0.295321863149058</v>
      </c>
      <c r="K242" s="9" t="n">
        <f aca="false">IF(H242=0,0,E242/H242)</f>
        <v>0.124837162625083</v>
      </c>
      <c r="L242" s="9" t="n">
        <f aca="false">IF(H242=0,0,G242/H242)</f>
        <v>0.0201291119452673</v>
      </c>
      <c r="M242" s="4" t="str">
        <f aca="false">INDEX($C$3:$E$3,MATCH(MAX(C242:E242),C242:E242,0))</f>
        <v>Sheinbaum (PVEM-PT-Morena)</v>
      </c>
      <c r="N242" s="18" t="n">
        <f aca="false">IF(H242=0,0,(MAX(C242:E242)-LARGE(C242:E242,2))/H242*100)</f>
        <v>26.2112688288254</v>
      </c>
    </row>
    <row r="243" customFormat="false" ht="15" hidden="false" customHeight="false" outlineLevel="0" collapsed="false">
      <c r="A243" s="4" t="s">
        <v>68</v>
      </c>
      <c r="B243" s="4" t="n">
        <v>7</v>
      </c>
      <c r="C243" s="5" t="n">
        <v>147757</v>
      </c>
      <c r="D243" s="5" t="n">
        <v>33953</v>
      </c>
      <c r="E243" s="5" t="n">
        <v>15439</v>
      </c>
      <c r="F243" s="5" t="n">
        <v>161</v>
      </c>
      <c r="G243" s="5" t="n">
        <v>9103</v>
      </c>
      <c r="H243" s="5" t="n">
        <v>206413</v>
      </c>
      <c r="I243" s="9" t="n">
        <f aca="false">IF(H243=0,0,C243/H243)</f>
        <v>0.715831851676009</v>
      </c>
      <c r="J243" s="9" t="n">
        <f aca="false">IF(H243=0,0,D243/H243)</f>
        <v>0.164490608634146</v>
      </c>
      <c r="K243" s="9" t="n">
        <f aca="false">IF(H243=0,0,E243/H243)</f>
        <v>0.0747966455601149</v>
      </c>
      <c r="L243" s="9" t="n">
        <f aca="false">IF(H243=0,0,G243/H243)</f>
        <v>0.0441009044972943</v>
      </c>
      <c r="M243" s="4" t="str">
        <f aca="false">INDEX($C$3:$E$3,MATCH(MAX(C243:E243),C243:E243,0))</f>
        <v>Sheinbaum (PVEM-PT-Morena)</v>
      </c>
      <c r="N243" s="18" t="n">
        <f aca="false">IF(H243=0,0,(MAX(C243:E243)-LARGE(C243:E243,2))/H243*100)</f>
        <v>55.1341243041863</v>
      </c>
    </row>
    <row r="244" customFormat="false" ht="15" hidden="false" customHeight="false" outlineLevel="0" collapsed="false">
      <c r="A244" s="4" t="s">
        <v>69</v>
      </c>
      <c r="B244" s="4" t="n">
        <v>1</v>
      </c>
      <c r="C244" s="5" t="n">
        <v>125950</v>
      </c>
      <c r="D244" s="5" t="n">
        <v>30948</v>
      </c>
      <c r="E244" s="5" t="n">
        <v>11500</v>
      </c>
      <c r="F244" s="5" t="n">
        <v>139</v>
      </c>
      <c r="G244" s="5" t="n">
        <v>3518</v>
      </c>
      <c r="H244" s="5" t="n">
        <v>172055</v>
      </c>
      <c r="I244" s="9" t="n">
        <f aca="false">IF(H244=0,0,C244/H244)</f>
        <v>0.732033361425126</v>
      </c>
      <c r="J244" s="9" t="n">
        <f aca="false">IF(H244=0,0,D244/H244)</f>
        <v>0.179872715120165</v>
      </c>
      <c r="K244" s="9" t="n">
        <f aca="false">IF(H244=0,0,E244/H244)</f>
        <v>0.0668390921507658</v>
      </c>
      <c r="L244" s="9" t="n">
        <f aca="false">IF(H244=0,0,G244/H244)</f>
        <v>0.0204469501031647</v>
      </c>
      <c r="M244" s="4" t="str">
        <f aca="false">INDEX($C$3:$E$3,MATCH(MAX(C244:E244),C244:E244,0))</f>
        <v>Sheinbaum (PVEM-PT-Morena)</v>
      </c>
      <c r="N244" s="18" t="n">
        <f aca="false">IF(H244=0,0,(MAX(C244:E244)-LARGE(C244:E244,2))/H244*100)</f>
        <v>55.2160646304961</v>
      </c>
    </row>
    <row r="245" customFormat="false" ht="15" hidden="false" customHeight="false" outlineLevel="0" collapsed="false">
      <c r="A245" s="4" t="s">
        <v>69</v>
      </c>
      <c r="B245" s="4" t="n">
        <v>2</v>
      </c>
      <c r="C245" s="5" t="n">
        <v>130223</v>
      </c>
      <c r="D245" s="5" t="n">
        <v>55062</v>
      </c>
      <c r="E245" s="5" t="n">
        <v>15381</v>
      </c>
      <c r="F245" s="5" t="n">
        <v>177</v>
      </c>
      <c r="G245" s="5" t="n">
        <v>3558</v>
      </c>
      <c r="H245" s="5" t="n">
        <v>204401</v>
      </c>
      <c r="I245" s="9" t="n">
        <f aca="false">IF(H245=0,0,C245/H245)</f>
        <v>0.637095708925103</v>
      </c>
      <c r="J245" s="9" t="n">
        <f aca="false">IF(H245=0,0,D245/H245)</f>
        <v>0.269382243726792</v>
      </c>
      <c r="K245" s="9" t="n">
        <f aca="false">IF(H245=0,0,E245/H245)</f>
        <v>0.0752491426167191</v>
      </c>
      <c r="L245" s="9" t="n">
        <f aca="false">IF(H245=0,0,G245/H245)</f>
        <v>0.017406959848533</v>
      </c>
      <c r="M245" s="4" t="str">
        <f aca="false">INDEX($C$3:$E$3,MATCH(MAX(C245:E245),C245:E245,0))</f>
        <v>Sheinbaum (PVEM-PT-Morena)</v>
      </c>
      <c r="N245" s="18" t="n">
        <f aca="false">IF(H245=0,0,(MAX(C245:E245)-LARGE(C245:E245,2))/H245*100)</f>
        <v>36.7713465198311</v>
      </c>
    </row>
    <row r="246" customFormat="false" ht="15" hidden="false" customHeight="false" outlineLevel="0" collapsed="false">
      <c r="A246" s="4" t="s">
        <v>69</v>
      </c>
      <c r="B246" s="4" t="n">
        <v>3</v>
      </c>
      <c r="C246" s="5" t="n">
        <v>129143</v>
      </c>
      <c r="D246" s="5" t="n">
        <v>45322</v>
      </c>
      <c r="E246" s="5" t="n">
        <v>14771</v>
      </c>
      <c r="F246" s="5" t="n">
        <v>79</v>
      </c>
      <c r="G246" s="5" t="n">
        <v>5075</v>
      </c>
      <c r="H246" s="5" t="n">
        <v>194390</v>
      </c>
      <c r="I246" s="9" t="n">
        <f aca="false">IF(H246=0,0,C246/H246)</f>
        <v>0.664350018005042</v>
      </c>
      <c r="J246" s="9" t="n">
        <f aca="false">IF(H246=0,0,D246/H246)</f>
        <v>0.23314985338752</v>
      </c>
      <c r="K246" s="9" t="n">
        <f aca="false">IF(H246=0,0,E246/H246)</f>
        <v>0.0759864190544781</v>
      </c>
      <c r="L246" s="9" t="n">
        <f aca="false">IF(H246=0,0,G246/H246)</f>
        <v>0.0261073100468131</v>
      </c>
      <c r="M246" s="4" t="str">
        <f aca="false">INDEX($C$3:$E$3,MATCH(MAX(C246:E246),C246:E246,0))</f>
        <v>Sheinbaum (PVEM-PT-Morena)</v>
      </c>
      <c r="N246" s="18" t="n">
        <f aca="false">IF(H246=0,0,(MAX(C246:E246)-LARGE(C246:E246,2))/H246*100)</f>
        <v>43.1200164617522</v>
      </c>
    </row>
    <row r="247" customFormat="false" ht="15" hidden="false" customHeight="false" outlineLevel="0" collapsed="false">
      <c r="A247" s="4" t="s">
        <v>69</v>
      </c>
      <c r="B247" s="4" t="n">
        <v>4</v>
      </c>
      <c r="C247" s="5" t="n">
        <v>132081</v>
      </c>
      <c r="D247" s="5" t="n">
        <v>36166</v>
      </c>
      <c r="E247" s="5" t="n">
        <v>12700</v>
      </c>
      <c r="F247" s="5" t="n">
        <v>120</v>
      </c>
      <c r="G247" s="5" t="n">
        <v>4041</v>
      </c>
      <c r="H247" s="5" t="n">
        <v>185108</v>
      </c>
      <c r="I247" s="9" t="n">
        <f aca="false">IF(H247=0,0,C247/H247)</f>
        <v>0.713534801305184</v>
      </c>
      <c r="J247" s="9" t="n">
        <f aca="false">IF(H247=0,0,D247/H247)</f>
        <v>0.195377833480995</v>
      </c>
      <c r="K247" s="9" t="n">
        <f aca="false">IF(H247=0,0,E247/H247)</f>
        <v>0.068608596062839</v>
      </c>
      <c r="L247" s="9" t="n">
        <f aca="false">IF(H247=0,0,G247/H247)</f>
        <v>0.0218304989519632</v>
      </c>
      <c r="M247" s="4" t="str">
        <f aca="false">INDEX($C$3:$E$3,MATCH(MAX(C247:E247),C247:E247,0))</f>
        <v>Sheinbaum (PVEM-PT-Morena)</v>
      </c>
      <c r="N247" s="18" t="n">
        <f aca="false">IF(H247=0,0,(MAX(C247:E247)-LARGE(C247:E247,2))/H247*100)</f>
        <v>51.8156967824189</v>
      </c>
    </row>
    <row r="248" customFormat="false" ht="15" hidden="false" customHeight="false" outlineLevel="0" collapsed="false">
      <c r="A248" s="4" t="s">
        <v>69</v>
      </c>
      <c r="B248" s="4" t="n">
        <v>5</v>
      </c>
      <c r="C248" s="5" t="n">
        <v>118786</v>
      </c>
      <c r="D248" s="5" t="n">
        <v>57474</v>
      </c>
      <c r="E248" s="5" t="n">
        <v>19084</v>
      </c>
      <c r="F248" s="5" t="n">
        <v>247</v>
      </c>
      <c r="G248" s="5" t="n">
        <v>2994</v>
      </c>
      <c r="H248" s="5" t="n">
        <v>198585</v>
      </c>
      <c r="I248" s="9" t="n">
        <f aca="false">IF(H248=0,0,C248/H248)</f>
        <v>0.598161996122567</v>
      </c>
      <c r="J248" s="9" t="n">
        <f aca="false">IF(H248=0,0,D248/H248)</f>
        <v>0.289417629730342</v>
      </c>
      <c r="K248" s="9" t="n">
        <f aca="false">IF(H248=0,0,E248/H248)</f>
        <v>0.0960999068408994</v>
      </c>
      <c r="L248" s="9" t="n">
        <f aca="false">IF(H248=0,0,G248/H248)</f>
        <v>0.0150766674220107</v>
      </c>
      <c r="M248" s="4" t="str">
        <f aca="false">INDEX($C$3:$E$3,MATCH(MAX(C248:E248),C248:E248,0))</f>
        <v>Sheinbaum (PVEM-PT-Morena)</v>
      </c>
      <c r="N248" s="18" t="n">
        <f aca="false">IF(H248=0,0,(MAX(C248:E248)-LARGE(C248:E248,2))/H248*100)</f>
        <v>30.8744366392225</v>
      </c>
    </row>
    <row r="249" customFormat="false" ht="15" hidden="false" customHeight="false" outlineLevel="0" collapsed="false">
      <c r="A249" s="4" t="s">
        <v>69</v>
      </c>
      <c r="B249" s="4" t="n">
        <v>6</v>
      </c>
      <c r="C249" s="5" t="n">
        <v>124494</v>
      </c>
      <c r="D249" s="5" t="n">
        <v>51463</v>
      </c>
      <c r="E249" s="5" t="n">
        <v>14982</v>
      </c>
      <c r="F249" s="5" t="n">
        <v>170</v>
      </c>
      <c r="G249" s="5" t="n">
        <v>4443</v>
      </c>
      <c r="H249" s="5" t="n">
        <v>195552</v>
      </c>
      <c r="I249" s="9" t="n">
        <f aca="false">IF(H249=0,0,C249/H249)</f>
        <v>0.636628620520373</v>
      </c>
      <c r="J249" s="9" t="n">
        <f aca="false">IF(H249=0,0,D249/H249)</f>
        <v>0.263167853051874</v>
      </c>
      <c r="K249" s="9" t="n">
        <f aca="false">IF(H249=0,0,E249/H249)</f>
        <v>0.0766138929798724</v>
      </c>
      <c r="L249" s="9" t="n">
        <f aca="false">IF(H249=0,0,G249/H249)</f>
        <v>0.0227202994599902</v>
      </c>
      <c r="M249" s="4" t="str">
        <f aca="false">INDEX($C$3:$E$3,MATCH(MAX(C249:E249),C249:E249,0))</f>
        <v>Sheinbaum (PVEM-PT-Morena)</v>
      </c>
      <c r="N249" s="18" t="n">
        <f aca="false">IF(H249=0,0,(MAX(C249:E249)-LARGE(C249:E249,2))/H249*100)</f>
        <v>37.3460767468499</v>
      </c>
    </row>
    <row r="250" customFormat="false" ht="15" hidden="false" customHeight="false" outlineLevel="0" collapsed="false">
      <c r="A250" s="4" t="s">
        <v>69</v>
      </c>
      <c r="B250" s="4" t="n">
        <v>7</v>
      </c>
      <c r="C250" s="5" t="n">
        <v>110181</v>
      </c>
      <c r="D250" s="5" t="n">
        <v>48854</v>
      </c>
      <c r="E250" s="5" t="n">
        <v>14720</v>
      </c>
      <c r="F250" s="5" t="n">
        <v>188</v>
      </c>
      <c r="G250" s="5" t="n">
        <v>3230</v>
      </c>
      <c r="H250" s="5" t="n">
        <v>177173</v>
      </c>
      <c r="I250" s="9" t="n">
        <f aca="false">IF(H250=0,0,C250/H250)</f>
        <v>0.621883695596959</v>
      </c>
      <c r="J250" s="9" t="n">
        <f aca="false">IF(H250=0,0,D250/H250)</f>
        <v>0.27574178909879</v>
      </c>
      <c r="K250" s="9" t="n">
        <f aca="false">IF(H250=0,0,E250/H250)</f>
        <v>0.0830826367448765</v>
      </c>
      <c r="L250" s="9" t="n">
        <f aca="false">IF(H250=0,0,G250/H250)</f>
        <v>0.0182307687965999</v>
      </c>
      <c r="M250" s="4" t="str">
        <f aca="false">INDEX($C$3:$E$3,MATCH(MAX(C250:E250),C250:E250,0))</f>
        <v>Sheinbaum (PVEM-PT-Morena)</v>
      </c>
      <c r="N250" s="18" t="n">
        <f aca="false">IF(H250=0,0,(MAX(C250:E250)-LARGE(C250:E250,2))/H250*100)</f>
        <v>34.6141906498169</v>
      </c>
    </row>
    <row r="251" customFormat="false" ht="15" hidden="false" customHeight="false" outlineLevel="0" collapsed="false">
      <c r="A251" s="4" t="s">
        <v>70</v>
      </c>
      <c r="B251" s="4" t="n">
        <v>1</v>
      </c>
      <c r="C251" s="5" t="n">
        <v>89913</v>
      </c>
      <c r="D251" s="5" t="n">
        <v>37189</v>
      </c>
      <c r="E251" s="5" t="n">
        <v>15790</v>
      </c>
      <c r="F251" s="5" t="n">
        <v>179</v>
      </c>
      <c r="G251" s="5" t="n">
        <v>3480</v>
      </c>
      <c r="H251" s="5" t="n">
        <v>146551</v>
      </c>
      <c r="I251" s="9" t="n">
        <f aca="false">IF(H251=0,0,C251/H251)</f>
        <v>0.613527031545332</v>
      </c>
      <c r="J251" s="9" t="n">
        <f aca="false">IF(H251=0,0,D251/H251)</f>
        <v>0.253761489174417</v>
      </c>
      <c r="K251" s="9" t="n">
        <f aca="false">IF(H251=0,0,E251/H251)</f>
        <v>0.107744061794188</v>
      </c>
      <c r="L251" s="9" t="n">
        <f aca="false">IF(H251=0,0,G251/H251)</f>
        <v>0.0237459996861161</v>
      </c>
      <c r="M251" s="4" t="str">
        <f aca="false">INDEX($C$3:$E$3,MATCH(MAX(C251:E251),C251:E251,0))</f>
        <v>Sheinbaum (PVEM-PT-Morena)</v>
      </c>
      <c r="N251" s="18" t="n">
        <f aca="false">IF(H251=0,0,(MAX(C251:E251)-LARGE(C251:E251,2))/H251*100)</f>
        <v>35.9765542370915</v>
      </c>
    </row>
    <row r="252" customFormat="false" ht="15" hidden="false" customHeight="false" outlineLevel="0" collapsed="false">
      <c r="A252" s="4" t="s">
        <v>70</v>
      </c>
      <c r="B252" s="4" t="n">
        <v>2</v>
      </c>
      <c r="C252" s="5" t="n">
        <v>108860</v>
      </c>
      <c r="D252" s="5" t="n">
        <v>36203</v>
      </c>
      <c r="E252" s="5" t="n">
        <v>19746</v>
      </c>
      <c r="F252" s="5" t="n">
        <v>237</v>
      </c>
      <c r="G252" s="5" t="n">
        <v>3719</v>
      </c>
      <c r="H252" s="5" t="n">
        <v>168765</v>
      </c>
      <c r="I252" s="9" t="n">
        <f aca="false">IF(H252=0,0,C252/H252)</f>
        <v>0.645038959499896</v>
      </c>
      <c r="J252" s="9" t="n">
        <f aca="false">IF(H252=0,0,D252/H252)</f>
        <v>0.214517228098243</v>
      </c>
      <c r="K252" s="9" t="n">
        <f aca="false">IF(H252=0,0,E252/H252)</f>
        <v>0.117002933072616</v>
      </c>
      <c r="L252" s="9" t="n">
        <f aca="false">IF(H252=0,0,G252/H252)</f>
        <v>0.0220365597132107</v>
      </c>
      <c r="M252" s="4" t="str">
        <f aca="false">INDEX($C$3:$E$3,MATCH(MAX(C252:E252),C252:E252,0))</f>
        <v>Sheinbaum (PVEM-PT-Morena)</v>
      </c>
      <c r="N252" s="18" t="n">
        <f aca="false">IF(H252=0,0,(MAX(C252:E252)-LARGE(C252:E252,2))/H252*100)</f>
        <v>43.0521731401653</v>
      </c>
    </row>
    <row r="253" customFormat="false" ht="15" hidden="false" customHeight="false" outlineLevel="0" collapsed="false">
      <c r="A253" s="4" t="s">
        <v>70</v>
      </c>
      <c r="B253" s="4" t="n">
        <v>3</v>
      </c>
      <c r="C253" s="5" t="n">
        <v>100178</v>
      </c>
      <c r="D253" s="5" t="n">
        <v>42368</v>
      </c>
      <c r="E253" s="5" t="n">
        <v>15913</v>
      </c>
      <c r="F253" s="5" t="n">
        <v>219</v>
      </c>
      <c r="G253" s="5" t="n">
        <v>3013</v>
      </c>
      <c r="H253" s="5" t="n">
        <v>161691</v>
      </c>
      <c r="I253" s="9" t="n">
        <f aca="false">IF(H253=0,0,C253/H253)</f>
        <v>0.619564477923941</v>
      </c>
      <c r="J253" s="9" t="n">
        <f aca="false">IF(H253=0,0,D253/H253)</f>
        <v>0.262030663425917</v>
      </c>
      <c r="K253" s="9" t="n">
        <f aca="false">IF(H253=0,0,E253/H253)</f>
        <v>0.0984161146878923</v>
      </c>
      <c r="L253" s="9" t="n">
        <f aca="false">IF(H253=0,0,G253/H253)</f>
        <v>0.0186343086504506</v>
      </c>
      <c r="M253" s="4" t="str">
        <f aca="false">INDEX($C$3:$E$3,MATCH(MAX(C253:E253),C253:E253,0))</f>
        <v>Sheinbaum (PVEM-PT-Morena)</v>
      </c>
      <c r="N253" s="18" t="n">
        <f aca="false">IF(H253=0,0,(MAX(C253:E253)-LARGE(C253:E253,2))/H253*100)</f>
        <v>35.7533814498024</v>
      </c>
    </row>
    <row r="254" customFormat="false" ht="15" hidden="false" customHeight="false" outlineLevel="0" collapsed="false">
      <c r="A254" s="4" t="s">
        <v>70</v>
      </c>
      <c r="B254" s="4" t="n">
        <v>4</v>
      </c>
      <c r="C254" s="5" t="n">
        <v>113798</v>
      </c>
      <c r="D254" s="5" t="n">
        <v>39361</v>
      </c>
      <c r="E254" s="5" t="n">
        <v>15451</v>
      </c>
      <c r="F254" s="5" t="n">
        <v>112</v>
      </c>
      <c r="G254" s="5" t="n">
        <v>4096</v>
      </c>
      <c r="H254" s="5" t="n">
        <v>172818</v>
      </c>
      <c r="I254" s="9" t="n">
        <f aca="false">IF(H254=0,0,C254/H254)</f>
        <v>0.658484648589846</v>
      </c>
      <c r="J254" s="9" t="n">
        <f aca="false">IF(H254=0,0,D254/H254)</f>
        <v>0.227759839831499</v>
      </c>
      <c r="K254" s="9" t="n">
        <f aca="false">IF(H254=0,0,E254/H254)</f>
        <v>0.0894061961138307</v>
      </c>
      <c r="L254" s="9" t="n">
        <f aca="false">IF(H254=0,0,G254/H254)</f>
        <v>0.0237012348250761</v>
      </c>
      <c r="M254" s="4" t="str">
        <f aca="false">INDEX($C$3:$E$3,MATCH(MAX(C254:E254),C254:E254,0))</f>
        <v>Sheinbaum (PVEM-PT-Morena)</v>
      </c>
      <c r="N254" s="18" t="n">
        <f aca="false">IF(H254=0,0,(MAX(C254:E254)-LARGE(C254:E254,2))/H254*100)</f>
        <v>43.0724808758347</v>
      </c>
    </row>
    <row r="255" customFormat="false" ht="15" hidden="false" customHeight="false" outlineLevel="0" collapsed="false">
      <c r="A255" s="4" t="s">
        <v>70</v>
      </c>
      <c r="B255" s="4" t="n">
        <v>5</v>
      </c>
      <c r="C255" s="5" t="n">
        <v>101967</v>
      </c>
      <c r="D255" s="5" t="n">
        <v>69857</v>
      </c>
      <c r="E255" s="5" t="n">
        <v>16023</v>
      </c>
      <c r="F255" s="5" t="n">
        <v>360</v>
      </c>
      <c r="G255" s="5" t="n">
        <v>2857</v>
      </c>
      <c r="H255" s="5" t="n">
        <v>191064</v>
      </c>
      <c r="I255" s="9" t="n">
        <f aca="false">IF(H255=0,0,C255/H255)</f>
        <v>0.533679814093707</v>
      </c>
      <c r="J255" s="9" t="n">
        <f aca="false">IF(H255=0,0,D255/H255)</f>
        <v>0.365620943767533</v>
      </c>
      <c r="K255" s="9" t="n">
        <f aca="false">IF(H255=0,0,E255/H255)</f>
        <v>0.0838619520160784</v>
      </c>
      <c r="L255" s="9" t="n">
        <f aca="false">IF(H255=0,0,G255/H255)</f>
        <v>0.0149531047188377</v>
      </c>
      <c r="M255" s="4" t="str">
        <f aca="false">INDEX($C$3:$E$3,MATCH(MAX(C255:E255),C255:E255,0))</f>
        <v>Sheinbaum (PVEM-PT-Morena)</v>
      </c>
      <c r="N255" s="18" t="n">
        <f aca="false">IF(H255=0,0,(MAX(C255:E255)-LARGE(C255:E255,2))/H255*100)</f>
        <v>16.8058870326173</v>
      </c>
    </row>
    <row r="256" customFormat="false" ht="15" hidden="false" customHeight="false" outlineLevel="0" collapsed="false">
      <c r="A256" s="4" t="s">
        <v>70</v>
      </c>
      <c r="B256" s="4" t="n">
        <v>6</v>
      </c>
      <c r="C256" s="5" t="n">
        <v>119206</v>
      </c>
      <c r="D256" s="5" t="n">
        <v>37141</v>
      </c>
      <c r="E256" s="5" t="n">
        <v>13636</v>
      </c>
      <c r="F256" s="5" t="n">
        <v>220</v>
      </c>
      <c r="G256" s="5" t="n">
        <v>2859</v>
      </c>
      <c r="H256" s="5" t="n">
        <v>173062</v>
      </c>
      <c r="I256" s="9" t="n">
        <f aca="false">IF(H256=0,0,C256/H256)</f>
        <v>0.688805168090049</v>
      </c>
      <c r="J256" s="9" t="n">
        <f aca="false">IF(H256=0,0,D256/H256)</f>
        <v>0.214610948677353</v>
      </c>
      <c r="K256" s="9" t="n">
        <f aca="false">IF(H256=0,0,E256/H256)</f>
        <v>0.0787925714483827</v>
      </c>
      <c r="L256" s="9" t="n">
        <f aca="false">IF(H256=0,0,G256/H256)</f>
        <v>0.0165200910656297</v>
      </c>
      <c r="M256" s="4" t="str">
        <f aca="false">INDEX($C$3:$E$3,MATCH(MAX(C256:E256),C256:E256,0))</f>
        <v>Sheinbaum (PVEM-PT-Morena)</v>
      </c>
      <c r="N256" s="18" t="n">
        <f aca="false">IF(H256=0,0,(MAX(C256:E256)-LARGE(C256:E256,2))/H256*100)</f>
        <v>47.4194219412696</v>
      </c>
    </row>
    <row r="257" customFormat="false" ht="15" hidden="false" customHeight="false" outlineLevel="0" collapsed="false">
      <c r="A257" s="4" t="s">
        <v>70</v>
      </c>
      <c r="B257" s="4" t="n">
        <v>7</v>
      </c>
      <c r="C257" s="5" t="n">
        <v>115188</v>
      </c>
      <c r="D257" s="5" t="n">
        <v>27645</v>
      </c>
      <c r="E257" s="5" t="n">
        <v>11124</v>
      </c>
      <c r="F257" s="5" t="n">
        <v>88</v>
      </c>
      <c r="G257" s="5" t="n">
        <v>3365</v>
      </c>
      <c r="H257" s="5" t="n">
        <v>157410</v>
      </c>
      <c r="I257" s="9" t="n">
        <f aca="false">IF(H257=0,0,C257/H257)</f>
        <v>0.73177053554412</v>
      </c>
      <c r="J257" s="9" t="n">
        <f aca="false">IF(H257=0,0,D257/H257)</f>
        <v>0.175624166190204</v>
      </c>
      <c r="K257" s="9" t="n">
        <f aca="false">IF(H257=0,0,E257/H257)</f>
        <v>0.0706689536878216</v>
      </c>
      <c r="L257" s="9" t="n">
        <f aca="false">IF(H257=0,0,G257/H257)</f>
        <v>0.0213772949622006</v>
      </c>
      <c r="M257" s="4" t="str">
        <f aca="false">INDEX($C$3:$E$3,MATCH(MAX(C257:E257),C257:E257,0))</f>
        <v>Sheinbaum (PVEM-PT-Morena)</v>
      </c>
      <c r="N257" s="18" t="n">
        <f aca="false">IF(H257=0,0,(MAX(C257:E257)-LARGE(C257:E257,2))/H257*100)</f>
        <v>55.6146369353917</v>
      </c>
    </row>
    <row r="258" customFormat="false" ht="15" hidden="false" customHeight="false" outlineLevel="0" collapsed="false">
      <c r="A258" s="4" t="s">
        <v>71</v>
      </c>
      <c r="B258" s="4" t="n">
        <v>1</v>
      </c>
      <c r="C258" s="5" t="n">
        <v>129685</v>
      </c>
      <c r="D258" s="5" t="n">
        <v>14832</v>
      </c>
      <c r="E258" s="5" t="n">
        <v>9711</v>
      </c>
      <c r="F258" s="5" t="n">
        <v>139</v>
      </c>
      <c r="G258" s="5" t="n">
        <v>3643</v>
      </c>
      <c r="H258" s="5" t="n">
        <v>158010</v>
      </c>
      <c r="I258" s="9" t="n">
        <f aca="false">IF(H258=0,0,C258/H258)</f>
        <v>0.820739193721916</v>
      </c>
      <c r="J258" s="9" t="n">
        <f aca="false">IF(H258=0,0,D258/H258)</f>
        <v>0.0938674767419784</v>
      </c>
      <c r="K258" s="9" t="n">
        <f aca="false">IF(H258=0,0,E258/H258)</f>
        <v>0.0614581355610404</v>
      </c>
      <c r="L258" s="9" t="n">
        <f aca="false">IF(H258=0,0,G258/H258)</f>
        <v>0.0230555028162775</v>
      </c>
      <c r="M258" s="4" t="str">
        <f aca="false">INDEX($C$3:$E$3,MATCH(MAX(C258:E258),C258:E258,0))</f>
        <v>Sheinbaum (PVEM-PT-Morena)</v>
      </c>
      <c r="N258" s="18" t="n">
        <f aca="false">IF(H258=0,0,(MAX(C258:E258)-LARGE(C258:E258,2))/H258*100)</f>
        <v>72.6871716979938</v>
      </c>
    </row>
    <row r="259" customFormat="false" ht="15" hidden="false" customHeight="false" outlineLevel="0" collapsed="false">
      <c r="A259" s="4" t="s">
        <v>71</v>
      </c>
      <c r="B259" s="4" t="n">
        <v>2</v>
      </c>
      <c r="C259" s="5" t="n">
        <v>148987</v>
      </c>
      <c r="D259" s="5" t="n">
        <v>19063</v>
      </c>
      <c r="E259" s="5" t="n">
        <v>10361</v>
      </c>
      <c r="F259" s="5" t="n">
        <v>158</v>
      </c>
      <c r="G259" s="5" t="n">
        <v>4844</v>
      </c>
      <c r="H259" s="5" t="n">
        <v>183413</v>
      </c>
      <c r="I259" s="9" t="n">
        <f aca="false">IF(H259=0,0,C259/H259)</f>
        <v>0.812303380894484</v>
      </c>
      <c r="J259" s="9" t="n">
        <f aca="false">IF(H259=0,0,D259/H259)</f>
        <v>0.103934835589626</v>
      </c>
      <c r="K259" s="9" t="n">
        <f aca="false">IF(H259=0,0,E259/H259)</f>
        <v>0.0564899979826948</v>
      </c>
      <c r="L259" s="9" t="n">
        <f aca="false">IF(H259=0,0,G259/H259)</f>
        <v>0.0264103416878847</v>
      </c>
      <c r="M259" s="4" t="str">
        <f aca="false">INDEX($C$3:$E$3,MATCH(MAX(C259:E259),C259:E259,0))</f>
        <v>Sheinbaum (PVEM-PT-Morena)</v>
      </c>
      <c r="N259" s="18" t="n">
        <f aca="false">IF(H259=0,0,(MAX(C259:E259)-LARGE(C259:E259,2))/H259*100)</f>
        <v>70.8368545304859</v>
      </c>
    </row>
    <row r="260" customFormat="false" ht="15" hidden="false" customHeight="false" outlineLevel="0" collapsed="false">
      <c r="A260" s="4" t="s">
        <v>71</v>
      </c>
      <c r="B260" s="4" t="n">
        <v>3</v>
      </c>
      <c r="C260" s="5" t="n">
        <v>133126</v>
      </c>
      <c r="D260" s="5" t="n">
        <v>27322</v>
      </c>
      <c r="E260" s="5" t="n">
        <v>8131</v>
      </c>
      <c r="F260" s="5" t="n">
        <v>143</v>
      </c>
      <c r="G260" s="5" t="n">
        <v>4664</v>
      </c>
      <c r="H260" s="5" t="n">
        <v>173386</v>
      </c>
      <c r="I260" s="9" t="n">
        <f aca="false">IF(H260=0,0,C260/H260)</f>
        <v>0.767801321906036</v>
      </c>
      <c r="J260" s="9" t="n">
        <f aca="false">IF(H260=0,0,D260/H260)</f>
        <v>0.157579043290692</v>
      </c>
      <c r="K260" s="9" t="n">
        <f aca="false">IF(H260=0,0,E260/H260)</f>
        <v>0.0468953664078991</v>
      </c>
      <c r="L260" s="9" t="n">
        <f aca="false">IF(H260=0,0,G260/H260)</f>
        <v>0.0268995189923062</v>
      </c>
      <c r="M260" s="4" t="str">
        <f aca="false">INDEX($C$3:$E$3,MATCH(MAX(C260:E260),C260:E260,0))</f>
        <v>Sheinbaum (PVEM-PT-Morena)</v>
      </c>
      <c r="N260" s="18" t="n">
        <f aca="false">IF(H260=0,0,(MAX(C260:E260)-LARGE(C260:E260,2))/H260*100)</f>
        <v>61.0222278615344</v>
      </c>
    </row>
    <row r="261" customFormat="false" ht="15" hidden="false" customHeight="false" outlineLevel="0" collapsed="false">
      <c r="A261" s="4" t="s">
        <v>71</v>
      </c>
      <c r="B261" s="4" t="n">
        <v>4</v>
      </c>
      <c r="C261" s="5" t="n">
        <v>158701</v>
      </c>
      <c r="D261" s="5" t="n">
        <v>26096</v>
      </c>
      <c r="E261" s="5" t="n">
        <v>12506</v>
      </c>
      <c r="F261" s="5" t="n">
        <v>308</v>
      </c>
      <c r="G261" s="5" t="n">
        <v>3223</v>
      </c>
      <c r="H261" s="5" t="n">
        <v>200834</v>
      </c>
      <c r="I261" s="9" t="n">
        <f aca="false">IF(H261=0,0,C261/H261)</f>
        <v>0.790209825029626</v>
      </c>
      <c r="J261" s="9" t="n">
        <f aca="false">IF(H261=0,0,D261/H261)</f>
        <v>0.129938157881634</v>
      </c>
      <c r="K261" s="9" t="n">
        <f aca="false">IF(H261=0,0,E261/H261)</f>
        <v>0.0622703327125885</v>
      </c>
      <c r="L261" s="9" t="n">
        <f aca="false">IF(H261=0,0,G261/H261)</f>
        <v>0.0160480795084498</v>
      </c>
      <c r="M261" s="4" t="str">
        <f aca="false">INDEX($C$3:$E$3,MATCH(MAX(C261:E261),C261:E261,0))</f>
        <v>Sheinbaum (PVEM-PT-Morena)</v>
      </c>
      <c r="N261" s="18" t="n">
        <f aca="false">IF(H261=0,0,(MAX(C261:E261)-LARGE(C261:E261,2))/H261*100)</f>
        <v>66.0271667147993</v>
      </c>
    </row>
    <row r="262" customFormat="false" ht="15" hidden="false" customHeight="false" outlineLevel="0" collapsed="false">
      <c r="A262" s="4" t="s">
        <v>71</v>
      </c>
      <c r="B262" s="4" t="n">
        <v>5</v>
      </c>
      <c r="C262" s="5" t="n">
        <v>178763</v>
      </c>
      <c r="D262" s="5" t="n">
        <v>20513</v>
      </c>
      <c r="E262" s="5" t="n">
        <v>12505</v>
      </c>
      <c r="F262" s="5" t="n">
        <v>165</v>
      </c>
      <c r="G262" s="5" t="n">
        <v>4925</v>
      </c>
      <c r="H262" s="5" t="n">
        <v>216871</v>
      </c>
      <c r="I262" s="9" t="n">
        <f aca="false">IF(H262=0,0,C262/H262)</f>
        <v>0.824282638065947</v>
      </c>
      <c r="J262" s="9" t="n">
        <f aca="false">IF(H262=0,0,D262/H262)</f>
        <v>0.0945861825693615</v>
      </c>
      <c r="K262" s="9" t="n">
        <f aca="false">IF(H262=0,0,E262/H262)</f>
        <v>0.0576610058514048</v>
      </c>
      <c r="L262" s="9" t="n">
        <f aca="false">IF(H262=0,0,G262/H262)</f>
        <v>0.0227093525644277</v>
      </c>
      <c r="M262" s="4" t="str">
        <f aca="false">INDEX($C$3:$E$3,MATCH(MAX(C262:E262),C262:E262,0))</f>
        <v>Sheinbaum (PVEM-PT-Morena)</v>
      </c>
      <c r="N262" s="18" t="n">
        <f aca="false">IF(H262=0,0,(MAX(C262:E262)-LARGE(C262:E262,2))/H262*100)</f>
        <v>72.9696455496586</v>
      </c>
    </row>
    <row r="263" customFormat="false" ht="15" hidden="false" customHeight="false" outlineLevel="0" collapsed="false">
      <c r="A263" s="4" t="s">
        <v>71</v>
      </c>
      <c r="B263" s="4" t="n">
        <v>6</v>
      </c>
      <c r="C263" s="5" t="n">
        <v>147273</v>
      </c>
      <c r="D263" s="5" t="n">
        <v>15917</v>
      </c>
      <c r="E263" s="5" t="n">
        <v>12773</v>
      </c>
      <c r="F263" s="5" t="n">
        <v>191</v>
      </c>
      <c r="G263" s="5" t="n">
        <v>4391</v>
      </c>
      <c r="H263" s="5" t="n">
        <v>180545</v>
      </c>
      <c r="I263" s="9" t="n">
        <f aca="false">IF(H263=0,0,C263/H263)</f>
        <v>0.815713534021989</v>
      </c>
      <c r="J263" s="9" t="n">
        <f aca="false">IF(H263=0,0,D263/H263)</f>
        <v>0.0881608463264006</v>
      </c>
      <c r="K263" s="9" t="n">
        <f aca="false">IF(H263=0,0,E263/H263)</f>
        <v>0.0707469052036888</v>
      </c>
      <c r="L263" s="9" t="n">
        <f aca="false">IF(H263=0,0,G263/H263)</f>
        <v>0.0243208064471461</v>
      </c>
      <c r="M263" s="4" t="str">
        <f aca="false">INDEX($C$3:$E$3,MATCH(MAX(C263:E263),C263:E263,0))</f>
        <v>Sheinbaum (PVEM-PT-Morena)</v>
      </c>
      <c r="N263" s="18" t="n">
        <f aca="false">IF(H263=0,0,(MAX(C263:E263)-LARGE(C263:E263,2))/H263*100)</f>
        <v>72.7552687695588</v>
      </c>
    </row>
    <row r="264" customFormat="false" ht="15" hidden="false" customHeight="false" outlineLevel="0" collapsed="false">
      <c r="A264" s="4" t="s">
        <v>72</v>
      </c>
      <c r="B264" s="4" t="n">
        <v>1</v>
      </c>
      <c r="C264" s="5" t="n">
        <v>101672</v>
      </c>
      <c r="D264" s="5" t="n">
        <v>76104</v>
      </c>
      <c r="E264" s="5" t="n">
        <v>13110</v>
      </c>
      <c r="F264" s="5" t="n">
        <v>123</v>
      </c>
      <c r="G264" s="5" t="n">
        <v>3538</v>
      </c>
      <c r="H264" s="5" t="n">
        <v>194547</v>
      </c>
      <c r="I264" s="9" t="n">
        <f aca="false">IF(H264=0,0,C264/H264)</f>
        <v>0.522608932545863</v>
      </c>
      <c r="J264" s="9" t="n">
        <f aca="false">IF(H264=0,0,D264/H264)</f>
        <v>0.391185677496955</v>
      </c>
      <c r="K264" s="9" t="n">
        <f aca="false">IF(H264=0,0,E264/H264)</f>
        <v>0.0673873151474965</v>
      </c>
      <c r="L264" s="9" t="n">
        <f aca="false">IF(H264=0,0,G264/H264)</f>
        <v>0.018185836841483</v>
      </c>
      <c r="M264" s="4" t="str">
        <f aca="false">INDEX($C$3:$E$3,MATCH(MAX(C264:E264),C264:E264,0))</f>
        <v>Sheinbaum (PVEM-PT-Morena)</v>
      </c>
      <c r="N264" s="18" t="n">
        <f aca="false">IF(H264=0,0,(MAX(C264:E264)-LARGE(C264:E264,2))/H264*100)</f>
        <v>13.1423255048908</v>
      </c>
    </row>
    <row r="265" customFormat="false" ht="15" hidden="false" customHeight="false" outlineLevel="0" collapsed="false">
      <c r="A265" s="4" t="s">
        <v>72</v>
      </c>
      <c r="B265" s="4" t="n">
        <v>2</v>
      </c>
      <c r="C265" s="5" t="n">
        <v>117017</v>
      </c>
      <c r="D265" s="5" t="n">
        <v>33677</v>
      </c>
      <c r="E265" s="5" t="n">
        <v>19043</v>
      </c>
      <c r="F265" s="5" t="n">
        <v>258</v>
      </c>
      <c r="G265" s="5" t="n">
        <v>3432</v>
      </c>
      <c r="H265" s="5" t="n">
        <v>173427</v>
      </c>
      <c r="I265" s="9" t="n">
        <f aca="false">IF(H265=0,0,C265/H265)</f>
        <v>0.674733461341083</v>
      </c>
      <c r="J265" s="9" t="n">
        <f aca="false">IF(H265=0,0,D265/H265)</f>
        <v>0.194185449785789</v>
      </c>
      <c r="K265" s="9" t="n">
        <f aca="false">IF(H265=0,0,E265/H265)</f>
        <v>0.109804125078563</v>
      </c>
      <c r="L265" s="9" t="n">
        <f aca="false">IF(H265=0,0,G265/H265)</f>
        <v>0.0197893061634002</v>
      </c>
      <c r="M265" s="4" t="str">
        <f aca="false">INDEX($C$3:$E$3,MATCH(MAX(C265:E265),C265:E265,0))</f>
        <v>Sheinbaum (PVEM-PT-Morena)</v>
      </c>
      <c r="N265" s="18" t="n">
        <f aca="false">IF(H265=0,0,(MAX(C265:E265)-LARGE(C265:E265,2))/H265*100)</f>
        <v>48.0548011555294</v>
      </c>
    </row>
    <row r="266" customFormat="false" ht="15" hidden="false" customHeight="false" outlineLevel="0" collapsed="false">
      <c r="A266" s="4" t="s">
        <v>72</v>
      </c>
      <c r="B266" s="4" t="n">
        <v>3</v>
      </c>
      <c r="C266" s="5" t="n">
        <v>123987</v>
      </c>
      <c r="D266" s="5" t="n">
        <v>53367</v>
      </c>
      <c r="E266" s="5" t="n">
        <v>18584</v>
      </c>
      <c r="F266" s="5" t="n">
        <v>227</v>
      </c>
      <c r="G266" s="5" t="n">
        <v>4989</v>
      </c>
      <c r="H266" s="5" t="n">
        <v>201154</v>
      </c>
      <c r="I266" s="9" t="n">
        <f aca="false">IF(H266=0,0,C266/H266)</f>
        <v>0.616378496077632</v>
      </c>
      <c r="J266" s="9" t="n">
        <f aca="false">IF(H266=0,0,D266/H266)</f>
        <v>0.265304194796027</v>
      </c>
      <c r="K266" s="9" t="n">
        <f aca="false">IF(H266=0,0,E266/H266)</f>
        <v>0.0923869274287362</v>
      </c>
      <c r="L266" s="9" t="n">
        <f aca="false">IF(H266=0,0,G266/H266)</f>
        <v>0.024801893076946</v>
      </c>
      <c r="M266" s="4" t="str">
        <f aca="false">INDEX($C$3:$E$3,MATCH(MAX(C266:E266),C266:E266,0))</f>
        <v>Sheinbaum (PVEM-PT-Morena)</v>
      </c>
      <c r="N266" s="18" t="n">
        <f aca="false">IF(H266=0,0,(MAX(C266:E266)-LARGE(C266:E266,2))/H266*100)</f>
        <v>35.1074301281605</v>
      </c>
    </row>
    <row r="267" customFormat="false" ht="15" hidden="false" customHeight="false" outlineLevel="0" collapsed="false">
      <c r="A267" s="4" t="s">
        <v>72</v>
      </c>
      <c r="B267" s="4" t="n">
        <v>4</v>
      </c>
      <c r="C267" s="5" t="n">
        <v>123704</v>
      </c>
      <c r="D267" s="5" t="n">
        <v>32856</v>
      </c>
      <c r="E267" s="5" t="n">
        <v>21961</v>
      </c>
      <c r="F267" s="5" t="n">
        <v>422</v>
      </c>
      <c r="G267" s="5" t="n">
        <v>3139</v>
      </c>
      <c r="H267" s="5" t="n">
        <v>182082</v>
      </c>
      <c r="I267" s="9" t="n">
        <f aca="false">IF(H267=0,0,C267/H267)</f>
        <v>0.679386210608407</v>
      </c>
      <c r="J267" s="9" t="n">
        <f aca="false">IF(H267=0,0,D267/H267)</f>
        <v>0.180446172603552</v>
      </c>
      <c r="K267" s="9" t="n">
        <f aca="false">IF(H267=0,0,E267/H267)</f>
        <v>0.120610494172955</v>
      </c>
      <c r="L267" s="9" t="n">
        <f aca="false">IF(H267=0,0,G267/H267)</f>
        <v>0.01723948550653</v>
      </c>
      <c r="M267" s="4" t="str">
        <f aca="false">INDEX($C$3:$E$3,MATCH(MAX(C267:E267),C267:E267,0))</f>
        <v>Sheinbaum (PVEM-PT-Morena)</v>
      </c>
      <c r="N267" s="18" t="n">
        <f aca="false">IF(H267=0,0,(MAX(C267:E267)-LARGE(C267:E267,2))/H267*100)</f>
        <v>49.8940038004855</v>
      </c>
    </row>
    <row r="268" customFormat="false" ht="15" hidden="false" customHeight="false" outlineLevel="0" collapsed="false">
      <c r="A268" s="4" t="s">
        <v>72</v>
      </c>
      <c r="B268" s="4" t="n">
        <v>5</v>
      </c>
      <c r="C268" s="5" t="n">
        <v>141364</v>
      </c>
      <c r="D268" s="5" t="n">
        <v>63564</v>
      </c>
      <c r="E268" s="5" t="n">
        <v>21661</v>
      </c>
      <c r="F268" s="5" t="n">
        <v>214</v>
      </c>
      <c r="G268" s="5" t="n">
        <v>5045</v>
      </c>
      <c r="H268" s="5" t="n">
        <v>231848</v>
      </c>
      <c r="I268" s="9" t="n">
        <f aca="false">IF(H268=0,0,C268/H268)</f>
        <v>0.609727062558228</v>
      </c>
      <c r="J268" s="9" t="n">
        <f aca="false">IF(H268=0,0,D268/H268)</f>
        <v>0.27416238225044</v>
      </c>
      <c r="K268" s="9" t="n">
        <f aca="false">IF(H268=0,0,E268/H268)</f>
        <v>0.0934275904903213</v>
      </c>
      <c r="L268" s="9" t="n">
        <f aca="false">IF(H268=0,0,G268/H268)</f>
        <v>0.0217599461716297</v>
      </c>
      <c r="M268" s="4" t="str">
        <f aca="false">INDEX($C$3:$E$3,MATCH(MAX(C268:E268),C268:E268,0))</f>
        <v>Sheinbaum (PVEM-PT-Morena)</v>
      </c>
      <c r="N268" s="18" t="n">
        <f aca="false">IF(H268=0,0,(MAX(C268:E268)-LARGE(C268:E268,2))/H268*100)</f>
        <v>33.5564680307788</v>
      </c>
    </row>
    <row r="269" customFormat="false" ht="15" hidden="false" customHeight="false" outlineLevel="0" collapsed="false">
      <c r="A269" s="4" t="s">
        <v>72</v>
      </c>
      <c r="B269" s="4" t="n">
        <v>6</v>
      </c>
      <c r="C269" s="5" t="n">
        <v>144435</v>
      </c>
      <c r="D269" s="5" t="n">
        <v>57259</v>
      </c>
      <c r="E269" s="5" t="n">
        <v>18206</v>
      </c>
      <c r="F269" s="5" t="n">
        <v>169</v>
      </c>
      <c r="G269" s="5" t="n">
        <v>4336</v>
      </c>
      <c r="H269" s="5" t="n">
        <v>224405</v>
      </c>
      <c r="I269" s="9" t="n">
        <f aca="false">IF(H269=0,0,C269/H269)</f>
        <v>0.643635391368285</v>
      </c>
      <c r="J269" s="9" t="n">
        <f aca="false">IF(H269=0,0,D269/H269)</f>
        <v>0.255159198770081</v>
      </c>
      <c r="K269" s="9" t="n">
        <f aca="false">IF(H269=0,0,E269/H269)</f>
        <v>0.0811300995967113</v>
      </c>
      <c r="L269" s="9" t="n">
        <f aca="false">IF(H269=0,0,G269/H269)</f>
        <v>0.0193222076156948</v>
      </c>
      <c r="M269" s="4" t="str">
        <f aca="false">INDEX($C$3:$E$3,MATCH(MAX(C269:E269),C269:E269,0))</f>
        <v>Sheinbaum (PVEM-PT-Morena)</v>
      </c>
      <c r="N269" s="18" t="n">
        <f aca="false">IF(H269=0,0,(MAX(C269:E269)-LARGE(C269:E269,2))/H269*100)</f>
        <v>38.8476192598204</v>
      </c>
    </row>
    <row r="270" customFormat="false" ht="15" hidden="false" customHeight="false" outlineLevel="0" collapsed="false">
      <c r="A270" s="4" t="s">
        <v>72</v>
      </c>
      <c r="B270" s="4" t="n">
        <v>7</v>
      </c>
      <c r="C270" s="5" t="n">
        <v>101866</v>
      </c>
      <c r="D270" s="5" t="n">
        <v>28373</v>
      </c>
      <c r="E270" s="5" t="n">
        <v>15805</v>
      </c>
      <c r="F270" s="5" t="n">
        <v>165</v>
      </c>
      <c r="G270" s="5" t="n">
        <v>3065</v>
      </c>
      <c r="H270" s="5" t="n">
        <v>149274</v>
      </c>
      <c r="I270" s="9" t="n">
        <f aca="false">IF(H270=0,0,C270/H270)</f>
        <v>0.682409528785991</v>
      </c>
      <c r="J270" s="9" t="n">
        <f aca="false">IF(H270=0,0,D270/H270)</f>
        <v>0.190073288047483</v>
      </c>
      <c r="K270" s="9" t="n">
        <f aca="false">IF(H270=0,0,E270/H270)</f>
        <v>0.105879121615285</v>
      </c>
      <c r="L270" s="9" t="n">
        <f aca="false">IF(H270=0,0,G270/H270)</f>
        <v>0.0205327116577569</v>
      </c>
      <c r="M270" s="4" t="str">
        <f aca="false">INDEX($C$3:$E$3,MATCH(MAX(C270:E270),C270:E270,0))</f>
        <v>Sheinbaum (PVEM-PT-Morena)</v>
      </c>
      <c r="N270" s="18" t="n">
        <f aca="false">IF(H270=0,0,(MAX(C270:E270)-LARGE(C270:E270,2))/H270*100)</f>
        <v>49.2336240738508</v>
      </c>
    </row>
    <row r="271" customFormat="false" ht="15" hidden="false" customHeight="false" outlineLevel="0" collapsed="false">
      <c r="A271" s="4" t="s">
        <v>72</v>
      </c>
      <c r="B271" s="4" t="n">
        <v>8</v>
      </c>
      <c r="C271" s="5" t="n">
        <v>157919</v>
      </c>
      <c r="D271" s="5" t="n">
        <v>80384</v>
      </c>
      <c r="E271" s="5" t="n">
        <v>24059</v>
      </c>
      <c r="F271" s="5" t="n">
        <v>279</v>
      </c>
      <c r="G271" s="5" t="n">
        <v>3403</v>
      </c>
      <c r="H271" s="5" t="n">
        <v>266044</v>
      </c>
      <c r="I271" s="9" t="n">
        <f aca="false">IF(H271=0,0,C271/H271)</f>
        <v>0.593582264587813</v>
      </c>
      <c r="J271" s="9" t="n">
        <f aca="false">IF(H271=0,0,D271/H271)</f>
        <v>0.302145509765302</v>
      </c>
      <c r="K271" s="9" t="n">
        <f aca="false">IF(H271=0,0,E271/H271)</f>
        <v>0.0904324096765949</v>
      </c>
      <c r="L271" s="9" t="n">
        <f aca="false">IF(H271=0,0,G271/H271)</f>
        <v>0.0127911172587993</v>
      </c>
      <c r="M271" s="4" t="str">
        <f aca="false">INDEX($C$3:$E$3,MATCH(MAX(C271:E271),C271:E271,0))</f>
        <v>Sheinbaum (PVEM-PT-Morena)</v>
      </c>
      <c r="N271" s="18" t="n">
        <f aca="false">IF(H271=0,0,(MAX(C271:E271)-LARGE(C271:E271,2))/H271*100)</f>
        <v>29.1436754822511</v>
      </c>
    </row>
    <row r="272" customFormat="false" ht="15" hidden="false" customHeight="false" outlineLevel="0" collapsed="false">
      <c r="A272" s="4" t="s">
        <v>73</v>
      </c>
      <c r="B272" s="4" t="n">
        <v>1</v>
      </c>
      <c r="C272" s="5" t="n">
        <v>162321</v>
      </c>
      <c r="D272" s="5" t="n">
        <v>38093</v>
      </c>
      <c r="E272" s="5" t="n">
        <v>33875</v>
      </c>
      <c r="F272" s="5" t="n">
        <v>207</v>
      </c>
      <c r="G272" s="5" t="n">
        <v>5628</v>
      </c>
      <c r="H272" s="5" t="n">
        <v>240124</v>
      </c>
      <c r="I272" s="9" t="n">
        <f aca="false">IF(H272=0,0,C272/H272)</f>
        <v>0.675988239409638</v>
      </c>
      <c r="J272" s="9" t="n">
        <f aca="false">IF(H272=0,0,D272/H272)</f>
        <v>0.158638869917209</v>
      </c>
      <c r="K272" s="9" t="n">
        <f aca="false">IF(H272=0,0,E272/H272)</f>
        <v>0.14107294564475</v>
      </c>
      <c r="L272" s="9" t="n">
        <f aca="false">IF(H272=0,0,G272/H272)</f>
        <v>0.0234378904232813</v>
      </c>
      <c r="M272" s="4" t="str">
        <f aca="false">INDEX($C$3:$E$3,MATCH(MAX(C272:E272),C272:E272,0))</f>
        <v>Sheinbaum (PVEM-PT-Morena)</v>
      </c>
      <c r="N272" s="18" t="n">
        <f aca="false">IF(H272=0,0,(MAX(C272:E272)-LARGE(C272:E272,2))/H272*100)</f>
        <v>51.7349369492429</v>
      </c>
    </row>
    <row r="273" customFormat="false" ht="15" hidden="false" customHeight="false" outlineLevel="0" collapsed="false">
      <c r="A273" s="4" t="s">
        <v>73</v>
      </c>
      <c r="B273" s="4" t="n">
        <v>2</v>
      </c>
      <c r="C273" s="5" t="n">
        <v>166729</v>
      </c>
      <c r="D273" s="5" t="n">
        <v>39433</v>
      </c>
      <c r="E273" s="5" t="n">
        <v>36112</v>
      </c>
      <c r="F273" s="5" t="n">
        <v>266</v>
      </c>
      <c r="G273" s="5" t="n">
        <v>4895</v>
      </c>
      <c r="H273" s="5" t="n">
        <v>247435</v>
      </c>
      <c r="I273" s="9" t="n">
        <f aca="false">IF(H273=0,0,C273/H273)</f>
        <v>0.673829490573282</v>
      </c>
      <c r="J273" s="9" t="n">
        <f aca="false">IF(H273=0,0,D273/H273)</f>
        <v>0.159367106512822</v>
      </c>
      <c r="K273" s="9" t="n">
        <f aca="false">IF(H273=0,0,E273/H273)</f>
        <v>0.145945399801968</v>
      </c>
      <c r="L273" s="9" t="n">
        <f aca="false">IF(H273=0,0,G273/H273)</f>
        <v>0.0197829733061208</v>
      </c>
      <c r="M273" s="4" t="str">
        <f aca="false">INDEX($C$3:$E$3,MATCH(MAX(C273:E273),C273:E273,0))</f>
        <v>Sheinbaum (PVEM-PT-Morena)</v>
      </c>
      <c r="N273" s="18" t="n">
        <f aca="false">IF(H273=0,0,(MAX(C273:E273)-LARGE(C273:E273,2))/H273*100)</f>
        <v>51.446238406046</v>
      </c>
    </row>
    <row r="274" customFormat="false" ht="15" hidden="false" customHeight="false" outlineLevel="0" collapsed="false">
      <c r="A274" s="4" t="s">
        <v>73</v>
      </c>
      <c r="B274" s="4" t="n">
        <v>3</v>
      </c>
      <c r="C274" s="5" t="n">
        <v>182985</v>
      </c>
      <c r="D274" s="5" t="n">
        <v>31399</v>
      </c>
      <c r="E274" s="5" t="n">
        <v>33215</v>
      </c>
      <c r="F274" s="5" t="n">
        <v>324</v>
      </c>
      <c r="G274" s="5" t="n">
        <v>4510</v>
      </c>
      <c r="H274" s="5" t="n">
        <v>252433</v>
      </c>
      <c r="I274" s="9" t="n">
        <f aca="false">IF(H274=0,0,C274/H274)</f>
        <v>0.724885415139859</v>
      </c>
      <c r="J274" s="9" t="n">
        <f aca="false">IF(H274=0,0,D274/H274)</f>
        <v>0.124385480503738</v>
      </c>
      <c r="K274" s="9" t="n">
        <f aca="false">IF(H274=0,0,E274/H274)</f>
        <v>0.131579468611473</v>
      </c>
      <c r="L274" s="9" t="n">
        <f aca="false">IF(H274=0,0,G274/H274)</f>
        <v>0.0178661268534621</v>
      </c>
      <c r="M274" s="4" t="str">
        <f aca="false">INDEX($C$3:$E$3,MATCH(MAX(C274:E274),C274:E274,0))</f>
        <v>Sheinbaum (PVEM-PT-Morena)</v>
      </c>
      <c r="N274" s="18" t="n">
        <f aca="false">IF(H274=0,0,(MAX(C274:E274)-LARGE(C274:E274,2))/H274*100)</f>
        <v>59.3305946528386</v>
      </c>
    </row>
    <row r="275" customFormat="false" ht="15" hidden="false" customHeight="false" outlineLevel="0" collapsed="false">
      <c r="A275" s="4" t="s">
        <v>74</v>
      </c>
      <c r="B275" s="4" t="n">
        <v>1</v>
      </c>
      <c r="C275" s="5" t="n">
        <v>122617</v>
      </c>
      <c r="D275" s="5" t="n">
        <v>53037</v>
      </c>
      <c r="E275" s="5" t="n">
        <v>9884</v>
      </c>
      <c r="F275" s="5" t="n">
        <v>90</v>
      </c>
      <c r="G275" s="5" t="n">
        <v>5020</v>
      </c>
      <c r="H275" s="5" t="n">
        <v>190648</v>
      </c>
      <c r="I275" s="9" t="n">
        <f aca="false">IF(H275=0,0,C275/H275)</f>
        <v>0.643159120473333</v>
      </c>
      <c r="J275" s="9" t="n">
        <f aca="false">IF(H275=0,0,D275/H275)</f>
        <v>0.278193319625698</v>
      </c>
      <c r="K275" s="9" t="n">
        <f aca="false">IF(H275=0,0,E275/H275)</f>
        <v>0.0518442364986782</v>
      </c>
      <c r="L275" s="9" t="n">
        <f aca="false">IF(H275=0,0,G275/H275)</f>
        <v>0.0263312492132097</v>
      </c>
      <c r="M275" s="4" t="str">
        <f aca="false">INDEX($C$3:$E$3,MATCH(MAX(C275:E275),C275:E275,0))</f>
        <v>Sheinbaum (PVEM-PT-Morena)</v>
      </c>
      <c r="N275" s="18" t="n">
        <f aca="false">IF(H275=0,0,(MAX(C275:E275)-LARGE(C275:E275,2))/H275*100)</f>
        <v>36.4965800847635</v>
      </c>
    </row>
    <row r="276" customFormat="false" ht="15" hidden="false" customHeight="false" outlineLevel="0" collapsed="false">
      <c r="A276" s="4" t="s">
        <v>74</v>
      </c>
      <c r="B276" s="4" t="n">
        <v>2</v>
      </c>
      <c r="C276" s="5" t="n">
        <v>125278</v>
      </c>
      <c r="D276" s="5" t="n">
        <v>40148</v>
      </c>
      <c r="E276" s="5" t="n">
        <v>12116</v>
      </c>
      <c r="F276" s="5" t="n">
        <v>137</v>
      </c>
      <c r="G276" s="5" t="n">
        <v>6108</v>
      </c>
      <c r="H276" s="5" t="n">
        <v>183787</v>
      </c>
      <c r="I276" s="9" t="n">
        <f aca="false">IF(H276=0,0,C276/H276)</f>
        <v>0.681647777046255</v>
      </c>
      <c r="J276" s="9" t="n">
        <f aca="false">IF(H276=0,0,D276/H276)</f>
        <v>0.2184485300919</v>
      </c>
      <c r="K276" s="9" t="n">
        <f aca="false">IF(H276=0,0,E276/H276)</f>
        <v>0.0659241404451893</v>
      </c>
      <c r="L276" s="9" t="n">
        <f aca="false">IF(H276=0,0,G276/H276)</f>
        <v>0.033234124285178</v>
      </c>
      <c r="M276" s="4" t="str">
        <f aca="false">INDEX($C$3:$E$3,MATCH(MAX(C276:E276),C276:E276,0))</f>
        <v>Sheinbaum (PVEM-PT-Morena)</v>
      </c>
      <c r="N276" s="18" t="n">
        <f aca="false">IF(H276=0,0,(MAX(C276:E276)-LARGE(C276:E276,2))/H276*100)</f>
        <v>46.3199246954355</v>
      </c>
    </row>
    <row r="277" customFormat="false" ht="15" hidden="false" customHeight="false" outlineLevel="0" collapsed="false">
      <c r="A277" s="4" t="s">
        <v>74</v>
      </c>
      <c r="B277" s="4" t="n">
        <v>3</v>
      </c>
      <c r="C277" s="5" t="n">
        <v>149547</v>
      </c>
      <c r="D277" s="5" t="n">
        <v>27400</v>
      </c>
      <c r="E277" s="5" t="n">
        <v>9260</v>
      </c>
      <c r="F277" s="5" t="n">
        <v>162</v>
      </c>
      <c r="G277" s="5" t="n">
        <v>4700</v>
      </c>
      <c r="H277" s="5" t="n">
        <v>191069</v>
      </c>
      <c r="I277" s="9" t="n">
        <f aca="false">IF(H277=0,0,C277/H277)</f>
        <v>0.782685836006888</v>
      </c>
      <c r="J277" s="9" t="n">
        <f aca="false">IF(H277=0,0,D277/H277)</f>
        <v>0.143403691860009</v>
      </c>
      <c r="K277" s="9" t="n">
        <f aca="false">IF(H277=0,0,E277/H277)</f>
        <v>0.0484641673950248</v>
      </c>
      <c r="L277" s="9" t="n">
        <f aca="false">IF(H277=0,0,G277/H277)</f>
        <v>0.0245984434942351</v>
      </c>
      <c r="M277" s="4" t="str">
        <f aca="false">INDEX($C$3:$E$3,MATCH(MAX(C277:E277),C277:E277,0))</f>
        <v>Sheinbaum (PVEM-PT-Morena)</v>
      </c>
      <c r="N277" s="18" t="n">
        <f aca="false">IF(H277=0,0,(MAX(C277:E277)-LARGE(C277:E277,2))/H277*100)</f>
        <v>63.9282144146879</v>
      </c>
    </row>
    <row r="278" customFormat="false" ht="15" hidden="false" customHeight="false" outlineLevel="0" collapsed="false">
      <c r="A278" s="4" t="s">
        <v>74</v>
      </c>
      <c r="B278" s="4" t="n">
        <v>4</v>
      </c>
      <c r="C278" s="5" t="n">
        <v>97084</v>
      </c>
      <c r="D278" s="5" t="n">
        <v>82848</v>
      </c>
      <c r="E278" s="5" t="n">
        <v>16771</v>
      </c>
      <c r="F278" s="5" t="n">
        <v>229</v>
      </c>
      <c r="G278" s="5" t="n">
        <v>3021</v>
      </c>
      <c r="H278" s="5" t="n">
        <v>199953</v>
      </c>
      <c r="I278" s="9" t="n">
        <f aca="false">IF(H278=0,0,C278/H278)</f>
        <v>0.485534100513621</v>
      </c>
      <c r="J278" s="9" t="n">
        <f aca="false">IF(H278=0,0,D278/H278)</f>
        <v>0.414337369281781</v>
      </c>
      <c r="K278" s="9" t="n">
        <f aca="false">IF(H278=0,0,E278/H278)</f>
        <v>0.0838747105569809</v>
      </c>
      <c r="L278" s="9" t="n">
        <f aca="false">IF(H278=0,0,G278/H278)</f>
        <v>0.0151085505093697</v>
      </c>
      <c r="M278" s="4" t="str">
        <f aca="false">INDEX($C$3:$E$3,MATCH(MAX(C278:E278),C278:E278,0))</f>
        <v>Sheinbaum (PVEM-PT-Morena)</v>
      </c>
      <c r="N278" s="18" t="n">
        <f aca="false">IF(H278=0,0,(MAX(C278:E278)-LARGE(C278:E278,2))/H278*100)</f>
        <v>7.11967312318395</v>
      </c>
    </row>
    <row r="279" customFormat="false" ht="15" hidden="false" customHeight="false" outlineLevel="0" collapsed="false">
      <c r="A279" s="4" t="s">
        <v>74</v>
      </c>
      <c r="B279" s="4" t="n">
        <v>5</v>
      </c>
      <c r="C279" s="5" t="n">
        <v>146325</v>
      </c>
      <c r="D279" s="5" t="n">
        <v>39410</v>
      </c>
      <c r="E279" s="5" t="n">
        <v>19697</v>
      </c>
      <c r="F279" s="5" t="n">
        <v>208</v>
      </c>
      <c r="G279" s="5" t="n">
        <v>4086</v>
      </c>
      <c r="H279" s="5" t="n">
        <v>209726</v>
      </c>
      <c r="I279" s="9" t="n">
        <f aca="false">IF(H279=0,0,C279/H279)</f>
        <v>0.697696041501769</v>
      </c>
      <c r="J279" s="9" t="n">
        <f aca="false">IF(H279=0,0,D279/H279)</f>
        <v>0.187911846885937</v>
      </c>
      <c r="K279" s="9" t="n">
        <f aca="false">IF(H279=0,0,E279/H279)</f>
        <v>0.0939177784347196</v>
      </c>
      <c r="L279" s="9" t="n">
        <f aca="false">IF(H279=0,0,G279/H279)</f>
        <v>0.0194825629631042</v>
      </c>
      <c r="M279" s="4" t="str">
        <f aca="false">INDEX($C$3:$E$3,MATCH(MAX(C279:E279),C279:E279,0))</f>
        <v>Sheinbaum (PVEM-PT-Morena)</v>
      </c>
      <c r="N279" s="18" t="n">
        <f aca="false">IF(H279=0,0,(MAX(C279:E279)-LARGE(C279:E279,2))/H279*100)</f>
        <v>50.9784194615832</v>
      </c>
    </row>
    <row r="280" customFormat="false" ht="15" hidden="false" customHeight="false" outlineLevel="0" collapsed="false">
      <c r="A280" s="4" t="s">
        <v>74</v>
      </c>
      <c r="B280" s="4" t="n">
        <v>6</v>
      </c>
      <c r="C280" s="5" t="n">
        <v>130006</v>
      </c>
      <c r="D280" s="5" t="n">
        <v>38432</v>
      </c>
      <c r="E280" s="5" t="n">
        <v>16141</v>
      </c>
      <c r="F280" s="5" t="n">
        <v>92</v>
      </c>
      <c r="G280" s="5" t="n">
        <v>4706</v>
      </c>
      <c r="H280" s="5" t="n">
        <v>189377</v>
      </c>
      <c r="I280" s="9" t="n">
        <f aca="false">IF(H280=0,0,C280/H280)</f>
        <v>0.68649307994107</v>
      </c>
      <c r="J280" s="9" t="n">
        <f aca="false">IF(H280=0,0,D280/H280)</f>
        <v>0.202939110874077</v>
      </c>
      <c r="K280" s="9" t="n">
        <f aca="false">IF(H280=0,0,E280/H280)</f>
        <v>0.0852321031593066</v>
      </c>
      <c r="L280" s="9" t="n">
        <f aca="false">IF(H280=0,0,G280/H280)</f>
        <v>0.0248499025752863</v>
      </c>
      <c r="M280" s="4" t="str">
        <f aca="false">INDEX($C$3:$E$3,MATCH(MAX(C280:E280),C280:E280,0))</f>
        <v>Sheinbaum (PVEM-PT-Morena)</v>
      </c>
      <c r="N280" s="18" t="n">
        <f aca="false">IF(H280=0,0,(MAX(C280:E280)-LARGE(C280:E280,2))/H280*100)</f>
        <v>48.3553969066993</v>
      </c>
    </row>
    <row r="281" customFormat="false" ht="15" hidden="false" customHeight="false" outlineLevel="0" collapsed="false">
      <c r="A281" s="4" t="s">
        <v>74</v>
      </c>
      <c r="B281" s="4" t="n">
        <v>7</v>
      </c>
      <c r="C281" s="5" t="n">
        <v>132620</v>
      </c>
      <c r="D281" s="5" t="n">
        <v>34401</v>
      </c>
      <c r="E281" s="5" t="n">
        <v>14402</v>
      </c>
      <c r="F281" s="5" t="n">
        <v>208</v>
      </c>
      <c r="G281" s="5" t="n">
        <v>4890</v>
      </c>
      <c r="H281" s="5" t="n">
        <v>186521</v>
      </c>
      <c r="I281" s="9" t="n">
        <f aca="false">IF(H281=0,0,C281/H281)</f>
        <v>0.711019134574659</v>
      </c>
      <c r="J281" s="9" t="n">
        <f aca="false">IF(H281=0,0,D281/H281)</f>
        <v>0.184434996595558</v>
      </c>
      <c r="K281" s="9" t="n">
        <f aca="false">IF(H281=0,0,E281/H281)</f>
        <v>0.0772138257890532</v>
      </c>
      <c r="L281" s="9" t="n">
        <f aca="false">IF(H281=0,0,G281/H281)</f>
        <v>0.0262168871065456</v>
      </c>
      <c r="M281" s="4" t="str">
        <f aca="false">INDEX($C$3:$E$3,MATCH(MAX(C281:E281),C281:E281,0))</f>
        <v>Sheinbaum (PVEM-PT-Morena)</v>
      </c>
      <c r="N281" s="18" t="n">
        <f aca="false">IF(H281=0,0,(MAX(C281:E281)-LARGE(C281:E281,2))/H281*100)</f>
        <v>52.6584137979102</v>
      </c>
    </row>
    <row r="282" customFormat="false" ht="15" hidden="false" customHeight="false" outlineLevel="0" collapsed="false">
      <c r="A282" s="4" t="s">
        <v>74</v>
      </c>
      <c r="B282" s="4" t="n">
        <v>8</v>
      </c>
      <c r="C282" s="5" t="n">
        <v>139924</v>
      </c>
      <c r="D282" s="5" t="n">
        <v>40026</v>
      </c>
      <c r="E282" s="5" t="n">
        <v>18048</v>
      </c>
      <c r="F282" s="5" t="n">
        <v>226</v>
      </c>
      <c r="G282" s="5" t="n">
        <v>4494</v>
      </c>
      <c r="H282" s="5" t="n">
        <v>202718</v>
      </c>
      <c r="I282" s="9" t="n">
        <f aca="false">IF(H282=0,0,C282/H282)</f>
        <v>0.690239643248256</v>
      </c>
      <c r="J282" s="9" t="n">
        <f aca="false">IF(H282=0,0,D282/H282)</f>
        <v>0.197446699355755</v>
      </c>
      <c r="K282" s="9" t="n">
        <f aca="false">IF(H282=0,0,E282/H282)</f>
        <v>0.089030081196539</v>
      </c>
      <c r="L282" s="9" t="n">
        <f aca="false">IF(H282=0,0,G282/H282)</f>
        <v>0.0221687270000691</v>
      </c>
      <c r="M282" s="4" t="str">
        <f aca="false">INDEX($C$3:$E$3,MATCH(MAX(C282:E282),C282:E282,0))</f>
        <v>Sheinbaum (PVEM-PT-Morena)</v>
      </c>
      <c r="N282" s="18" t="n">
        <f aca="false">IF(H282=0,0,(MAX(C282:E282)-LARGE(C282:E282,2))/H282*100)</f>
        <v>49.2792943892501</v>
      </c>
    </row>
    <row r="283" customFormat="false" ht="15" hidden="false" customHeight="false" outlineLevel="0" collapsed="false">
      <c r="A283" s="4" t="s">
        <v>74</v>
      </c>
      <c r="B283" s="4" t="n">
        <v>9</v>
      </c>
      <c r="C283" s="5" t="n">
        <v>125465</v>
      </c>
      <c r="D283" s="5" t="n">
        <v>47389</v>
      </c>
      <c r="E283" s="5" t="n">
        <v>18107</v>
      </c>
      <c r="F283" s="5" t="n">
        <v>220</v>
      </c>
      <c r="G283" s="5" t="n">
        <v>5334</v>
      </c>
      <c r="H283" s="5" t="n">
        <v>196515</v>
      </c>
      <c r="I283" s="9" t="n">
        <f aca="false">IF(H283=0,0,C283/H283)</f>
        <v>0.638449991094827</v>
      </c>
      <c r="J283" s="9" t="n">
        <f aca="false">IF(H283=0,0,D283/H283)</f>
        <v>0.241146986235147</v>
      </c>
      <c r="K283" s="9" t="n">
        <f aca="false">IF(H283=0,0,E283/H283)</f>
        <v>0.0921405490675012</v>
      </c>
      <c r="L283" s="9" t="n">
        <f aca="false">IF(H283=0,0,G283/H283)</f>
        <v>0.0271429661857873</v>
      </c>
      <c r="M283" s="4" t="str">
        <f aca="false">INDEX($C$3:$E$3,MATCH(MAX(C283:E283),C283:E283,0))</f>
        <v>Sheinbaum (PVEM-PT-Morena)</v>
      </c>
      <c r="N283" s="18" t="n">
        <f aca="false">IF(H283=0,0,(MAX(C283:E283)-LARGE(C283:E283,2))/H283*100)</f>
        <v>39.730300485968</v>
      </c>
    </row>
    <row r="284" customFormat="false" ht="15" hidden="false" customHeight="false" outlineLevel="0" collapsed="false">
      <c r="A284" s="4" t="s">
        <v>74</v>
      </c>
      <c r="B284" s="4" t="n">
        <v>10</v>
      </c>
      <c r="C284" s="5" t="n">
        <v>134781</v>
      </c>
      <c r="D284" s="5" t="n">
        <v>84824</v>
      </c>
      <c r="E284" s="5" t="n">
        <v>29934</v>
      </c>
      <c r="F284" s="5" t="n">
        <v>351</v>
      </c>
      <c r="G284" s="5" t="n">
        <v>4788</v>
      </c>
      <c r="H284" s="5" t="n">
        <v>254678</v>
      </c>
      <c r="I284" s="9" t="n">
        <f aca="false">IF(H284=0,0,C284/H284)</f>
        <v>0.529221212668546</v>
      </c>
      <c r="J284" s="9" t="n">
        <f aca="false">IF(H284=0,0,D284/H284)</f>
        <v>0.333063711824343</v>
      </c>
      <c r="K284" s="9" t="n">
        <f aca="false">IF(H284=0,0,E284/H284)</f>
        <v>0.117536654127958</v>
      </c>
      <c r="L284" s="9" t="n">
        <f aca="false">IF(H284=0,0,G284/H284)</f>
        <v>0.0188002104618381</v>
      </c>
      <c r="M284" s="4" t="str">
        <f aca="false">INDEX($C$3:$E$3,MATCH(MAX(C284:E284),C284:E284,0))</f>
        <v>Sheinbaum (PVEM-PT-Morena)</v>
      </c>
      <c r="N284" s="18" t="n">
        <f aca="false">IF(H284=0,0,(MAX(C284:E284)-LARGE(C284:E284,2))/H284*100)</f>
        <v>19.6157500844203</v>
      </c>
    </row>
    <row r="285" customFormat="false" ht="15" hidden="false" customHeight="false" outlineLevel="0" collapsed="false">
      <c r="A285" s="4" t="s">
        <v>74</v>
      </c>
      <c r="B285" s="4" t="n">
        <v>11</v>
      </c>
      <c r="C285" s="5" t="n">
        <v>152395</v>
      </c>
      <c r="D285" s="5" t="n">
        <v>25193</v>
      </c>
      <c r="E285" s="5" t="n">
        <v>12999</v>
      </c>
      <c r="F285" s="5" t="n">
        <v>153</v>
      </c>
      <c r="G285" s="5" t="n">
        <v>3008</v>
      </c>
      <c r="H285" s="5" t="n">
        <v>193748</v>
      </c>
      <c r="I285" s="9" t="n">
        <f aca="false">IF(H285=0,0,C285/H285)</f>
        <v>0.786562958069245</v>
      </c>
      <c r="J285" s="9" t="n">
        <f aca="false">IF(H285=0,0,D285/H285)</f>
        <v>0.130029729339142</v>
      </c>
      <c r="K285" s="9" t="n">
        <f aca="false">IF(H285=0,0,E285/H285)</f>
        <v>0.0670923054689597</v>
      </c>
      <c r="L285" s="9" t="n">
        <f aca="false">IF(H285=0,0,G285/H285)</f>
        <v>0.0155253215517063</v>
      </c>
      <c r="M285" s="4" t="str">
        <f aca="false">INDEX($C$3:$E$3,MATCH(MAX(C285:E285),C285:E285,0))</f>
        <v>Sheinbaum (PVEM-PT-Morena)</v>
      </c>
      <c r="N285" s="18" t="n">
        <f aca="false">IF(H285=0,0,(MAX(C285:E285)-LARGE(C285:E285,2))/H285*100)</f>
        <v>65.6533228730103</v>
      </c>
    </row>
    <row r="286" customFormat="false" ht="15" hidden="false" customHeight="false" outlineLevel="0" collapsed="false">
      <c r="A286" s="4" t="s">
        <v>74</v>
      </c>
      <c r="B286" s="4" t="n">
        <v>12</v>
      </c>
      <c r="C286" s="5" t="n">
        <v>106652</v>
      </c>
      <c r="D286" s="5" t="n">
        <v>51292</v>
      </c>
      <c r="E286" s="5" t="n">
        <v>16854</v>
      </c>
      <c r="F286" s="5" t="n">
        <v>153</v>
      </c>
      <c r="G286" s="5" t="n">
        <v>2678</v>
      </c>
      <c r="H286" s="5" t="n">
        <v>177629</v>
      </c>
      <c r="I286" s="9" t="n">
        <f aca="false">IF(H286=0,0,C286/H286)</f>
        <v>0.600419976467807</v>
      </c>
      <c r="J286" s="9" t="n">
        <f aca="false">IF(H286=0,0,D286/H286)</f>
        <v>0.288759155318107</v>
      </c>
      <c r="K286" s="9" t="n">
        <f aca="false">IF(H286=0,0,E286/H286)</f>
        <v>0.0948831553406257</v>
      </c>
      <c r="L286" s="9" t="n">
        <f aca="false">IF(H286=0,0,G286/H286)</f>
        <v>0.0150763670346621</v>
      </c>
      <c r="M286" s="4" t="str">
        <f aca="false">INDEX($C$3:$E$3,MATCH(MAX(C286:E286),C286:E286,0))</f>
        <v>Sheinbaum (PVEM-PT-Morena)</v>
      </c>
      <c r="N286" s="18" t="n">
        <f aca="false">IF(H286=0,0,(MAX(C286:E286)-LARGE(C286:E286,2))/H286*100)</f>
        <v>31.16608211497</v>
      </c>
    </row>
    <row r="287" customFormat="false" ht="15" hidden="false" customHeight="false" outlineLevel="0" collapsed="false">
      <c r="A287" s="4" t="s">
        <v>74</v>
      </c>
      <c r="B287" s="4" t="n">
        <v>13</v>
      </c>
      <c r="C287" s="5" t="n">
        <v>109939</v>
      </c>
      <c r="D287" s="5" t="n">
        <v>46640</v>
      </c>
      <c r="E287" s="5" t="n">
        <v>14296</v>
      </c>
      <c r="F287" s="5" t="n">
        <v>170</v>
      </c>
      <c r="G287" s="5" t="n">
        <v>4304</v>
      </c>
      <c r="H287" s="5" t="n">
        <v>175349</v>
      </c>
      <c r="I287" s="9" t="n">
        <f aca="false">IF(H287=0,0,C287/H287)</f>
        <v>0.626972494853122</v>
      </c>
      <c r="J287" s="9" t="n">
        <f aca="false">IF(H287=0,0,D287/H287)</f>
        <v>0.265983837946039</v>
      </c>
      <c r="K287" s="9" t="n">
        <f aca="false">IF(H287=0,0,E287/H287)</f>
        <v>0.081528836776942</v>
      </c>
      <c r="L287" s="9" t="n">
        <f aca="false">IF(H287=0,0,G287/H287)</f>
        <v>0.0245453353027391</v>
      </c>
      <c r="M287" s="4" t="str">
        <f aca="false">INDEX($C$3:$E$3,MATCH(MAX(C287:E287),C287:E287,0))</f>
        <v>Sheinbaum (PVEM-PT-Morena)</v>
      </c>
      <c r="N287" s="18" t="n">
        <f aca="false">IF(H287=0,0,(MAX(C287:E287)-LARGE(C287:E287,2))/H287*100)</f>
        <v>36.0988656907082</v>
      </c>
    </row>
    <row r="288" customFormat="false" ht="15" hidden="false" customHeight="false" outlineLevel="0" collapsed="false">
      <c r="A288" s="4" t="s">
        <v>74</v>
      </c>
      <c r="B288" s="4" t="n">
        <v>14</v>
      </c>
      <c r="C288" s="5" t="n">
        <v>141088</v>
      </c>
      <c r="D288" s="5" t="n">
        <v>21127</v>
      </c>
      <c r="E288" s="5" t="n">
        <v>9498</v>
      </c>
      <c r="F288" s="5" t="n">
        <v>197</v>
      </c>
      <c r="G288" s="5" t="n">
        <v>3601</v>
      </c>
      <c r="H288" s="5" t="n">
        <v>175511</v>
      </c>
      <c r="I288" s="9" t="n">
        <f aca="false">IF(H288=0,0,C288/H288)</f>
        <v>0.803869842915829</v>
      </c>
      <c r="J288" s="9" t="n">
        <f aca="false">IF(H288=0,0,D288/H288)</f>
        <v>0.120374221558763</v>
      </c>
      <c r="K288" s="9" t="n">
        <f aca="false">IF(H288=0,0,E288/H288)</f>
        <v>0.0541162662169323</v>
      </c>
      <c r="L288" s="9" t="n">
        <f aca="false">IF(H288=0,0,G288/H288)</f>
        <v>0.0205172325381315</v>
      </c>
      <c r="M288" s="4" t="str">
        <f aca="false">INDEX($C$3:$E$3,MATCH(MAX(C288:E288),C288:E288,0))</f>
        <v>Sheinbaum (PVEM-PT-Morena)</v>
      </c>
      <c r="N288" s="18" t="n">
        <f aca="false">IF(H288=0,0,(MAX(C288:E288)-LARGE(C288:E288,2))/H288*100)</f>
        <v>68.3495621357066</v>
      </c>
    </row>
    <row r="289" customFormat="false" ht="15" hidden="false" customHeight="false" outlineLevel="0" collapsed="false">
      <c r="A289" s="4" t="s">
        <v>74</v>
      </c>
      <c r="B289" s="4" t="n">
        <v>15</v>
      </c>
      <c r="C289" s="5" t="n">
        <v>117641</v>
      </c>
      <c r="D289" s="5" t="n">
        <v>45259</v>
      </c>
      <c r="E289" s="5" t="n">
        <v>17978</v>
      </c>
      <c r="F289" s="5" t="n">
        <v>242</v>
      </c>
      <c r="G289" s="5" t="n">
        <v>4778</v>
      </c>
      <c r="H289" s="5" t="n">
        <v>185898</v>
      </c>
      <c r="I289" s="9" t="n">
        <f aca="false">IF(H289=0,0,C289/H289)</f>
        <v>0.632825527977708</v>
      </c>
      <c r="J289" s="9" t="n">
        <f aca="false">IF(H289=0,0,D289/H289)</f>
        <v>0.243461468116924</v>
      </c>
      <c r="K289" s="9" t="n">
        <f aca="false">IF(H289=0,0,E289/H289)</f>
        <v>0.0967089479176753</v>
      </c>
      <c r="L289" s="9" t="n">
        <f aca="false">IF(H289=0,0,G289/H289)</f>
        <v>0.0257022668345006</v>
      </c>
      <c r="M289" s="4" t="str">
        <f aca="false">INDEX($C$3:$E$3,MATCH(MAX(C289:E289),C289:E289,0))</f>
        <v>Sheinbaum (PVEM-PT-Morena)</v>
      </c>
      <c r="N289" s="18" t="n">
        <f aca="false">IF(H289=0,0,(MAX(C289:E289)-LARGE(C289:E289,2))/H289*100)</f>
        <v>38.9364059860784</v>
      </c>
    </row>
    <row r="290" customFormat="false" ht="15" hidden="false" customHeight="false" outlineLevel="0" collapsed="false">
      <c r="A290" s="4" t="s">
        <v>74</v>
      </c>
      <c r="B290" s="4" t="n">
        <v>16</v>
      </c>
      <c r="C290" s="5" t="n">
        <v>140147</v>
      </c>
      <c r="D290" s="5" t="n">
        <v>45191</v>
      </c>
      <c r="E290" s="5" t="n">
        <v>20506</v>
      </c>
      <c r="F290" s="5" t="n">
        <v>381</v>
      </c>
      <c r="G290" s="5" t="n">
        <v>4070</v>
      </c>
      <c r="H290" s="5" t="n">
        <v>210295</v>
      </c>
      <c r="I290" s="9" t="n">
        <f aca="false">IF(H290=0,0,C290/H290)</f>
        <v>0.666430490501438</v>
      </c>
      <c r="J290" s="9" t="n">
        <f aca="false">IF(H290=0,0,D290/H290)</f>
        <v>0.214893364083787</v>
      </c>
      <c r="K290" s="9" t="n">
        <f aca="false">IF(H290=0,0,E290/H290)</f>
        <v>0.0975106398154973</v>
      </c>
      <c r="L290" s="9" t="n">
        <f aca="false">IF(H290=0,0,G290/H290)</f>
        <v>0.019353764949238</v>
      </c>
      <c r="M290" s="4" t="str">
        <f aca="false">INDEX($C$3:$E$3,MATCH(MAX(C290:E290),C290:E290,0))</f>
        <v>Sheinbaum (PVEM-PT-Morena)</v>
      </c>
      <c r="N290" s="18" t="n">
        <f aca="false">IF(H290=0,0,(MAX(C290:E290)-LARGE(C290:E290,2))/H290*100)</f>
        <v>45.1537126417651</v>
      </c>
    </row>
    <row r="291" customFormat="false" ht="15" hidden="false" customHeight="false" outlineLevel="0" collapsed="false">
      <c r="A291" s="4" t="s">
        <v>74</v>
      </c>
      <c r="B291" s="4" t="n">
        <v>17</v>
      </c>
      <c r="C291" s="5" t="n">
        <v>133061</v>
      </c>
      <c r="D291" s="5" t="n">
        <v>41518</v>
      </c>
      <c r="E291" s="5" t="n">
        <v>12200</v>
      </c>
      <c r="F291" s="5" t="n">
        <v>182</v>
      </c>
      <c r="G291" s="5" t="n">
        <v>5265</v>
      </c>
      <c r="H291" s="5" t="n">
        <v>192226</v>
      </c>
      <c r="I291" s="9" t="n">
        <f aca="false">IF(H291=0,0,C291/H291)</f>
        <v>0.692211251339569</v>
      </c>
      <c r="J291" s="9" t="n">
        <f aca="false">IF(H291=0,0,D291/H291)</f>
        <v>0.215985350576925</v>
      </c>
      <c r="K291" s="9" t="n">
        <f aca="false">IF(H291=0,0,E291/H291)</f>
        <v>0.0634669607649329</v>
      </c>
      <c r="L291" s="9" t="n">
        <f aca="false">IF(H291=0,0,G291/H291)</f>
        <v>0.0273896351169977</v>
      </c>
      <c r="M291" s="4" t="str">
        <f aca="false">INDEX($C$3:$E$3,MATCH(MAX(C291:E291),C291:E291,0))</f>
        <v>Sheinbaum (PVEM-PT-Morena)</v>
      </c>
      <c r="N291" s="18" t="n">
        <f aca="false">IF(H291=0,0,(MAX(C291:E291)-LARGE(C291:E291,2))/H291*100)</f>
        <v>47.6225900762644</v>
      </c>
    </row>
    <row r="292" customFormat="false" ht="15" hidden="false" customHeight="false" outlineLevel="0" collapsed="false">
      <c r="A292" s="4" t="s">
        <v>74</v>
      </c>
      <c r="B292" s="4" t="n">
        <v>18</v>
      </c>
      <c r="C292" s="5" t="n">
        <v>112491</v>
      </c>
      <c r="D292" s="5" t="n">
        <v>44739</v>
      </c>
      <c r="E292" s="5" t="n">
        <v>13688</v>
      </c>
      <c r="F292" s="5" t="n">
        <v>182</v>
      </c>
      <c r="G292" s="5" t="n">
        <v>6580</v>
      </c>
      <c r="H292" s="5" t="n">
        <v>177680</v>
      </c>
      <c r="I292" s="9" t="n">
        <f aca="false">IF(H292=0,0,C292/H292)</f>
        <v>0.633110085547051</v>
      </c>
      <c r="J292" s="9" t="n">
        <f aca="false">IF(H292=0,0,D292/H292)</f>
        <v>0.251795362449347</v>
      </c>
      <c r="K292" s="9" t="n">
        <f aca="false">IF(H292=0,0,E292/H292)</f>
        <v>0.0770373705538046</v>
      </c>
      <c r="L292" s="9" t="n">
        <f aca="false">IF(H292=0,0,G292/H292)</f>
        <v>0.0370328680774426</v>
      </c>
      <c r="M292" s="4" t="str">
        <f aca="false">INDEX($C$3:$E$3,MATCH(MAX(C292:E292),C292:E292,0))</f>
        <v>Sheinbaum (PVEM-PT-Morena)</v>
      </c>
      <c r="N292" s="18" t="n">
        <f aca="false">IF(H292=0,0,(MAX(C292:E292)-LARGE(C292:E292,2))/H292*100)</f>
        <v>38.1314723097704</v>
      </c>
    </row>
    <row r="293" customFormat="false" ht="15" hidden="false" customHeight="false" outlineLevel="0" collapsed="false">
      <c r="A293" s="4" t="s">
        <v>74</v>
      </c>
      <c r="B293" s="4" t="n">
        <v>19</v>
      </c>
      <c r="C293" s="5" t="n">
        <v>120136</v>
      </c>
      <c r="D293" s="5" t="n">
        <v>35870</v>
      </c>
      <c r="E293" s="5" t="n">
        <v>12081</v>
      </c>
      <c r="F293" s="5" t="n">
        <v>161</v>
      </c>
      <c r="G293" s="5" t="n">
        <v>5893</v>
      </c>
      <c r="H293" s="5" t="n">
        <v>174141</v>
      </c>
      <c r="I293" s="9" t="n">
        <f aca="false">IF(H293=0,0,C293/H293)</f>
        <v>0.689877742748692</v>
      </c>
      <c r="J293" s="9" t="n">
        <f aca="false">IF(H293=0,0,D293/H293)</f>
        <v>0.205982508427079</v>
      </c>
      <c r="K293" s="9" t="n">
        <f aca="false">IF(H293=0,0,E293/H293)</f>
        <v>0.0693748169586714</v>
      </c>
      <c r="L293" s="9" t="n">
        <f aca="false">IF(H293=0,0,G293/H293)</f>
        <v>0.0338403937039525</v>
      </c>
      <c r="M293" s="4" t="str">
        <f aca="false">INDEX($C$3:$E$3,MATCH(MAX(C293:E293),C293:E293,0))</f>
        <v>Sheinbaum (PVEM-PT-Morena)</v>
      </c>
      <c r="N293" s="18" t="n">
        <f aca="false">IF(H293=0,0,(MAX(C293:E293)-LARGE(C293:E293,2))/H293*100)</f>
        <v>48.3895234321613</v>
      </c>
    </row>
    <row r="294" customFormat="false" ht="15" hidden="false" customHeight="false" outlineLevel="0" collapsed="false">
      <c r="A294" s="4" t="s">
        <v>75</v>
      </c>
      <c r="B294" s="4" t="n">
        <v>1</v>
      </c>
      <c r="C294" s="5" t="n">
        <v>138861</v>
      </c>
      <c r="D294" s="5" t="n">
        <v>63278</v>
      </c>
      <c r="E294" s="5" t="n">
        <v>8202</v>
      </c>
      <c r="F294" s="5" t="n">
        <v>79</v>
      </c>
      <c r="G294" s="5" t="n">
        <v>4055</v>
      </c>
      <c r="H294" s="5" t="n">
        <v>214475</v>
      </c>
      <c r="I294" s="9" t="n">
        <f aca="false">IF(H294=0,0,C294/H294)</f>
        <v>0.647446089287796</v>
      </c>
      <c r="J294" s="9" t="n">
        <f aca="false">IF(H294=0,0,D294/H294)</f>
        <v>0.29503671756615</v>
      </c>
      <c r="K294" s="9" t="n">
        <f aca="false">IF(H294=0,0,E294/H294)</f>
        <v>0.0382422193728873</v>
      </c>
      <c r="L294" s="9" t="n">
        <f aca="false">IF(H294=0,0,G294/H294)</f>
        <v>0.0189066324746474</v>
      </c>
      <c r="M294" s="4" t="str">
        <f aca="false">INDEX($C$3:$E$3,MATCH(MAX(C294:E294),C294:E294,0))</f>
        <v>Sheinbaum (PVEM-PT-Morena)</v>
      </c>
      <c r="N294" s="18" t="n">
        <f aca="false">IF(H294=0,0,(MAX(C294:E294)-LARGE(C294:E294,2))/H294*100)</f>
        <v>35.2409371721646</v>
      </c>
    </row>
    <row r="295" customFormat="false" ht="15" hidden="false" customHeight="false" outlineLevel="0" collapsed="false">
      <c r="A295" s="4" t="s">
        <v>75</v>
      </c>
      <c r="B295" s="4" t="n">
        <v>2</v>
      </c>
      <c r="C295" s="5" t="n">
        <v>164707</v>
      </c>
      <c r="D295" s="5" t="n">
        <v>65064</v>
      </c>
      <c r="E295" s="5" t="n">
        <v>16905</v>
      </c>
      <c r="F295" s="5" t="n">
        <v>167</v>
      </c>
      <c r="G295" s="5" t="n">
        <v>5248</v>
      </c>
      <c r="H295" s="5" t="n">
        <v>252091</v>
      </c>
      <c r="I295" s="9" t="n">
        <f aca="false">IF(H295=0,0,C295/H295)</f>
        <v>0.653363269612957</v>
      </c>
      <c r="J295" s="9" t="n">
        <f aca="false">IF(H295=0,0,D295/H295)</f>
        <v>0.258097274396944</v>
      </c>
      <c r="K295" s="9" t="n">
        <f aca="false">IF(H295=0,0,E295/H295)</f>
        <v>0.067059117540888</v>
      </c>
      <c r="L295" s="9" t="n">
        <f aca="false">IF(H295=0,0,G295/H295)</f>
        <v>0.020817879257887</v>
      </c>
      <c r="M295" s="4" t="str">
        <f aca="false">INDEX($C$3:$E$3,MATCH(MAX(C295:E295),C295:E295,0))</f>
        <v>Sheinbaum (PVEM-PT-Morena)</v>
      </c>
      <c r="N295" s="18" t="n">
        <f aca="false">IF(H295=0,0,(MAX(C295:E295)-LARGE(C295:E295,2))/H295*100)</f>
        <v>39.5265995216013</v>
      </c>
    </row>
    <row r="296" customFormat="false" ht="15" hidden="false" customHeight="false" outlineLevel="0" collapsed="false">
      <c r="A296" s="4" t="s">
        <v>75</v>
      </c>
      <c r="B296" s="4" t="n">
        <v>3</v>
      </c>
      <c r="C296" s="5" t="n">
        <v>114733</v>
      </c>
      <c r="D296" s="5" t="n">
        <v>53905</v>
      </c>
      <c r="E296" s="5" t="n">
        <v>17100</v>
      </c>
      <c r="F296" s="5" t="n">
        <v>245</v>
      </c>
      <c r="G296" s="5" t="n">
        <v>3920</v>
      </c>
      <c r="H296" s="5" t="n">
        <v>189903</v>
      </c>
      <c r="I296" s="9" t="n">
        <f aca="false">IF(H296=0,0,C296/H296)</f>
        <v>0.604166337551276</v>
      </c>
      <c r="J296" s="9" t="n">
        <f aca="false">IF(H296=0,0,D296/H296)</f>
        <v>0.283855441988805</v>
      </c>
      <c r="K296" s="9" t="n">
        <f aca="false">IF(H296=0,0,E296/H296)</f>
        <v>0.0900459708377435</v>
      </c>
      <c r="L296" s="9" t="n">
        <f aca="false">IF(H296=0,0,G296/H296)</f>
        <v>0.0206421172914593</v>
      </c>
      <c r="M296" s="4" t="str">
        <f aca="false">INDEX($C$3:$E$3,MATCH(MAX(C296:E296),C296:E296,0))</f>
        <v>Sheinbaum (PVEM-PT-Morena)</v>
      </c>
      <c r="N296" s="18" t="n">
        <f aca="false">IF(H296=0,0,(MAX(C296:E296)-LARGE(C296:E296,2))/H296*100)</f>
        <v>32.0310895562471</v>
      </c>
    </row>
    <row r="297" customFormat="false" ht="15" hidden="false" customHeight="false" outlineLevel="0" collapsed="false">
      <c r="A297" s="4" t="s">
        <v>75</v>
      </c>
      <c r="B297" s="4" t="n">
        <v>4</v>
      </c>
      <c r="C297" s="5" t="n">
        <v>82398</v>
      </c>
      <c r="D297" s="5" t="n">
        <v>106928</v>
      </c>
      <c r="E297" s="5" t="n">
        <v>15407</v>
      </c>
      <c r="F297" s="5" t="n">
        <v>421</v>
      </c>
      <c r="G297" s="5" t="n">
        <v>2747</v>
      </c>
      <c r="H297" s="5" t="n">
        <v>207901</v>
      </c>
      <c r="I297" s="9" t="n">
        <f aca="false">IF(H297=0,0,C297/H297)</f>
        <v>0.396332869971765</v>
      </c>
      <c r="J297" s="9" t="n">
        <f aca="false">IF(H297=0,0,D297/H297)</f>
        <v>0.514321720434245</v>
      </c>
      <c r="K297" s="9" t="n">
        <f aca="false">IF(H297=0,0,E297/H297)</f>
        <v>0.0741073876508531</v>
      </c>
      <c r="L297" s="9" t="n">
        <f aca="false">IF(H297=0,0,G297/H297)</f>
        <v>0.0132130196583951</v>
      </c>
      <c r="M297" s="4" t="str">
        <f aca="false">INDEX($C$3:$E$3,MATCH(MAX(C297:E297),C297:E297,0))</f>
        <v>Gálvez (PAN-PRI-PRD)</v>
      </c>
      <c r="N297" s="18" t="n">
        <f aca="false">IF(H297=0,0,(MAX(C297:E297)-LARGE(C297:E297,2))/H297*100)</f>
        <v>11.798885046248</v>
      </c>
    </row>
    <row r="298" customFormat="false" ht="15" hidden="false" customHeight="false" outlineLevel="0" collapsed="false">
      <c r="A298" s="4" t="s">
        <v>75</v>
      </c>
      <c r="B298" s="4" t="n">
        <v>5</v>
      </c>
      <c r="C298" s="5" t="n">
        <v>166363</v>
      </c>
      <c r="D298" s="5" t="n">
        <v>51142</v>
      </c>
      <c r="E298" s="5" t="n">
        <v>14677</v>
      </c>
      <c r="F298" s="5" t="n">
        <v>83</v>
      </c>
      <c r="G298" s="5" t="n">
        <v>5373</v>
      </c>
      <c r="H298" s="5" t="n">
        <v>237638</v>
      </c>
      <c r="I298" s="9" t="n">
        <f aca="false">IF(H298=0,0,C298/H298)</f>
        <v>0.700069012531666</v>
      </c>
      <c r="J298" s="9" t="n">
        <f aca="false">IF(H298=0,0,D298/H298)</f>
        <v>0.215209688686153</v>
      </c>
      <c r="K298" s="9" t="n">
        <f aca="false">IF(H298=0,0,E298/H298)</f>
        <v>0.0617620077597017</v>
      </c>
      <c r="L298" s="9" t="n">
        <f aca="false">IF(H298=0,0,G298/H298)</f>
        <v>0.0226100202829514</v>
      </c>
      <c r="M298" s="4" t="str">
        <f aca="false">INDEX($C$3:$E$3,MATCH(MAX(C298:E298),C298:E298,0))</f>
        <v>Sheinbaum (PVEM-PT-Morena)</v>
      </c>
      <c r="N298" s="18" t="n">
        <f aca="false">IF(H298=0,0,(MAX(C298:E298)-LARGE(C298:E298,2))/H298*100)</f>
        <v>48.4859323845513</v>
      </c>
    </row>
    <row r="299" customFormat="false" ht="15" hidden="false" customHeight="false" outlineLevel="0" collapsed="false">
      <c r="A299" s="4" t="s">
        <v>75</v>
      </c>
      <c r="B299" s="4" t="n">
        <v>6</v>
      </c>
      <c r="C299" s="5" t="n">
        <v>112122</v>
      </c>
      <c r="D299" s="5" t="n">
        <v>49243</v>
      </c>
      <c r="E299" s="5" t="n">
        <v>15651</v>
      </c>
      <c r="F299" s="5" t="n">
        <v>179</v>
      </c>
      <c r="G299" s="5" t="n">
        <v>3934</v>
      </c>
      <c r="H299" s="5" t="n">
        <v>181129</v>
      </c>
      <c r="I299" s="9" t="n">
        <f aca="false">IF(H299=0,0,C299/H299)</f>
        <v>0.619017385399356</v>
      </c>
      <c r="J299" s="9" t="n">
        <f aca="false">IF(H299=0,0,D299/H299)</f>
        <v>0.27186701190864</v>
      </c>
      <c r="K299" s="9" t="n">
        <f aca="false">IF(H299=0,0,E299/H299)</f>
        <v>0.0864080296363365</v>
      </c>
      <c r="L299" s="9" t="n">
        <f aca="false">IF(H299=0,0,G299/H299)</f>
        <v>0.0217193271094082</v>
      </c>
      <c r="M299" s="4" t="str">
        <f aca="false">INDEX($C$3:$E$3,MATCH(MAX(C299:E299),C299:E299,0))</f>
        <v>Sheinbaum (PVEM-PT-Morena)</v>
      </c>
      <c r="N299" s="18" t="n">
        <f aca="false">IF(H299=0,0,(MAX(C299:E299)-LARGE(C299:E299,2))/H299*100)</f>
        <v>34.7150373490717</v>
      </c>
    </row>
    <row r="300" customFormat="false" ht="15" hidden="false" customHeight="false" outlineLevel="0" collapsed="false">
      <c r="A300" s="4" t="s">
        <v>76</v>
      </c>
      <c r="B300" s="4" t="n">
        <v>1</v>
      </c>
      <c r="C300" s="5" t="n">
        <v>88173</v>
      </c>
      <c r="D300" s="5" t="n">
        <v>59862</v>
      </c>
      <c r="E300" s="5" t="n">
        <v>28758</v>
      </c>
      <c r="F300" s="5" t="n">
        <v>325</v>
      </c>
      <c r="G300" s="5" t="n">
        <v>4711</v>
      </c>
      <c r="H300" s="5" t="n">
        <v>181829</v>
      </c>
      <c r="I300" s="9" t="n">
        <f aca="false">IF(H300=0,0,C300/H300)</f>
        <v>0.484922647102497</v>
      </c>
      <c r="J300" s="9" t="n">
        <f aca="false">IF(H300=0,0,D300/H300)</f>
        <v>0.329221411326026</v>
      </c>
      <c r="K300" s="9" t="n">
        <f aca="false">IF(H300=0,0,E300/H300)</f>
        <v>0.158159589504425</v>
      </c>
      <c r="L300" s="9" t="n">
        <f aca="false">IF(H300=0,0,G300/H300)</f>
        <v>0.0259089584169742</v>
      </c>
      <c r="M300" s="4" t="str">
        <f aca="false">INDEX($C$3:$E$3,MATCH(MAX(C300:E300),C300:E300,0))</f>
        <v>Sheinbaum (PVEM-PT-Morena)</v>
      </c>
      <c r="N300" s="18" t="n">
        <f aca="false">IF(H300=0,0,(MAX(C300:E300)-LARGE(C300:E300,2))/H300*100)</f>
        <v>15.5701235776471</v>
      </c>
    </row>
    <row r="301" customFormat="false" ht="15" hidden="false" customHeight="false" outlineLevel="0" collapsed="false">
      <c r="A301" s="4" t="s">
        <v>76</v>
      </c>
      <c r="B301" s="4" t="n">
        <v>2</v>
      </c>
      <c r="C301" s="5" t="n">
        <v>100735</v>
      </c>
      <c r="D301" s="5" t="n">
        <v>59254</v>
      </c>
      <c r="E301" s="5" t="n">
        <v>35198</v>
      </c>
      <c r="F301" s="5" t="n">
        <v>334</v>
      </c>
      <c r="G301" s="5" t="n">
        <v>5894</v>
      </c>
      <c r="H301" s="5" t="n">
        <v>201415</v>
      </c>
      <c r="I301" s="9" t="n">
        <f aca="false">IF(H301=0,0,C301/H301)</f>
        <v>0.500136534021796</v>
      </c>
      <c r="J301" s="9" t="n">
        <f aca="false">IF(H301=0,0,D301/H301)</f>
        <v>0.294188615545019</v>
      </c>
      <c r="K301" s="9" t="n">
        <f aca="false">IF(H301=0,0,E301/H301)</f>
        <v>0.174753618151578</v>
      </c>
      <c r="L301" s="9" t="n">
        <f aca="false">IF(H301=0,0,G301/H301)</f>
        <v>0.0292629645259787</v>
      </c>
      <c r="M301" s="4" t="str">
        <f aca="false">INDEX($C$3:$E$3,MATCH(MAX(C301:E301),C301:E301,0))</f>
        <v>Sheinbaum (PVEM-PT-Morena)</v>
      </c>
      <c r="N301" s="18" t="n">
        <f aca="false">IF(H301=0,0,(MAX(C301:E301)-LARGE(C301:E301,2))/H301*100)</f>
        <v>20.5947918476777</v>
      </c>
    </row>
    <row r="302" customFormat="false" ht="15" hidden="false" customHeight="false" outlineLevel="0" collapsed="false">
      <c r="A302" s="4" t="s">
        <v>76</v>
      </c>
      <c r="B302" s="4" t="n">
        <v>3</v>
      </c>
      <c r="C302" s="5" t="n">
        <v>103306</v>
      </c>
      <c r="D302" s="5" t="n">
        <v>61042</v>
      </c>
      <c r="E302" s="5" t="n">
        <v>36685</v>
      </c>
      <c r="F302" s="5" t="n">
        <v>414</v>
      </c>
      <c r="G302" s="5" t="n">
        <v>5575</v>
      </c>
      <c r="H302" s="5" t="n">
        <v>207022</v>
      </c>
      <c r="I302" s="9" t="n">
        <f aca="false">IF(H302=0,0,C302/H302)</f>
        <v>0.499009767077895</v>
      </c>
      <c r="J302" s="9" t="n">
        <f aca="false">IF(H302=0,0,D302/H302)</f>
        <v>0.294857551371352</v>
      </c>
      <c r="K302" s="9" t="n">
        <f aca="false">IF(H302=0,0,E302/H302)</f>
        <v>0.177203389011796</v>
      </c>
      <c r="L302" s="9" t="n">
        <f aca="false">IF(H302=0,0,G302/H302)</f>
        <v>0.0269295050767551</v>
      </c>
      <c r="M302" s="4" t="str">
        <f aca="false">INDEX($C$3:$E$3,MATCH(MAX(C302:E302),C302:E302,0))</f>
        <v>Sheinbaum (PVEM-PT-Morena)</v>
      </c>
      <c r="N302" s="18" t="n">
        <f aca="false">IF(H302=0,0,(MAX(C302:E302)-LARGE(C302:E302,2))/H302*100)</f>
        <v>20.4152215706543</v>
      </c>
    </row>
    <row r="303" customFormat="false" ht="15" hidden="false" customHeight="false" outlineLevel="0" collapsed="false">
      <c r="A303" s="4" t="s">
        <v>76</v>
      </c>
      <c r="B303" s="4" t="n">
        <v>4</v>
      </c>
      <c r="C303" s="5" t="n">
        <v>94433</v>
      </c>
      <c r="D303" s="5" t="n">
        <v>50160</v>
      </c>
      <c r="E303" s="5" t="n">
        <v>29651</v>
      </c>
      <c r="F303" s="5" t="n">
        <v>277</v>
      </c>
      <c r="G303" s="5" t="n">
        <v>4313</v>
      </c>
      <c r="H303" s="5" t="n">
        <v>178834</v>
      </c>
      <c r="I303" s="9" t="n">
        <f aca="false">IF(H303=0,0,C303/H303)</f>
        <v>0.528048357694846</v>
      </c>
      <c r="J303" s="9" t="n">
        <f aca="false">IF(H303=0,0,D303/H303)</f>
        <v>0.280483576948455</v>
      </c>
      <c r="K303" s="9" t="n">
        <f aca="false">IF(H303=0,0,E303/H303)</f>
        <v>0.16580180502589</v>
      </c>
      <c r="L303" s="9" t="n">
        <f aca="false">IF(H303=0,0,G303/H303)</f>
        <v>0.0241173378664012</v>
      </c>
      <c r="M303" s="4" t="str">
        <f aca="false">INDEX($C$3:$E$3,MATCH(MAX(C303:E303),C303:E303,0))</f>
        <v>Sheinbaum (PVEM-PT-Morena)</v>
      </c>
      <c r="N303" s="18" t="n">
        <f aca="false">IF(H303=0,0,(MAX(C303:E303)-LARGE(C303:E303,2))/H303*100)</f>
        <v>24.7564780746391</v>
      </c>
    </row>
  </sheetData>
  <autoFilter ref="A3:N3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1" min="2" style="0" width="13"/>
  </cols>
  <sheetData>
    <row r="1" customFormat="false" ht="16.15" hidden="false" customHeight="false" outlineLevel="0" collapsed="false">
      <c r="A1" s="12" t="s">
        <v>77</v>
      </c>
    </row>
    <row r="3" customFormat="false" ht="31.5" hidden="false" customHeight="true" outlineLevel="0" collapsed="false">
      <c r="A3" s="3" t="s">
        <v>32</v>
      </c>
      <c r="B3" s="3" t="s">
        <v>16</v>
      </c>
      <c r="C3" s="3" t="s">
        <v>78</v>
      </c>
      <c r="D3" s="3" t="s">
        <v>79</v>
      </c>
      <c r="E3" s="3" t="s">
        <v>80</v>
      </c>
      <c r="F3" s="3" t="s">
        <v>81</v>
      </c>
      <c r="G3" s="3" t="s">
        <v>82</v>
      </c>
      <c r="H3" s="3" t="s">
        <v>83</v>
      </c>
      <c r="I3" s="3" t="s">
        <v>84</v>
      </c>
      <c r="J3" s="3" t="s">
        <v>85</v>
      </c>
      <c r="K3" s="3" t="s">
        <v>86</v>
      </c>
      <c r="L3" s="3" t="s">
        <v>87</v>
      </c>
      <c r="M3" s="3" t="s">
        <v>88</v>
      </c>
      <c r="N3" s="3" t="s">
        <v>89</v>
      </c>
      <c r="O3" s="3" t="s">
        <v>90</v>
      </c>
      <c r="P3" s="3" t="s">
        <v>91</v>
      </c>
      <c r="Q3" s="3" t="s">
        <v>92</v>
      </c>
      <c r="R3" s="3" t="s">
        <v>11</v>
      </c>
      <c r="S3" s="3" t="s">
        <v>12</v>
      </c>
      <c r="T3" s="3" t="s">
        <v>33</v>
      </c>
      <c r="U3" s="3" t="s">
        <v>14</v>
      </c>
    </row>
    <row r="4" customFormat="false" ht="15" hidden="false" customHeight="false" outlineLevel="0" collapsed="false">
      <c r="A4" s="4" t="s">
        <v>45</v>
      </c>
      <c r="B4" s="5" t="n">
        <v>1849</v>
      </c>
      <c r="C4" s="5" t="n">
        <v>237864</v>
      </c>
      <c r="D4" s="5" t="n">
        <v>40027</v>
      </c>
      <c r="E4" s="5" t="n">
        <v>11312</v>
      </c>
      <c r="F4" s="5" t="n">
        <v>17939</v>
      </c>
      <c r="G4" s="5" t="n">
        <v>18530</v>
      </c>
      <c r="H4" s="5" t="n">
        <v>59498</v>
      </c>
      <c r="I4" s="5" t="n">
        <v>226868</v>
      </c>
      <c r="J4" s="5" t="n">
        <v>12211</v>
      </c>
      <c r="K4" s="5" t="n">
        <v>4025</v>
      </c>
      <c r="L4" s="5" t="n">
        <v>652</v>
      </c>
      <c r="M4" s="5" t="n">
        <v>171</v>
      </c>
      <c r="N4" s="5" t="n">
        <v>14493</v>
      </c>
      <c r="O4" s="5" t="n">
        <v>958</v>
      </c>
      <c r="P4" s="5" t="n">
        <v>2762</v>
      </c>
      <c r="Q4" s="5" t="n">
        <v>3156</v>
      </c>
      <c r="R4" s="5" t="n">
        <v>1571</v>
      </c>
      <c r="S4" s="5" t="n">
        <v>14205</v>
      </c>
      <c r="T4" s="5" t="n">
        <v>666242</v>
      </c>
      <c r="U4" s="5" t="n">
        <v>1100142</v>
      </c>
    </row>
    <row r="5" customFormat="false" ht="15" hidden="false" customHeight="false" outlineLevel="0" collapsed="false">
      <c r="A5" s="4" t="s">
        <v>46</v>
      </c>
      <c r="B5" s="5" t="n">
        <v>5391</v>
      </c>
      <c r="C5" s="5" t="n">
        <v>226323</v>
      </c>
      <c r="D5" s="5" t="n">
        <v>68325</v>
      </c>
      <c r="E5" s="5" t="n">
        <v>12138</v>
      </c>
      <c r="F5" s="5" t="n">
        <v>67511</v>
      </c>
      <c r="G5" s="5" t="n">
        <v>68527</v>
      </c>
      <c r="H5" s="5" t="n">
        <v>155262</v>
      </c>
      <c r="I5" s="5" t="n">
        <v>809720</v>
      </c>
      <c r="J5" s="5" t="n">
        <v>18702</v>
      </c>
      <c r="K5" s="5" t="n">
        <v>3983</v>
      </c>
      <c r="L5" s="5" t="n">
        <v>755</v>
      </c>
      <c r="M5" s="5" t="n">
        <v>431</v>
      </c>
      <c r="N5" s="5" t="n">
        <v>58160</v>
      </c>
      <c r="O5" s="5" t="n">
        <v>4780</v>
      </c>
      <c r="P5" s="5" t="n">
        <v>15194</v>
      </c>
      <c r="Q5" s="5" t="n">
        <v>16081</v>
      </c>
      <c r="R5" s="5" t="n">
        <v>2929</v>
      </c>
      <c r="S5" s="5" t="n">
        <v>31512</v>
      </c>
      <c r="T5" s="5" t="n">
        <v>1560333</v>
      </c>
      <c r="U5" s="5" t="n">
        <v>3202396</v>
      </c>
    </row>
    <row r="6" customFormat="false" ht="15" hidden="false" customHeight="false" outlineLevel="0" collapsed="false">
      <c r="A6" s="4" t="s">
        <v>47</v>
      </c>
      <c r="B6" s="5" t="n">
        <v>1121</v>
      </c>
      <c r="C6" s="5" t="n">
        <v>77597</v>
      </c>
      <c r="D6" s="5" t="n">
        <v>12013</v>
      </c>
      <c r="E6" s="5" t="n">
        <v>2470</v>
      </c>
      <c r="F6" s="5" t="n">
        <v>13640</v>
      </c>
      <c r="G6" s="5" t="n">
        <v>21752</v>
      </c>
      <c r="H6" s="5" t="n">
        <v>29825</v>
      </c>
      <c r="I6" s="5" t="n">
        <v>140832</v>
      </c>
      <c r="J6" s="5" t="n">
        <v>7057</v>
      </c>
      <c r="K6" s="5" t="n">
        <v>1580</v>
      </c>
      <c r="L6" s="5" t="n">
        <v>317</v>
      </c>
      <c r="M6" s="5" t="n">
        <v>102</v>
      </c>
      <c r="N6" s="5" t="n">
        <v>16424</v>
      </c>
      <c r="O6" s="5" t="n">
        <v>1829</v>
      </c>
      <c r="P6" s="5" t="n">
        <v>2286</v>
      </c>
      <c r="Q6" s="5" t="n">
        <v>4363</v>
      </c>
      <c r="R6" s="5" t="n">
        <v>463</v>
      </c>
      <c r="S6" s="5" t="n">
        <v>7539</v>
      </c>
      <c r="T6" s="5" t="n">
        <v>340089</v>
      </c>
      <c r="U6" s="5" t="n">
        <v>614239</v>
      </c>
    </row>
    <row r="7" customFormat="false" ht="15" hidden="false" customHeight="false" outlineLevel="0" collapsed="false">
      <c r="A7" s="4" t="s">
        <v>48</v>
      </c>
      <c r="B7" s="5" t="n">
        <v>1237</v>
      </c>
      <c r="C7" s="5" t="n">
        <v>24012</v>
      </c>
      <c r="D7" s="5" t="n">
        <v>39250</v>
      </c>
      <c r="E7" s="5" t="n">
        <v>2113</v>
      </c>
      <c r="F7" s="5" t="n">
        <v>15254</v>
      </c>
      <c r="G7" s="5" t="n">
        <v>20281</v>
      </c>
      <c r="H7" s="5" t="n">
        <v>94280</v>
      </c>
      <c r="I7" s="5" t="n">
        <v>215727</v>
      </c>
      <c r="J7" s="5" t="n">
        <v>3147</v>
      </c>
      <c r="K7" s="5" t="n">
        <v>724</v>
      </c>
      <c r="L7" s="5" t="n">
        <v>114</v>
      </c>
      <c r="M7" s="5" t="n">
        <v>186</v>
      </c>
      <c r="N7" s="5" t="n">
        <v>16066</v>
      </c>
      <c r="O7" s="5" t="n">
        <v>1898</v>
      </c>
      <c r="P7" s="5" t="n">
        <v>2419</v>
      </c>
      <c r="Q7" s="5" t="n">
        <v>3670</v>
      </c>
      <c r="R7" s="5" t="n">
        <v>432</v>
      </c>
      <c r="S7" s="5" t="n">
        <v>9570</v>
      </c>
      <c r="T7" s="5" t="n">
        <v>449143</v>
      </c>
      <c r="U7" s="5" t="n">
        <v>695148</v>
      </c>
    </row>
    <row r="8" customFormat="false" ht="15" hidden="false" customHeight="false" outlineLevel="0" collapsed="false">
      <c r="A8" s="4" t="s">
        <v>49</v>
      </c>
      <c r="B8" s="5" t="n">
        <v>4158</v>
      </c>
      <c r="C8" s="5" t="n">
        <v>95970</v>
      </c>
      <c r="D8" s="5" t="n">
        <v>482977</v>
      </c>
      <c r="E8" s="5" t="n">
        <v>20562</v>
      </c>
      <c r="F8" s="5" t="n">
        <v>61151</v>
      </c>
      <c r="G8" s="5" t="n">
        <v>61006</v>
      </c>
      <c r="H8" s="5" t="n">
        <v>85857</v>
      </c>
      <c r="I8" s="5" t="n">
        <v>667422</v>
      </c>
      <c r="J8" s="5" t="n">
        <v>11855</v>
      </c>
      <c r="K8" s="5" t="n">
        <v>3944</v>
      </c>
      <c r="L8" s="5" t="n">
        <v>320</v>
      </c>
      <c r="M8" s="5" t="n">
        <v>1580</v>
      </c>
      <c r="N8" s="5" t="n">
        <v>39947</v>
      </c>
      <c r="O8" s="5" t="n">
        <v>3903</v>
      </c>
      <c r="P8" s="5" t="n">
        <v>8641</v>
      </c>
      <c r="Q8" s="5" t="n">
        <v>11367</v>
      </c>
      <c r="R8" s="5" t="n">
        <v>1203</v>
      </c>
      <c r="S8" s="5" t="n">
        <v>31004</v>
      </c>
      <c r="T8" s="5" t="n">
        <v>1588709</v>
      </c>
      <c r="U8" s="5" t="n">
        <v>2414990</v>
      </c>
    </row>
    <row r="9" customFormat="false" ht="15" hidden="false" customHeight="false" outlineLevel="0" collapsed="false">
      <c r="A9" s="4" t="s">
        <v>50</v>
      </c>
      <c r="B9" s="5" t="n">
        <v>1036</v>
      </c>
      <c r="C9" s="5" t="n">
        <v>47508</v>
      </c>
      <c r="D9" s="5" t="n">
        <v>43815</v>
      </c>
      <c r="E9" s="5" t="n">
        <v>3573</v>
      </c>
      <c r="F9" s="5" t="n">
        <v>17428</v>
      </c>
      <c r="G9" s="5" t="n">
        <v>11051</v>
      </c>
      <c r="H9" s="5" t="n">
        <v>46092</v>
      </c>
      <c r="I9" s="5" t="n">
        <v>140743</v>
      </c>
      <c r="J9" s="5" t="n">
        <v>5808</v>
      </c>
      <c r="K9" s="5" t="n">
        <v>2550</v>
      </c>
      <c r="L9" s="5" t="n">
        <v>183</v>
      </c>
      <c r="M9" s="5" t="n">
        <v>143</v>
      </c>
      <c r="N9" s="5" t="n">
        <v>12476</v>
      </c>
      <c r="O9" s="5" t="n">
        <v>1332</v>
      </c>
      <c r="P9" s="5" t="n">
        <v>2794</v>
      </c>
      <c r="Q9" s="5" t="n">
        <v>2269</v>
      </c>
      <c r="R9" s="5" t="n">
        <v>698</v>
      </c>
      <c r="S9" s="5" t="n">
        <v>7247</v>
      </c>
      <c r="T9" s="5" t="n">
        <v>345710</v>
      </c>
      <c r="U9" s="5" t="n">
        <v>585817</v>
      </c>
    </row>
    <row r="10" customFormat="false" ht="15" hidden="false" customHeight="false" outlineLevel="0" collapsed="false">
      <c r="A10" s="4" t="s">
        <v>51</v>
      </c>
      <c r="B10" s="5" t="n">
        <v>6896</v>
      </c>
      <c r="C10" s="5" t="n">
        <v>137671</v>
      </c>
      <c r="D10" s="5" t="n">
        <v>219330</v>
      </c>
      <c r="E10" s="5" t="n">
        <v>31658</v>
      </c>
      <c r="F10" s="5" t="n">
        <v>430201</v>
      </c>
      <c r="G10" s="5" t="n">
        <v>248745</v>
      </c>
      <c r="H10" s="5" t="n">
        <v>183101</v>
      </c>
      <c r="I10" s="5" t="n">
        <v>1013974</v>
      </c>
      <c r="J10" s="5" t="n">
        <v>18378</v>
      </c>
      <c r="K10" s="5" t="n">
        <v>3749</v>
      </c>
      <c r="L10" s="5" t="n">
        <v>1001</v>
      </c>
      <c r="M10" s="5" t="n">
        <v>1059</v>
      </c>
      <c r="N10" s="5" t="n">
        <v>42976</v>
      </c>
      <c r="O10" s="5" t="n">
        <v>8148</v>
      </c>
      <c r="P10" s="5" t="n">
        <v>12798</v>
      </c>
      <c r="Q10" s="5" t="n">
        <v>12602</v>
      </c>
      <c r="R10" s="5" t="n">
        <v>2269</v>
      </c>
      <c r="S10" s="5" t="n">
        <v>105298</v>
      </c>
      <c r="T10" s="5" t="n">
        <v>2472958</v>
      </c>
      <c r="U10" s="5" t="n">
        <v>3948293</v>
      </c>
    </row>
    <row r="11" customFormat="false" ht="15" hidden="false" customHeight="false" outlineLevel="0" collapsed="false">
      <c r="A11" s="4" t="s">
        <v>52</v>
      </c>
      <c r="B11" s="5" t="n">
        <v>5780</v>
      </c>
      <c r="C11" s="5" t="n">
        <v>370614</v>
      </c>
      <c r="D11" s="5" t="n">
        <v>133653</v>
      </c>
      <c r="E11" s="5" t="n">
        <v>15954</v>
      </c>
      <c r="F11" s="5" t="n">
        <v>56293</v>
      </c>
      <c r="G11" s="5" t="n">
        <v>60210</v>
      </c>
      <c r="H11" s="5" t="n">
        <v>157077</v>
      </c>
      <c r="I11" s="5" t="n">
        <v>680733</v>
      </c>
      <c r="J11" s="5" t="n">
        <v>28780</v>
      </c>
      <c r="K11" s="5" t="n">
        <v>8764</v>
      </c>
      <c r="L11" s="5" t="n">
        <v>1094</v>
      </c>
      <c r="M11" s="5" t="n">
        <v>831</v>
      </c>
      <c r="N11" s="5" t="n">
        <v>56514</v>
      </c>
      <c r="O11" s="5" t="n">
        <v>5077</v>
      </c>
      <c r="P11" s="5" t="n">
        <v>11586</v>
      </c>
      <c r="Q11" s="5" t="n">
        <v>15456</v>
      </c>
      <c r="R11" s="5" t="n">
        <v>2280</v>
      </c>
      <c r="S11" s="5" t="n">
        <v>39737</v>
      </c>
      <c r="T11" s="5" t="n">
        <v>1644653</v>
      </c>
      <c r="U11" s="5" t="n">
        <v>3090113</v>
      </c>
    </row>
    <row r="12" customFormat="false" ht="15" hidden="false" customHeight="false" outlineLevel="0" collapsed="false">
      <c r="A12" s="4" t="s">
        <v>53</v>
      </c>
      <c r="B12" s="5" t="n">
        <v>13472</v>
      </c>
      <c r="C12" s="5" t="n">
        <v>1314953</v>
      </c>
      <c r="D12" s="5" t="n">
        <v>361007</v>
      </c>
      <c r="E12" s="5" t="n">
        <v>82415</v>
      </c>
      <c r="F12" s="5" t="n">
        <v>188618</v>
      </c>
      <c r="G12" s="5" t="n">
        <v>174621</v>
      </c>
      <c r="H12" s="5" t="n">
        <v>467960</v>
      </c>
      <c r="I12" s="5" t="n">
        <v>2363486</v>
      </c>
      <c r="J12" s="5" t="n">
        <v>148439</v>
      </c>
      <c r="K12" s="5" t="n">
        <v>21676</v>
      </c>
      <c r="L12" s="5" t="n">
        <v>5820</v>
      </c>
      <c r="M12" s="5" t="n">
        <v>2842</v>
      </c>
      <c r="N12" s="5" t="n">
        <v>268932</v>
      </c>
      <c r="O12" s="5" t="n">
        <v>16130</v>
      </c>
      <c r="P12" s="5" t="n">
        <v>37410</v>
      </c>
      <c r="Q12" s="5" t="n">
        <v>46216</v>
      </c>
      <c r="R12" s="5" t="n">
        <v>9723</v>
      </c>
      <c r="S12" s="5" t="n">
        <v>97303</v>
      </c>
      <c r="T12" s="5" t="n">
        <v>5607551</v>
      </c>
      <c r="U12" s="5" t="n">
        <v>7971324</v>
      </c>
    </row>
    <row r="13" customFormat="false" ht="15" hidden="false" customHeight="false" outlineLevel="0" collapsed="false">
      <c r="A13" s="4" t="s">
        <v>54</v>
      </c>
      <c r="B13" s="5" t="n">
        <v>2630</v>
      </c>
      <c r="C13" s="5" t="n">
        <v>92456</v>
      </c>
      <c r="D13" s="5" t="n">
        <v>131245</v>
      </c>
      <c r="E13" s="5" t="n">
        <v>9867</v>
      </c>
      <c r="F13" s="5" t="n">
        <v>29126</v>
      </c>
      <c r="G13" s="5" t="n">
        <v>39800</v>
      </c>
      <c r="H13" s="5" t="n">
        <v>56129</v>
      </c>
      <c r="I13" s="5" t="n">
        <v>341570</v>
      </c>
      <c r="J13" s="5" t="n">
        <v>11450</v>
      </c>
      <c r="K13" s="5" t="n">
        <v>4588</v>
      </c>
      <c r="L13" s="5" t="n">
        <v>310</v>
      </c>
      <c r="M13" s="5" t="n">
        <v>367</v>
      </c>
      <c r="N13" s="5" t="n">
        <v>29021</v>
      </c>
      <c r="O13" s="5" t="n">
        <v>3076</v>
      </c>
      <c r="P13" s="5" t="n">
        <v>5279</v>
      </c>
      <c r="Q13" s="5" t="n">
        <v>7365</v>
      </c>
      <c r="R13" s="5" t="n">
        <v>698</v>
      </c>
      <c r="S13" s="5" t="n">
        <v>16563</v>
      </c>
      <c r="T13" s="5" t="n">
        <v>778910</v>
      </c>
      <c r="U13" s="5" t="n">
        <v>1402239</v>
      </c>
    </row>
    <row r="14" customFormat="false" ht="15" hidden="false" customHeight="false" outlineLevel="0" collapsed="false">
      <c r="A14" s="4" t="s">
        <v>55</v>
      </c>
      <c r="B14" s="5" t="n">
        <v>8168</v>
      </c>
      <c r="C14" s="5" t="n">
        <v>892303</v>
      </c>
      <c r="D14" s="5" t="n">
        <v>139401</v>
      </c>
      <c r="E14" s="5" t="n">
        <v>20015</v>
      </c>
      <c r="F14" s="5" t="n">
        <v>104945</v>
      </c>
      <c r="G14" s="5" t="n">
        <v>72553</v>
      </c>
      <c r="H14" s="5" t="n">
        <v>291379</v>
      </c>
      <c r="I14" s="5" t="n">
        <v>1029770</v>
      </c>
      <c r="J14" s="5" t="n">
        <v>37365</v>
      </c>
      <c r="K14" s="5" t="n">
        <v>11850</v>
      </c>
      <c r="L14" s="5" t="n">
        <v>1712</v>
      </c>
      <c r="M14" s="5" t="n">
        <v>680</v>
      </c>
      <c r="N14" s="5" t="n">
        <v>63760</v>
      </c>
      <c r="O14" s="5" t="n">
        <v>5328</v>
      </c>
      <c r="P14" s="5" t="n">
        <v>13913</v>
      </c>
      <c r="Q14" s="5" t="n">
        <v>12437</v>
      </c>
      <c r="R14" s="5" t="n">
        <v>4613</v>
      </c>
      <c r="S14" s="5" t="n">
        <v>57068</v>
      </c>
      <c r="T14" s="5" t="n">
        <v>2759092</v>
      </c>
      <c r="U14" s="5" t="n">
        <v>4843711</v>
      </c>
    </row>
    <row r="15" customFormat="false" ht="15" hidden="false" customHeight="false" outlineLevel="0" collapsed="false">
      <c r="A15" s="4" t="s">
        <v>56</v>
      </c>
      <c r="B15" s="5" t="n">
        <v>5125</v>
      </c>
      <c r="C15" s="5" t="n">
        <v>58351</v>
      </c>
      <c r="D15" s="5" t="n">
        <v>151174</v>
      </c>
      <c r="E15" s="5" t="n">
        <v>65028</v>
      </c>
      <c r="F15" s="5" t="n">
        <v>130494</v>
      </c>
      <c r="G15" s="5" t="n">
        <v>108798</v>
      </c>
      <c r="H15" s="5" t="n">
        <v>98827</v>
      </c>
      <c r="I15" s="5" t="n">
        <v>783635</v>
      </c>
      <c r="J15" s="5" t="n">
        <v>12338</v>
      </c>
      <c r="K15" s="5" t="n">
        <v>1898</v>
      </c>
      <c r="L15" s="5" t="n">
        <v>766</v>
      </c>
      <c r="M15" s="5" t="n">
        <v>1575</v>
      </c>
      <c r="N15" s="5" t="n">
        <v>57409</v>
      </c>
      <c r="O15" s="5" t="n">
        <v>7374</v>
      </c>
      <c r="P15" s="5" t="n">
        <v>11986</v>
      </c>
      <c r="Q15" s="5" t="n">
        <v>11148</v>
      </c>
      <c r="R15" s="5" t="n">
        <v>1430</v>
      </c>
      <c r="S15" s="5" t="n">
        <v>47869</v>
      </c>
      <c r="T15" s="5" t="n">
        <v>1550100</v>
      </c>
      <c r="U15" s="5" t="n">
        <v>2651803</v>
      </c>
    </row>
    <row r="16" customFormat="false" ht="15" hidden="false" customHeight="false" outlineLevel="0" collapsed="false">
      <c r="A16" s="4" t="s">
        <v>57</v>
      </c>
      <c r="B16" s="5" t="n">
        <v>4228</v>
      </c>
      <c r="C16" s="5" t="n">
        <v>120911</v>
      </c>
      <c r="D16" s="5" t="n">
        <v>150213</v>
      </c>
      <c r="E16" s="5" t="n">
        <v>16571</v>
      </c>
      <c r="F16" s="5" t="n">
        <v>86869</v>
      </c>
      <c r="G16" s="5" t="n">
        <v>133148</v>
      </c>
      <c r="H16" s="5" t="n">
        <v>159899</v>
      </c>
      <c r="I16" s="5" t="n">
        <v>760571</v>
      </c>
      <c r="J16" s="5" t="n">
        <v>15267</v>
      </c>
      <c r="K16" s="5" t="n">
        <v>2979</v>
      </c>
      <c r="L16" s="5" t="n">
        <v>570</v>
      </c>
      <c r="M16" s="5" t="n">
        <v>545</v>
      </c>
      <c r="N16" s="5" t="n">
        <v>40059</v>
      </c>
      <c r="O16" s="5" t="n">
        <v>4072</v>
      </c>
      <c r="P16" s="5" t="n">
        <v>8478</v>
      </c>
      <c r="Q16" s="5" t="n">
        <v>10676</v>
      </c>
      <c r="R16" s="5" t="n">
        <v>1586</v>
      </c>
      <c r="S16" s="5" t="n">
        <v>35547</v>
      </c>
      <c r="T16" s="5" t="n">
        <v>1547961</v>
      </c>
      <c r="U16" s="5" t="n">
        <v>2391872</v>
      </c>
    </row>
    <row r="17" customFormat="false" ht="15" hidden="false" customHeight="false" outlineLevel="0" collapsed="false">
      <c r="A17" s="4" t="s">
        <v>58</v>
      </c>
      <c r="B17" s="5" t="n">
        <v>10904</v>
      </c>
      <c r="C17" s="5" t="n">
        <v>875101</v>
      </c>
      <c r="D17" s="5" t="n">
        <v>372198</v>
      </c>
      <c r="E17" s="5" t="n">
        <v>35581</v>
      </c>
      <c r="F17" s="5" t="n">
        <v>160997</v>
      </c>
      <c r="G17" s="5" t="n">
        <v>112293</v>
      </c>
      <c r="H17" s="5" t="n">
        <v>670462</v>
      </c>
      <c r="I17" s="5" t="n">
        <v>1303676</v>
      </c>
      <c r="J17" s="5" t="n">
        <v>79654</v>
      </c>
      <c r="K17" s="5" t="n">
        <v>18089</v>
      </c>
      <c r="L17" s="5" t="n">
        <v>2652</v>
      </c>
      <c r="M17" s="5" t="n">
        <v>1550</v>
      </c>
      <c r="N17" s="5" t="n">
        <v>96496</v>
      </c>
      <c r="O17" s="5" t="n">
        <v>7689</v>
      </c>
      <c r="P17" s="5" t="n">
        <v>19838</v>
      </c>
      <c r="Q17" s="5" t="n">
        <v>19932</v>
      </c>
      <c r="R17" s="5" t="n">
        <v>8652</v>
      </c>
      <c r="S17" s="5" t="n">
        <v>87479</v>
      </c>
      <c r="T17" s="5" t="n">
        <v>3872339</v>
      </c>
      <c r="U17" s="5" t="n">
        <v>6643371</v>
      </c>
    </row>
    <row r="18" customFormat="false" ht="15" hidden="false" customHeight="false" outlineLevel="0" collapsed="false">
      <c r="A18" s="4" t="s">
        <v>59</v>
      </c>
      <c r="B18" s="5" t="n">
        <v>21035</v>
      </c>
      <c r="C18" s="5" t="n">
        <v>932652</v>
      </c>
      <c r="D18" s="5" t="n">
        <v>1076298</v>
      </c>
      <c r="E18" s="5" t="n">
        <v>81935</v>
      </c>
      <c r="F18" s="5" t="n">
        <v>384141</v>
      </c>
      <c r="G18" s="5" t="n">
        <v>319076</v>
      </c>
      <c r="H18" s="5" t="n">
        <v>905529</v>
      </c>
      <c r="I18" s="5" t="n">
        <v>3943642</v>
      </c>
      <c r="J18" s="5" t="n">
        <v>116296</v>
      </c>
      <c r="K18" s="5" t="n">
        <v>25877</v>
      </c>
      <c r="L18" s="5" t="n">
        <v>3909</v>
      </c>
      <c r="M18" s="5" t="n">
        <v>4300</v>
      </c>
      <c r="N18" s="5" t="n">
        <v>326960</v>
      </c>
      <c r="O18" s="5" t="n">
        <v>23470</v>
      </c>
      <c r="P18" s="5" t="n">
        <v>61154</v>
      </c>
      <c r="Q18" s="5" t="n">
        <v>66597</v>
      </c>
      <c r="R18" s="5" t="n">
        <v>10882</v>
      </c>
      <c r="S18" s="5" t="n">
        <v>174459</v>
      </c>
      <c r="T18" s="5" t="n">
        <v>8457177</v>
      </c>
      <c r="U18" s="5" t="n">
        <v>13047896</v>
      </c>
    </row>
    <row r="19" customFormat="false" ht="15" hidden="false" customHeight="false" outlineLevel="0" collapsed="false">
      <c r="A19" s="4" t="s">
        <v>60</v>
      </c>
      <c r="B19" s="5" t="n">
        <v>6457</v>
      </c>
      <c r="C19" s="5" t="n">
        <v>286615</v>
      </c>
      <c r="D19" s="5" t="n">
        <v>179199</v>
      </c>
      <c r="E19" s="5" t="n">
        <v>88577</v>
      </c>
      <c r="F19" s="5" t="n">
        <v>124297</v>
      </c>
      <c r="G19" s="5" t="n">
        <v>156450</v>
      </c>
      <c r="H19" s="5" t="n">
        <v>250391</v>
      </c>
      <c r="I19" s="5" t="n">
        <v>735079</v>
      </c>
      <c r="J19" s="5" t="n">
        <v>38675</v>
      </c>
      <c r="K19" s="5" t="n">
        <v>8637</v>
      </c>
      <c r="L19" s="5" t="n">
        <v>3059</v>
      </c>
      <c r="M19" s="5" t="n">
        <v>2539</v>
      </c>
      <c r="N19" s="5" t="n">
        <v>78985</v>
      </c>
      <c r="O19" s="5" t="n">
        <v>12457</v>
      </c>
      <c r="P19" s="5" t="n">
        <v>13697</v>
      </c>
      <c r="Q19" s="5" t="n">
        <v>19665</v>
      </c>
      <c r="R19" s="5" t="n">
        <v>3808</v>
      </c>
      <c r="S19" s="5" t="n">
        <v>69044</v>
      </c>
      <c r="T19" s="5" t="n">
        <v>2071174</v>
      </c>
      <c r="U19" s="5" t="n">
        <v>3709890</v>
      </c>
    </row>
    <row r="20" customFormat="false" ht="15" hidden="false" customHeight="false" outlineLevel="0" collapsed="false">
      <c r="A20" s="4" t="s">
        <v>61</v>
      </c>
      <c r="B20" s="5" t="n">
        <v>2588</v>
      </c>
      <c r="C20" s="5" t="n">
        <v>128883</v>
      </c>
      <c r="D20" s="5" t="n">
        <v>51831</v>
      </c>
      <c r="E20" s="5" t="n">
        <v>12575</v>
      </c>
      <c r="F20" s="5" t="n">
        <v>72600</v>
      </c>
      <c r="G20" s="5" t="n">
        <v>65488</v>
      </c>
      <c r="H20" s="5" t="n">
        <v>126294</v>
      </c>
      <c r="I20" s="5" t="n">
        <v>435606</v>
      </c>
      <c r="J20" s="5" t="n">
        <v>13961</v>
      </c>
      <c r="K20" s="5" t="n">
        <v>2792</v>
      </c>
      <c r="L20" s="5" t="n">
        <v>738</v>
      </c>
      <c r="M20" s="5" t="n">
        <v>389</v>
      </c>
      <c r="N20" s="5" t="n">
        <v>37557</v>
      </c>
      <c r="O20" s="5" t="n">
        <v>4450</v>
      </c>
      <c r="P20" s="5" t="n">
        <v>7063</v>
      </c>
      <c r="Q20" s="5" t="n">
        <v>8762</v>
      </c>
      <c r="R20" s="5" t="n">
        <v>1075</v>
      </c>
      <c r="S20" s="5" t="n">
        <v>19713</v>
      </c>
      <c r="T20" s="5" t="n">
        <v>989777</v>
      </c>
      <c r="U20" s="5" t="n">
        <v>1554378</v>
      </c>
    </row>
    <row r="21" customFormat="false" ht="15" hidden="false" customHeight="false" outlineLevel="0" collapsed="false">
      <c r="A21" s="4" t="s">
        <v>62</v>
      </c>
      <c r="B21" s="5" t="n">
        <v>1824</v>
      </c>
      <c r="C21" s="5" t="n">
        <v>56765</v>
      </c>
      <c r="D21" s="5" t="n">
        <v>38303</v>
      </c>
      <c r="E21" s="5" t="n">
        <v>5809</v>
      </c>
      <c r="F21" s="5" t="n">
        <v>45226</v>
      </c>
      <c r="G21" s="5" t="n">
        <v>29606</v>
      </c>
      <c r="H21" s="5" t="n">
        <v>74621</v>
      </c>
      <c r="I21" s="5" t="n">
        <v>235943</v>
      </c>
      <c r="J21" s="5" t="n">
        <v>6616</v>
      </c>
      <c r="K21" s="5" t="n">
        <v>1363</v>
      </c>
      <c r="L21" s="5" t="n">
        <v>439</v>
      </c>
      <c r="M21" s="5" t="n">
        <v>192</v>
      </c>
      <c r="N21" s="5" t="n">
        <v>20623</v>
      </c>
      <c r="O21" s="5" t="n">
        <v>2967</v>
      </c>
      <c r="P21" s="5" t="n">
        <v>4342</v>
      </c>
      <c r="Q21" s="5" t="n">
        <v>4055</v>
      </c>
      <c r="R21" s="5" t="n">
        <v>711</v>
      </c>
      <c r="S21" s="5" t="n">
        <v>14134</v>
      </c>
      <c r="T21" s="5" t="n">
        <v>541715</v>
      </c>
      <c r="U21" s="5" t="n">
        <v>953638</v>
      </c>
    </row>
    <row r="22" customFormat="false" ht="15" hidden="false" customHeight="false" outlineLevel="0" collapsed="false">
      <c r="A22" s="4" t="s">
        <v>63</v>
      </c>
      <c r="B22" s="5" t="n">
        <v>7463</v>
      </c>
      <c r="C22" s="5" t="n">
        <v>538552</v>
      </c>
      <c r="D22" s="5" t="n">
        <v>264360</v>
      </c>
      <c r="E22" s="5" t="n">
        <v>16400</v>
      </c>
      <c r="F22" s="5" t="n">
        <v>132951</v>
      </c>
      <c r="G22" s="5" t="n">
        <v>122100</v>
      </c>
      <c r="H22" s="5" t="n">
        <v>463002</v>
      </c>
      <c r="I22" s="5" t="n">
        <v>788460</v>
      </c>
      <c r="J22" s="5" t="n">
        <v>54120</v>
      </c>
      <c r="K22" s="5" t="n">
        <v>12238</v>
      </c>
      <c r="L22" s="5" t="n">
        <v>1402</v>
      </c>
      <c r="M22" s="5" t="n">
        <v>992</v>
      </c>
      <c r="N22" s="5" t="n">
        <v>79348</v>
      </c>
      <c r="O22" s="5" t="n">
        <v>7814</v>
      </c>
      <c r="P22" s="5" t="n">
        <v>12499</v>
      </c>
      <c r="Q22" s="5" t="n">
        <v>15987</v>
      </c>
      <c r="R22" s="5" t="n">
        <v>3398</v>
      </c>
      <c r="S22" s="5" t="n">
        <v>50253</v>
      </c>
      <c r="T22" s="5" t="n">
        <v>2563876</v>
      </c>
      <c r="U22" s="5" t="n">
        <v>4477542</v>
      </c>
    </row>
    <row r="23" customFormat="false" ht="15" hidden="false" customHeight="false" outlineLevel="0" collapsed="false">
      <c r="A23" s="4" t="s">
        <v>64</v>
      </c>
      <c r="B23" s="5" t="n">
        <v>5941</v>
      </c>
      <c r="C23" s="5" t="n">
        <v>85263</v>
      </c>
      <c r="D23" s="5" t="n">
        <v>139367</v>
      </c>
      <c r="E23" s="5" t="n">
        <v>34000</v>
      </c>
      <c r="F23" s="5" t="n">
        <v>168207</v>
      </c>
      <c r="G23" s="5" t="n">
        <v>197606</v>
      </c>
      <c r="H23" s="5" t="n">
        <v>124621</v>
      </c>
      <c r="I23" s="5" t="n">
        <v>991040</v>
      </c>
      <c r="J23" s="5" t="n">
        <v>9435</v>
      </c>
      <c r="K23" s="5" t="n">
        <v>2555</v>
      </c>
      <c r="L23" s="5" t="n">
        <v>569</v>
      </c>
      <c r="M23" s="5" t="n">
        <v>792</v>
      </c>
      <c r="N23" s="5" t="n">
        <v>47568</v>
      </c>
      <c r="O23" s="5" t="n">
        <v>7952</v>
      </c>
      <c r="P23" s="5" t="n">
        <v>12755</v>
      </c>
      <c r="Q23" s="5" t="n">
        <v>16083</v>
      </c>
      <c r="R23" s="5" t="n">
        <v>1633</v>
      </c>
      <c r="S23" s="5" t="n">
        <v>47631</v>
      </c>
      <c r="T23" s="5" t="n">
        <v>1887077</v>
      </c>
      <c r="U23" s="5" t="n">
        <v>3120558</v>
      </c>
    </row>
    <row r="24" customFormat="false" ht="15" hidden="false" customHeight="false" outlineLevel="0" collapsed="false">
      <c r="A24" s="4" t="s">
        <v>65</v>
      </c>
      <c r="B24" s="5" t="n">
        <v>8350</v>
      </c>
      <c r="C24" s="5" t="n">
        <v>437339</v>
      </c>
      <c r="D24" s="5" t="n">
        <v>193872</v>
      </c>
      <c r="E24" s="5" t="n">
        <v>28447</v>
      </c>
      <c r="F24" s="5" t="n">
        <v>269382</v>
      </c>
      <c r="G24" s="5" t="n">
        <v>219312</v>
      </c>
      <c r="H24" s="5" t="n">
        <v>332071</v>
      </c>
      <c r="I24" s="5" t="n">
        <v>1452784</v>
      </c>
      <c r="J24" s="5" t="n">
        <v>39393</v>
      </c>
      <c r="K24" s="5" t="n">
        <v>13238</v>
      </c>
      <c r="L24" s="5" t="n">
        <v>2587</v>
      </c>
      <c r="M24" s="5" t="n">
        <v>1272</v>
      </c>
      <c r="N24" s="5" t="n">
        <v>129082</v>
      </c>
      <c r="O24" s="5" t="n">
        <v>15999</v>
      </c>
      <c r="P24" s="5" t="n">
        <v>27956</v>
      </c>
      <c r="Q24" s="5" t="n">
        <v>32226</v>
      </c>
      <c r="R24" s="5" t="n">
        <v>4102</v>
      </c>
      <c r="S24" s="5" t="n">
        <v>93890</v>
      </c>
      <c r="T24" s="5" t="n">
        <v>3292952</v>
      </c>
      <c r="U24" s="5" t="n">
        <v>4992480</v>
      </c>
    </row>
    <row r="25" customFormat="false" ht="15" hidden="false" customHeight="false" outlineLevel="0" collapsed="false">
      <c r="A25" s="4" t="s">
        <v>66</v>
      </c>
      <c r="B25" s="5" t="n">
        <v>3150</v>
      </c>
      <c r="C25" s="5" t="n">
        <v>353596</v>
      </c>
      <c r="D25" s="5" t="n">
        <v>56121</v>
      </c>
      <c r="E25" s="5" t="n">
        <v>8073</v>
      </c>
      <c r="F25" s="5" t="n">
        <v>57132</v>
      </c>
      <c r="G25" s="5" t="n">
        <v>43949</v>
      </c>
      <c r="H25" s="5" t="n">
        <v>116117</v>
      </c>
      <c r="I25" s="5" t="n">
        <v>458198</v>
      </c>
      <c r="J25" s="5" t="n">
        <v>23336</v>
      </c>
      <c r="K25" s="5" t="n">
        <v>7044</v>
      </c>
      <c r="L25" s="5" t="n">
        <v>928</v>
      </c>
      <c r="M25" s="5" t="n">
        <v>403</v>
      </c>
      <c r="N25" s="5" t="n">
        <v>42148</v>
      </c>
      <c r="O25" s="5" t="n">
        <v>3920</v>
      </c>
      <c r="P25" s="5" t="n">
        <v>7632</v>
      </c>
      <c r="Q25" s="5" t="n">
        <v>9356</v>
      </c>
      <c r="R25" s="5" t="n">
        <v>2957</v>
      </c>
      <c r="S25" s="5" t="n">
        <v>27548</v>
      </c>
      <c r="T25" s="5" t="n">
        <v>1218458</v>
      </c>
      <c r="U25" s="5" t="n">
        <v>1904182</v>
      </c>
    </row>
    <row r="26" customFormat="false" ht="15" hidden="false" customHeight="false" outlineLevel="0" collapsed="false">
      <c r="A26" s="4" t="s">
        <v>67</v>
      </c>
      <c r="B26" s="5" t="n">
        <v>2506</v>
      </c>
      <c r="C26" s="5" t="n">
        <v>88071</v>
      </c>
      <c r="D26" s="5" t="n">
        <v>30642</v>
      </c>
      <c r="E26" s="5" t="n">
        <v>9096</v>
      </c>
      <c r="F26" s="5" t="n">
        <v>124887</v>
      </c>
      <c r="G26" s="5" t="n">
        <v>31607</v>
      </c>
      <c r="H26" s="5" t="n">
        <v>63890</v>
      </c>
      <c r="I26" s="5" t="n">
        <v>401510</v>
      </c>
      <c r="J26" s="5" t="n">
        <v>8154</v>
      </c>
      <c r="K26" s="5" t="n">
        <v>2380</v>
      </c>
      <c r="L26" s="5" t="n">
        <v>378</v>
      </c>
      <c r="M26" s="5" t="n">
        <v>271</v>
      </c>
      <c r="N26" s="5" t="n">
        <v>29956</v>
      </c>
      <c r="O26" s="5" t="n">
        <v>2440</v>
      </c>
      <c r="P26" s="5" t="n">
        <v>8002</v>
      </c>
      <c r="Q26" s="5" t="n">
        <v>6959</v>
      </c>
      <c r="R26" s="5" t="n">
        <v>1339</v>
      </c>
      <c r="S26" s="5" t="n">
        <v>17703</v>
      </c>
      <c r="T26" s="5" t="n">
        <v>827285</v>
      </c>
      <c r="U26" s="5" t="n">
        <v>1462747</v>
      </c>
    </row>
    <row r="27" customFormat="false" ht="15" hidden="false" customHeight="false" outlineLevel="0" collapsed="false">
      <c r="A27" s="4" t="s">
        <v>68</v>
      </c>
      <c r="B27" s="5" t="n">
        <v>3921</v>
      </c>
      <c r="C27" s="5" t="n">
        <v>201481</v>
      </c>
      <c r="D27" s="5" t="n">
        <v>99557</v>
      </c>
      <c r="E27" s="5" t="n">
        <v>16645</v>
      </c>
      <c r="F27" s="5" t="n">
        <v>346851</v>
      </c>
      <c r="G27" s="5" t="n">
        <v>46928</v>
      </c>
      <c r="H27" s="5" t="n">
        <v>146802</v>
      </c>
      <c r="I27" s="5" t="n">
        <v>362185</v>
      </c>
      <c r="J27" s="5" t="n">
        <v>23329</v>
      </c>
      <c r="K27" s="5" t="n">
        <v>5318</v>
      </c>
      <c r="L27" s="5" t="n">
        <v>994</v>
      </c>
      <c r="M27" s="5" t="n">
        <v>624</v>
      </c>
      <c r="N27" s="5" t="n">
        <v>41873</v>
      </c>
      <c r="O27" s="5" t="n">
        <v>8197</v>
      </c>
      <c r="P27" s="5" t="n">
        <v>14369</v>
      </c>
      <c r="Q27" s="5" t="n">
        <v>6343</v>
      </c>
      <c r="R27" s="5" t="n">
        <v>2020</v>
      </c>
      <c r="S27" s="5" t="n">
        <v>42682</v>
      </c>
      <c r="T27" s="5" t="n">
        <v>1366198</v>
      </c>
      <c r="U27" s="5" t="n">
        <v>2191107</v>
      </c>
    </row>
    <row r="28" customFormat="false" ht="15" hidden="false" customHeight="false" outlineLevel="0" collapsed="false">
      <c r="A28" s="4" t="s">
        <v>69</v>
      </c>
      <c r="B28" s="5" t="n">
        <v>5175</v>
      </c>
      <c r="C28" s="5" t="n">
        <v>148578</v>
      </c>
      <c r="D28" s="5" t="n">
        <v>141788</v>
      </c>
      <c r="E28" s="5" t="n">
        <v>11107</v>
      </c>
      <c r="F28" s="5" t="n">
        <v>65495</v>
      </c>
      <c r="G28" s="5" t="n">
        <v>49820</v>
      </c>
      <c r="H28" s="5" t="n">
        <v>103193</v>
      </c>
      <c r="I28" s="5" t="n">
        <v>687918</v>
      </c>
      <c r="J28" s="5" t="n">
        <v>19106</v>
      </c>
      <c r="K28" s="5" t="n">
        <v>4553</v>
      </c>
      <c r="L28" s="5" t="n">
        <v>646</v>
      </c>
      <c r="M28" s="5" t="n">
        <v>590</v>
      </c>
      <c r="N28" s="5" t="n">
        <v>43154</v>
      </c>
      <c r="O28" s="5" t="n">
        <v>4560</v>
      </c>
      <c r="P28" s="5" t="n">
        <v>12179</v>
      </c>
      <c r="Q28" s="5" t="n">
        <v>9123</v>
      </c>
      <c r="R28" s="5" t="n">
        <v>1128</v>
      </c>
      <c r="S28" s="5" t="n">
        <v>26868</v>
      </c>
      <c r="T28" s="5" t="n">
        <v>1329806</v>
      </c>
      <c r="U28" s="5" t="n">
        <v>2364669</v>
      </c>
    </row>
    <row r="29" customFormat="false" ht="15" hidden="false" customHeight="false" outlineLevel="0" collapsed="false">
      <c r="A29" s="4" t="s">
        <v>70</v>
      </c>
      <c r="B29" s="5" t="n">
        <v>3916</v>
      </c>
      <c r="C29" s="5" t="n">
        <v>136222</v>
      </c>
      <c r="D29" s="5" t="n">
        <v>118034</v>
      </c>
      <c r="E29" s="5" t="n">
        <v>10573</v>
      </c>
      <c r="F29" s="5" t="n">
        <v>58442</v>
      </c>
      <c r="G29" s="5" t="n">
        <v>56624</v>
      </c>
      <c r="H29" s="5" t="n">
        <v>107759</v>
      </c>
      <c r="I29" s="5" t="n">
        <v>564143</v>
      </c>
      <c r="J29" s="5" t="n">
        <v>20449</v>
      </c>
      <c r="K29" s="5" t="n">
        <v>4523</v>
      </c>
      <c r="L29" s="5" t="n">
        <v>611</v>
      </c>
      <c r="M29" s="5" t="n">
        <v>505</v>
      </c>
      <c r="N29" s="5" t="n">
        <v>45594</v>
      </c>
      <c r="O29" s="5" t="n">
        <v>5586</v>
      </c>
      <c r="P29" s="5" t="n">
        <v>8552</v>
      </c>
      <c r="Q29" s="5" t="n">
        <v>11278</v>
      </c>
      <c r="R29" s="5" t="n">
        <v>1423</v>
      </c>
      <c r="S29" s="5" t="n">
        <v>23401</v>
      </c>
      <c r="T29" s="5" t="n">
        <v>1173719</v>
      </c>
      <c r="U29" s="5" t="n">
        <v>2296076</v>
      </c>
    </row>
    <row r="30" customFormat="false" ht="15" hidden="false" customHeight="false" outlineLevel="0" collapsed="false">
      <c r="A30" s="4" t="s">
        <v>71</v>
      </c>
      <c r="B30" s="5" t="n">
        <v>3125</v>
      </c>
      <c r="C30" s="5" t="n">
        <v>30935</v>
      </c>
      <c r="D30" s="5" t="n">
        <v>35198</v>
      </c>
      <c r="E30" s="5" t="n">
        <v>49304</v>
      </c>
      <c r="F30" s="5" t="n">
        <v>48427</v>
      </c>
      <c r="G30" s="5" t="n">
        <v>57578</v>
      </c>
      <c r="H30" s="5" t="n">
        <v>66018</v>
      </c>
      <c r="I30" s="5" t="n">
        <v>728744</v>
      </c>
      <c r="J30" s="5" t="n">
        <v>6577</v>
      </c>
      <c r="K30" s="5" t="n">
        <v>970</v>
      </c>
      <c r="L30" s="5" t="n">
        <v>404</v>
      </c>
      <c r="M30" s="5" t="n">
        <v>649</v>
      </c>
      <c r="N30" s="5" t="n">
        <v>39953</v>
      </c>
      <c r="O30" s="5" t="n">
        <v>4062</v>
      </c>
      <c r="P30" s="5" t="n">
        <v>9559</v>
      </c>
      <c r="Q30" s="5" t="n">
        <v>8820</v>
      </c>
      <c r="R30" s="5" t="n">
        <v>1107</v>
      </c>
      <c r="S30" s="5" t="n">
        <v>25696</v>
      </c>
      <c r="T30" s="5" t="n">
        <v>1114001</v>
      </c>
      <c r="U30" s="5" t="n">
        <v>1813452</v>
      </c>
    </row>
    <row r="31" customFormat="false" ht="15" hidden="false" customHeight="false" outlineLevel="0" collapsed="false">
      <c r="A31" s="4" t="s">
        <v>72</v>
      </c>
      <c r="B31" s="5" t="n">
        <v>4964</v>
      </c>
      <c r="C31" s="5" t="n">
        <v>334674</v>
      </c>
      <c r="D31" s="5" t="n">
        <v>58782</v>
      </c>
      <c r="E31" s="5" t="n">
        <v>8521</v>
      </c>
      <c r="F31" s="5" t="n">
        <v>67975</v>
      </c>
      <c r="G31" s="5" t="n">
        <v>50686</v>
      </c>
      <c r="H31" s="5" t="n">
        <v>152528</v>
      </c>
      <c r="I31" s="5" t="n">
        <v>818561</v>
      </c>
      <c r="J31" s="5" t="n">
        <v>15105</v>
      </c>
      <c r="K31" s="5" t="n">
        <v>9103</v>
      </c>
      <c r="L31" s="5" t="n">
        <v>720</v>
      </c>
      <c r="M31" s="5" t="n">
        <v>323</v>
      </c>
      <c r="N31" s="5" t="n">
        <v>48311</v>
      </c>
      <c r="O31" s="5" t="n">
        <v>4907</v>
      </c>
      <c r="P31" s="5" t="n">
        <v>12915</v>
      </c>
      <c r="Q31" s="5" t="n">
        <v>10360</v>
      </c>
      <c r="R31" s="5" t="n">
        <v>1865</v>
      </c>
      <c r="S31" s="5" t="n">
        <v>30965</v>
      </c>
      <c r="T31" s="5" t="n">
        <v>1626301</v>
      </c>
      <c r="U31" s="5" t="n">
        <v>2854225</v>
      </c>
    </row>
    <row r="32" customFormat="false" ht="15" hidden="false" customHeight="false" outlineLevel="0" collapsed="false">
      <c r="A32" s="4" t="s">
        <v>73</v>
      </c>
      <c r="B32" s="5" t="n">
        <v>1729</v>
      </c>
      <c r="C32" s="5" t="n">
        <v>49601</v>
      </c>
      <c r="D32" s="5" t="n">
        <v>43890</v>
      </c>
      <c r="E32" s="5" t="n">
        <v>7850</v>
      </c>
      <c r="F32" s="5" t="n">
        <v>57161</v>
      </c>
      <c r="G32" s="5" t="n">
        <v>65654</v>
      </c>
      <c r="H32" s="5" t="n">
        <v>103236</v>
      </c>
      <c r="I32" s="5" t="n">
        <v>351793</v>
      </c>
      <c r="J32" s="5" t="n">
        <v>5487</v>
      </c>
      <c r="K32" s="5" t="n">
        <v>1813</v>
      </c>
      <c r="L32" s="5" t="n">
        <v>212</v>
      </c>
      <c r="M32" s="5" t="n">
        <v>259</v>
      </c>
      <c r="N32" s="5" t="n">
        <v>24515</v>
      </c>
      <c r="O32" s="5" t="n">
        <v>2993</v>
      </c>
      <c r="P32" s="5" t="n">
        <v>4357</v>
      </c>
      <c r="Q32" s="5" t="n">
        <v>6301</v>
      </c>
      <c r="R32" s="5" t="n">
        <v>800</v>
      </c>
      <c r="S32" s="5" t="n">
        <v>15038</v>
      </c>
      <c r="T32" s="5" t="n">
        <v>740960</v>
      </c>
      <c r="U32" s="5" t="n">
        <v>1042938</v>
      </c>
    </row>
    <row r="33" customFormat="false" ht="15" hidden="false" customHeight="false" outlineLevel="0" collapsed="false">
      <c r="A33" s="4" t="s">
        <v>74</v>
      </c>
      <c r="B33" s="5" t="n">
        <v>11010</v>
      </c>
      <c r="C33" s="5" t="n">
        <v>464585</v>
      </c>
      <c r="D33" s="5" t="n">
        <v>267763</v>
      </c>
      <c r="E33" s="5" t="n">
        <v>46791</v>
      </c>
      <c r="F33" s="5" t="n">
        <v>176194</v>
      </c>
      <c r="G33" s="5" t="n">
        <v>112251</v>
      </c>
      <c r="H33" s="5" t="n">
        <v>294613</v>
      </c>
      <c r="I33" s="5" t="n">
        <v>1943745</v>
      </c>
      <c r="J33" s="5" t="n">
        <v>50711</v>
      </c>
      <c r="K33" s="5" t="n">
        <v>13266</v>
      </c>
      <c r="L33" s="5" t="n">
        <v>2281</v>
      </c>
      <c r="M33" s="5" t="n">
        <v>1445</v>
      </c>
      <c r="N33" s="5" t="n">
        <v>140734</v>
      </c>
      <c r="O33" s="5" t="n">
        <v>13933</v>
      </c>
      <c r="P33" s="5" t="n">
        <v>30405</v>
      </c>
      <c r="Q33" s="5" t="n">
        <v>24148</v>
      </c>
      <c r="R33" s="5" t="n">
        <v>3769</v>
      </c>
      <c r="S33" s="5" t="n">
        <v>87363</v>
      </c>
      <c r="T33" s="5" t="n">
        <v>3673997</v>
      </c>
      <c r="U33" s="5" t="n">
        <v>6089453</v>
      </c>
    </row>
    <row r="34" customFormat="false" ht="15" hidden="false" customHeight="false" outlineLevel="0" collapsed="false">
      <c r="A34" s="4" t="s">
        <v>75</v>
      </c>
      <c r="B34" s="5" t="n">
        <v>2972</v>
      </c>
      <c r="C34" s="5" t="n">
        <v>299727</v>
      </c>
      <c r="D34" s="5" t="n">
        <v>68801</v>
      </c>
      <c r="E34" s="5" t="n">
        <v>5891</v>
      </c>
      <c r="F34" s="5" t="n">
        <v>65533</v>
      </c>
      <c r="G34" s="5" t="n">
        <v>56605</v>
      </c>
      <c r="H34" s="5" t="n">
        <v>88001</v>
      </c>
      <c r="I34" s="5" t="n">
        <v>605039</v>
      </c>
      <c r="J34" s="5" t="n">
        <v>10304</v>
      </c>
      <c r="K34" s="5" t="n">
        <v>5140</v>
      </c>
      <c r="L34" s="5" t="n">
        <v>552</v>
      </c>
      <c r="M34" s="5" t="n">
        <v>230</v>
      </c>
      <c r="N34" s="5" t="n">
        <v>35361</v>
      </c>
      <c r="O34" s="5" t="n">
        <v>3165</v>
      </c>
      <c r="P34" s="5" t="n">
        <v>6723</v>
      </c>
      <c r="Q34" s="5" t="n">
        <v>7425</v>
      </c>
      <c r="R34" s="5" t="n">
        <v>1177</v>
      </c>
      <c r="S34" s="5" t="n">
        <v>25301</v>
      </c>
      <c r="T34" s="5" t="n">
        <v>1284975</v>
      </c>
      <c r="U34" s="5" t="n">
        <v>1768125</v>
      </c>
    </row>
    <row r="35" customFormat="false" ht="15" hidden="false" customHeight="false" outlineLevel="0" collapsed="false">
      <c r="A35" s="4" t="s">
        <v>76</v>
      </c>
      <c r="B35" s="5" t="n">
        <v>2645</v>
      </c>
      <c r="C35" s="5" t="n">
        <v>79168</v>
      </c>
      <c r="D35" s="5" t="n">
        <v>112293</v>
      </c>
      <c r="E35" s="5" t="n">
        <v>22752</v>
      </c>
      <c r="F35" s="5" t="n">
        <v>42406</v>
      </c>
      <c r="G35" s="5" t="n">
        <v>45369</v>
      </c>
      <c r="H35" s="5" t="n">
        <v>130376</v>
      </c>
      <c r="I35" s="5" t="n">
        <v>270708</v>
      </c>
      <c r="J35" s="5" t="n">
        <v>13074</v>
      </c>
      <c r="K35" s="5" t="n">
        <v>2598</v>
      </c>
      <c r="L35" s="5" t="n">
        <v>582</v>
      </c>
      <c r="M35" s="5" t="n">
        <v>526</v>
      </c>
      <c r="N35" s="5" t="n">
        <v>16948</v>
      </c>
      <c r="O35" s="5" t="n">
        <v>2849</v>
      </c>
      <c r="P35" s="5" t="n">
        <v>4972</v>
      </c>
      <c r="Q35" s="5" t="n">
        <v>5438</v>
      </c>
      <c r="R35" s="5" t="n">
        <v>1373</v>
      </c>
      <c r="S35" s="5" t="n">
        <v>20514</v>
      </c>
      <c r="T35" s="5" t="n">
        <v>771946</v>
      </c>
      <c r="U35" s="5" t="n">
        <v>1270180</v>
      </c>
    </row>
    <row r="36" customFormat="false" ht="15" hidden="false" customHeight="false" outlineLevel="0" collapsed="false">
      <c r="A36" s="14" t="s">
        <v>41</v>
      </c>
      <c r="B36" s="15" t="n">
        <f aca="false">SUM(B4:B35)</f>
        <v>170766</v>
      </c>
      <c r="C36" s="15" t="n">
        <f aca="false">SUM(C4:C35)</f>
        <v>9224341</v>
      </c>
      <c r="D36" s="15" t="n">
        <f aca="false">SUM(D4:D35)</f>
        <v>5320727</v>
      </c>
      <c r="E36" s="15" t="n">
        <f aca="false">SUM(E4:E35)</f>
        <v>793603</v>
      </c>
      <c r="F36" s="15" t="n">
        <f aca="false">SUM(F4:F35)</f>
        <v>3687773</v>
      </c>
      <c r="G36" s="15" t="n">
        <f aca="false">SUM(G4:G35)</f>
        <v>2878024</v>
      </c>
      <c r="H36" s="15" t="n">
        <f aca="false">SUM(H4:H35)</f>
        <v>6204710</v>
      </c>
      <c r="I36" s="15" t="n">
        <f aca="false">SUM(I4:I35)</f>
        <v>26253825</v>
      </c>
      <c r="J36" s="15" t="n">
        <f aca="false">SUM(J4:J35)</f>
        <v>884579</v>
      </c>
      <c r="K36" s="15" t="n">
        <f aca="false">SUM(K4:K35)</f>
        <v>213807</v>
      </c>
      <c r="L36" s="15" t="n">
        <f aca="false">SUM(L4:L35)</f>
        <v>37277</v>
      </c>
      <c r="M36" s="15" t="n">
        <f aca="false">SUM(M4:M35)</f>
        <v>28363</v>
      </c>
      <c r="N36" s="15" t="n">
        <f aca="false">SUM(N4:N35)</f>
        <v>2041403</v>
      </c>
      <c r="O36" s="15" t="n">
        <f aca="false">SUM(O4:O35)</f>
        <v>203315</v>
      </c>
      <c r="P36" s="15" t="n">
        <f aca="false">SUM(P4:P35)</f>
        <v>414515</v>
      </c>
      <c r="Q36" s="15" t="n">
        <f aca="false">SUM(Q4:Q35)</f>
        <v>445664</v>
      </c>
      <c r="R36" s="15" t="n">
        <f aca="false">SUM(R4:R35)</f>
        <v>83114</v>
      </c>
      <c r="S36" s="15" t="n">
        <f aca="false">SUM(S4:S35)</f>
        <v>1400144</v>
      </c>
      <c r="T36" s="15" t="n">
        <f aca="false">SUM(T4:T35)</f>
        <v>60115184</v>
      </c>
      <c r="U36" s="15" t="n">
        <f aca="false">SUM(U4:U35)</f>
        <v>98468994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2026-10-12T04:28:41Z</dcterms:created>
  <dc:creator>openpyxl</dc:creator>
  <dc:description/>
  <dc:language>en-US</dc:language>
  <cp:lastModifiedBy/>
  <dcterms:modified xsi:type="dcterms:W3CDTF">2026-10-12T04:28:42Z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