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sumen" sheetId="1" state="visible" r:id="rId3"/>
    <sheet name="Por estado" sheetId="2" state="visible" r:id="rId4"/>
    <sheet name="Por distrito" sheetId="3" state="visible" r:id="rId5"/>
    <sheet name="Votos por partido" sheetId="4" state="visible" r:id="rId6"/>
  </sheets>
  <definedNames>
    <definedName function="false" hidden="true" localSheetId="2" name="_xlnm._FilterDatabase" vbProcedure="false">'Por distrito'!$A$3:$T$303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<sst xmlns="http://schemas.openxmlformats.org/spreadsheetml/2006/main" count="1042" uniqueCount="98">
  <si>
    <t xml:space="preserve">Diputaciones federales 2021 – Resumen</t>
  </si>
  <si>
    <t xml:space="preserve">Fuente: Diputados Federales 2021.csv (PREP)</t>
  </si>
  <si>
    <t xml:space="preserve">Bloque</t>
  </si>
  <si>
    <t xml:space="preserve">Votos</t>
  </si>
  <si>
    <t xml:space="preserve">% del total</t>
  </si>
  <si>
    <t xml:space="preserve">% de votos válidos</t>
  </si>
  <si>
    <t xml:space="preserve">Distritos ganados</t>
  </si>
  <si>
    <t xml:space="preserve">Estados ganados (por votos)</t>
  </si>
  <si>
    <t xml:space="preserve">Va por México (PAN-PRI-PRD)</t>
  </si>
  <si>
    <t xml:space="preserve">Juntos Hacemos Historia (Morena-PT-PVEM)</t>
  </si>
  <si>
    <t xml:space="preserve">MC</t>
  </si>
  <si>
    <t xml:space="preserve">PES</t>
  </si>
  <si>
    <t xml:space="preserve">RSP</t>
  </si>
  <si>
    <t xml:space="preserve">FXM</t>
  </si>
  <si>
    <t xml:space="preserve">Independientes</t>
  </si>
  <si>
    <t xml:space="preserve">No registrados</t>
  </si>
  <si>
    <t xml:space="preserve">Votos nulos</t>
  </si>
  <si>
    <t xml:space="preserve">Total votos emitidos</t>
  </si>
  <si>
    <t xml:space="preserve">Lista nominal</t>
  </si>
  <si>
    <t xml:space="preserve">Participación</t>
  </si>
  <si>
    <t xml:space="preserve">Actas</t>
  </si>
  <si>
    <t xml:space="preserve">Candidatura ganadora por distrito (según coaliciones reales)</t>
  </si>
  <si>
    <t xml:space="preserve">Distritos</t>
  </si>
  <si>
    <t xml:space="preserve">PVEM-PT-MORENA</t>
  </si>
  <si>
    <t xml:space="preserve">MORENA</t>
  </si>
  <si>
    <t xml:space="preserve">PAN-PRI-PRD</t>
  </si>
  <si>
    <t xml:space="preserve">PAN</t>
  </si>
  <si>
    <t xml:space="preserve">PRI</t>
  </si>
  <si>
    <t xml:space="preserve">PVEM</t>
  </si>
  <si>
    <t xml:space="preserve">Notas:</t>
  </si>
  <si>
    <t xml:space="preserve">Cada bloque suma el voto del partido solo más las combinaciones de coalición. Va por México (PAN, PRI, PRD) y Juntos Hacemos Historia (Morena, PT, PVEM) no se postularon en común en todos los distritos; donde no hubo coalición, o fue parcial, los partidos compitieron por separado. La tabla "Candidatura ganadora por distrito" lo toma en cuenta (p. ej. "MORENA" = Morena compitiendo sin coalición).</t>
  </si>
  <si>
    <t xml:space="preserve">Se eligen 300 diputaciones por mayoría relativa. El archivo no incluye las 200 de representación proporcional ni valida el cómputo oficial.</t>
  </si>
  <si>
    <t xml:space="preserve">El archivo no usa guiones: donde un partido no tuvo votos aparece 0, por eso las columnas de combinaciones de coalición se ven en cero en los distritos sin ese acuerdo. Las casillas especiales (tipo S, 415,313 votos) no tienen lista nominal; la participación calculada (52.66%) coincide con la del encabezado del archivo.</t>
  </si>
  <si>
    <t xml:space="preserve">Los nombres de estados se tomaron del archivo con los acentos corregidos.</t>
  </si>
  <si>
    <t xml:space="preserve">Resultados por estado y bloque – Diputaciones federales 2021 (fuente: Diputados Federales 2021.csv)</t>
  </si>
  <si>
    <t xml:space="preserve">La diputación se decide por distrito; el ganador por estado es solo informativo. Las últimas columnas cuentan los distritos que ganó cada bloque (hoja Por distrito).</t>
  </si>
  <si>
    <t xml:space="preserve">Estado</t>
  </si>
  <si>
    <t xml:space="preserve">Total votos</t>
  </si>
  <si>
    <t xml:space="preserve">Va por México %</t>
  </si>
  <si>
    <t xml:space="preserve">Juntos Hacemos Historia %</t>
  </si>
  <si>
    <t xml:space="preserve">MC %</t>
  </si>
  <si>
    <t xml:space="preserve">Votos nulos %</t>
  </si>
  <si>
    <t xml:space="preserve">Bloque ganador (votos del estado)</t>
  </si>
  <si>
    <t xml:space="preserve">Margen (pts)</t>
  </si>
  <si>
    <t xml:space="preserve">Distritos: Va por México</t>
  </si>
  <si>
    <t xml:space="preserve">Distritos: Juntos Hacemos Historia</t>
  </si>
  <si>
    <t xml:space="preserve">Distritos: MC</t>
  </si>
  <si>
    <t xml:space="preserve">Distritos del estado</t>
  </si>
  <si>
    <t xml:space="preserve">Nacional</t>
  </si>
  <si>
    <t xml:space="preserve">Resultados por distrito federal – Diputaciones federales 2021 (fuente: Diputados Federales 2021.csv)</t>
  </si>
  <si>
    <t xml:space="preserve">Bloque = partido solo + combinaciones de coalición. Las dos últimas columnas (valores fijos) separan a los partidos que fueron coaligados en cada distrito de los que compitieron solos.</t>
  </si>
  <si>
    <t xml:space="preserve">Distrito</t>
  </si>
  <si>
    <t xml:space="preserve">Bloque ganador</t>
  </si>
  <si>
    <t xml:space="preserve">Candidatura ganadora (según coaliciones reales)</t>
  </si>
  <si>
    <t xml:space="preserve">Candidatura en 2º lugar</t>
  </si>
  <si>
    <t xml:space="preserve">Aguascalientes</t>
  </si>
  <si>
    <t xml:space="preserve">Baja California</t>
  </si>
  <si>
    <t xml:space="preserve">Baja California Sur</t>
  </si>
  <si>
    <t xml:space="preserve">Campeche</t>
  </si>
  <si>
    <t xml:space="preserve">Coahuila</t>
  </si>
  <si>
    <t xml:space="preserve">Colima</t>
  </si>
  <si>
    <t xml:space="preserve">Chiapas</t>
  </si>
  <si>
    <t xml:space="preserve">Chihuahua</t>
  </si>
  <si>
    <t xml:space="preserve">Ciudad de México</t>
  </si>
  <si>
    <t xml:space="preserve">Durango</t>
  </si>
  <si>
    <t xml:space="preserve">Guanajuato</t>
  </si>
  <si>
    <t xml:space="preserve">Guerrero</t>
  </si>
  <si>
    <t xml:space="preserve">Hidalgo</t>
  </si>
  <si>
    <t xml:space="preserve">Jalisco</t>
  </si>
  <si>
    <t xml:space="preserve">México</t>
  </si>
  <si>
    <t xml:space="preserve">Michoacán</t>
  </si>
  <si>
    <t xml:space="preserve">Morelos</t>
  </si>
  <si>
    <t xml:space="preserve">Nayarit</t>
  </si>
  <si>
    <t xml:space="preserve">Nuevo León</t>
  </si>
  <si>
    <t xml:space="preserve">Oaxaca</t>
  </si>
  <si>
    <t xml:space="preserve">Puebla</t>
  </si>
  <si>
    <t xml:space="preserve">Querétaro</t>
  </si>
  <si>
    <t xml:space="preserve">Quintana Roo</t>
  </si>
  <si>
    <t xml:space="preserve">San Luis Potosí</t>
  </si>
  <si>
    <t xml:space="preserve">Sinaloa</t>
  </si>
  <si>
    <t xml:space="preserve">Sonora</t>
  </si>
  <si>
    <t xml:space="preserve">Tabasco</t>
  </si>
  <si>
    <t xml:space="preserve">Tamaulipas</t>
  </si>
  <si>
    <t xml:space="preserve">Tlaxcala</t>
  </si>
  <si>
    <t xml:space="preserve">Veracruz</t>
  </si>
  <si>
    <t xml:space="preserve">Yucatán</t>
  </si>
  <si>
    <t xml:space="preserve">Zacatecas</t>
  </si>
  <si>
    <t xml:space="preserve">Votos por partido y combinación de coalición, por estado – Diputaciones federales 2021 (fuente: Diputados Federales 2021.csv)</t>
  </si>
  <si>
    <t xml:space="preserve">PRD</t>
  </si>
  <si>
    <t xml:space="preserve">PT</t>
  </si>
  <si>
    <t xml:space="preserve">CI</t>
  </si>
  <si>
    <t xml:space="preserve">PAN-PRI</t>
  </si>
  <si>
    <t xml:space="preserve">PAN-PRD</t>
  </si>
  <si>
    <t xml:space="preserve">PRI-PRD</t>
  </si>
  <si>
    <t xml:space="preserve">PVEM-PT</t>
  </si>
  <si>
    <t xml:space="preserve">PVEM-MORENA</t>
  </si>
  <si>
    <t xml:space="preserve">PT-MORENA</t>
  </si>
  <si>
    <t xml:space="preserve">Votos Nulos</t>
  </si>
</sst>
</file>

<file path=xl/styles.xml><?xml version="1.0" encoding="utf-8"?>
<styleSheet xmlns="http://schemas.openxmlformats.org/spreadsheetml/2006/main">
  <numFmts count="6">
    <numFmt numFmtId="164" formatCode="General"/>
    <numFmt numFmtId="165" formatCode="#,##0"/>
    <numFmt numFmtId="166" formatCode="0.00%"/>
    <numFmt numFmtId="167" formatCode="0.0%"/>
    <numFmt numFmtId="168" formatCode="0.0"/>
    <numFmt numFmtId="169" formatCode="0.00"/>
  </numFmts>
  <fonts count="9">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i val="true"/>
      <sz val="11"/>
      <color rgb="FF595959"/>
      <name val="Cambria"/>
      <family val="0"/>
      <charset val="1"/>
    </font>
    <font>
      <b val="true"/>
      <sz val="11"/>
      <color rgb="FFFFFFFF"/>
      <name val="Cambria"/>
      <family val="0"/>
      <charset val="1"/>
    </font>
    <font>
      <b val="true"/>
      <sz val="11"/>
      <name val="Cambria"/>
      <family val="0"/>
      <charset val="1"/>
    </font>
    <font>
      <b val="true"/>
      <sz val="13"/>
      <name val="Cambria"/>
      <family val="0"/>
      <charset val="1"/>
    </font>
  </fonts>
  <fills count="4">
    <fill>
      <patternFill patternType="none"/>
    </fill>
    <fill>
      <patternFill patternType="gray125"/>
    </fill>
    <fill>
      <patternFill patternType="solid">
        <fgColor rgb="FF1F3864"/>
        <bgColor rgb="FF333333"/>
      </patternFill>
    </fill>
    <fill>
      <patternFill patternType="solid">
        <fgColor rgb="FFD9E1F2"/>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7" fontId="7" fillId="3" borderId="1" xfId="0" applyFont="true" applyBorder="true" applyAlignment="false" applyProtection="false">
      <alignment horizontal="general" vertical="bottom" textRotation="0" wrapText="false" indent="0" shrinkToFit="false"/>
      <protection locked="true" hidden="false"/>
    </xf>
    <xf numFmtId="168" fontId="7" fillId="3" borderId="1" xfId="0" applyFont="tru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6" min="2" style="0" width="18"/>
  </cols>
  <sheetData>
    <row r="1" customFormat="false" ht="17.35" hidden="false" customHeight="false" outlineLevel="0" collapsed="false">
      <c r="A1" s="1" t="s">
        <v>0</v>
      </c>
    </row>
    <row r="2" customFormat="false" ht="15" hidden="false" customHeight="false" outlineLevel="0" collapsed="false">
      <c r="A2" s="2" t="s">
        <v>1</v>
      </c>
    </row>
    <row r="4" customFormat="false" ht="33.75" hidden="false" customHeight="true" outlineLevel="0" collapsed="false">
      <c r="A4" s="3" t="s">
        <v>2</v>
      </c>
      <c r="B4" s="3" t="s">
        <v>3</v>
      </c>
      <c r="C4" s="3" t="s">
        <v>4</v>
      </c>
      <c r="D4" s="3" t="s">
        <v>5</v>
      </c>
      <c r="E4" s="3" t="s">
        <v>6</v>
      </c>
      <c r="F4" s="3" t="s">
        <v>7</v>
      </c>
    </row>
    <row r="5" customFormat="false" ht="15" hidden="false" customHeight="false" outlineLevel="0" collapsed="false">
      <c r="A5" s="4" t="s">
        <v>8</v>
      </c>
      <c r="B5" s="5" t="n">
        <f aca="false">'Por estado'!B36</f>
        <v>19477887</v>
      </c>
      <c r="C5" s="6" t="n">
        <f aca="false">B5/$B$14</f>
        <v>0.396284107934436</v>
      </c>
      <c r="D5" s="6" t="n">
        <f aca="false">B5/SUM($B$5:$B$11)</f>
        <v>0.410613464670815</v>
      </c>
      <c r="E5" s="4" t="n">
        <f aca="false">COUNTIF('Por distrito'!$Q$4:$Q$303,A5)</f>
        <v>111</v>
      </c>
      <c r="F5" s="4" t="n">
        <f aca="false">COUNTIF('Por estado'!$R$4:$R$35,A5)</f>
        <v>11</v>
      </c>
    </row>
    <row r="6" customFormat="false" ht="15" hidden="false" customHeight="false" outlineLevel="0" collapsed="false">
      <c r="A6" s="4" t="s">
        <v>9</v>
      </c>
      <c r="B6" s="5" t="n">
        <f aca="false">'Por estado'!C36</f>
        <v>21025742</v>
      </c>
      <c r="C6" s="6" t="n">
        <f aca="false">B6/$B$14</f>
        <v>0.427775734202052</v>
      </c>
      <c r="D6" s="6" t="n">
        <f aca="false">B6/SUM($B$5:$B$11)</f>
        <v>0.443243806163096</v>
      </c>
      <c r="E6" s="4" t="n">
        <f aca="false">COUNTIF('Por distrito'!$Q$4:$Q$303,A6)</f>
        <v>182</v>
      </c>
      <c r="F6" s="4" t="n">
        <f aca="false">COUNTIF('Por estado'!$R$4:$R$35,A6)</f>
        <v>20</v>
      </c>
    </row>
    <row r="7" customFormat="false" ht="15" hidden="false" customHeight="false" outlineLevel="0" collapsed="false">
      <c r="A7" s="4" t="s">
        <v>10</v>
      </c>
      <c r="B7" s="5" t="n">
        <f aca="false">'Por estado'!D36</f>
        <v>3449982</v>
      </c>
      <c r="C7" s="6" t="n">
        <f aca="false">B7/$B$14</f>
        <v>0.0701910345439349</v>
      </c>
      <c r="D7" s="6" t="n">
        <f aca="false">B7/SUM($B$5:$B$11)</f>
        <v>0.0727290933596621</v>
      </c>
      <c r="E7" s="4" t="n">
        <f aca="false">COUNTIF('Por distrito'!$Q$4:$Q$303,A7)</f>
        <v>7</v>
      </c>
      <c r="F7" s="4" t="n">
        <f aca="false">COUNTIF('Por estado'!$R$4:$R$35,A7)</f>
        <v>1</v>
      </c>
    </row>
    <row r="8" customFormat="false" ht="15" hidden="false" customHeight="false" outlineLevel="0" collapsed="false">
      <c r="A8" s="4" t="s">
        <v>11</v>
      </c>
      <c r="B8" s="5" t="n">
        <f aca="false">'Por estado'!E36</f>
        <v>1352544</v>
      </c>
      <c r="C8" s="6" t="n">
        <f aca="false">B8/$B$14</f>
        <v>0.0275179588259278</v>
      </c>
      <c r="D8" s="6" t="n">
        <f aca="false">B8/SUM($B$5:$B$11)</f>
        <v>0.0285129890095226</v>
      </c>
      <c r="E8" s="4" t="n">
        <f aca="false">COUNTIF('Por distrito'!$Q$4:$Q$303,A8)</f>
        <v>0</v>
      </c>
      <c r="F8" s="4" t="n">
        <f aca="false">COUNTIF('Por estado'!$R$4:$R$35,A8)</f>
        <v>0</v>
      </c>
    </row>
    <row r="9" customFormat="false" ht="15" hidden="false" customHeight="false" outlineLevel="0" collapsed="false">
      <c r="A9" s="4" t="s">
        <v>12</v>
      </c>
      <c r="B9" s="5" t="n">
        <f aca="false">'Por estado'!F36</f>
        <v>868515</v>
      </c>
      <c r="C9" s="6" t="n">
        <f aca="false">B9/$B$14</f>
        <v>0.0176702273713097</v>
      </c>
      <c r="D9" s="6" t="n">
        <f aca="false">B9/SUM($B$5:$B$11)</f>
        <v>0.0183091704592276</v>
      </c>
      <c r="E9" s="4" t="n">
        <f aca="false">COUNTIF('Por distrito'!$Q$4:$Q$303,A9)</f>
        <v>0</v>
      </c>
      <c r="F9" s="4" t="n">
        <f aca="false">COUNTIF('Por estado'!$R$4:$R$35,A9)</f>
        <v>0</v>
      </c>
    </row>
    <row r="10" customFormat="false" ht="15" hidden="false" customHeight="false" outlineLevel="0" collapsed="false">
      <c r="A10" s="4" t="s">
        <v>13</v>
      </c>
      <c r="B10" s="5" t="n">
        <f aca="false">'Por estado'!G36</f>
        <v>1217084</v>
      </c>
      <c r="C10" s="6" t="n">
        <f aca="false">B10/$B$14</f>
        <v>0.0247619799427564</v>
      </c>
      <c r="D10" s="6" t="n">
        <f aca="false">B10/SUM($B$5:$B$11)</f>
        <v>0.0256573558536105</v>
      </c>
      <c r="E10" s="4" t="n">
        <f aca="false">COUNTIF('Por distrito'!$Q$4:$Q$303,A10)</f>
        <v>0</v>
      </c>
      <c r="F10" s="4" t="n">
        <f aca="false">COUNTIF('Por estado'!$R$4:$R$35,A10)</f>
        <v>0</v>
      </c>
    </row>
    <row r="11" customFormat="false" ht="15" hidden="false" customHeight="false" outlineLevel="0" collapsed="false">
      <c r="A11" s="4" t="s">
        <v>14</v>
      </c>
      <c r="B11" s="5" t="n">
        <f aca="false">'Por estado'!H36</f>
        <v>44311</v>
      </c>
      <c r="C11" s="6" t="n">
        <f aca="false">B11/$B$14</f>
        <v>0.000901522075093812</v>
      </c>
      <c r="D11" s="6" t="n">
        <f aca="false">B11/SUM($B$5:$B$11)</f>
        <v>0.00093412048406629</v>
      </c>
      <c r="E11" s="4" t="n">
        <f aca="false">COUNTIF('Por distrito'!$Q$4:$Q$303,A11)</f>
        <v>0</v>
      </c>
      <c r="F11" s="4" t="n">
        <f aca="false">COUNTIF('Por estado'!$R$4:$R$35,A11)</f>
        <v>0</v>
      </c>
    </row>
    <row r="12" customFormat="false" ht="15" hidden="false" customHeight="false" outlineLevel="0" collapsed="false">
      <c r="A12" s="4" t="s">
        <v>15</v>
      </c>
      <c r="B12" s="5" t="n">
        <f aca="false">'Por estado'!I36</f>
        <v>41933</v>
      </c>
      <c r="C12" s="6" t="n">
        <f aca="false">B12/$B$14</f>
        <v>0.000853140871903339</v>
      </c>
      <c r="D12" s="6"/>
      <c r="E12" s="4"/>
      <c r="F12" s="4"/>
    </row>
    <row r="13" customFormat="false" ht="15" hidden="false" customHeight="false" outlineLevel="0" collapsed="false">
      <c r="A13" s="4" t="s">
        <v>16</v>
      </c>
      <c r="B13" s="5" t="n">
        <f aca="false">'Por estado'!J36</f>
        <v>1673322</v>
      </c>
      <c r="C13" s="6" t="n">
        <f aca="false">B13/$B$14</f>
        <v>0.0340442942325862</v>
      </c>
      <c r="D13" s="6"/>
      <c r="E13" s="4"/>
      <c r="F13" s="4"/>
    </row>
    <row r="14" customFormat="false" ht="15" hidden="false" customHeight="false" outlineLevel="0" collapsed="false">
      <c r="A14" s="7" t="s">
        <v>17</v>
      </c>
      <c r="B14" s="5" t="n">
        <f aca="false">'Por estado'!K36</f>
        <v>49151320</v>
      </c>
      <c r="C14" s="4"/>
      <c r="D14" s="4"/>
      <c r="E14" s="4"/>
      <c r="F14" s="4"/>
    </row>
    <row r="15" customFormat="false" ht="15" hidden="false" customHeight="false" outlineLevel="0" collapsed="false">
      <c r="A15" s="7" t="s">
        <v>18</v>
      </c>
      <c r="B15" s="5" t="n">
        <f aca="false">'Por estado'!L36</f>
        <v>93328771</v>
      </c>
      <c r="C15" s="4"/>
      <c r="D15" s="4"/>
      <c r="E15" s="4"/>
      <c r="F15" s="4"/>
    </row>
    <row r="16" customFormat="false" ht="15" hidden="false" customHeight="false" outlineLevel="0" collapsed="false">
      <c r="A16" s="7" t="s">
        <v>19</v>
      </c>
      <c r="B16" s="6" t="n">
        <f aca="false">B14/B15</f>
        <v>0.52664702934961</v>
      </c>
      <c r="C16" s="4"/>
      <c r="D16" s="4"/>
      <c r="E16" s="4"/>
      <c r="F16" s="4"/>
    </row>
    <row r="17" customFormat="false" ht="15" hidden="false" customHeight="false" outlineLevel="0" collapsed="false">
      <c r="A17" s="7" t="s">
        <v>20</v>
      </c>
      <c r="B17" s="5" t="n">
        <f aca="false">'Votos por partido'!B36</f>
        <v>163666</v>
      </c>
      <c r="C17" s="4"/>
      <c r="D17" s="4"/>
      <c r="E17" s="4"/>
      <c r="F17" s="4"/>
    </row>
    <row r="18" customFormat="false" ht="15" hidden="false" customHeight="false" outlineLevel="0" collapsed="false">
      <c r="A18" s="4"/>
      <c r="B18" s="4"/>
      <c r="C18" s="4"/>
      <c r="D18" s="4"/>
      <c r="E18" s="4"/>
      <c r="F18" s="4"/>
    </row>
    <row r="19" customFormat="false" ht="26.85" hidden="false" customHeight="false" outlineLevel="0" collapsed="false">
      <c r="A19" s="3" t="s">
        <v>21</v>
      </c>
      <c r="B19" s="3" t="s">
        <v>22</v>
      </c>
    </row>
    <row r="20" customFormat="false" ht="15" hidden="false" customHeight="false" outlineLevel="0" collapsed="false">
      <c r="A20" s="0" t="s">
        <v>23</v>
      </c>
      <c r="B20" s="0" t="n">
        <v>121</v>
      </c>
    </row>
    <row r="21" customFormat="false" ht="15" hidden="false" customHeight="false" outlineLevel="0" collapsed="false">
      <c r="A21" s="4" t="s">
        <v>24</v>
      </c>
      <c r="B21" s="4" t="n">
        <v>64</v>
      </c>
    </row>
    <row r="22" customFormat="false" ht="15" hidden="false" customHeight="false" outlineLevel="0" collapsed="false">
      <c r="A22" s="4" t="s">
        <v>25</v>
      </c>
      <c r="B22" s="4" t="n">
        <v>63</v>
      </c>
    </row>
    <row r="23" customFormat="false" ht="15" hidden="false" customHeight="false" outlineLevel="0" collapsed="false">
      <c r="A23" s="4" t="s">
        <v>26</v>
      </c>
      <c r="B23" s="4" t="n">
        <v>33</v>
      </c>
    </row>
    <row r="24" customFormat="false" ht="15" hidden="false" customHeight="false" outlineLevel="0" collapsed="false">
      <c r="A24" s="4" t="s">
        <v>27</v>
      </c>
      <c r="B24" s="4" t="n">
        <v>11</v>
      </c>
    </row>
    <row r="25" customFormat="false" ht="15" hidden="false" customHeight="false" outlineLevel="0" collapsed="false">
      <c r="A25" s="4" t="s">
        <v>10</v>
      </c>
      <c r="B25" s="4" t="n">
        <v>7</v>
      </c>
    </row>
    <row r="26" customFormat="false" ht="15" hidden="false" customHeight="false" outlineLevel="0" collapsed="false">
      <c r="A26" s="4" t="s">
        <v>28</v>
      </c>
      <c r="B26" s="4" t="n">
        <v>1</v>
      </c>
    </row>
    <row r="28" customFormat="false" ht="15" hidden="false" customHeight="false" outlineLevel="0" collapsed="false">
      <c r="A28" s="8" t="s">
        <v>29</v>
      </c>
    </row>
    <row r="29" customFormat="false" ht="61.5" hidden="false" customHeight="true" outlineLevel="0" collapsed="false">
      <c r="A29" s="9" t="s">
        <v>30</v>
      </c>
      <c r="B29" s="9"/>
      <c r="C29" s="9"/>
      <c r="D29" s="9"/>
      <c r="E29" s="9"/>
      <c r="F29" s="9"/>
    </row>
    <row r="30" customFormat="false" ht="61.5" hidden="false" customHeight="true" outlineLevel="0" collapsed="false">
      <c r="A30" s="9" t="s">
        <v>31</v>
      </c>
      <c r="B30" s="9"/>
      <c r="C30" s="9"/>
      <c r="D30" s="9"/>
      <c r="E30" s="9"/>
      <c r="F30" s="9"/>
    </row>
    <row r="31" customFormat="false" ht="61.5" hidden="false" customHeight="true" outlineLevel="0" collapsed="false">
      <c r="A31" s="9" t="s">
        <v>32</v>
      </c>
      <c r="B31" s="9"/>
      <c r="C31" s="9"/>
      <c r="D31" s="9"/>
      <c r="E31" s="9"/>
      <c r="F31" s="9"/>
    </row>
    <row r="32" customFormat="false" ht="61.5" hidden="false" customHeight="true" outlineLevel="0" collapsed="false">
      <c r="A32" s="9" t="s">
        <v>33</v>
      </c>
      <c r="B32" s="9"/>
      <c r="C32" s="9"/>
      <c r="D32" s="9"/>
      <c r="E32" s="9"/>
      <c r="F32" s="9"/>
    </row>
  </sheetData>
  <mergeCells count="4">
    <mergeCell ref="A29:F29"/>
    <mergeCell ref="A30:F30"/>
    <mergeCell ref="A31:F31"/>
    <mergeCell ref="A32: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17" min="2" style="0" width="14"/>
    <col collapsed="false" customWidth="true" hidden="false" outlineLevel="0" max="18" min="18" style="0" width="24"/>
    <col collapsed="false" customWidth="true" hidden="false" outlineLevel="0" max="23" min="19" style="0" width="14"/>
  </cols>
  <sheetData>
    <row r="1" customFormat="false" ht="16.15" hidden="false" customHeight="false" outlineLevel="0" collapsed="false">
      <c r="A1" s="10" t="s">
        <v>34</v>
      </c>
    </row>
    <row r="2" customFormat="false" ht="15" hidden="false" customHeight="false" outlineLevel="0" collapsed="false">
      <c r="A2" s="2" t="s">
        <v>35</v>
      </c>
    </row>
    <row r="3" customFormat="false" ht="60" hidden="false" customHeight="true" outlineLevel="0" collapsed="false">
      <c r="A3" s="3" t="s">
        <v>36</v>
      </c>
      <c r="B3" s="3" t="s">
        <v>8</v>
      </c>
      <c r="C3" s="3" t="s">
        <v>9</v>
      </c>
      <c r="D3" s="3" t="s">
        <v>10</v>
      </c>
      <c r="E3" s="3" t="s">
        <v>11</v>
      </c>
      <c r="F3" s="3" t="s">
        <v>12</v>
      </c>
      <c r="G3" s="3" t="s">
        <v>13</v>
      </c>
      <c r="H3" s="3" t="s">
        <v>14</v>
      </c>
      <c r="I3" s="3" t="s">
        <v>15</v>
      </c>
      <c r="J3" s="3" t="s">
        <v>16</v>
      </c>
      <c r="K3" s="3" t="s">
        <v>37</v>
      </c>
      <c r="L3" s="3" t="s">
        <v>18</v>
      </c>
      <c r="M3" s="3" t="s">
        <v>19</v>
      </c>
      <c r="N3" s="3" t="s">
        <v>38</v>
      </c>
      <c r="O3" s="3" t="s">
        <v>39</v>
      </c>
      <c r="P3" s="3" t="s">
        <v>40</v>
      </c>
      <c r="Q3" s="3" t="s">
        <v>41</v>
      </c>
      <c r="R3" s="3" t="s">
        <v>42</v>
      </c>
      <c r="S3" s="3" t="s">
        <v>43</v>
      </c>
      <c r="T3" s="3" t="s">
        <v>44</v>
      </c>
      <c r="U3" s="3" t="s">
        <v>45</v>
      </c>
      <c r="V3" s="3" t="s">
        <v>46</v>
      </c>
      <c r="W3" s="3" t="s">
        <v>47</v>
      </c>
    </row>
    <row r="4" customFormat="false" ht="15" hidden="false" customHeight="false" outlineLevel="0" collapsed="false">
      <c r="A4" s="4" t="str">
        <f aca="false">'Votos por partido'!A4</f>
        <v>Aguascalientes</v>
      </c>
      <c r="B4" s="5" t="n">
        <f aca="false">'Votos por partido'!C4+'Votos por partido'!D4+'Votos por partido'!E4+'Votos por partido'!N4+'Votos por partido'!O4+'Votos por partido'!P4+'Votos por partido'!Q4</f>
        <v>290141</v>
      </c>
      <c r="C4" s="5" t="n">
        <f aca="false">'Votos por partido'!F4+'Votos por partido'!G4+'Votos por partido'!I4+'Votos por partido'!R4+'Votos por partido'!S4+'Votos por partido'!T4+'Votos por partido'!U4</f>
        <v>159142</v>
      </c>
      <c r="D4" s="5" t="n">
        <f aca="false">'Votos por partido'!H4</f>
        <v>19961</v>
      </c>
      <c r="E4" s="5" t="n">
        <f aca="false">'Votos por partido'!J4</f>
        <v>7860</v>
      </c>
      <c r="F4" s="5" t="n">
        <f aca="false">'Votos por partido'!K4</f>
        <v>4232</v>
      </c>
      <c r="G4" s="5" t="n">
        <f aca="false">'Votos por partido'!L4</f>
        <v>15211</v>
      </c>
      <c r="H4" s="5" t="n">
        <f aca="false">'Votos por partido'!M4</f>
        <v>0</v>
      </c>
      <c r="I4" s="5" t="n">
        <f aca="false">'Votos por partido'!V4</f>
        <v>652</v>
      </c>
      <c r="J4" s="5" t="n">
        <f aca="false">'Votos por partido'!W4</f>
        <v>16889</v>
      </c>
      <c r="K4" s="5" t="n">
        <f aca="false">'Votos por partido'!X4</f>
        <v>514088</v>
      </c>
      <c r="L4" s="5" t="n">
        <f aca="false">'Votos por partido'!Y4</f>
        <v>1017411</v>
      </c>
      <c r="M4" s="11" t="n">
        <f aca="false">K4/L4</f>
        <v>0.505290389036486</v>
      </c>
      <c r="N4" s="11" t="n">
        <f aca="false">B4/K4</f>
        <v>0.564380028321999</v>
      </c>
      <c r="O4" s="11" t="n">
        <f aca="false">C4/K4</f>
        <v>0.309561787087036</v>
      </c>
      <c r="P4" s="11" t="n">
        <f aca="false">D4/K4</f>
        <v>0.0388279827578158</v>
      </c>
      <c r="Q4" s="11" t="n">
        <f aca="false">J4/K4</f>
        <v>0.0328523521264842</v>
      </c>
      <c r="R4" s="4" t="str">
        <f aca="false">INDEX($B$3:$H$3,MATCH(MAX(B4:H4),B4:H4,0))</f>
        <v>Va por México (PAN-PRI-PRD)</v>
      </c>
      <c r="S4" s="12" t="n">
        <f aca="false">(MAX(B4:H4)-LARGE(B4:H4,2))/K4*100</f>
        <v>25.4818241234964</v>
      </c>
      <c r="T4" s="4" t="n">
        <f aca="false">COUNTIFS('Por distrito'!$A$4:$A$303,$A4,'Por distrito'!$Q$4:$Q$303,B$3)</f>
        <v>3</v>
      </c>
      <c r="U4" s="4" t="n">
        <f aca="false">COUNTIFS('Por distrito'!$A$4:$A$303,$A4,'Por distrito'!$Q$4:$Q$303,C$3)</f>
        <v>0</v>
      </c>
      <c r="V4" s="4" t="n">
        <f aca="false">COUNTIFS('Por distrito'!$A$4:$A$303,$A4,'Por distrito'!$Q$4:$Q$303,D$3)</f>
        <v>0</v>
      </c>
      <c r="W4" s="4" t="n">
        <f aca="false">COUNTIF('Por distrito'!$A$4:$A$303,$A4)</f>
        <v>3</v>
      </c>
    </row>
    <row r="5" customFormat="false" ht="15" hidden="false" customHeight="false" outlineLevel="0" collapsed="false">
      <c r="A5" s="4" t="str">
        <f aca="false">'Votos por partido'!A5</f>
        <v>Baja California</v>
      </c>
      <c r="B5" s="5" t="n">
        <f aca="false">'Votos por partido'!C5+'Votos por partido'!D5+'Votos por partido'!E5+'Votos por partido'!N5+'Votos por partido'!O5+'Votos por partido'!P5+'Votos por partido'!Q5</f>
        <v>245130</v>
      </c>
      <c r="C5" s="5" t="n">
        <f aca="false">'Votos por partido'!F5+'Votos por partido'!G5+'Votos por partido'!I5+'Votos por partido'!R5+'Votos por partido'!S5+'Votos por partido'!T5+'Votos por partido'!U5</f>
        <v>552732</v>
      </c>
      <c r="D5" s="5" t="n">
        <f aca="false">'Votos por partido'!H5</f>
        <v>52050</v>
      </c>
      <c r="E5" s="5" t="n">
        <f aca="false">'Votos por partido'!J5</f>
        <v>180263</v>
      </c>
      <c r="F5" s="5" t="n">
        <f aca="false">'Votos por partido'!K5</f>
        <v>18272</v>
      </c>
      <c r="G5" s="5" t="n">
        <f aca="false">'Votos por partido'!L5</f>
        <v>36741</v>
      </c>
      <c r="H5" s="5" t="n">
        <f aca="false">'Votos por partido'!M5</f>
        <v>0</v>
      </c>
      <c r="I5" s="5" t="n">
        <f aca="false">'Votos por partido'!V5</f>
        <v>1022</v>
      </c>
      <c r="J5" s="5" t="n">
        <f aca="false">'Votos por partido'!W5</f>
        <v>36965</v>
      </c>
      <c r="K5" s="5" t="n">
        <f aca="false">'Votos por partido'!X5</f>
        <v>1123175</v>
      </c>
      <c r="L5" s="5" t="n">
        <f aca="false">'Votos por partido'!Y5</f>
        <v>2919186</v>
      </c>
      <c r="M5" s="11" t="n">
        <f aca="false">K5/L5</f>
        <v>0.384756229990141</v>
      </c>
      <c r="N5" s="11" t="n">
        <f aca="false">B5/K5</f>
        <v>0.218247379081621</v>
      </c>
      <c r="O5" s="11" t="n">
        <f aca="false">C5/K5</f>
        <v>0.492115654283616</v>
      </c>
      <c r="P5" s="11" t="n">
        <f aca="false">D5/K5</f>
        <v>0.0463418434349055</v>
      </c>
      <c r="Q5" s="11" t="n">
        <f aca="false">J5/K5</f>
        <v>0.0329111670042513</v>
      </c>
      <c r="R5" s="4" t="str">
        <f aca="false">INDEX($B$3:$H$3,MATCH(MAX(B5:H5),B5:H5,0))</f>
        <v>Juntos Hacemos Historia (Morena-PT-PVEM)</v>
      </c>
      <c r="S5" s="12" t="n">
        <f aca="false">(MAX(B5:H5)-LARGE(B5:H5,2))/K5*100</f>
        <v>27.3868275201994</v>
      </c>
      <c r="T5" s="4" t="n">
        <f aca="false">COUNTIFS('Por distrito'!$A$4:$A$303,$A5,'Por distrito'!$Q$4:$Q$303,B$3)</f>
        <v>0</v>
      </c>
      <c r="U5" s="4" t="n">
        <f aca="false">COUNTIFS('Por distrito'!$A$4:$A$303,$A5,'Por distrito'!$Q$4:$Q$303,C$3)</f>
        <v>8</v>
      </c>
      <c r="V5" s="4" t="n">
        <f aca="false">COUNTIFS('Por distrito'!$A$4:$A$303,$A5,'Por distrito'!$Q$4:$Q$303,D$3)</f>
        <v>0</v>
      </c>
      <c r="W5" s="4" t="n">
        <f aca="false">COUNTIF('Por distrito'!$A$4:$A$303,$A5)</f>
        <v>8</v>
      </c>
    </row>
    <row r="6" customFormat="false" ht="15" hidden="false" customHeight="false" outlineLevel="0" collapsed="false">
      <c r="A6" s="4" t="str">
        <f aca="false">'Votos por partido'!A6</f>
        <v>Baja California Sur</v>
      </c>
      <c r="B6" s="5" t="n">
        <f aca="false">'Votos por partido'!C6+'Votos por partido'!D6+'Votos por partido'!E6+'Votos por partido'!N6+'Votos por partido'!O6+'Votos por partido'!P6+'Votos por partido'!Q6</f>
        <v>112653</v>
      </c>
      <c r="C6" s="5" t="n">
        <f aca="false">'Votos por partido'!F6+'Votos por partido'!G6+'Votos por partido'!I6+'Votos por partido'!R6+'Votos por partido'!S6+'Votos por partido'!T6+'Votos por partido'!U6</f>
        <v>128716</v>
      </c>
      <c r="D6" s="5" t="n">
        <f aca="false">'Votos por partido'!H6</f>
        <v>9177</v>
      </c>
      <c r="E6" s="5" t="n">
        <f aca="false">'Votos por partido'!J6</f>
        <v>6399</v>
      </c>
      <c r="F6" s="5" t="n">
        <f aca="false">'Votos por partido'!K6</f>
        <v>4273</v>
      </c>
      <c r="G6" s="5" t="n">
        <f aca="false">'Votos por partido'!L6</f>
        <v>9781</v>
      </c>
      <c r="H6" s="5" t="n">
        <f aca="false">'Votos por partido'!M6</f>
        <v>0</v>
      </c>
      <c r="I6" s="5" t="n">
        <f aca="false">'Votos por partido'!V6</f>
        <v>232</v>
      </c>
      <c r="J6" s="5" t="n">
        <f aca="false">'Votos por partido'!W6</f>
        <v>8655</v>
      </c>
      <c r="K6" s="5" t="n">
        <f aca="false">'Votos por partido'!X6</f>
        <v>279886</v>
      </c>
      <c r="L6" s="5" t="n">
        <f aca="false">'Votos por partido'!Y6</f>
        <v>561652</v>
      </c>
      <c r="M6" s="11" t="n">
        <f aca="false">K6/L6</f>
        <v>0.498326365792341</v>
      </c>
      <c r="N6" s="11" t="n">
        <f aca="false">B6/K6</f>
        <v>0.402496016235181</v>
      </c>
      <c r="O6" s="11" t="n">
        <f aca="false">C6/K6</f>
        <v>0.459887239804778</v>
      </c>
      <c r="P6" s="11" t="n">
        <f aca="false">D6/K6</f>
        <v>0.0327883495423137</v>
      </c>
      <c r="Q6" s="11" t="n">
        <f aca="false">J6/K6</f>
        <v>0.0309233044882559</v>
      </c>
      <c r="R6" s="4" t="str">
        <f aca="false">INDEX($B$3:$H$3,MATCH(MAX(B6:H6),B6:H6,0))</f>
        <v>Juntos Hacemos Historia (Morena-PT-PVEM)</v>
      </c>
      <c r="S6" s="12" t="n">
        <f aca="false">(MAX(B6:H6)-LARGE(B6:H6,2))/K6*100</f>
        <v>5.73912235695962</v>
      </c>
      <c r="T6" s="4" t="n">
        <f aca="false">COUNTIFS('Por distrito'!$A$4:$A$303,$A6,'Por distrito'!$Q$4:$Q$303,B$3)</f>
        <v>0</v>
      </c>
      <c r="U6" s="4" t="n">
        <f aca="false">COUNTIFS('Por distrito'!$A$4:$A$303,$A6,'Por distrito'!$Q$4:$Q$303,C$3)</f>
        <v>2</v>
      </c>
      <c r="V6" s="4" t="n">
        <f aca="false">COUNTIFS('Por distrito'!$A$4:$A$303,$A6,'Por distrito'!$Q$4:$Q$303,D$3)</f>
        <v>0</v>
      </c>
      <c r="W6" s="4" t="n">
        <f aca="false">COUNTIF('Por distrito'!$A$4:$A$303,$A6)</f>
        <v>2</v>
      </c>
    </row>
    <row r="7" customFormat="false" ht="15" hidden="false" customHeight="false" outlineLevel="0" collapsed="false">
      <c r="A7" s="4" t="str">
        <f aca="false">'Votos por partido'!A7</f>
        <v>Campeche</v>
      </c>
      <c r="B7" s="5" t="n">
        <f aca="false">'Votos por partido'!C7+'Votos por partido'!D7+'Votos por partido'!E7+'Votos por partido'!N7+'Votos por partido'!O7+'Votos por partido'!P7+'Votos por partido'!Q7</f>
        <v>136480</v>
      </c>
      <c r="C7" s="5" t="n">
        <f aca="false">'Votos por partido'!F7+'Votos por partido'!G7+'Votos por partido'!I7+'Votos por partido'!R7+'Votos por partido'!S7+'Votos por partido'!T7+'Votos por partido'!U7</f>
        <v>185995</v>
      </c>
      <c r="D7" s="5" t="n">
        <f aca="false">'Votos por partido'!H7</f>
        <v>79992</v>
      </c>
      <c r="E7" s="5" t="n">
        <f aca="false">'Votos por partido'!J7</f>
        <v>3546</v>
      </c>
      <c r="F7" s="5" t="n">
        <f aca="false">'Votos por partido'!K7</f>
        <v>4950</v>
      </c>
      <c r="G7" s="5" t="n">
        <f aca="false">'Votos por partido'!L7</f>
        <v>2350</v>
      </c>
      <c r="H7" s="5" t="n">
        <f aca="false">'Votos por partido'!M7</f>
        <v>0</v>
      </c>
      <c r="I7" s="5" t="n">
        <f aca="false">'Votos por partido'!V7</f>
        <v>133</v>
      </c>
      <c r="J7" s="5" t="n">
        <f aca="false">'Votos por partido'!W7</f>
        <v>11008</v>
      </c>
      <c r="K7" s="5" t="n">
        <f aca="false">'Votos por partido'!X7</f>
        <v>424454</v>
      </c>
      <c r="L7" s="5" t="n">
        <f aca="false">'Votos por partido'!Y7</f>
        <v>668750</v>
      </c>
      <c r="M7" s="11" t="n">
        <f aca="false">K7/L7</f>
        <v>0.634697570093458</v>
      </c>
      <c r="N7" s="11" t="n">
        <f aca="false">B7/K7</f>
        <v>0.321542499304989</v>
      </c>
      <c r="O7" s="11" t="n">
        <f aca="false">C7/K7</f>
        <v>0.438198249987042</v>
      </c>
      <c r="P7" s="11" t="n">
        <f aca="false">D7/K7</f>
        <v>0.188458584440246</v>
      </c>
      <c r="Q7" s="11" t="n">
        <f aca="false">J7/K7</f>
        <v>0.0259344946684446</v>
      </c>
      <c r="R7" s="4" t="str">
        <f aca="false">INDEX($B$3:$H$3,MATCH(MAX(B7:H7),B7:H7,0))</f>
        <v>Juntos Hacemos Historia (Morena-PT-PVEM)</v>
      </c>
      <c r="S7" s="12" t="n">
        <f aca="false">(MAX(B7:H7)-LARGE(B7:H7,2))/K7*100</f>
        <v>11.6655750682053</v>
      </c>
      <c r="T7" s="4" t="n">
        <f aca="false">COUNTIFS('Por distrito'!$A$4:$A$303,$A7,'Por distrito'!$Q$4:$Q$303,B$3)</f>
        <v>0</v>
      </c>
      <c r="U7" s="4" t="n">
        <f aca="false">COUNTIFS('Por distrito'!$A$4:$A$303,$A7,'Por distrito'!$Q$4:$Q$303,C$3)</f>
        <v>2</v>
      </c>
      <c r="V7" s="4" t="n">
        <f aca="false">COUNTIFS('Por distrito'!$A$4:$A$303,$A7,'Por distrito'!$Q$4:$Q$303,D$3)</f>
        <v>0</v>
      </c>
      <c r="W7" s="4" t="n">
        <f aca="false">COUNTIF('Por distrito'!$A$4:$A$303,$A7)</f>
        <v>2</v>
      </c>
    </row>
    <row r="8" customFormat="false" ht="15" hidden="false" customHeight="false" outlineLevel="0" collapsed="false">
      <c r="A8" s="4" t="str">
        <f aca="false">'Votos por partido'!A8</f>
        <v>Coahuila</v>
      </c>
      <c r="B8" s="5" t="n">
        <f aca="false">'Votos por partido'!C8+'Votos por partido'!D8+'Votos por partido'!E8+'Votos por partido'!N8+'Votos por partido'!O8+'Votos por partido'!P8+'Votos por partido'!Q8</f>
        <v>721836</v>
      </c>
      <c r="C8" s="5" t="n">
        <f aca="false">'Votos por partido'!F8+'Votos por partido'!G8+'Votos por partido'!I8+'Votos por partido'!R8+'Votos por partido'!S8+'Votos por partido'!T8+'Votos por partido'!U8</f>
        <v>493845</v>
      </c>
      <c r="D8" s="5" t="n">
        <f aca="false">'Votos por partido'!H8</f>
        <v>23497</v>
      </c>
      <c r="E8" s="5" t="n">
        <f aca="false">'Votos por partido'!J8</f>
        <v>9012</v>
      </c>
      <c r="F8" s="5" t="n">
        <f aca="false">'Votos por partido'!K8</f>
        <v>5029</v>
      </c>
      <c r="G8" s="5" t="n">
        <f aca="false">'Votos por partido'!L8</f>
        <v>27308</v>
      </c>
      <c r="H8" s="5" t="n">
        <f aca="false">'Votos por partido'!M8</f>
        <v>0</v>
      </c>
      <c r="I8" s="5" t="n">
        <f aca="false">'Votos por partido'!V8</f>
        <v>504</v>
      </c>
      <c r="J8" s="5" t="n">
        <f aca="false">'Votos por partido'!W8</f>
        <v>26817</v>
      </c>
      <c r="K8" s="5" t="n">
        <f aca="false">'Votos por partido'!X8</f>
        <v>1307848</v>
      </c>
      <c r="L8" s="5" t="n">
        <f aca="false">'Votos por partido'!Y8</f>
        <v>2262060</v>
      </c>
      <c r="M8" s="11" t="n">
        <f aca="false">K8/L8</f>
        <v>0.578166803709893</v>
      </c>
      <c r="N8" s="11" t="n">
        <f aca="false">B8/K8</f>
        <v>0.551926523571547</v>
      </c>
      <c r="O8" s="11" t="n">
        <f aca="false">C8/K8</f>
        <v>0.377601219713606</v>
      </c>
      <c r="P8" s="11" t="n">
        <f aca="false">D8/K8</f>
        <v>0.0179661550883589</v>
      </c>
      <c r="Q8" s="11" t="n">
        <f aca="false">J8/K8</f>
        <v>0.0205046763844116</v>
      </c>
      <c r="R8" s="4" t="str">
        <f aca="false">INDEX($B$3:$H$3,MATCH(MAX(B8:H8),B8:H8,0))</f>
        <v>Va por México (PAN-PRI-PRD)</v>
      </c>
      <c r="S8" s="12" t="n">
        <f aca="false">(MAX(B8:H8)-LARGE(B8:H8,2))/K8*100</f>
        <v>17.4325303857941</v>
      </c>
      <c r="T8" s="4" t="n">
        <f aca="false">COUNTIFS('Por distrito'!$A$4:$A$303,$A8,'Por distrito'!$Q$4:$Q$303,B$3)</f>
        <v>6</v>
      </c>
      <c r="U8" s="4" t="n">
        <f aca="false">COUNTIFS('Por distrito'!$A$4:$A$303,$A8,'Por distrito'!$Q$4:$Q$303,C$3)</f>
        <v>1</v>
      </c>
      <c r="V8" s="4" t="n">
        <f aca="false">COUNTIFS('Por distrito'!$A$4:$A$303,$A8,'Por distrito'!$Q$4:$Q$303,D$3)</f>
        <v>0</v>
      </c>
      <c r="W8" s="4" t="n">
        <f aca="false">COUNTIF('Por distrito'!$A$4:$A$303,$A8)</f>
        <v>7</v>
      </c>
    </row>
    <row r="9" customFormat="false" ht="15" hidden="false" customHeight="false" outlineLevel="0" collapsed="false">
      <c r="A9" s="4" t="str">
        <f aca="false">'Votos por partido'!A9</f>
        <v>Colima</v>
      </c>
      <c r="B9" s="5" t="n">
        <f aca="false">'Votos por partido'!C9+'Votos por partido'!D9+'Votos por partido'!E9+'Votos por partido'!N9+'Votos por partido'!O9+'Votos por partido'!P9+'Votos por partido'!Q9</f>
        <v>79734</v>
      </c>
      <c r="C9" s="5" t="n">
        <f aca="false">'Votos por partido'!F9+'Votos por partido'!G9+'Votos por partido'!I9+'Votos por partido'!R9+'Votos por partido'!S9+'Votos por partido'!T9+'Votos por partido'!U9</f>
        <v>149063</v>
      </c>
      <c r="D9" s="5" t="n">
        <f aca="false">'Votos por partido'!H9</f>
        <v>38349</v>
      </c>
      <c r="E9" s="5" t="n">
        <f aca="false">'Votos por partido'!J9</f>
        <v>9167</v>
      </c>
      <c r="F9" s="5" t="n">
        <f aca="false">'Votos por partido'!K9</f>
        <v>3138</v>
      </c>
      <c r="G9" s="5" t="n">
        <f aca="false">'Votos por partido'!L9</f>
        <v>9537</v>
      </c>
      <c r="H9" s="5" t="n">
        <f aca="false">'Votos por partido'!M9</f>
        <v>0</v>
      </c>
      <c r="I9" s="5" t="n">
        <f aca="false">'Votos por partido'!V9</f>
        <v>290</v>
      </c>
      <c r="J9" s="5" t="n">
        <f aca="false">'Votos por partido'!W9</f>
        <v>8418</v>
      </c>
      <c r="K9" s="5" t="n">
        <f aca="false">'Votos por partido'!X9</f>
        <v>297696</v>
      </c>
      <c r="L9" s="5" t="n">
        <f aca="false">'Votos por partido'!Y9</f>
        <v>556319</v>
      </c>
      <c r="M9" s="11" t="n">
        <f aca="false">K9/L9</f>
        <v>0.535117441611737</v>
      </c>
      <c r="N9" s="11" t="n">
        <f aca="false">B9/K9</f>
        <v>0.267836988068365</v>
      </c>
      <c r="O9" s="11" t="n">
        <f aca="false">C9/K9</f>
        <v>0.500722213264538</v>
      </c>
      <c r="P9" s="11" t="n">
        <f aca="false">D9/K9</f>
        <v>0.128819332473396</v>
      </c>
      <c r="Q9" s="11" t="n">
        <f aca="false">J9/K9</f>
        <v>0.0282771686552725</v>
      </c>
      <c r="R9" s="4" t="str">
        <f aca="false">INDEX($B$3:$H$3,MATCH(MAX(B9:H9),B9:H9,0))</f>
        <v>Juntos Hacemos Historia (Morena-PT-PVEM)</v>
      </c>
      <c r="S9" s="12" t="n">
        <f aca="false">(MAX(B9:H9)-LARGE(B9:H9,2))/K9*100</f>
        <v>23.2885225196173</v>
      </c>
      <c r="T9" s="4" t="n">
        <f aca="false">COUNTIFS('Por distrito'!$A$4:$A$303,$A9,'Por distrito'!$Q$4:$Q$303,B$3)</f>
        <v>0</v>
      </c>
      <c r="U9" s="4" t="n">
        <f aca="false">COUNTIFS('Por distrito'!$A$4:$A$303,$A9,'Por distrito'!$Q$4:$Q$303,C$3)</f>
        <v>2</v>
      </c>
      <c r="V9" s="4" t="n">
        <f aca="false">COUNTIFS('Por distrito'!$A$4:$A$303,$A9,'Por distrito'!$Q$4:$Q$303,D$3)</f>
        <v>0</v>
      </c>
      <c r="W9" s="4" t="n">
        <f aca="false">COUNTIF('Por distrito'!$A$4:$A$303,$A9)</f>
        <v>2</v>
      </c>
    </row>
    <row r="10" customFormat="false" ht="15" hidden="false" customHeight="false" outlineLevel="0" collapsed="false">
      <c r="A10" s="4" t="str">
        <f aca="false">'Votos por partido'!A10</f>
        <v>Chiapas</v>
      </c>
      <c r="B10" s="5" t="n">
        <f aca="false">'Votos por partido'!C10+'Votos por partido'!D10+'Votos por partido'!E10+'Votos por partido'!N10+'Votos por partido'!O10+'Votos por partido'!P10+'Votos por partido'!Q10</f>
        <v>396455</v>
      </c>
      <c r="C10" s="5" t="n">
        <f aca="false">'Votos por partido'!F10+'Votos por partido'!G10+'Votos por partido'!I10+'Votos por partido'!R10+'Votos por partido'!S10+'Votos por partido'!T10+'Votos por partido'!U10</f>
        <v>1380252</v>
      </c>
      <c r="D10" s="5" t="n">
        <f aca="false">'Votos por partido'!H10</f>
        <v>68448</v>
      </c>
      <c r="E10" s="5" t="n">
        <f aca="false">'Votos por partido'!J10</f>
        <v>144833</v>
      </c>
      <c r="F10" s="5" t="n">
        <f aca="false">'Votos por partido'!K10</f>
        <v>78926</v>
      </c>
      <c r="G10" s="5" t="n">
        <f aca="false">'Votos por partido'!L10</f>
        <v>33173</v>
      </c>
      <c r="H10" s="5" t="n">
        <f aca="false">'Votos por partido'!M10</f>
        <v>0</v>
      </c>
      <c r="I10" s="5" t="n">
        <f aca="false">'Votos por partido'!V10</f>
        <v>2108</v>
      </c>
      <c r="J10" s="5" t="n">
        <f aca="false">'Votos por partido'!W10</f>
        <v>140620</v>
      </c>
      <c r="K10" s="5" t="n">
        <f aca="false">'Votos por partido'!X10</f>
        <v>2244815</v>
      </c>
      <c r="L10" s="5" t="n">
        <f aca="false">'Votos por partido'!Y10</f>
        <v>3659796</v>
      </c>
      <c r="M10" s="11" t="n">
        <f aca="false">K10/L10</f>
        <v>0.613371619620329</v>
      </c>
      <c r="N10" s="11" t="n">
        <f aca="false">B10/K10</f>
        <v>0.176609208331199</v>
      </c>
      <c r="O10" s="11" t="n">
        <f aca="false">C10/K10</f>
        <v>0.614862249227665</v>
      </c>
      <c r="P10" s="11" t="n">
        <f aca="false">D10/K10</f>
        <v>0.0304915995304736</v>
      </c>
      <c r="Q10" s="11" t="n">
        <f aca="false">J10/K10</f>
        <v>0.062642133093373</v>
      </c>
      <c r="R10" s="4" t="str">
        <f aca="false">INDEX($B$3:$H$3,MATCH(MAX(B10:H10),B10:H10,0))</f>
        <v>Juntos Hacemos Historia (Morena-PT-PVEM)</v>
      </c>
      <c r="S10" s="12" t="n">
        <f aca="false">(MAX(B10:H10)-LARGE(B10:H10,2))/K10*100</f>
        <v>43.8253040896466</v>
      </c>
      <c r="T10" s="4" t="n">
        <f aca="false">COUNTIFS('Por distrito'!$A$4:$A$303,$A10,'Por distrito'!$Q$4:$Q$303,B$3)</f>
        <v>1</v>
      </c>
      <c r="U10" s="4" t="n">
        <f aca="false">COUNTIFS('Por distrito'!$A$4:$A$303,$A10,'Por distrito'!$Q$4:$Q$303,C$3)</f>
        <v>12</v>
      </c>
      <c r="V10" s="4" t="n">
        <f aca="false">COUNTIFS('Por distrito'!$A$4:$A$303,$A10,'Por distrito'!$Q$4:$Q$303,D$3)</f>
        <v>0</v>
      </c>
      <c r="W10" s="4" t="n">
        <f aca="false">COUNTIF('Por distrito'!$A$4:$A$303,$A10)</f>
        <v>13</v>
      </c>
    </row>
    <row r="11" customFormat="false" ht="15" hidden="false" customHeight="false" outlineLevel="0" collapsed="false">
      <c r="A11" s="4" t="str">
        <f aca="false">'Votos por partido'!A11</f>
        <v>Chihuahua</v>
      </c>
      <c r="B11" s="5" t="n">
        <f aca="false">'Votos por partido'!C11+'Votos por partido'!D11+'Votos por partido'!E11+'Votos por partido'!N11+'Votos por partido'!O11+'Votos por partido'!P11+'Votos por partido'!Q11</f>
        <v>669568</v>
      </c>
      <c r="C11" s="5" t="n">
        <f aca="false">'Votos por partido'!F11+'Votos por partido'!G11+'Votos por partido'!I11+'Votos por partido'!R11+'Votos por partido'!S11+'Votos por partido'!T11+'Votos por partido'!U11</f>
        <v>466975</v>
      </c>
      <c r="D11" s="5" t="n">
        <f aca="false">'Votos por partido'!H11</f>
        <v>114600</v>
      </c>
      <c r="E11" s="5" t="n">
        <f aca="false">'Votos por partido'!J11</f>
        <v>30397</v>
      </c>
      <c r="F11" s="5" t="n">
        <f aca="false">'Votos por partido'!K11</f>
        <v>9731</v>
      </c>
      <c r="G11" s="5" t="n">
        <f aca="false">'Votos por partido'!L11</f>
        <v>16108</v>
      </c>
      <c r="H11" s="5" t="n">
        <f aca="false">'Votos por partido'!M11</f>
        <v>0</v>
      </c>
      <c r="I11" s="5" t="n">
        <f aca="false">'Votos por partido'!V11</f>
        <v>737</v>
      </c>
      <c r="J11" s="5" t="n">
        <f aca="false">'Votos por partido'!W11</f>
        <v>44523</v>
      </c>
      <c r="K11" s="5" t="n">
        <f aca="false">'Votos por partido'!X11</f>
        <v>1352639</v>
      </c>
      <c r="L11" s="5" t="n">
        <f aca="false">'Votos por partido'!Y11</f>
        <v>2894525</v>
      </c>
      <c r="M11" s="11" t="n">
        <f aca="false">K11/L11</f>
        <v>0.467309489467184</v>
      </c>
      <c r="N11" s="11" t="n">
        <f aca="false">B11/K11</f>
        <v>0.495008646061514</v>
      </c>
      <c r="O11" s="11" t="n">
        <f aca="false">C11/K11</f>
        <v>0.345232541720296</v>
      </c>
      <c r="P11" s="11" t="n">
        <f aca="false">D11/K11</f>
        <v>0.084723270584391</v>
      </c>
      <c r="Q11" s="11" t="n">
        <f aca="false">J11/K11</f>
        <v>0.0329156559880352</v>
      </c>
      <c r="R11" s="4" t="str">
        <f aca="false">INDEX($B$3:$H$3,MATCH(MAX(B11:H11),B11:H11,0))</f>
        <v>Va por México (PAN-PRI-PRD)</v>
      </c>
      <c r="S11" s="12" t="n">
        <f aca="false">(MAX(B11:H11)-LARGE(B11:H11,2))/K11*100</f>
        <v>14.9776104341217</v>
      </c>
      <c r="T11" s="4" t="n">
        <f aca="false">COUNTIFS('Por distrito'!$A$4:$A$303,$A11,'Por distrito'!$Q$4:$Q$303,B$3)</f>
        <v>6</v>
      </c>
      <c r="U11" s="4" t="n">
        <f aca="false">COUNTIFS('Por distrito'!$A$4:$A$303,$A11,'Por distrito'!$Q$4:$Q$303,C$3)</f>
        <v>3</v>
      </c>
      <c r="V11" s="4" t="n">
        <f aca="false">COUNTIFS('Por distrito'!$A$4:$A$303,$A11,'Por distrito'!$Q$4:$Q$303,D$3)</f>
        <v>0</v>
      </c>
      <c r="W11" s="4" t="n">
        <f aca="false">COUNTIF('Por distrito'!$A$4:$A$303,$A11)</f>
        <v>9</v>
      </c>
    </row>
    <row r="12" customFormat="false" ht="15" hidden="false" customHeight="false" outlineLevel="0" collapsed="false">
      <c r="A12" s="4" t="str">
        <f aca="false">'Votos por partido'!A12</f>
        <v>Ciudad de México</v>
      </c>
      <c r="B12" s="5" t="n">
        <f aca="false">'Votos por partido'!C12+'Votos por partido'!D12+'Votos por partido'!E12+'Votos por partido'!N12+'Votos por partido'!O12+'Votos por partido'!P12+'Votos por partido'!Q12</f>
        <v>1842918</v>
      </c>
      <c r="C12" s="5" t="n">
        <f aca="false">'Votos por partido'!F12+'Votos por partido'!G12+'Votos por partido'!I12+'Votos por partido'!R12+'Votos por partido'!S12+'Votos por partido'!T12+'Votos por partido'!U12</f>
        <v>1751102</v>
      </c>
      <c r="D12" s="5" t="n">
        <f aca="false">'Votos por partido'!H12</f>
        <v>146636</v>
      </c>
      <c r="E12" s="5" t="n">
        <f aca="false">'Votos por partido'!J12</f>
        <v>71264</v>
      </c>
      <c r="F12" s="5" t="n">
        <f aca="false">'Votos por partido'!K12</f>
        <v>32427</v>
      </c>
      <c r="G12" s="5" t="n">
        <f aca="false">'Votos por partido'!L12</f>
        <v>91841</v>
      </c>
      <c r="H12" s="5" t="n">
        <f aca="false">'Votos por partido'!M12</f>
        <v>0</v>
      </c>
      <c r="I12" s="5" t="n">
        <f aca="false">'Votos por partido'!V12</f>
        <v>5004</v>
      </c>
      <c r="J12" s="5" t="n">
        <f aca="false">'Votos por partido'!W12</f>
        <v>120351</v>
      </c>
      <c r="K12" s="5" t="n">
        <f aca="false">'Votos por partido'!X12</f>
        <v>4061543</v>
      </c>
      <c r="L12" s="5" t="n">
        <f aca="false">'Votos por partido'!Y12</f>
        <v>7772434</v>
      </c>
      <c r="M12" s="11" t="n">
        <f aca="false">K12/L12</f>
        <v>0.522557412517109</v>
      </c>
      <c r="N12" s="11" t="n">
        <f aca="false">B12/K12</f>
        <v>0.453748242970713</v>
      </c>
      <c r="O12" s="11" t="n">
        <f aca="false">C12/K12</f>
        <v>0.431142056110202</v>
      </c>
      <c r="P12" s="11" t="n">
        <f aca="false">D12/K12</f>
        <v>0.0361035202631118</v>
      </c>
      <c r="Q12" s="11" t="n">
        <f aca="false">J12/K12</f>
        <v>0.0296318418886615</v>
      </c>
      <c r="R12" s="4" t="str">
        <f aca="false">INDEX($B$3:$H$3,MATCH(MAX(B12:H12),B12:H12,0))</f>
        <v>Va por México (PAN-PRI-PRD)</v>
      </c>
      <c r="S12" s="12" t="n">
        <f aca="false">(MAX(B12:H12)-LARGE(B12:H12,2))/K12*100</f>
        <v>2.26061868605109</v>
      </c>
      <c r="T12" s="4" t="n">
        <f aca="false">COUNTIFS('Por distrito'!$A$4:$A$303,$A12,'Por distrito'!$Q$4:$Q$303,B$3)</f>
        <v>10</v>
      </c>
      <c r="U12" s="4" t="n">
        <f aca="false">COUNTIFS('Por distrito'!$A$4:$A$303,$A12,'Por distrito'!$Q$4:$Q$303,C$3)</f>
        <v>14</v>
      </c>
      <c r="V12" s="4" t="n">
        <f aca="false">COUNTIFS('Por distrito'!$A$4:$A$303,$A12,'Por distrito'!$Q$4:$Q$303,D$3)</f>
        <v>0</v>
      </c>
      <c r="W12" s="4" t="n">
        <f aca="false">COUNTIF('Por distrito'!$A$4:$A$303,$A12)</f>
        <v>24</v>
      </c>
    </row>
    <row r="13" customFormat="false" ht="15" hidden="false" customHeight="false" outlineLevel="0" collapsed="false">
      <c r="A13" s="4" t="str">
        <f aca="false">'Votos por partido'!A13</f>
        <v>Durango</v>
      </c>
      <c r="B13" s="5" t="n">
        <f aca="false">'Votos por partido'!C13+'Votos por partido'!D13+'Votos por partido'!E13+'Votos por partido'!N13+'Votos por partido'!O13+'Votos por partido'!P13+'Votos por partido'!Q13</f>
        <v>250507</v>
      </c>
      <c r="C13" s="5" t="n">
        <f aca="false">'Votos por partido'!F13+'Votos por partido'!G13+'Votos por partido'!I13+'Votos por partido'!R13+'Votos por partido'!S13+'Votos por partido'!T13+'Votos por partido'!U13</f>
        <v>238309</v>
      </c>
      <c r="D13" s="5" t="n">
        <f aca="false">'Votos por partido'!H13</f>
        <v>29462</v>
      </c>
      <c r="E13" s="5" t="n">
        <f aca="false">'Votos por partido'!J13</f>
        <v>9764</v>
      </c>
      <c r="F13" s="5" t="n">
        <f aca="false">'Votos por partido'!K13</f>
        <v>21705</v>
      </c>
      <c r="G13" s="5" t="n">
        <f aca="false">'Votos por partido'!L13</f>
        <v>8516</v>
      </c>
      <c r="H13" s="5" t="n">
        <f aca="false">'Votos por partido'!M13</f>
        <v>0</v>
      </c>
      <c r="I13" s="5" t="n">
        <f aca="false">'Votos por partido'!V13</f>
        <v>342</v>
      </c>
      <c r="J13" s="5" t="n">
        <f aca="false">'Votos por partido'!W13</f>
        <v>15356</v>
      </c>
      <c r="K13" s="5" t="n">
        <f aca="false">'Votos por partido'!X13</f>
        <v>573961</v>
      </c>
      <c r="L13" s="5" t="n">
        <f aca="false">'Votos por partido'!Y13</f>
        <v>1332814</v>
      </c>
      <c r="M13" s="11" t="n">
        <f aca="false">K13/L13</f>
        <v>0.430638483689397</v>
      </c>
      <c r="N13" s="11" t="n">
        <f aca="false">B13/K13</f>
        <v>0.436452999419821</v>
      </c>
      <c r="O13" s="11" t="n">
        <f aca="false">C13/K13</f>
        <v>0.415200684367056</v>
      </c>
      <c r="P13" s="11" t="n">
        <f aca="false">D13/K13</f>
        <v>0.0513310137796819</v>
      </c>
      <c r="Q13" s="11" t="n">
        <f aca="false">J13/K13</f>
        <v>0.0267544310501933</v>
      </c>
      <c r="R13" s="4" t="str">
        <f aca="false">INDEX($B$3:$H$3,MATCH(MAX(B13:H13),B13:H13,0))</f>
        <v>Va por México (PAN-PRI-PRD)</v>
      </c>
      <c r="S13" s="12" t="n">
        <f aca="false">(MAX(B13:H13)-LARGE(B13:H13,2))/K13*100</f>
        <v>2.12523150527649</v>
      </c>
      <c r="T13" s="4" t="n">
        <f aca="false">COUNTIFS('Por distrito'!$A$4:$A$303,$A13,'Por distrito'!$Q$4:$Q$303,B$3)</f>
        <v>2</v>
      </c>
      <c r="U13" s="4" t="n">
        <f aca="false">COUNTIFS('Por distrito'!$A$4:$A$303,$A13,'Por distrito'!$Q$4:$Q$303,C$3)</f>
        <v>2</v>
      </c>
      <c r="V13" s="4" t="n">
        <f aca="false">COUNTIFS('Por distrito'!$A$4:$A$303,$A13,'Por distrito'!$Q$4:$Q$303,D$3)</f>
        <v>0</v>
      </c>
      <c r="W13" s="4" t="n">
        <f aca="false">COUNTIF('Por distrito'!$A$4:$A$303,$A13)</f>
        <v>4</v>
      </c>
    </row>
    <row r="14" customFormat="false" ht="15" hidden="false" customHeight="false" outlineLevel="0" collapsed="false">
      <c r="A14" s="4" t="str">
        <f aca="false">'Votos por partido'!A14</f>
        <v>Guanajuato</v>
      </c>
      <c r="B14" s="5" t="n">
        <f aca="false">'Votos por partido'!C14+'Votos por partido'!D14+'Votos por partido'!E14+'Votos por partido'!N14+'Votos por partido'!O14+'Votos por partido'!P14+'Votos por partido'!Q14</f>
        <v>1141352</v>
      </c>
      <c r="C14" s="5" t="n">
        <f aca="false">'Votos por partido'!F14+'Votos por partido'!G14+'Votos por partido'!I14+'Votos por partido'!R14+'Votos por partido'!S14+'Votos por partido'!T14+'Votos por partido'!U14</f>
        <v>634512</v>
      </c>
      <c r="D14" s="5" t="n">
        <f aca="false">'Votos por partido'!H14</f>
        <v>88093</v>
      </c>
      <c r="E14" s="5" t="n">
        <f aca="false">'Votos por partido'!J14</f>
        <v>33596</v>
      </c>
      <c r="F14" s="5" t="n">
        <f aca="false">'Votos por partido'!K14</f>
        <v>34390</v>
      </c>
      <c r="G14" s="5" t="n">
        <f aca="false">'Votos por partido'!L14</f>
        <v>33976</v>
      </c>
      <c r="H14" s="5" t="n">
        <f aca="false">'Votos por partido'!M14</f>
        <v>0</v>
      </c>
      <c r="I14" s="5" t="n">
        <f aca="false">'Votos por partido'!V14</f>
        <v>1611</v>
      </c>
      <c r="J14" s="5" t="n">
        <f aca="false">'Votos por partido'!W14</f>
        <v>59286</v>
      </c>
      <c r="K14" s="5" t="n">
        <f aca="false">'Votos por partido'!X14</f>
        <v>2026816</v>
      </c>
      <c r="L14" s="5" t="n">
        <f aca="false">'Votos por partido'!Y14</f>
        <v>4583856</v>
      </c>
      <c r="M14" s="11" t="n">
        <f aca="false">K14/L14</f>
        <v>0.442163977227906</v>
      </c>
      <c r="N14" s="11" t="n">
        <f aca="false">B14/K14</f>
        <v>0.563125611797026</v>
      </c>
      <c r="O14" s="11" t="n">
        <f aca="false">C14/K14</f>
        <v>0.313058511478102</v>
      </c>
      <c r="P14" s="11" t="n">
        <f aca="false">D14/K14</f>
        <v>0.043463738198238</v>
      </c>
      <c r="Q14" s="11" t="n">
        <f aca="false">J14/K14</f>
        <v>0.0292508052038271</v>
      </c>
      <c r="R14" s="4" t="str">
        <f aca="false">INDEX($B$3:$H$3,MATCH(MAX(B14:H14),B14:H14,0))</f>
        <v>Va por México (PAN-PRI-PRD)</v>
      </c>
      <c r="S14" s="12" t="n">
        <f aca="false">(MAX(B14:H14)-LARGE(B14:H14,2))/K14*100</f>
        <v>25.0067100318924</v>
      </c>
      <c r="T14" s="4" t="n">
        <f aca="false">COUNTIFS('Por distrito'!$A$4:$A$303,$A14,'Por distrito'!$Q$4:$Q$303,B$3)</f>
        <v>15</v>
      </c>
      <c r="U14" s="4" t="n">
        <f aca="false">COUNTIFS('Por distrito'!$A$4:$A$303,$A14,'Por distrito'!$Q$4:$Q$303,C$3)</f>
        <v>0</v>
      </c>
      <c r="V14" s="4" t="n">
        <f aca="false">COUNTIFS('Por distrito'!$A$4:$A$303,$A14,'Por distrito'!$Q$4:$Q$303,D$3)</f>
        <v>0</v>
      </c>
      <c r="W14" s="4" t="n">
        <f aca="false">COUNTIF('Por distrito'!$A$4:$A$303,$A14)</f>
        <v>15</v>
      </c>
    </row>
    <row r="15" customFormat="false" ht="15" hidden="false" customHeight="false" outlineLevel="0" collapsed="false">
      <c r="A15" s="4" t="str">
        <f aca="false">'Votos por partido'!A15</f>
        <v>Guerrero</v>
      </c>
      <c r="B15" s="5" t="n">
        <f aca="false">'Votos por partido'!C15+'Votos por partido'!D15+'Votos por partido'!E15+'Votos por partido'!N15+'Votos por partido'!O15+'Votos por partido'!P15+'Votos por partido'!Q15</f>
        <v>614672</v>
      </c>
      <c r="C15" s="5" t="n">
        <f aca="false">'Votos por partido'!F15+'Votos por partido'!G15+'Votos por partido'!I15+'Votos por partido'!R15+'Votos por partido'!S15+'Votos por partido'!T15+'Votos por partido'!U15</f>
        <v>699857</v>
      </c>
      <c r="D15" s="5" t="n">
        <f aca="false">'Votos por partido'!H15</f>
        <v>43185</v>
      </c>
      <c r="E15" s="5" t="n">
        <f aca="false">'Votos por partido'!J15</f>
        <v>27604</v>
      </c>
      <c r="F15" s="5" t="n">
        <f aca="false">'Votos por partido'!K15</f>
        <v>16014</v>
      </c>
      <c r="G15" s="5" t="n">
        <f aca="false">'Votos por partido'!L15</f>
        <v>21833</v>
      </c>
      <c r="H15" s="5" t="n">
        <f aca="false">'Votos por partido'!M15</f>
        <v>0</v>
      </c>
      <c r="I15" s="5" t="n">
        <f aca="false">'Votos por partido'!V15</f>
        <v>4631</v>
      </c>
      <c r="J15" s="5" t="n">
        <f aca="false">'Votos por partido'!W15</f>
        <v>54489</v>
      </c>
      <c r="K15" s="5" t="n">
        <f aca="false">'Votos por partido'!X15</f>
        <v>1482285</v>
      </c>
      <c r="L15" s="5" t="n">
        <f aca="false">'Votos por partido'!Y15</f>
        <v>2563067</v>
      </c>
      <c r="M15" s="11" t="n">
        <f aca="false">K15/L15</f>
        <v>0.57832471800386</v>
      </c>
      <c r="N15" s="11" t="n">
        <f aca="false">B15/K15</f>
        <v>0.414678688646246</v>
      </c>
      <c r="O15" s="11" t="n">
        <f aca="false">C15/K15</f>
        <v>0.472147394057148</v>
      </c>
      <c r="P15" s="11" t="n">
        <f aca="false">D15/K15</f>
        <v>0.0291340734069359</v>
      </c>
      <c r="Q15" s="11" t="n">
        <f aca="false">J15/K15</f>
        <v>0.036760137220575</v>
      </c>
      <c r="R15" s="4" t="str">
        <f aca="false">INDEX($B$3:$H$3,MATCH(MAX(B15:H15),B15:H15,0))</f>
        <v>Juntos Hacemos Historia (Morena-PT-PVEM)</v>
      </c>
      <c r="S15" s="12" t="n">
        <f aca="false">(MAX(B15:H15)-LARGE(B15:H15,2))/K15*100</f>
        <v>5.74687054109028</v>
      </c>
      <c r="T15" s="4" t="n">
        <f aca="false">COUNTIFS('Por distrito'!$A$4:$A$303,$A15,'Por distrito'!$Q$4:$Q$303,B$3)</f>
        <v>3</v>
      </c>
      <c r="U15" s="4" t="n">
        <f aca="false">COUNTIFS('Por distrito'!$A$4:$A$303,$A15,'Por distrito'!$Q$4:$Q$303,C$3)</f>
        <v>6</v>
      </c>
      <c r="V15" s="4" t="n">
        <f aca="false">COUNTIFS('Por distrito'!$A$4:$A$303,$A15,'Por distrito'!$Q$4:$Q$303,D$3)</f>
        <v>0</v>
      </c>
      <c r="W15" s="4" t="n">
        <f aca="false">COUNTIF('Por distrito'!$A$4:$A$303,$A15)</f>
        <v>9</v>
      </c>
    </row>
    <row r="16" customFormat="false" ht="15" hidden="false" customHeight="false" outlineLevel="0" collapsed="false">
      <c r="A16" s="4" t="str">
        <f aca="false">'Votos por partido'!A16</f>
        <v>Hidalgo</v>
      </c>
      <c r="B16" s="5" t="n">
        <f aca="false">'Votos por partido'!C16+'Votos por partido'!D16+'Votos por partido'!E16+'Votos por partido'!N16+'Votos por partido'!O16+'Votos por partido'!P16+'Votos por partido'!Q16</f>
        <v>414007</v>
      </c>
      <c r="C16" s="5" t="n">
        <f aca="false">'Votos por partido'!F16+'Votos por partido'!G16+'Votos por partido'!I16+'Votos por partido'!R16+'Votos por partido'!S16+'Votos por partido'!T16+'Votos por partido'!U16</f>
        <v>505675</v>
      </c>
      <c r="D16" s="5" t="n">
        <f aca="false">'Votos por partido'!H16</f>
        <v>22839</v>
      </c>
      <c r="E16" s="5" t="n">
        <f aca="false">'Votos por partido'!J16</f>
        <v>29137</v>
      </c>
      <c r="F16" s="5" t="n">
        <f aca="false">'Votos por partido'!K16</f>
        <v>18096</v>
      </c>
      <c r="G16" s="5" t="n">
        <f aca="false">'Votos por partido'!L16</f>
        <v>19830</v>
      </c>
      <c r="H16" s="5" t="n">
        <f aca="false">'Votos por partido'!M16</f>
        <v>0</v>
      </c>
      <c r="I16" s="5" t="n">
        <f aca="false">'Votos por partido'!V16</f>
        <v>560</v>
      </c>
      <c r="J16" s="5" t="n">
        <f aca="false">'Votos por partido'!W16</f>
        <v>37007</v>
      </c>
      <c r="K16" s="5" t="n">
        <f aca="false">'Votos por partido'!X16</f>
        <v>1047151</v>
      </c>
      <c r="L16" s="5" t="n">
        <f aca="false">'Votos por partido'!Y16</f>
        <v>2239916</v>
      </c>
      <c r="M16" s="11" t="n">
        <f aca="false">K16/L16</f>
        <v>0.467495656087103</v>
      </c>
      <c r="N16" s="11" t="n">
        <f aca="false">B16/K16</f>
        <v>0.395365138361134</v>
      </c>
      <c r="O16" s="11" t="n">
        <f aca="false">C16/K16</f>
        <v>0.482905521744237</v>
      </c>
      <c r="P16" s="11" t="n">
        <f aca="false">D16/K16</f>
        <v>0.0218106080211927</v>
      </c>
      <c r="Q16" s="11" t="n">
        <f aca="false">J16/K16</f>
        <v>0.0353406528762327</v>
      </c>
      <c r="R16" s="4" t="str">
        <f aca="false">INDEX($B$3:$H$3,MATCH(MAX(B16:H16),B16:H16,0))</f>
        <v>Juntos Hacemos Historia (Morena-PT-PVEM)</v>
      </c>
      <c r="S16" s="12" t="n">
        <f aca="false">(MAX(B16:H16)-LARGE(B16:H16,2))/K16*100</f>
        <v>8.75403833831033</v>
      </c>
      <c r="T16" s="4" t="n">
        <f aca="false">COUNTIFS('Por distrito'!$A$4:$A$303,$A16,'Por distrito'!$Q$4:$Q$303,B$3)</f>
        <v>1</v>
      </c>
      <c r="U16" s="4" t="n">
        <f aca="false">COUNTIFS('Por distrito'!$A$4:$A$303,$A16,'Por distrito'!$Q$4:$Q$303,C$3)</f>
        <v>6</v>
      </c>
      <c r="V16" s="4" t="n">
        <f aca="false">COUNTIFS('Por distrito'!$A$4:$A$303,$A16,'Por distrito'!$Q$4:$Q$303,D$3)</f>
        <v>0</v>
      </c>
      <c r="W16" s="4" t="n">
        <f aca="false">COUNTIF('Por distrito'!$A$4:$A$303,$A16)</f>
        <v>7</v>
      </c>
    </row>
    <row r="17" customFormat="false" ht="15" hidden="false" customHeight="false" outlineLevel="0" collapsed="false">
      <c r="A17" s="4" t="str">
        <f aca="false">'Votos por partido'!A17</f>
        <v>Jalisco</v>
      </c>
      <c r="B17" s="5" t="n">
        <f aca="false">'Votos por partido'!C17+'Votos por partido'!D17+'Votos por partido'!E17+'Votos por partido'!N17+'Votos por partido'!O17+'Votos por partido'!P17+'Votos por partido'!Q17</f>
        <v>938153</v>
      </c>
      <c r="C17" s="5" t="n">
        <f aca="false">'Votos por partido'!F17+'Votos por partido'!G17+'Votos por partido'!I17+'Votos por partido'!R17+'Votos por partido'!S17+'Votos por partido'!T17+'Votos por partido'!U17</f>
        <v>854182</v>
      </c>
      <c r="D17" s="5" t="n">
        <f aca="false">'Votos por partido'!H17</f>
        <v>950006</v>
      </c>
      <c r="E17" s="5" t="n">
        <f aca="false">'Votos por partido'!J17</f>
        <v>72924</v>
      </c>
      <c r="F17" s="5" t="n">
        <f aca="false">'Votos por partido'!K17</f>
        <v>29586</v>
      </c>
      <c r="G17" s="5" t="n">
        <f aca="false">'Votos por partido'!L17</f>
        <v>70209</v>
      </c>
      <c r="H17" s="5" t="n">
        <f aca="false">'Votos por partido'!M17</f>
        <v>4097</v>
      </c>
      <c r="I17" s="5" t="n">
        <f aca="false">'Votos por partido'!V17</f>
        <v>2368</v>
      </c>
      <c r="J17" s="5" t="n">
        <f aca="false">'Votos por partido'!W17</f>
        <v>75537</v>
      </c>
      <c r="K17" s="5" t="n">
        <f aca="false">'Votos por partido'!X17</f>
        <v>2997062</v>
      </c>
      <c r="L17" s="5" t="n">
        <f aca="false">'Votos por partido'!Y17</f>
        <v>6204848</v>
      </c>
      <c r="M17" s="11" t="n">
        <f aca="false">K17/L17</f>
        <v>0.483019406760649</v>
      </c>
      <c r="N17" s="11" t="n">
        <f aca="false">B17/K17</f>
        <v>0.313024221721139</v>
      </c>
      <c r="O17" s="11" t="n">
        <f aca="false">C17/K17</f>
        <v>0.28500644964969</v>
      </c>
      <c r="P17" s="11" t="n">
        <f aca="false">D17/K17</f>
        <v>0.316979094860233</v>
      </c>
      <c r="Q17" s="11" t="n">
        <f aca="false">J17/K17</f>
        <v>0.0252036828066954</v>
      </c>
      <c r="R17" s="4" t="str">
        <f aca="false">INDEX($B$3:$H$3,MATCH(MAX(B17:H17),B17:H17,0))</f>
        <v>MC</v>
      </c>
      <c r="S17" s="12" t="n">
        <f aca="false">(MAX(B17:H17)-LARGE(B17:H17,2))/K17*100</f>
        <v>0.395487313909422</v>
      </c>
      <c r="T17" s="4" t="n">
        <f aca="false">COUNTIFS('Por distrito'!$A$4:$A$303,$A17,'Por distrito'!$Q$4:$Q$303,B$3)</f>
        <v>6</v>
      </c>
      <c r="U17" s="4" t="n">
        <f aca="false">COUNTIFS('Por distrito'!$A$4:$A$303,$A17,'Por distrito'!$Q$4:$Q$303,C$3)</f>
        <v>7</v>
      </c>
      <c r="V17" s="4" t="n">
        <f aca="false">COUNTIFS('Por distrito'!$A$4:$A$303,$A17,'Por distrito'!$Q$4:$Q$303,D$3)</f>
        <v>7</v>
      </c>
      <c r="W17" s="4" t="n">
        <f aca="false">COUNTIF('Por distrito'!$A$4:$A$303,$A17)</f>
        <v>20</v>
      </c>
    </row>
    <row r="18" customFormat="false" ht="15" hidden="false" customHeight="false" outlineLevel="0" collapsed="false">
      <c r="A18" s="4" t="str">
        <f aca="false">'Votos por partido'!A18</f>
        <v>México</v>
      </c>
      <c r="B18" s="5" t="n">
        <f aca="false">'Votos por partido'!C18+'Votos por partido'!D18+'Votos por partido'!E18+'Votos por partido'!N18+'Votos por partido'!O18+'Votos por partido'!P18+'Votos por partido'!Q18</f>
        <v>2922698</v>
      </c>
      <c r="C18" s="5" t="n">
        <f aca="false">'Votos por partido'!F18+'Votos por partido'!G18+'Votos por partido'!I18+'Votos por partido'!R18+'Votos por partido'!S18+'Votos por partido'!T18+'Votos por partido'!U18</f>
        <v>2869458</v>
      </c>
      <c r="D18" s="5" t="n">
        <f aca="false">'Votos por partido'!H18</f>
        <v>329731</v>
      </c>
      <c r="E18" s="5" t="n">
        <f aca="false">'Votos por partido'!J18</f>
        <v>139763</v>
      </c>
      <c r="F18" s="5" t="n">
        <f aca="false">'Votos por partido'!K18</f>
        <v>94493</v>
      </c>
      <c r="G18" s="5" t="n">
        <f aca="false">'Votos por partido'!L18</f>
        <v>166588</v>
      </c>
      <c r="H18" s="5" t="n">
        <f aca="false">'Votos por partido'!M18</f>
        <v>0</v>
      </c>
      <c r="I18" s="5" t="n">
        <f aca="false">'Votos por partido'!V18</f>
        <v>5993</v>
      </c>
      <c r="J18" s="5" t="n">
        <f aca="false">'Votos por partido'!W18</f>
        <v>191794</v>
      </c>
      <c r="K18" s="5" t="n">
        <f aca="false">'Votos por partido'!X18</f>
        <v>6720518</v>
      </c>
      <c r="L18" s="5" t="n">
        <f aca="false">'Votos por partido'!Y18</f>
        <v>12376578</v>
      </c>
      <c r="M18" s="11" t="n">
        <f aca="false">K18/L18</f>
        <v>0.543002920516479</v>
      </c>
      <c r="N18" s="11" t="n">
        <f aca="false">B18/K18</f>
        <v>0.434891774711414</v>
      </c>
      <c r="O18" s="11" t="n">
        <f aca="false">C18/K18</f>
        <v>0.426969766318608</v>
      </c>
      <c r="P18" s="11" t="n">
        <f aca="false">D18/K18</f>
        <v>0.0490633311301301</v>
      </c>
      <c r="Q18" s="11" t="n">
        <f aca="false">J18/K18</f>
        <v>0.0285385739611143</v>
      </c>
      <c r="R18" s="4" t="str">
        <f aca="false">INDEX($B$3:$H$3,MATCH(MAX(B18:H18),B18:H18,0))</f>
        <v>Va por México (PAN-PRI-PRD)</v>
      </c>
      <c r="S18" s="12" t="n">
        <f aca="false">(MAX(B18:H18)-LARGE(B18:H18,2))/K18*100</f>
        <v>0.792200839280544</v>
      </c>
      <c r="T18" s="4" t="n">
        <f aca="false">COUNTIFS('Por distrito'!$A$4:$A$303,$A18,'Por distrito'!$Q$4:$Q$303,B$3)</f>
        <v>19</v>
      </c>
      <c r="U18" s="4" t="n">
        <f aca="false">COUNTIFS('Por distrito'!$A$4:$A$303,$A18,'Por distrito'!$Q$4:$Q$303,C$3)</f>
        <v>22</v>
      </c>
      <c r="V18" s="4" t="n">
        <f aca="false">COUNTIFS('Por distrito'!$A$4:$A$303,$A18,'Por distrito'!$Q$4:$Q$303,D$3)</f>
        <v>0</v>
      </c>
      <c r="W18" s="4" t="n">
        <f aca="false">COUNTIF('Por distrito'!$A$4:$A$303,$A18)</f>
        <v>41</v>
      </c>
    </row>
    <row r="19" customFormat="false" ht="15" hidden="false" customHeight="false" outlineLevel="0" collapsed="false">
      <c r="A19" s="4" t="str">
        <f aca="false">'Votos por partido'!A19</f>
        <v>Michoacán</v>
      </c>
      <c r="B19" s="5" t="n">
        <f aca="false">'Votos por partido'!C19+'Votos por partido'!D19+'Votos por partido'!E19+'Votos por partido'!N19+'Votos por partido'!O19+'Votos por partido'!P19+'Votos por partido'!Q19</f>
        <v>688005</v>
      </c>
      <c r="C19" s="5" t="n">
        <f aca="false">'Votos por partido'!F19+'Votos por partido'!G19+'Votos por partido'!I19+'Votos por partido'!R19+'Votos por partido'!S19+'Votos por partido'!T19+'Votos por partido'!U19</f>
        <v>769858</v>
      </c>
      <c r="D19" s="5" t="n">
        <f aca="false">'Votos por partido'!H19</f>
        <v>68833</v>
      </c>
      <c r="E19" s="5" t="n">
        <f aca="false">'Votos por partido'!J19</f>
        <v>58383</v>
      </c>
      <c r="F19" s="5" t="n">
        <f aca="false">'Votos por partido'!K19</f>
        <v>26608</v>
      </c>
      <c r="G19" s="5" t="n">
        <f aca="false">'Votos por partido'!L19</f>
        <v>46512</v>
      </c>
      <c r="H19" s="5" t="n">
        <f aca="false">'Votos por partido'!M19</f>
        <v>9286</v>
      </c>
      <c r="I19" s="5" t="n">
        <f aca="false">'Votos por partido'!V19</f>
        <v>1348</v>
      </c>
      <c r="J19" s="5" t="n">
        <f aca="false">'Votos por partido'!W19</f>
        <v>80691</v>
      </c>
      <c r="K19" s="5" t="n">
        <f aca="false">'Votos por partido'!X19</f>
        <v>1749524</v>
      </c>
      <c r="L19" s="5" t="n">
        <f aca="false">'Votos por partido'!Y19</f>
        <v>3520473</v>
      </c>
      <c r="M19" s="11" t="n">
        <f aca="false">K19/L19</f>
        <v>0.496957085028063</v>
      </c>
      <c r="N19" s="11" t="n">
        <f aca="false">B19/K19</f>
        <v>0.393252679014406</v>
      </c>
      <c r="O19" s="11" t="n">
        <f aca="false">C19/K19</f>
        <v>0.440038547627812</v>
      </c>
      <c r="P19" s="11" t="n">
        <f aca="false">D19/K19</f>
        <v>0.039343844382815</v>
      </c>
      <c r="Q19" s="11" t="n">
        <f aca="false">J19/K19</f>
        <v>0.046121687956267</v>
      </c>
      <c r="R19" s="4" t="str">
        <f aca="false">INDEX($B$3:$H$3,MATCH(MAX(B19:H19),B19:H19,0))</f>
        <v>Juntos Hacemos Historia (Morena-PT-PVEM)</v>
      </c>
      <c r="S19" s="12" t="n">
        <f aca="false">(MAX(B19:H19)-LARGE(B19:H19,2))/K19*100</f>
        <v>4.67858686134057</v>
      </c>
      <c r="T19" s="4" t="n">
        <f aca="false">COUNTIFS('Por distrito'!$A$4:$A$303,$A19,'Por distrito'!$Q$4:$Q$303,B$3)</f>
        <v>3</v>
      </c>
      <c r="U19" s="4" t="n">
        <f aca="false">COUNTIFS('Por distrito'!$A$4:$A$303,$A19,'Por distrito'!$Q$4:$Q$303,C$3)</f>
        <v>9</v>
      </c>
      <c r="V19" s="4" t="n">
        <f aca="false">COUNTIFS('Por distrito'!$A$4:$A$303,$A19,'Por distrito'!$Q$4:$Q$303,D$3)</f>
        <v>0</v>
      </c>
      <c r="W19" s="4" t="n">
        <f aca="false">COUNTIF('Por distrito'!$A$4:$A$303,$A19)</f>
        <v>12</v>
      </c>
    </row>
    <row r="20" customFormat="false" ht="15" hidden="false" customHeight="false" outlineLevel="0" collapsed="false">
      <c r="A20" s="4" t="str">
        <f aca="false">'Votos por partido'!A20</f>
        <v>Morelos</v>
      </c>
      <c r="B20" s="5" t="n">
        <f aca="false">'Votos por partido'!C20+'Votos por partido'!D20+'Votos por partido'!E20+'Votos por partido'!N20+'Votos por partido'!O20+'Votos por partido'!P20+'Votos por partido'!Q20</f>
        <v>206868</v>
      </c>
      <c r="C20" s="5" t="n">
        <f aca="false">'Votos por partido'!F20+'Votos por partido'!G20+'Votos por partido'!I20+'Votos por partido'!R20+'Votos por partido'!S20+'Votos por partido'!T20+'Votos por partido'!U20</f>
        <v>324199</v>
      </c>
      <c r="D20" s="5" t="n">
        <f aca="false">'Votos por partido'!H20</f>
        <v>53549</v>
      </c>
      <c r="E20" s="5" t="n">
        <f aca="false">'Votos por partido'!J20</f>
        <v>39794</v>
      </c>
      <c r="F20" s="5" t="n">
        <f aca="false">'Votos por partido'!K20</f>
        <v>61898</v>
      </c>
      <c r="G20" s="5" t="n">
        <f aca="false">'Votos por partido'!L20</f>
        <v>70272</v>
      </c>
      <c r="H20" s="5" t="n">
        <f aca="false">'Votos por partido'!M20</f>
        <v>0</v>
      </c>
      <c r="I20" s="5" t="n">
        <f aca="false">'Votos por partido'!V20</f>
        <v>851</v>
      </c>
      <c r="J20" s="5" t="n">
        <f aca="false">'Votos por partido'!W20</f>
        <v>38572</v>
      </c>
      <c r="K20" s="5" t="n">
        <f aca="false">'Votos por partido'!X20</f>
        <v>796003</v>
      </c>
      <c r="L20" s="5" t="n">
        <f aca="false">'Votos por partido'!Y20</f>
        <v>1496083</v>
      </c>
      <c r="M20" s="11" t="n">
        <f aca="false">K20/L20</f>
        <v>0.532058047581585</v>
      </c>
      <c r="N20" s="11" t="n">
        <f aca="false">B20/K20</f>
        <v>0.259883442650342</v>
      </c>
      <c r="O20" s="11" t="n">
        <f aca="false">C20/K20</f>
        <v>0.407283640890801</v>
      </c>
      <c r="P20" s="11" t="n">
        <f aca="false">D20/K20</f>
        <v>0.0672723595262832</v>
      </c>
      <c r="Q20" s="11" t="n">
        <f aca="false">J20/K20</f>
        <v>0.0484571038048852</v>
      </c>
      <c r="R20" s="4" t="str">
        <f aca="false">INDEX($B$3:$H$3,MATCH(MAX(B20:H20),B20:H20,0))</f>
        <v>Juntos Hacemos Historia (Morena-PT-PVEM)</v>
      </c>
      <c r="S20" s="12" t="n">
        <f aca="false">(MAX(B20:H20)-LARGE(B20:H20,2))/K20*100</f>
        <v>14.7400198240459</v>
      </c>
      <c r="T20" s="4" t="n">
        <f aca="false">COUNTIFS('Por distrito'!$A$4:$A$303,$A20,'Por distrito'!$Q$4:$Q$303,B$3)</f>
        <v>1</v>
      </c>
      <c r="U20" s="4" t="n">
        <f aca="false">COUNTIFS('Por distrito'!$A$4:$A$303,$A20,'Por distrito'!$Q$4:$Q$303,C$3)</f>
        <v>4</v>
      </c>
      <c r="V20" s="4" t="n">
        <f aca="false">COUNTIFS('Por distrito'!$A$4:$A$303,$A20,'Por distrito'!$Q$4:$Q$303,D$3)</f>
        <v>0</v>
      </c>
      <c r="W20" s="4" t="n">
        <f aca="false">COUNTIF('Por distrito'!$A$4:$A$303,$A20)</f>
        <v>5</v>
      </c>
    </row>
    <row r="21" customFormat="false" ht="15" hidden="false" customHeight="false" outlineLevel="0" collapsed="false">
      <c r="A21" s="4" t="str">
        <f aca="false">'Votos por partido'!A21</f>
        <v>Nayarit</v>
      </c>
      <c r="B21" s="5" t="n">
        <f aca="false">'Votos por partido'!C21+'Votos por partido'!D21+'Votos por partido'!E21+'Votos por partido'!N21+'Votos por partido'!O21+'Votos por partido'!P21+'Votos por partido'!Q21</f>
        <v>109625</v>
      </c>
      <c r="C21" s="5" t="n">
        <f aca="false">'Votos por partido'!F21+'Votos por partido'!G21+'Votos por partido'!I21+'Votos por partido'!R21+'Votos por partido'!S21+'Votos por partido'!T21+'Votos por partido'!U21</f>
        <v>229744</v>
      </c>
      <c r="D21" s="5" t="n">
        <f aca="false">'Votos por partido'!H21</f>
        <v>75319</v>
      </c>
      <c r="E21" s="5" t="n">
        <f aca="false">'Votos por partido'!J21</f>
        <v>13593</v>
      </c>
      <c r="F21" s="5" t="n">
        <f aca="false">'Votos por partido'!K21</f>
        <v>13717</v>
      </c>
      <c r="G21" s="5" t="n">
        <f aca="false">'Votos por partido'!L21</f>
        <v>14192</v>
      </c>
      <c r="H21" s="5" t="n">
        <f aca="false">'Votos por partido'!M21</f>
        <v>0</v>
      </c>
      <c r="I21" s="5" t="n">
        <f aca="false">'Votos por partido'!V21</f>
        <v>240</v>
      </c>
      <c r="J21" s="5" t="n">
        <f aca="false">'Votos por partido'!W21</f>
        <v>20364</v>
      </c>
      <c r="K21" s="5" t="n">
        <f aca="false">'Votos por partido'!X21</f>
        <v>476794</v>
      </c>
      <c r="L21" s="5" t="n">
        <f aca="false">'Votos por partido'!Y21</f>
        <v>891508</v>
      </c>
      <c r="M21" s="11" t="n">
        <f aca="false">K21/L21</f>
        <v>0.534817410499962</v>
      </c>
      <c r="N21" s="11" t="n">
        <f aca="false">B21/K21</f>
        <v>0.229921098000394</v>
      </c>
      <c r="O21" s="11" t="n">
        <f aca="false">C21/K21</f>
        <v>0.481851701153958</v>
      </c>
      <c r="P21" s="11" t="n">
        <f aca="false">D21/K21</f>
        <v>0.157969689215888</v>
      </c>
      <c r="Q21" s="11" t="n">
        <f aca="false">J21/K21</f>
        <v>0.042710269005063</v>
      </c>
      <c r="R21" s="4" t="str">
        <f aca="false">INDEX($B$3:$H$3,MATCH(MAX(B21:H21),B21:H21,0))</f>
        <v>Juntos Hacemos Historia (Morena-PT-PVEM)</v>
      </c>
      <c r="S21" s="12" t="n">
        <f aca="false">(MAX(B21:H21)-LARGE(B21:H21,2))/K21*100</f>
        <v>25.1930603153563</v>
      </c>
      <c r="T21" s="4" t="n">
        <f aca="false">COUNTIFS('Por distrito'!$A$4:$A$303,$A21,'Por distrito'!$Q$4:$Q$303,B$3)</f>
        <v>0</v>
      </c>
      <c r="U21" s="4" t="n">
        <f aca="false">COUNTIFS('Por distrito'!$A$4:$A$303,$A21,'Por distrito'!$Q$4:$Q$303,C$3)</f>
        <v>3</v>
      </c>
      <c r="V21" s="4" t="n">
        <f aca="false">COUNTIFS('Por distrito'!$A$4:$A$303,$A21,'Por distrito'!$Q$4:$Q$303,D$3)</f>
        <v>0</v>
      </c>
      <c r="W21" s="4" t="n">
        <f aca="false">COUNTIF('Por distrito'!$A$4:$A$303,$A21)</f>
        <v>3</v>
      </c>
    </row>
    <row r="22" customFormat="false" ht="15" hidden="false" customHeight="false" outlineLevel="0" collapsed="false">
      <c r="A22" s="4" t="str">
        <f aca="false">'Votos por partido'!A22</f>
        <v>Nuevo León</v>
      </c>
      <c r="B22" s="5" t="n">
        <f aca="false">'Votos por partido'!C22+'Votos por partido'!D22+'Votos por partido'!E22+'Votos por partido'!N22+'Votos por partido'!O22+'Votos por partido'!P22+'Votos por partido'!Q22</f>
        <v>1209962</v>
      </c>
      <c r="C22" s="5" t="n">
        <f aca="false">'Votos por partido'!F22+'Votos por partido'!G22+'Votos por partido'!I22+'Votos por partido'!R22+'Votos por partido'!S22+'Votos por partido'!T22+'Votos por partido'!U22</f>
        <v>408937</v>
      </c>
      <c r="D22" s="5" t="n">
        <f aca="false">'Votos por partido'!H22</f>
        <v>414573</v>
      </c>
      <c r="E22" s="5" t="n">
        <f aca="false">'Votos por partido'!J22</f>
        <v>18268</v>
      </c>
      <c r="F22" s="5" t="n">
        <f aca="false">'Votos por partido'!K22</f>
        <v>15390</v>
      </c>
      <c r="G22" s="5" t="n">
        <f aca="false">'Votos por partido'!L22</f>
        <v>22684</v>
      </c>
      <c r="H22" s="5" t="n">
        <f aca="false">'Votos por partido'!M22</f>
        <v>0</v>
      </c>
      <c r="I22" s="5" t="n">
        <f aca="false">'Votos por partido'!V22</f>
        <v>1211</v>
      </c>
      <c r="J22" s="5" t="n">
        <f aca="false">'Votos por partido'!W22</f>
        <v>53384</v>
      </c>
      <c r="K22" s="5" t="n">
        <f aca="false">'Votos por partido'!X22</f>
        <v>2144409</v>
      </c>
      <c r="L22" s="5" t="n">
        <f aca="false">'Votos por partido'!Y22</f>
        <v>4189695</v>
      </c>
      <c r="M22" s="11" t="n">
        <f aca="false">K22/L22</f>
        <v>0.511829381375017</v>
      </c>
      <c r="N22" s="11" t="n">
        <f aca="false">B22/K22</f>
        <v>0.564240310500469</v>
      </c>
      <c r="O22" s="11" t="n">
        <f aca="false">C22/K22</f>
        <v>0.190699162333305</v>
      </c>
      <c r="P22" s="11" t="n">
        <f aca="false">D22/K22</f>
        <v>0.193327392302495</v>
      </c>
      <c r="Q22" s="11" t="n">
        <f aca="false">J22/K22</f>
        <v>0.0248945047330057</v>
      </c>
      <c r="R22" s="4" t="str">
        <f aca="false">INDEX($B$3:$H$3,MATCH(MAX(B22:H22),B22:H22,0))</f>
        <v>Va por México (PAN-PRI-PRD)</v>
      </c>
      <c r="S22" s="12" t="n">
        <f aca="false">(MAX(B22:H22)-LARGE(B22:H22,2))/K22*100</f>
        <v>37.0912918197974</v>
      </c>
      <c r="T22" s="4" t="n">
        <f aca="false">COUNTIFS('Por distrito'!$A$4:$A$303,$A22,'Por distrito'!$Q$4:$Q$303,B$3)</f>
        <v>12</v>
      </c>
      <c r="U22" s="4" t="n">
        <f aca="false">COUNTIFS('Por distrito'!$A$4:$A$303,$A22,'Por distrito'!$Q$4:$Q$303,C$3)</f>
        <v>0</v>
      </c>
      <c r="V22" s="4" t="n">
        <f aca="false">COUNTIFS('Por distrito'!$A$4:$A$303,$A22,'Por distrito'!$Q$4:$Q$303,D$3)</f>
        <v>0</v>
      </c>
      <c r="W22" s="4" t="n">
        <f aca="false">COUNTIF('Por distrito'!$A$4:$A$303,$A22)</f>
        <v>12</v>
      </c>
    </row>
    <row r="23" customFormat="false" ht="15" hidden="false" customHeight="false" outlineLevel="0" collapsed="false">
      <c r="A23" s="4" t="str">
        <f aca="false">'Votos por partido'!A23</f>
        <v>Oaxaca</v>
      </c>
      <c r="B23" s="5" t="n">
        <f aca="false">'Votos por partido'!C23+'Votos por partido'!D23+'Votos por partido'!E23+'Votos por partido'!N23+'Votos por partido'!O23+'Votos por partido'!P23+'Votos por partido'!Q23</f>
        <v>508826</v>
      </c>
      <c r="C23" s="5" t="n">
        <f aca="false">'Votos por partido'!F23+'Votos por partido'!G23+'Votos por partido'!I23+'Votos por partido'!R23+'Votos por partido'!S23+'Votos por partido'!T23+'Votos por partido'!U23</f>
        <v>945797</v>
      </c>
      <c r="D23" s="5" t="n">
        <f aca="false">'Votos por partido'!H23</f>
        <v>44873</v>
      </c>
      <c r="E23" s="5" t="n">
        <f aca="false">'Votos por partido'!J23</f>
        <v>42121</v>
      </c>
      <c r="F23" s="5" t="n">
        <f aca="false">'Votos por partido'!K23</f>
        <v>34158</v>
      </c>
      <c r="G23" s="5" t="n">
        <f aca="false">'Votos por partido'!L23</f>
        <v>54365</v>
      </c>
      <c r="H23" s="5" t="n">
        <f aca="false">'Votos por partido'!M23</f>
        <v>0</v>
      </c>
      <c r="I23" s="5" t="n">
        <f aca="false">'Votos por partido'!V23</f>
        <v>879</v>
      </c>
      <c r="J23" s="5" t="n">
        <f aca="false">'Votos por partido'!W23</f>
        <v>66620</v>
      </c>
      <c r="K23" s="5" t="n">
        <f aca="false">'Votos por partido'!X23</f>
        <v>1697639</v>
      </c>
      <c r="L23" s="5" t="n">
        <f aca="false">'Votos por partido'!Y23</f>
        <v>2997803</v>
      </c>
      <c r="M23" s="11" t="n">
        <f aca="false">K23/L23</f>
        <v>0.566294382919758</v>
      </c>
      <c r="N23" s="11" t="n">
        <f aca="false">B23/K23</f>
        <v>0.299725677838457</v>
      </c>
      <c r="O23" s="11" t="n">
        <f aca="false">C23/K23</f>
        <v>0.557124924674798</v>
      </c>
      <c r="P23" s="11" t="n">
        <f aca="false">D23/K23</f>
        <v>0.0264325925594311</v>
      </c>
      <c r="Q23" s="11" t="n">
        <f aca="false">J23/K23</f>
        <v>0.039242736529969</v>
      </c>
      <c r="R23" s="4" t="str">
        <f aca="false">INDEX($B$3:$H$3,MATCH(MAX(B23:H23),B23:H23,0))</f>
        <v>Juntos Hacemos Historia (Morena-PT-PVEM)</v>
      </c>
      <c r="S23" s="12" t="n">
        <f aca="false">(MAX(B23:H23)-LARGE(B23:H23,2))/K23*100</f>
        <v>25.7399246836342</v>
      </c>
      <c r="T23" s="4" t="n">
        <f aca="false">COUNTIFS('Por distrito'!$A$4:$A$303,$A23,'Por distrito'!$Q$4:$Q$303,B$3)</f>
        <v>0</v>
      </c>
      <c r="U23" s="4" t="n">
        <f aca="false">COUNTIFS('Por distrito'!$A$4:$A$303,$A23,'Por distrito'!$Q$4:$Q$303,C$3)</f>
        <v>10</v>
      </c>
      <c r="V23" s="4" t="n">
        <f aca="false">COUNTIFS('Por distrito'!$A$4:$A$303,$A23,'Por distrito'!$Q$4:$Q$303,D$3)</f>
        <v>0</v>
      </c>
      <c r="W23" s="4" t="n">
        <f aca="false">COUNTIF('Por distrito'!$A$4:$A$303,$A23)</f>
        <v>10</v>
      </c>
    </row>
    <row r="24" customFormat="false" ht="15" hidden="false" customHeight="false" outlineLevel="0" collapsed="false">
      <c r="A24" s="4" t="str">
        <f aca="false">'Votos por partido'!A24</f>
        <v>Puebla</v>
      </c>
      <c r="B24" s="5" t="n">
        <f aca="false">'Votos por partido'!C24+'Votos por partido'!D24+'Votos por partido'!E24+'Votos por partido'!N24+'Votos por partido'!O24+'Votos por partido'!P24+'Votos por partido'!Q24</f>
        <v>999216</v>
      </c>
      <c r="C24" s="5" t="n">
        <f aca="false">'Votos por partido'!F24+'Votos por partido'!G24+'Votos por partido'!I24+'Votos por partido'!R24+'Votos por partido'!S24+'Votos por partido'!T24+'Votos por partido'!U24</f>
        <v>1158982</v>
      </c>
      <c r="D24" s="5" t="n">
        <f aca="false">'Votos por partido'!H24</f>
        <v>148629</v>
      </c>
      <c r="E24" s="5" t="n">
        <f aca="false">'Votos por partido'!J24</f>
        <v>83720</v>
      </c>
      <c r="F24" s="5" t="n">
        <f aca="false">'Votos por partido'!K24</f>
        <v>60368</v>
      </c>
      <c r="G24" s="5" t="n">
        <f aca="false">'Votos por partido'!L24</f>
        <v>93670</v>
      </c>
      <c r="H24" s="5" t="n">
        <f aca="false">'Votos por partido'!M24</f>
        <v>0</v>
      </c>
      <c r="I24" s="5" t="n">
        <f aca="false">'Votos por partido'!V24</f>
        <v>2391</v>
      </c>
      <c r="J24" s="5" t="n">
        <f aca="false">'Votos por partido'!W24</f>
        <v>118313</v>
      </c>
      <c r="K24" s="5" t="n">
        <f aca="false">'Votos por partido'!X24</f>
        <v>2665289</v>
      </c>
      <c r="L24" s="5" t="n">
        <f aca="false">'Votos por partido'!Y24</f>
        <v>4739937</v>
      </c>
      <c r="M24" s="11" t="n">
        <f aca="false">K24/L24</f>
        <v>0.562304731054442</v>
      </c>
      <c r="N24" s="11" t="n">
        <f aca="false">B24/K24</f>
        <v>0.374899682548497</v>
      </c>
      <c r="O24" s="11" t="n">
        <f aca="false">C24/K24</f>
        <v>0.434842900713581</v>
      </c>
      <c r="P24" s="11" t="n">
        <f aca="false">D24/K24</f>
        <v>0.0557646844300937</v>
      </c>
      <c r="Q24" s="11" t="n">
        <f aca="false">J24/K24</f>
        <v>0.0443903081429444</v>
      </c>
      <c r="R24" s="4" t="str">
        <f aca="false">INDEX($B$3:$H$3,MATCH(MAX(B24:H24),B24:H24,0))</f>
        <v>Juntos Hacemos Historia (Morena-PT-PVEM)</v>
      </c>
      <c r="S24" s="12" t="n">
        <f aca="false">(MAX(B24:H24)-LARGE(B24:H24,2))/K24*100</f>
        <v>5.99432181650845</v>
      </c>
      <c r="T24" s="4" t="n">
        <f aca="false">COUNTIFS('Por distrito'!$A$4:$A$303,$A24,'Por distrito'!$Q$4:$Q$303,B$3)</f>
        <v>4</v>
      </c>
      <c r="U24" s="4" t="n">
        <f aca="false">COUNTIFS('Por distrito'!$A$4:$A$303,$A24,'Por distrito'!$Q$4:$Q$303,C$3)</f>
        <v>11</v>
      </c>
      <c r="V24" s="4" t="n">
        <f aca="false">COUNTIFS('Por distrito'!$A$4:$A$303,$A24,'Por distrito'!$Q$4:$Q$303,D$3)</f>
        <v>0</v>
      </c>
      <c r="W24" s="4" t="n">
        <f aca="false">COUNTIF('Por distrito'!$A$4:$A$303,$A24)</f>
        <v>15</v>
      </c>
    </row>
    <row r="25" customFormat="false" ht="15" hidden="false" customHeight="false" outlineLevel="0" collapsed="false">
      <c r="A25" s="4" t="str">
        <f aca="false">'Votos por partido'!A25</f>
        <v>Querétaro</v>
      </c>
      <c r="B25" s="5" t="n">
        <f aca="false">'Votos por partido'!C25+'Votos por partido'!D25+'Votos por partido'!E25+'Votos por partido'!N25+'Votos por partido'!O25+'Votos por partido'!P25+'Votos por partido'!Q25</f>
        <v>549868</v>
      </c>
      <c r="C25" s="5" t="n">
        <f aca="false">'Votos por partido'!F25+'Votos por partido'!G25+'Votos por partido'!I25+'Votos por partido'!R25+'Votos por partido'!S25+'Votos por partido'!T25+'Votos por partido'!U25</f>
        <v>265072</v>
      </c>
      <c r="D25" s="5" t="n">
        <f aca="false">'Votos por partido'!H25</f>
        <v>16594</v>
      </c>
      <c r="E25" s="5" t="n">
        <f aca="false">'Votos por partido'!J25</f>
        <v>13085</v>
      </c>
      <c r="F25" s="5" t="n">
        <f aca="false">'Votos por partido'!K25</f>
        <v>13595</v>
      </c>
      <c r="G25" s="5" t="n">
        <f aca="false">'Votos por partido'!L25</f>
        <v>19137</v>
      </c>
      <c r="H25" s="5" t="n">
        <f aca="false">'Votos por partido'!M25</f>
        <v>0</v>
      </c>
      <c r="I25" s="5" t="n">
        <f aca="false">'Votos por partido'!V25</f>
        <v>512</v>
      </c>
      <c r="J25" s="5" t="n">
        <f aca="false">'Votos por partido'!W25</f>
        <v>27368</v>
      </c>
      <c r="K25" s="5" t="n">
        <f aca="false">'Votos por partido'!X25</f>
        <v>905231</v>
      </c>
      <c r="L25" s="5" t="n">
        <f aca="false">'Votos por partido'!Y25</f>
        <v>1736378</v>
      </c>
      <c r="M25" s="11" t="n">
        <f aca="false">K25/L25</f>
        <v>0.521332912534022</v>
      </c>
      <c r="N25" s="11" t="n">
        <f aca="false">B25/K25</f>
        <v>0.607433903611343</v>
      </c>
      <c r="O25" s="11" t="n">
        <f aca="false">C25/K25</f>
        <v>0.292822495031655</v>
      </c>
      <c r="P25" s="11" t="n">
        <f aca="false">D25/K25</f>
        <v>0.0183312325804132</v>
      </c>
      <c r="Q25" s="11" t="n">
        <f aca="false">J25/K25</f>
        <v>0.0302331670037814</v>
      </c>
      <c r="R25" s="4" t="str">
        <f aca="false">INDEX($B$3:$H$3,MATCH(MAX(B25:H25),B25:H25,0))</f>
        <v>Va por México (PAN-PRI-PRD)</v>
      </c>
      <c r="S25" s="12" t="n">
        <f aca="false">(MAX(B25:H25)-LARGE(B25:H25,2))/K25*100</f>
        <v>31.4611408579689</v>
      </c>
      <c r="T25" s="4" t="n">
        <f aca="false">COUNTIFS('Por distrito'!$A$4:$A$303,$A25,'Por distrito'!$Q$4:$Q$303,B$3)</f>
        <v>5</v>
      </c>
      <c r="U25" s="4" t="n">
        <f aca="false">COUNTIFS('Por distrito'!$A$4:$A$303,$A25,'Por distrito'!$Q$4:$Q$303,C$3)</f>
        <v>0</v>
      </c>
      <c r="V25" s="4" t="n">
        <f aca="false">COUNTIFS('Por distrito'!$A$4:$A$303,$A25,'Por distrito'!$Q$4:$Q$303,D$3)</f>
        <v>0</v>
      </c>
      <c r="W25" s="4" t="n">
        <f aca="false">COUNTIF('Por distrito'!$A$4:$A$303,$A25)</f>
        <v>5</v>
      </c>
    </row>
    <row r="26" customFormat="false" ht="15" hidden="false" customHeight="false" outlineLevel="0" collapsed="false">
      <c r="A26" s="4" t="str">
        <f aca="false">'Votos por partido'!A26</f>
        <v>Quintana Roo</v>
      </c>
      <c r="B26" s="5" t="n">
        <f aca="false">'Votos por partido'!C26+'Votos por partido'!D26+'Votos por partido'!E26+'Votos por partido'!N26+'Votos por partido'!O26+'Votos por partido'!P26+'Votos por partido'!Q26</f>
        <v>173249</v>
      </c>
      <c r="C26" s="5" t="n">
        <f aca="false">'Votos por partido'!F26+'Votos por partido'!G26+'Votos por partido'!I26+'Votos por partido'!R26+'Votos por partido'!S26+'Votos por partido'!T26+'Votos por partido'!U26</f>
        <v>289070</v>
      </c>
      <c r="D26" s="5" t="n">
        <f aca="false">'Votos por partido'!H26</f>
        <v>22334</v>
      </c>
      <c r="E26" s="5" t="n">
        <f aca="false">'Votos por partido'!J26</f>
        <v>21341</v>
      </c>
      <c r="F26" s="5" t="n">
        <f aca="false">'Votos por partido'!K26</f>
        <v>11259</v>
      </c>
      <c r="G26" s="5" t="n">
        <f aca="false">'Votos por partido'!L26</f>
        <v>46268</v>
      </c>
      <c r="H26" s="5" t="n">
        <f aca="false">'Votos por partido'!M26</f>
        <v>0</v>
      </c>
      <c r="I26" s="5" t="n">
        <f aca="false">'Votos por partido'!V26</f>
        <v>1036</v>
      </c>
      <c r="J26" s="5" t="n">
        <f aca="false">'Votos por partido'!W26</f>
        <v>23256</v>
      </c>
      <c r="K26" s="5" t="n">
        <f aca="false">'Votos por partido'!X26</f>
        <v>587813</v>
      </c>
      <c r="L26" s="5" t="n">
        <f aca="false">'Votos por partido'!Y26</f>
        <v>1322571</v>
      </c>
      <c r="M26" s="11" t="n">
        <f aca="false">K26/L26</f>
        <v>0.444447216822386</v>
      </c>
      <c r="N26" s="11" t="n">
        <f aca="false">B26/K26</f>
        <v>0.294734890177659</v>
      </c>
      <c r="O26" s="11" t="n">
        <f aca="false">C26/K26</f>
        <v>0.491772043149777</v>
      </c>
      <c r="P26" s="11" t="n">
        <f aca="false">D26/K26</f>
        <v>0.0379950766655382</v>
      </c>
      <c r="Q26" s="11" t="n">
        <f aca="false">J26/K26</f>
        <v>0.0395636027103858</v>
      </c>
      <c r="R26" s="4" t="str">
        <f aca="false">INDEX($B$3:$H$3,MATCH(MAX(B26:H26),B26:H26,0))</f>
        <v>Juntos Hacemos Historia (Morena-PT-PVEM)</v>
      </c>
      <c r="S26" s="12" t="n">
        <f aca="false">(MAX(B26:H26)-LARGE(B26:H26,2))/K26*100</f>
        <v>19.7037152972119</v>
      </c>
      <c r="T26" s="4" t="n">
        <f aca="false">COUNTIFS('Por distrito'!$A$4:$A$303,$A26,'Por distrito'!$Q$4:$Q$303,B$3)</f>
        <v>0</v>
      </c>
      <c r="U26" s="4" t="n">
        <f aca="false">COUNTIFS('Por distrito'!$A$4:$A$303,$A26,'Por distrito'!$Q$4:$Q$303,C$3)</f>
        <v>4</v>
      </c>
      <c r="V26" s="4" t="n">
        <f aca="false">COUNTIFS('Por distrito'!$A$4:$A$303,$A26,'Por distrito'!$Q$4:$Q$303,D$3)</f>
        <v>0</v>
      </c>
      <c r="W26" s="4" t="n">
        <f aca="false">COUNTIF('Por distrito'!$A$4:$A$303,$A26)</f>
        <v>4</v>
      </c>
    </row>
    <row r="27" customFormat="false" ht="15" hidden="false" customHeight="false" outlineLevel="0" collapsed="false">
      <c r="A27" s="4" t="str">
        <f aca="false">'Votos por partido'!A27</f>
        <v>San Luis Potosí</v>
      </c>
      <c r="B27" s="5" t="n">
        <f aca="false">'Votos por partido'!C27+'Votos por partido'!D27+'Votos por partido'!E27+'Votos por partido'!N27+'Votos por partido'!O27+'Votos por partido'!P27+'Votos por partido'!Q27</f>
        <v>427409</v>
      </c>
      <c r="C27" s="5" t="n">
        <f aca="false">'Votos por partido'!F27+'Votos por partido'!G27+'Votos por partido'!I27+'Votos por partido'!R27+'Votos por partido'!S27+'Votos por partido'!T27+'Votos por partido'!U27</f>
        <v>568522</v>
      </c>
      <c r="D27" s="5" t="n">
        <f aca="false">'Votos por partido'!H27</f>
        <v>51680</v>
      </c>
      <c r="E27" s="5" t="n">
        <f aca="false">'Votos por partido'!J27</f>
        <v>28843</v>
      </c>
      <c r="F27" s="5" t="n">
        <f aca="false">'Votos por partido'!K27</f>
        <v>56387</v>
      </c>
      <c r="G27" s="5" t="n">
        <f aca="false">'Votos por partido'!L27</f>
        <v>19232</v>
      </c>
      <c r="H27" s="5" t="n">
        <f aca="false">'Votos por partido'!M27</f>
        <v>0</v>
      </c>
      <c r="I27" s="5" t="n">
        <f aca="false">'Votos por partido'!V27</f>
        <v>1065</v>
      </c>
      <c r="J27" s="5" t="n">
        <f aca="false">'Votos por partido'!W27</f>
        <v>66791</v>
      </c>
      <c r="K27" s="5" t="n">
        <f aca="false">'Votos por partido'!X27</f>
        <v>1219929</v>
      </c>
      <c r="L27" s="5" t="n">
        <f aca="false">'Votos por partido'!Y27</f>
        <v>2068300</v>
      </c>
      <c r="M27" s="11" t="n">
        <f aca="false">K27/L27</f>
        <v>0.589822076101146</v>
      </c>
      <c r="N27" s="11" t="n">
        <f aca="false">B27/K27</f>
        <v>0.350355635450916</v>
      </c>
      <c r="O27" s="11" t="n">
        <f aca="false">C27/K27</f>
        <v>0.466028760690171</v>
      </c>
      <c r="P27" s="11" t="n">
        <f aca="false">D27/K27</f>
        <v>0.0423631211324593</v>
      </c>
      <c r="Q27" s="11" t="n">
        <f aca="false">J27/K27</f>
        <v>0.0547499075765885</v>
      </c>
      <c r="R27" s="4" t="str">
        <f aca="false">INDEX($B$3:$H$3,MATCH(MAX(B27:H27),B27:H27,0))</f>
        <v>Juntos Hacemos Historia (Morena-PT-PVEM)</v>
      </c>
      <c r="S27" s="12" t="n">
        <f aca="false">(MAX(B27:H27)-LARGE(B27:H27,2))/K27*100</f>
        <v>11.5673125239256</v>
      </c>
      <c r="T27" s="4" t="n">
        <f aca="false">COUNTIFS('Por distrito'!$A$4:$A$303,$A27,'Por distrito'!$Q$4:$Q$303,B$3)</f>
        <v>1</v>
      </c>
      <c r="U27" s="4" t="n">
        <f aca="false">COUNTIFS('Por distrito'!$A$4:$A$303,$A27,'Por distrito'!$Q$4:$Q$303,C$3)</f>
        <v>6</v>
      </c>
      <c r="V27" s="4" t="n">
        <f aca="false">COUNTIFS('Por distrito'!$A$4:$A$303,$A27,'Por distrito'!$Q$4:$Q$303,D$3)</f>
        <v>0</v>
      </c>
      <c r="W27" s="4" t="n">
        <f aca="false">COUNTIF('Por distrito'!$A$4:$A$303,$A27)</f>
        <v>7</v>
      </c>
    </row>
    <row r="28" customFormat="false" ht="15" hidden="false" customHeight="false" outlineLevel="0" collapsed="false">
      <c r="A28" s="4" t="str">
        <f aca="false">'Votos por partido'!A28</f>
        <v>Sinaloa</v>
      </c>
      <c r="B28" s="5" t="n">
        <f aca="false">'Votos por partido'!C28+'Votos por partido'!D28+'Votos por partido'!E28+'Votos por partido'!N28+'Votos por partido'!O28+'Votos por partido'!P28+'Votos por partido'!Q28</f>
        <v>378143</v>
      </c>
      <c r="C28" s="5" t="n">
        <f aca="false">'Votos por partido'!F28+'Votos por partido'!G28+'Votos por partido'!I28+'Votos por partido'!R28+'Votos por partido'!S28+'Votos por partido'!T28+'Votos por partido'!U28</f>
        <v>587760</v>
      </c>
      <c r="D28" s="5" t="n">
        <f aca="false">'Votos por partido'!H28</f>
        <v>46469</v>
      </c>
      <c r="E28" s="5" t="n">
        <f aca="false">'Votos por partido'!J28</f>
        <v>25741</v>
      </c>
      <c r="F28" s="5" t="n">
        <f aca="false">'Votos por partido'!K28</f>
        <v>14499</v>
      </c>
      <c r="G28" s="5" t="n">
        <f aca="false">'Votos por partido'!L28</f>
        <v>19986</v>
      </c>
      <c r="H28" s="5" t="n">
        <f aca="false">'Votos por partido'!M28</f>
        <v>0</v>
      </c>
      <c r="I28" s="5" t="n">
        <f aca="false">'Votos por partido'!V28</f>
        <v>517</v>
      </c>
      <c r="J28" s="5" t="n">
        <f aca="false">'Votos por partido'!W28</f>
        <v>33109</v>
      </c>
      <c r="K28" s="5" t="n">
        <f aca="false">'Votos por partido'!X28</f>
        <v>1106224</v>
      </c>
      <c r="L28" s="5" t="n">
        <f aca="false">'Votos por partido'!Y28</f>
        <v>2252154</v>
      </c>
      <c r="M28" s="11" t="n">
        <f aca="false">K28/L28</f>
        <v>0.491184883449356</v>
      </c>
      <c r="N28" s="11" t="n">
        <f aca="false">B28/K28</f>
        <v>0.341832214813636</v>
      </c>
      <c r="O28" s="11" t="n">
        <f aca="false">C28/K28</f>
        <v>0.531320962119788</v>
      </c>
      <c r="P28" s="11" t="n">
        <f aca="false">D28/K28</f>
        <v>0.0420068629861583</v>
      </c>
      <c r="Q28" s="11" t="n">
        <f aca="false">J28/K28</f>
        <v>0.02992974298153</v>
      </c>
      <c r="R28" s="4" t="str">
        <f aca="false">INDEX($B$3:$H$3,MATCH(MAX(B28:H28),B28:H28,0))</f>
        <v>Juntos Hacemos Historia (Morena-PT-PVEM)</v>
      </c>
      <c r="S28" s="12" t="n">
        <f aca="false">(MAX(B28:H28)-LARGE(B28:H28,2))/K28*100</f>
        <v>18.9488747306151</v>
      </c>
      <c r="T28" s="4" t="n">
        <f aca="false">COUNTIFS('Por distrito'!$A$4:$A$303,$A28,'Por distrito'!$Q$4:$Q$303,B$3)</f>
        <v>0</v>
      </c>
      <c r="U28" s="4" t="n">
        <f aca="false">COUNTIFS('Por distrito'!$A$4:$A$303,$A28,'Por distrito'!$Q$4:$Q$303,C$3)</f>
        <v>7</v>
      </c>
      <c r="V28" s="4" t="n">
        <f aca="false">COUNTIFS('Por distrito'!$A$4:$A$303,$A28,'Por distrito'!$Q$4:$Q$303,D$3)</f>
        <v>0</v>
      </c>
      <c r="W28" s="4" t="n">
        <f aca="false">COUNTIF('Por distrito'!$A$4:$A$303,$A28)</f>
        <v>7</v>
      </c>
    </row>
    <row r="29" customFormat="false" ht="15" hidden="false" customHeight="false" outlineLevel="0" collapsed="false">
      <c r="A29" s="4" t="str">
        <f aca="false">'Votos por partido'!A29</f>
        <v>Sonora</v>
      </c>
      <c r="B29" s="5" t="n">
        <f aca="false">'Votos por partido'!C29+'Votos por partido'!D29+'Votos por partido'!E29+'Votos por partido'!N29+'Votos por partido'!O29+'Votos por partido'!P29+'Votos por partido'!Q29</f>
        <v>319872</v>
      </c>
      <c r="C29" s="5" t="n">
        <f aca="false">'Votos por partido'!F29+'Votos por partido'!G29+'Votos por partido'!I29+'Votos por partido'!R29+'Votos por partido'!S29+'Votos por partido'!T29+'Votos por partido'!U29</f>
        <v>476169</v>
      </c>
      <c r="D29" s="5" t="n">
        <f aca="false">'Votos por partido'!H29</f>
        <v>76597</v>
      </c>
      <c r="E29" s="5" t="n">
        <f aca="false">'Votos por partido'!J29</f>
        <v>24856</v>
      </c>
      <c r="F29" s="5" t="n">
        <f aca="false">'Votos por partido'!K29</f>
        <v>11526</v>
      </c>
      <c r="G29" s="5" t="n">
        <f aca="false">'Votos por partido'!L29</f>
        <v>20290</v>
      </c>
      <c r="H29" s="5" t="n">
        <f aca="false">'Votos por partido'!M29</f>
        <v>0</v>
      </c>
      <c r="I29" s="5" t="n">
        <f aca="false">'Votos por partido'!V29</f>
        <v>1048</v>
      </c>
      <c r="J29" s="5" t="n">
        <f aca="false">'Votos por partido'!W29</f>
        <v>28281</v>
      </c>
      <c r="K29" s="5" t="n">
        <f aca="false">'Votos por partido'!X29</f>
        <v>958639</v>
      </c>
      <c r="L29" s="5" t="n">
        <f aca="false">'Votos por partido'!Y29</f>
        <v>2187744</v>
      </c>
      <c r="M29" s="11" t="n">
        <f aca="false">K29/L29</f>
        <v>0.438186094899586</v>
      </c>
      <c r="N29" s="11" t="n">
        <f aca="false">B29/K29</f>
        <v>0.333673051065104</v>
      </c>
      <c r="O29" s="11" t="n">
        <f aca="false">C29/K29</f>
        <v>0.496713569967423</v>
      </c>
      <c r="P29" s="11" t="n">
        <f aca="false">D29/K29</f>
        <v>0.0799018191415121</v>
      </c>
      <c r="Q29" s="11" t="n">
        <f aca="false">J29/K29</f>
        <v>0.0295011990958014</v>
      </c>
      <c r="R29" s="4" t="str">
        <f aca="false">INDEX($B$3:$H$3,MATCH(MAX(B29:H29),B29:H29,0))</f>
        <v>Juntos Hacemos Historia (Morena-PT-PVEM)</v>
      </c>
      <c r="S29" s="12" t="n">
        <f aca="false">(MAX(B29:H29)-LARGE(B29:H29,2))/K29*100</f>
        <v>16.3040518902319</v>
      </c>
      <c r="T29" s="4" t="n">
        <f aca="false">COUNTIFS('Por distrito'!$A$4:$A$303,$A29,'Por distrito'!$Q$4:$Q$303,B$3)</f>
        <v>0</v>
      </c>
      <c r="U29" s="4" t="n">
        <f aca="false">COUNTIFS('Por distrito'!$A$4:$A$303,$A29,'Por distrito'!$Q$4:$Q$303,C$3)</f>
        <v>7</v>
      </c>
      <c r="V29" s="4" t="n">
        <f aca="false">COUNTIFS('Por distrito'!$A$4:$A$303,$A29,'Por distrito'!$Q$4:$Q$303,D$3)</f>
        <v>0</v>
      </c>
      <c r="W29" s="4" t="n">
        <f aca="false">COUNTIF('Por distrito'!$A$4:$A$303,$A29)</f>
        <v>7</v>
      </c>
    </row>
    <row r="30" customFormat="false" ht="15" hidden="false" customHeight="false" outlineLevel="0" collapsed="false">
      <c r="A30" s="4" t="str">
        <f aca="false">'Votos por partido'!A30</f>
        <v>Tabasco</v>
      </c>
      <c r="B30" s="5" t="n">
        <f aca="false">'Votos por partido'!C30+'Votos por partido'!D30+'Votos por partido'!E30+'Votos por partido'!N30+'Votos por partido'!O30+'Votos por partido'!P30+'Votos por partido'!Q30</f>
        <v>194099</v>
      </c>
      <c r="C30" s="5" t="n">
        <f aca="false">'Votos por partido'!F30+'Votos por partido'!G30+'Votos por partido'!I30+'Votos por partido'!R30+'Votos por partido'!S30+'Votos por partido'!T30+'Votos por partido'!U30</f>
        <v>618849</v>
      </c>
      <c r="D30" s="5" t="n">
        <f aca="false">'Votos por partido'!H30</f>
        <v>30959</v>
      </c>
      <c r="E30" s="5" t="n">
        <f aca="false">'Votos por partido'!J30</f>
        <v>21895</v>
      </c>
      <c r="F30" s="5" t="n">
        <f aca="false">'Votos por partido'!K30</f>
        <v>20663</v>
      </c>
      <c r="G30" s="5" t="n">
        <f aca="false">'Votos por partido'!L30</f>
        <v>22219</v>
      </c>
      <c r="H30" s="5" t="n">
        <f aca="false">'Votos por partido'!M30</f>
        <v>0</v>
      </c>
      <c r="I30" s="5" t="n">
        <f aca="false">'Votos por partido'!V30</f>
        <v>649</v>
      </c>
      <c r="J30" s="5" t="n">
        <f aca="false">'Votos por partido'!W30</f>
        <v>27694</v>
      </c>
      <c r="K30" s="5" t="n">
        <f aca="false">'Votos por partido'!X30</f>
        <v>937027</v>
      </c>
      <c r="L30" s="5" t="n">
        <f aca="false">'Votos por partido'!Y30</f>
        <v>1752765</v>
      </c>
      <c r="M30" s="11" t="n">
        <f aca="false">K30/L30</f>
        <v>0.534599333053775</v>
      </c>
      <c r="N30" s="11" t="n">
        <f aca="false">B30/K30</f>
        <v>0.207143444105666</v>
      </c>
      <c r="O30" s="11" t="n">
        <f aca="false">C30/K30</f>
        <v>0.660438813395985</v>
      </c>
      <c r="P30" s="11" t="n">
        <f aca="false">D30/K30</f>
        <v>0.0330396029143237</v>
      </c>
      <c r="Q30" s="11" t="n">
        <f aca="false">J30/K30</f>
        <v>0.029555178239261</v>
      </c>
      <c r="R30" s="4" t="str">
        <f aca="false">INDEX($B$3:$H$3,MATCH(MAX(B30:H30),B30:H30,0))</f>
        <v>Juntos Hacemos Historia (Morena-PT-PVEM)</v>
      </c>
      <c r="S30" s="12" t="n">
        <f aca="false">(MAX(B30:H30)-LARGE(B30:H30,2))/K30*100</f>
        <v>45.3295369290319</v>
      </c>
      <c r="T30" s="4" t="n">
        <f aca="false">COUNTIFS('Por distrito'!$A$4:$A$303,$A30,'Por distrito'!$Q$4:$Q$303,B$3)</f>
        <v>0</v>
      </c>
      <c r="U30" s="4" t="n">
        <f aca="false">COUNTIFS('Por distrito'!$A$4:$A$303,$A30,'Por distrito'!$Q$4:$Q$303,C$3)</f>
        <v>6</v>
      </c>
      <c r="V30" s="4" t="n">
        <f aca="false">COUNTIFS('Por distrito'!$A$4:$A$303,$A30,'Por distrito'!$Q$4:$Q$303,D$3)</f>
        <v>0</v>
      </c>
      <c r="W30" s="4" t="n">
        <f aca="false">COUNTIF('Por distrito'!$A$4:$A$303,$A30)</f>
        <v>6</v>
      </c>
    </row>
    <row r="31" customFormat="false" ht="15" hidden="false" customHeight="false" outlineLevel="0" collapsed="false">
      <c r="A31" s="4" t="str">
        <f aca="false">'Votos por partido'!A31</f>
        <v>Tamaulipas</v>
      </c>
      <c r="B31" s="5" t="n">
        <f aca="false">'Votos por partido'!C31+'Votos por partido'!D31+'Votos por partido'!E31+'Votos por partido'!N31+'Votos por partido'!O31+'Votos por partido'!P31+'Votos por partido'!Q31</f>
        <v>661481</v>
      </c>
      <c r="C31" s="5" t="n">
        <f aca="false">'Votos por partido'!F31+'Votos por partido'!G31+'Votos por partido'!I31+'Votos por partido'!R31+'Votos por partido'!S31+'Votos por partido'!T31+'Votos por partido'!U31</f>
        <v>642595</v>
      </c>
      <c r="D31" s="5" t="n">
        <f aca="false">'Votos por partido'!H31</f>
        <v>44657</v>
      </c>
      <c r="E31" s="5" t="n">
        <f aca="false">'Votos por partido'!J31</f>
        <v>29057</v>
      </c>
      <c r="F31" s="5" t="n">
        <f aca="false">'Votos por partido'!K31</f>
        <v>16153</v>
      </c>
      <c r="G31" s="5" t="n">
        <f aca="false">'Votos por partido'!L31</f>
        <v>15049</v>
      </c>
      <c r="H31" s="5" t="n">
        <f aca="false">'Votos por partido'!M31</f>
        <v>0</v>
      </c>
      <c r="I31" s="5" t="n">
        <f aca="false">'Votos por partido'!V31</f>
        <v>703</v>
      </c>
      <c r="J31" s="5" t="n">
        <f aca="false">'Votos por partido'!W31</f>
        <v>31677</v>
      </c>
      <c r="K31" s="5" t="n">
        <f aca="false">'Votos por partido'!X31</f>
        <v>1441372</v>
      </c>
      <c r="L31" s="5" t="n">
        <f aca="false">'Votos por partido'!Y31</f>
        <v>2735987</v>
      </c>
      <c r="M31" s="11" t="n">
        <f aca="false">K31/L31</f>
        <v>0.526819754626027</v>
      </c>
      <c r="N31" s="11" t="n">
        <f aca="false">B31/K31</f>
        <v>0.458924552440314</v>
      </c>
      <c r="O31" s="11" t="n">
        <f aca="false">C31/K31</f>
        <v>0.445821758713226</v>
      </c>
      <c r="P31" s="11" t="n">
        <f aca="false">D31/K31</f>
        <v>0.0309822863216435</v>
      </c>
      <c r="Q31" s="11" t="n">
        <f aca="false">J31/K31</f>
        <v>0.0219769774908906</v>
      </c>
      <c r="R31" s="4" t="str">
        <f aca="false">INDEX($B$3:$H$3,MATCH(MAX(B31:H31),B31:H31,0))</f>
        <v>Va por México (PAN-PRI-PRD)</v>
      </c>
      <c r="S31" s="12" t="n">
        <f aca="false">(MAX(B31:H31)-LARGE(B31:H31,2))/K31*100</f>
        <v>1.31027937270878</v>
      </c>
      <c r="T31" s="4" t="n">
        <f aca="false">COUNTIFS('Por distrito'!$A$4:$A$303,$A31,'Por distrito'!$Q$4:$Q$303,B$3)</f>
        <v>6</v>
      </c>
      <c r="U31" s="4" t="n">
        <f aca="false">COUNTIFS('Por distrito'!$A$4:$A$303,$A31,'Por distrito'!$Q$4:$Q$303,C$3)</f>
        <v>3</v>
      </c>
      <c r="V31" s="4" t="n">
        <f aca="false">COUNTIFS('Por distrito'!$A$4:$A$303,$A31,'Por distrito'!$Q$4:$Q$303,D$3)</f>
        <v>0</v>
      </c>
      <c r="W31" s="4" t="n">
        <f aca="false">COUNTIF('Por distrito'!$A$4:$A$303,$A31)</f>
        <v>9</v>
      </c>
    </row>
    <row r="32" customFormat="false" ht="15" hidden="false" customHeight="false" outlineLevel="0" collapsed="false">
      <c r="A32" s="4" t="str">
        <f aca="false">'Votos por partido'!A32</f>
        <v>Tlaxcala</v>
      </c>
      <c r="B32" s="5" t="n">
        <f aca="false">'Votos por partido'!C32+'Votos por partido'!D32+'Votos por partido'!E32+'Votos por partido'!N32+'Votos por partido'!O32+'Votos por partido'!P32+'Votos por partido'!Q32</f>
        <v>188708</v>
      </c>
      <c r="C32" s="5" t="n">
        <f aca="false">'Votos por partido'!F32+'Votos por partido'!G32+'Votos por partido'!I32+'Votos por partido'!R32+'Votos por partido'!S32+'Votos por partido'!T32+'Votos por partido'!U32</f>
        <v>294802</v>
      </c>
      <c r="D32" s="5" t="n">
        <f aca="false">'Votos por partido'!H32</f>
        <v>24181</v>
      </c>
      <c r="E32" s="5" t="n">
        <f aca="false">'Votos por partido'!J32</f>
        <v>16115</v>
      </c>
      <c r="F32" s="5" t="n">
        <f aca="false">'Votos por partido'!K32</f>
        <v>30903</v>
      </c>
      <c r="G32" s="5" t="n">
        <f aca="false">'Votos por partido'!L32</f>
        <v>27699</v>
      </c>
      <c r="H32" s="5" t="n">
        <f aca="false">'Votos por partido'!M32</f>
        <v>30928</v>
      </c>
      <c r="I32" s="5" t="n">
        <f aca="false">'Votos por partido'!V32</f>
        <v>340</v>
      </c>
      <c r="J32" s="5" t="n">
        <f aca="false">'Votos por partido'!W32</f>
        <v>33490</v>
      </c>
      <c r="K32" s="5" t="n">
        <f aca="false">'Votos por partido'!X32</f>
        <v>647166</v>
      </c>
      <c r="L32" s="5" t="n">
        <f aca="false">'Votos por partido'!Y32</f>
        <v>973398</v>
      </c>
      <c r="M32" s="11" t="n">
        <f aca="false">K32/L32</f>
        <v>0.664852403641676</v>
      </c>
      <c r="N32" s="11" t="n">
        <f aca="false">B32/K32</f>
        <v>0.291591338234703</v>
      </c>
      <c r="O32" s="11" t="n">
        <f aca="false">C32/K32</f>
        <v>0.455527638967437</v>
      </c>
      <c r="P32" s="11" t="n">
        <f aca="false">D32/K32</f>
        <v>0.0373644474524311</v>
      </c>
      <c r="Q32" s="11" t="n">
        <f aca="false">J32/K32</f>
        <v>0.051748701260573</v>
      </c>
      <c r="R32" s="4" t="str">
        <f aca="false">INDEX($B$3:$H$3,MATCH(MAX(B32:H32),B32:H32,0))</f>
        <v>Juntos Hacemos Historia (Morena-PT-PVEM)</v>
      </c>
      <c r="S32" s="12" t="n">
        <f aca="false">(MAX(B32:H32)-LARGE(B32:H32,2))/K32*100</f>
        <v>16.3936300732733</v>
      </c>
      <c r="T32" s="4" t="n">
        <f aca="false">COUNTIFS('Por distrito'!$A$4:$A$303,$A32,'Por distrito'!$Q$4:$Q$303,B$3)</f>
        <v>0</v>
      </c>
      <c r="U32" s="4" t="n">
        <f aca="false">COUNTIFS('Por distrito'!$A$4:$A$303,$A32,'Por distrito'!$Q$4:$Q$303,C$3)</f>
        <v>3</v>
      </c>
      <c r="V32" s="4" t="n">
        <f aca="false">COUNTIFS('Por distrito'!$A$4:$A$303,$A32,'Por distrito'!$Q$4:$Q$303,D$3)</f>
        <v>0</v>
      </c>
      <c r="W32" s="4" t="n">
        <f aca="false">COUNTIF('Por distrito'!$A$4:$A$303,$A32)</f>
        <v>3</v>
      </c>
    </row>
    <row r="33" customFormat="false" ht="15" hidden="false" customHeight="false" outlineLevel="0" collapsed="false">
      <c r="A33" s="4" t="str">
        <f aca="false">'Votos por partido'!A33</f>
        <v>Veracruz</v>
      </c>
      <c r="B33" s="5" t="n">
        <f aca="false">'Votos por partido'!C33+'Votos por partido'!D33+'Votos por partido'!E33+'Votos por partido'!N33+'Votos por partido'!O33+'Votos por partido'!P33+'Votos por partido'!Q33</f>
        <v>1172745</v>
      </c>
      <c r="C33" s="5" t="n">
        <f aca="false">'Votos por partido'!F33+'Votos por partido'!G33+'Votos por partido'!I33+'Votos por partido'!R33+'Votos por partido'!S33+'Votos por partido'!T33+'Votos por partido'!U33</f>
        <v>1737481</v>
      </c>
      <c r="D33" s="5" t="n">
        <f aca="false">'Votos por partido'!H33</f>
        <v>258129</v>
      </c>
      <c r="E33" s="5" t="n">
        <f aca="false">'Votos por partido'!J33</f>
        <v>101316</v>
      </c>
      <c r="F33" s="5" t="n">
        <f aca="false">'Votos por partido'!K33</f>
        <v>95155</v>
      </c>
      <c r="G33" s="5" t="n">
        <f aca="false">'Votos por partido'!L33</f>
        <v>121824</v>
      </c>
      <c r="H33" s="5" t="n">
        <f aca="false">'Votos por partido'!M33</f>
        <v>0</v>
      </c>
      <c r="I33" s="5" t="n">
        <f aca="false">'Votos por partido'!V33</f>
        <v>2242</v>
      </c>
      <c r="J33" s="5" t="n">
        <f aca="false">'Votos por partido'!W33</f>
        <v>122329</v>
      </c>
      <c r="K33" s="5" t="n">
        <f aca="false">'Votos por partido'!X33</f>
        <v>3611221</v>
      </c>
      <c r="L33" s="5" t="n">
        <f aca="false">'Votos por partido'!Y33</f>
        <v>5979659</v>
      </c>
      <c r="M33" s="11" t="n">
        <f aca="false">K33/L33</f>
        <v>0.603917547806656</v>
      </c>
      <c r="N33" s="11" t="n">
        <f aca="false">B33/K33</f>
        <v>0.324750271445586</v>
      </c>
      <c r="O33" s="11" t="n">
        <f aca="false">C33/K33</f>
        <v>0.481133943339386</v>
      </c>
      <c r="P33" s="11" t="n">
        <f aca="false">D33/K33</f>
        <v>0.0714797017407686</v>
      </c>
      <c r="Q33" s="11" t="n">
        <f aca="false">J33/K33</f>
        <v>0.0338746922439806</v>
      </c>
      <c r="R33" s="4" t="str">
        <f aca="false">INDEX($B$3:$H$3,MATCH(MAX(B33:H33),B33:H33,0))</f>
        <v>Juntos Hacemos Historia (Morena-PT-PVEM)</v>
      </c>
      <c r="S33" s="12" t="n">
        <f aca="false">(MAX(B33:H33)-LARGE(B33:H33,2))/K33*100</f>
        <v>15.63836718938</v>
      </c>
      <c r="T33" s="4" t="n">
        <f aca="false">COUNTIFS('Por distrito'!$A$4:$A$303,$A33,'Por distrito'!$Q$4:$Q$303,B$3)</f>
        <v>1</v>
      </c>
      <c r="U33" s="4" t="n">
        <f aca="false">COUNTIFS('Por distrito'!$A$4:$A$303,$A33,'Por distrito'!$Q$4:$Q$303,C$3)</f>
        <v>19</v>
      </c>
      <c r="V33" s="4" t="n">
        <f aca="false">COUNTIFS('Por distrito'!$A$4:$A$303,$A33,'Por distrito'!$Q$4:$Q$303,D$3)</f>
        <v>0</v>
      </c>
      <c r="W33" s="4" t="n">
        <f aca="false">COUNTIF('Por distrito'!$A$4:$A$303,$A33)</f>
        <v>20</v>
      </c>
    </row>
    <row r="34" customFormat="false" ht="15" hidden="false" customHeight="false" outlineLevel="0" collapsed="false">
      <c r="A34" s="4" t="str">
        <f aca="false">'Votos por partido'!A34</f>
        <v>Yucatán</v>
      </c>
      <c r="B34" s="5" t="n">
        <f aca="false">'Votos por partido'!C34+'Votos por partido'!D34+'Votos por partido'!E34+'Votos por partido'!N34+'Votos por partido'!O34+'Votos por partido'!P34+'Votos por partido'!Q34</f>
        <v>638142</v>
      </c>
      <c r="C34" s="5" t="n">
        <f aca="false">'Votos por partido'!F34+'Votos por partido'!G34+'Votos por partido'!I34+'Votos por partido'!R34+'Votos por partido'!S34+'Votos por partido'!T34+'Votos por partido'!U34</f>
        <v>325583</v>
      </c>
      <c r="D34" s="5" t="n">
        <f aca="false">'Votos por partido'!H34</f>
        <v>31827</v>
      </c>
      <c r="E34" s="5" t="n">
        <f aca="false">'Votos por partido'!J34</f>
        <v>15076</v>
      </c>
      <c r="F34" s="5" t="n">
        <f aca="false">'Votos por partido'!K34</f>
        <v>5319</v>
      </c>
      <c r="G34" s="5" t="n">
        <f aca="false">'Votos por partido'!L34</f>
        <v>15332</v>
      </c>
      <c r="H34" s="5" t="n">
        <f aca="false">'Votos por partido'!M34</f>
        <v>0</v>
      </c>
      <c r="I34" s="5" t="n">
        <f aca="false">'Votos por partido'!V34</f>
        <v>362</v>
      </c>
      <c r="J34" s="5" t="n">
        <f aca="false">'Votos por partido'!W34</f>
        <v>27839</v>
      </c>
      <c r="K34" s="5" t="n">
        <f aca="false">'Votos por partido'!X34</f>
        <v>1059480</v>
      </c>
      <c r="L34" s="5" t="n">
        <f aca="false">'Votos por partido'!Y34</f>
        <v>1660064</v>
      </c>
      <c r="M34" s="11" t="n">
        <f aca="false">K34/L34</f>
        <v>0.63821635792355</v>
      </c>
      <c r="N34" s="11" t="n">
        <f aca="false">B34/K34</f>
        <v>0.602316230603692</v>
      </c>
      <c r="O34" s="11" t="n">
        <f aca="false">C34/K34</f>
        <v>0.307304526748971</v>
      </c>
      <c r="P34" s="11" t="n">
        <f aca="false">D34/K34</f>
        <v>0.0300402084041228</v>
      </c>
      <c r="Q34" s="11" t="n">
        <f aca="false">J34/K34</f>
        <v>0.0262760977083097</v>
      </c>
      <c r="R34" s="4" t="str">
        <f aca="false">INDEX($B$3:$H$3,MATCH(MAX(B34:H34),B34:H34,0))</f>
        <v>Va por México (PAN-PRI-PRD)</v>
      </c>
      <c r="S34" s="12" t="n">
        <f aca="false">(MAX(B34:H34)-LARGE(B34:H34,2))/K34*100</f>
        <v>29.5011703854721</v>
      </c>
      <c r="T34" s="4" t="n">
        <f aca="false">COUNTIFS('Por distrito'!$A$4:$A$303,$A34,'Por distrito'!$Q$4:$Q$303,B$3)</f>
        <v>5</v>
      </c>
      <c r="U34" s="4" t="n">
        <f aca="false">COUNTIFS('Por distrito'!$A$4:$A$303,$A34,'Por distrito'!$Q$4:$Q$303,C$3)</f>
        <v>0</v>
      </c>
      <c r="V34" s="4" t="n">
        <f aca="false">COUNTIFS('Por distrito'!$A$4:$A$303,$A34,'Por distrito'!$Q$4:$Q$303,D$3)</f>
        <v>0</v>
      </c>
      <c r="W34" s="4" t="n">
        <f aca="false">COUNTIF('Por distrito'!$A$4:$A$303,$A34)</f>
        <v>5</v>
      </c>
    </row>
    <row r="35" customFormat="false" ht="15" hidden="false" customHeight="false" outlineLevel="0" collapsed="false">
      <c r="A35" s="4" t="str">
        <f aca="false">'Votos por partido'!A35</f>
        <v>Zacatecas</v>
      </c>
      <c r="B35" s="5" t="n">
        <f aca="false">'Votos por partido'!C35+'Votos por partido'!D35+'Votos por partido'!E35+'Votos por partido'!N35+'Votos por partido'!O35+'Votos por partido'!P35+'Votos por partido'!Q35</f>
        <v>275365</v>
      </c>
      <c r="C35" s="5" t="n">
        <f aca="false">'Votos por partido'!F35+'Votos por partido'!G35+'Votos por partido'!I35+'Votos por partido'!R35+'Votos por partido'!S35+'Votos por partido'!T35+'Votos por partido'!U35</f>
        <v>312507</v>
      </c>
      <c r="D35" s="5" t="n">
        <f aca="false">'Votos por partido'!H35</f>
        <v>24753</v>
      </c>
      <c r="E35" s="5" t="n">
        <f aca="false">'Votos por partido'!J35</f>
        <v>23811</v>
      </c>
      <c r="F35" s="5" t="n">
        <f aca="false">'Votos por partido'!K35</f>
        <v>5655</v>
      </c>
      <c r="G35" s="5" t="n">
        <f aca="false">'Votos por partido'!L35</f>
        <v>25351</v>
      </c>
      <c r="H35" s="5" t="n">
        <f aca="false">'Votos por partido'!M35</f>
        <v>0</v>
      </c>
      <c r="I35" s="5" t="n">
        <f aca="false">'Votos por partido'!V35</f>
        <v>352</v>
      </c>
      <c r="J35" s="5" t="n">
        <f aca="false">'Votos por partido'!W35</f>
        <v>25829</v>
      </c>
      <c r="K35" s="5" t="n">
        <f aca="false">'Votos por partido'!X35</f>
        <v>693623</v>
      </c>
      <c r="L35" s="5" t="n">
        <f aca="false">'Votos por partido'!Y35</f>
        <v>1211040</v>
      </c>
      <c r="M35" s="11" t="n">
        <f aca="false">K35/L35</f>
        <v>0.572749867882151</v>
      </c>
      <c r="N35" s="11" t="n">
        <f aca="false">B35/K35</f>
        <v>0.396995197679431</v>
      </c>
      <c r="O35" s="11" t="n">
        <f aca="false">C35/K35</f>
        <v>0.450543018325517</v>
      </c>
      <c r="P35" s="11" t="n">
        <f aca="false">D35/K35</f>
        <v>0.0356865328860202</v>
      </c>
      <c r="Q35" s="11" t="n">
        <f aca="false">J35/K35</f>
        <v>0.0372378078581593</v>
      </c>
      <c r="R35" s="4" t="str">
        <f aca="false">INDEX($B$3:$H$3,MATCH(MAX(B35:H35),B35:H35,0))</f>
        <v>Juntos Hacemos Historia (Morena-PT-PVEM)</v>
      </c>
      <c r="S35" s="12" t="n">
        <f aca="false">(MAX(B35:H35)-LARGE(B35:H35,2))/K35*100</f>
        <v>5.35478206460858</v>
      </c>
      <c r="T35" s="4" t="n">
        <f aca="false">COUNTIFS('Por distrito'!$A$4:$A$303,$A35,'Por distrito'!$Q$4:$Q$303,B$3)</f>
        <v>1</v>
      </c>
      <c r="U35" s="4" t="n">
        <f aca="false">COUNTIFS('Por distrito'!$A$4:$A$303,$A35,'Por distrito'!$Q$4:$Q$303,C$3)</f>
        <v>3</v>
      </c>
      <c r="V35" s="4" t="n">
        <f aca="false">COUNTIFS('Por distrito'!$A$4:$A$303,$A35,'Por distrito'!$Q$4:$Q$303,D$3)</f>
        <v>0</v>
      </c>
      <c r="W35" s="4" t="n">
        <f aca="false">COUNTIF('Por distrito'!$A$4:$A$303,$A35)</f>
        <v>4</v>
      </c>
    </row>
    <row r="36" customFormat="false" ht="15" hidden="false" customHeight="false" outlineLevel="0" collapsed="false">
      <c r="A36" s="13" t="s">
        <v>48</v>
      </c>
      <c r="B36" s="14" t="n">
        <f aca="false">'Votos por partido'!C36+'Votos por partido'!D36+'Votos por partido'!E36+'Votos por partido'!N36+'Votos por partido'!O36+'Votos por partido'!P36+'Votos por partido'!Q36</f>
        <v>19477887</v>
      </c>
      <c r="C36" s="14" t="n">
        <f aca="false">'Votos por partido'!F36+'Votos por partido'!G36+'Votos por partido'!I36+'Votos por partido'!R36+'Votos por partido'!S36+'Votos por partido'!T36+'Votos por partido'!U36</f>
        <v>21025742</v>
      </c>
      <c r="D36" s="14" t="n">
        <f aca="false">'Votos por partido'!H36</f>
        <v>3449982</v>
      </c>
      <c r="E36" s="14" t="n">
        <f aca="false">'Votos por partido'!J36</f>
        <v>1352544</v>
      </c>
      <c r="F36" s="14" t="n">
        <f aca="false">'Votos por partido'!K36</f>
        <v>868515</v>
      </c>
      <c r="G36" s="14" t="n">
        <f aca="false">'Votos por partido'!L36</f>
        <v>1217084</v>
      </c>
      <c r="H36" s="14" t="n">
        <f aca="false">'Votos por partido'!M36</f>
        <v>44311</v>
      </c>
      <c r="I36" s="14" t="n">
        <f aca="false">'Votos por partido'!V36</f>
        <v>41933</v>
      </c>
      <c r="J36" s="14" t="n">
        <f aca="false">'Votos por partido'!W36</f>
        <v>1673322</v>
      </c>
      <c r="K36" s="14" t="n">
        <f aca="false">'Votos por partido'!X36</f>
        <v>49151320</v>
      </c>
      <c r="L36" s="14" t="n">
        <f aca="false">'Votos por partido'!Y36</f>
        <v>93328771</v>
      </c>
      <c r="M36" s="15" t="n">
        <f aca="false">K36/L36</f>
        <v>0.52664702934961</v>
      </c>
      <c r="N36" s="15" t="n">
        <f aca="false">B36/K36</f>
        <v>0.396284107934436</v>
      </c>
      <c r="O36" s="15" t="n">
        <f aca="false">C36/K36</f>
        <v>0.427775734202052</v>
      </c>
      <c r="P36" s="15" t="n">
        <f aca="false">D36/K36</f>
        <v>0.0701910345439349</v>
      </c>
      <c r="Q36" s="15" t="n">
        <f aca="false">J36/K36</f>
        <v>0.0340442942325862</v>
      </c>
      <c r="R36" s="13" t="str">
        <f aca="false">INDEX($B$3:$H$3,MATCH(MAX(B36:H36),B36:H36,0))</f>
        <v>Juntos Hacemos Historia (Morena-PT-PVEM)</v>
      </c>
      <c r="S36" s="16" t="n">
        <f aca="false">(MAX(B36:H36)-LARGE(B36:H36,2))/K36*100</f>
        <v>3.1491626267616</v>
      </c>
      <c r="T36" s="13" t="n">
        <f aca="false">SUM(T4:T35)</f>
        <v>111</v>
      </c>
      <c r="U36" s="13" t="n">
        <f aca="false">SUM(U4:U35)</f>
        <v>182</v>
      </c>
      <c r="V36" s="13" t="n">
        <f aca="false">SUM(V4:V35)</f>
        <v>7</v>
      </c>
      <c r="W36" s="13" t="n">
        <f aca="false">SUM(W4:W35)</f>
        <v>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16" min="2" style="0" width="15"/>
    <col collapsed="false" customWidth="true" hidden="false" outlineLevel="0" max="17" min="17" style="0" width="24"/>
    <col collapsed="false" customWidth="true" hidden="false" outlineLevel="0" max="18" min="18" style="0" width="15"/>
    <col collapsed="false" customWidth="true" hidden="false" outlineLevel="0" max="20" min="19" style="0" width="24"/>
  </cols>
  <sheetData>
    <row r="1" customFormat="false" ht="16.15" hidden="false" customHeight="false" outlineLevel="0" collapsed="false">
      <c r="A1" s="10" t="s">
        <v>49</v>
      </c>
    </row>
    <row r="2" customFormat="false" ht="15" hidden="false" customHeight="false" outlineLevel="0" collapsed="false">
      <c r="A2" s="2" t="s">
        <v>50</v>
      </c>
    </row>
    <row r="3" customFormat="false" ht="60" hidden="false" customHeight="true" outlineLevel="0" collapsed="false">
      <c r="A3" s="3" t="s">
        <v>36</v>
      </c>
      <c r="B3" s="3" t="s">
        <v>51</v>
      </c>
      <c r="C3" s="3" t="s">
        <v>8</v>
      </c>
      <c r="D3" s="3" t="s">
        <v>9</v>
      </c>
      <c r="E3" s="3" t="s">
        <v>10</v>
      </c>
      <c r="F3" s="3" t="s">
        <v>11</v>
      </c>
      <c r="G3" s="3" t="s">
        <v>12</v>
      </c>
      <c r="H3" s="3" t="s">
        <v>13</v>
      </c>
      <c r="I3" s="3" t="s">
        <v>14</v>
      </c>
      <c r="J3" s="3" t="s">
        <v>15</v>
      </c>
      <c r="K3" s="3" t="s">
        <v>16</v>
      </c>
      <c r="L3" s="3" t="s">
        <v>37</v>
      </c>
      <c r="M3" s="3" t="s">
        <v>38</v>
      </c>
      <c r="N3" s="3" t="s">
        <v>39</v>
      </c>
      <c r="O3" s="3" t="s">
        <v>40</v>
      </c>
      <c r="P3" s="3" t="s">
        <v>41</v>
      </c>
      <c r="Q3" s="3" t="s">
        <v>52</v>
      </c>
      <c r="R3" s="3" t="s">
        <v>43</v>
      </c>
      <c r="S3" s="3" t="s">
        <v>53</v>
      </c>
      <c r="T3" s="3" t="s">
        <v>54</v>
      </c>
    </row>
    <row r="4" customFormat="false" ht="15" hidden="false" customHeight="false" outlineLevel="0" collapsed="false">
      <c r="A4" s="4" t="s">
        <v>55</v>
      </c>
      <c r="B4" s="4" t="n">
        <v>1</v>
      </c>
      <c r="C4" s="5" t="n">
        <v>94438</v>
      </c>
      <c r="D4" s="5" t="n">
        <v>67744</v>
      </c>
      <c r="E4" s="5" t="n">
        <v>6494</v>
      </c>
      <c r="F4" s="5" t="n">
        <v>3184</v>
      </c>
      <c r="G4" s="5" t="n">
        <v>2208</v>
      </c>
      <c r="H4" s="5" t="n">
        <v>9231</v>
      </c>
      <c r="I4" s="5" t="n">
        <v>0</v>
      </c>
      <c r="J4" s="5" t="n">
        <v>223</v>
      </c>
      <c r="K4" s="5" t="n">
        <v>7006</v>
      </c>
      <c r="L4" s="5" t="n">
        <v>190528</v>
      </c>
      <c r="M4" s="11" t="n">
        <f aca="false">IF(L4=0,0,C4/L4)</f>
        <v>0.495664679207256</v>
      </c>
      <c r="N4" s="11" t="n">
        <f aca="false">IF(L4=0,0,D4/L4)</f>
        <v>0.355559287873698</v>
      </c>
      <c r="O4" s="11" t="n">
        <f aca="false">IF(L4=0,0,E4/L4)</f>
        <v>0.0340842290896876</v>
      </c>
      <c r="P4" s="11" t="n">
        <f aca="false">IF(L4=0,0,K4/L4)</f>
        <v>0.0367714981525025</v>
      </c>
      <c r="Q4" s="4" t="str">
        <f aca="false">INDEX($C$3:$I$3,MATCH(MAX(C4:I4),C4:I4,0))</f>
        <v>Va por México (PAN-PRI-PRD)</v>
      </c>
      <c r="R4" s="17" t="n">
        <f aca="false">IF(L4=0,0,(MAX(C4:I4)-LARGE(C4:I4,2))/L4*100)</f>
        <v>14.0105391333557</v>
      </c>
      <c r="S4" s="4" t="s">
        <v>25</v>
      </c>
      <c r="T4" s="4" t="s">
        <v>24</v>
      </c>
    </row>
    <row r="5" customFormat="false" ht="15" hidden="false" customHeight="false" outlineLevel="0" collapsed="false">
      <c r="A5" s="4" t="s">
        <v>55</v>
      </c>
      <c r="B5" s="4" t="n">
        <v>2</v>
      </c>
      <c r="C5" s="5" t="n">
        <v>78396</v>
      </c>
      <c r="D5" s="5" t="n">
        <v>46992</v>
      </c>
      <c r="E5" s="5" t="n">
        <v>6339</v>
      </c>
      <c r="F5" s="5" t="n">
        <v>2433</v>
      </c>
      <c r="G5" s="5" t="n">
        <v>1049</v>
      </c>
      <c r="H5" s="5" t="n">
        <v>2872</v>
      </c>
      <c r="I5" s="5" t="n">
        <v>0</v>
      </c>
      <c r="J5" s="5" t="n">
        <v>232</v>
      </c>
      <c r="K5" s="5" t="n">
        <v>5001</v>
      </c>
      <c r="L5" s="5" t="n">
        <v>143314</v>
      </c>
      <c r="M5" s="11" t="n">
        <f aca="false">IF(L5=0,0,C5/L5)</f>
        <v>0.547022621655944</v>
      </c>
      <c r="N5" s="11" t="n">
        <f aca="false">IF(L5=0,0,D5/L5)</f>
        <v>0.32789539054105</v>
      </c>
      <c r="O5" s="11" t="n">
        <f aca="false">IF(L5=0,0,E5/L5)</f>
        <v>0.0442315475110596</v>
      </c>
      <c r="P5" s="11" t="n">
        <f aca="false">IF(L5=0,0,K5/L5)</f>
        <v>0.0348954044964204</v>
      </c>
      <c r="Q5" s="4" t="str">
        <f aca="false">INDEX($C$3:$I$3,MATCH(MAX(C5:I5),C5:I5,0))</f>
        <v>Va por México (PAN-PRI-PRD)</v>
      </c>
      <c r="R5" s="17" t="n">
        <f aca="false">IF(L5=0,0,(MAX(C5:I5)-LARGE(C5:I5,2))/L5*100)</f>
        <v>21.9127231114895</v>
      </c>
      <c r="S5" s="4" t="s">
        <v>26</v>
      </c>
      <c r="T5" s="4" t="s">
        <v>23</v>
      </c>
    </row>
    <row r="6" customFormat="false" ht="15" hidden="false" customHeight="false" outlineLevel="0" collapsed="false">
      <c r="A6" s="4" t="s">
        <v>55</v>
      </c>
      <c r="B6" s="4" t="n">
        <v>3</v>
      </c>
      <c r="C6" s="5" t="n">
        <v>117307</v>
      </c>
      <c r="D6" s="5" t="n">
        <v>44406</v>
      </c>
      <c r="E6" s="5" t="n">
        <v>7128</v>
      </c>
      <c r="F6" s="5" t="n">
        <v>2243</v>
      </c>
      <c r="G6" s="5" t="n">
        <v>975</v>
      </c>
      <c r="H6" s="5" t="n">
        <v>3108</v>
      </c>
      <c r="I6" s="5" t="n">
        <v>0</v>
      </c>
      <c r="J6" s="5" t="n">
        <v>197</v>
      </c>
      <c r="K6" s="5" t="n">
        <v>4882</v>
      </c>
      <c r="L6" s="5" t="n">
        <v>180246</v>
      </c>
      <c r="M6" s="11" t="n">
        <f aca="false">IF(L6=0,0,C6/L6)</f>
        <v>0.650816106876158</v>
      </c>
      <c r="N6" s="11" t="n">
        <f aca="false">IF(L6=0,0,D6/L6)</f>
        <v>0.246363303485237</v>
      </c>
      <c r="O6" s="11" t="n">
        <f aca="false">IF(L6=0,0,E6/L6)</f>
        <v>0.0395459538630538</v>
      </c>
      <c r="P6" s="11" t="n">
        <f aca="false">IF(L6=0,0,K6/L6)</f>
        <v>0.0270852057743306</v>
      </c>
      <c r="Q6" s="4" t="str">
        <f aca="false">INDEX($C$3:$I$3,MATCH(MAX(C6:I6),C6:I6,0))</f>
        <v>Va por México (PAN-PRI-PRD)</v>
      </c>
      <c r="R6" s="17" t="n">
        <f aca="false">IF(L6=0,0,(MAX(C6:I6)-LARGE(C6:I6,2))/L6*100)</f>
        <v>40.4452803390921</v>
      </c>
      <c r="S6" s="4" t="s">
        <v>26</v>
      </c>
      <c r="T6" s="4" t="s">
        <v>23</v>
      </c>
    </row>
    <row r="7" customFormat="false" ht="15" hidden="false" customHeight="false" outlineLevel="0" collapsed="false">
      <c r="A7" s="4" t="s">
        <v>56</v>
      </c>
      <c r="B7" s="4" t="n">
        <v>1</v>
      </c>
      <c r="C7" s="5" t="n">
        <v>31859</v>
      </c>
      <c r="D7" s="5" t="n">
        <v>65037</v>
      </c>
      <c r="E7" s="5" t="n">
        <v>8432</v>
      </c>
      <c r="F7" s="5" t="n">
        <v>20582</v>
      </c>
      <c r="G7" s="5" t="n">
        <v>1632</v>
      </c>
      <c r="H7" s="5" t="n">
        <v>2650</v>
      </c>
      <c r="I7" s="5" t="n">
        <v>0</v>
      </c>
      <c r="J7" s="5" t="n">
        <v>112</v>
      </c>
      <c r="K7" s="5" t="n">
        <v>4059</v>
      </c>
      <c r="L7" s="5" t="n">
        <v>134363</v>
      </c>
      <c r="M7" s="11" t="n">
        <f aca="false">IF(L7=0,0,C7/L7)</f>
        <v>0.237111407158221</v>
      </c>
      <c r="N7" s="11" t="n">
        <f aca="false">IF(L7=0,0,D7/L7)</f>
        <v>0.48403950492323</v>
      </c>
      <c r="O7" s="11" t="n">
        <f aca="false">IF(L7=0,0,E7/L7)</f>
        <v>0.0627553716424909</v>
      </c>
      <c r="P7" s="11" t="n">
        <f aca="false">IF(L7=0,0,K7/L7)</f>
        <v>0.0302092093805586</v>
      </c>
      <c r="Q7" s="4" t="str">
        <f aca="false">INDEX($C$3:$I$3,MATCH(MAX(C7:I7),C7:I7,0))</f>
        <v>Juntos Hacemos Historia (Morena-PT-PVEM)</v>
      </c>
      <c r="R7" s="17" t="n">
        <f aca="false">IF(L7=0,0,(MAX(C7:I7)-LARGE(C7:I7,2))/L7*100)</f>
        <v>24.692809776501</v>
      </c>
      <c r="S7" s="4" t="s">
        <v>23</v>
      </c>
      <c r="T7" s="4" t="s">
        <v>25</v>
      </c>
    </row>
    <row r="8" customFormat="false" ht="15" hidden="false" customHeight="false" outlineLevel="0" collapsed="false">
      <c r="A8" s="4" t="s">
        <v>56</v>
      </c>
      <c r="B8" s="4" t="n">
        <v>2</v>
      </c>
      <c r="C8" s="5" t="n">
        <v>42834</v>
      </c>
      <c r="D8" s="5" t="n">
        <v>62703</v>
      </c>
      <c r="E8" s="5" t="n">
        <v>7999</v>
      </c>
      <c r="F8" s="5" t="n">
        <v>22197</v>
      </c>
      <c r="G8" s="5" t="n">
        <v>2273</v>
      </c>
      <c r="H8" s="5" t="n">
        <v>2546</v>
      </c>
      <c r="I8" s="5" t="n">
        <v>0</v>
      </c>
      <c r="J8" s="5" t="n">
        <v>145</v>
      </c>
      <c r="K8" s="5" t="n">
        <v>5060</v>
      </c>
      <c r="L8" s="5" t="n">
        <v>145757</v>
      </c>
      <c r="M8" s="11" t="n">
        <f aca="false">IF(L8=0,0,C8/L8)</f>
        <v>0.293872678499146</v>
      </c>
      <c r="N8" s="11" t="n">
        <f aca="false">IF(L8=0,0,D8/L8)</f>
        <v>0.430188601576597</v>
      </c>
      <c r="O8" s="11" t="n">
        <f aca="false">IF(L8=0,0,E8/L8)</f>
        <v>0.0548790109565921</v>
      </c>
      <c r="P8" s="11" t="n">
        <f aca="false">IF(L8=0,0,K8/L8)</f>
        <v>0.0347153138442751</v>
      </c>
      <c r="Q8" s="4" t="str">
        <f aca="false">INDEX($C$3:$I$3,MATCH(MAX(C8:I8),C8:I8,0))</f>
        <v>Juntos Hacemos Historia (Morena-PT-PVEM)</v>
      </c>
      <c r="R8" s="17" t="n">
        <f aca="false">IF(L8=0,0,(MAX(C8:I8)-LARGE(C8:I8,2))/L8*100)</f>
        <v>13.6315923077451</v>
      </c>
      <c r="S8" s="4" t="s">
        <v>24</v>
      </c>
      <c r="T8" s="4" t="s">
        <v>26</v>
      </c>
    </row>
    <row r="9" customFormat="false" ht="15" hidden="false" customHeight="false" outlineLevel="0" collapsed="false">
      <c r="A9" s="4" t="s">
        <v>56</v>
      </c>
      <c r="B9" s="4" t="n">
        <v>3</v>
      </c>
      <c r="C9" s="5" t="n">
        <v>27560</v>
      </c>
      <c r="D9" s="5" t="n">
        <v>64801</v>
      </c>
      <c r="E9" s="5" t="n">
        <v>5337</v>
      </c>
      <c r="F9" s="5" t="n">
        <v>17317</v>
      </c>
      <c r="G9" s="5" t="n">
        <v>3907</v>
      </c>
      <c r="H9" s="5" t="n">
        <v>14696</v>
      </c>
      <c r="I9" s="5" t="n">
        <v>0</v>
      </c>
      <c r="J9" s="5" t="n">
        <v>121</v>
      </c>
      <c r="K9" s="5" t="n">
        <v>4868</v>
      </c>
      <c r="L9" s="5" t="n">
        <v>138607</v>
      </c>
      <c r="M9" s="11" t="n">
        <f aca="false">IF(L9=0,0,C9/L9)</f>
        <v>0.198835556645768</v>
      </c>
      <c r="N9" s="11" t="n">
        <f aca="false">IF(L9=0,0,D9/L9)</f>
        <v>0.467516070616924</v>
      </c>
      <c r="O9" s="11" t="n">
        <f aca="false">IF(L9=0,0,E9/L9)</f>
        <v>0.0385045488323101</v>
      </c>
      <c r="P9" s="11" t="n">
        <f aca="false">IF(L9=0,0,K9/L9)</f>
        <v>0.0351208813407692</v>
      </c>
      <c r="Q9" s="4" t="str">
        <f aca="false">INDEX($C$3:$I$3,MATCH(MAX(C9:I9),C9:I9,0))</f>
        <v>Juntos Hacemos Historia (Morena-PT-PVEM)</v>
      </c>
      <c r="R9" s="17" t="n">
        <f aca="false">IF(L9=0,0,(MAX(C9:I9)-LARGE(C9:I9,2))/L9*100)</f>
        <v>26.8680513971156</v>
      </c>
      <c r="S9" s="4" t="s">
        <v>23</v>
      </c>
      <c r="T9" s="4" t="s">
        <v>25</v>
      </c>
    </row>
    <row r="10" customFormat="false" ht="15" hidden="false" customHeight="false" outlineLevel="0" collapsed="false">
      <c r="A10" s="4" t="s">
        <v>56</v>
      </c>
      <c r="B10" s="4" t="n">
        <v>4</v>
      </c>
      <c r="C10" s="5" t="n">
        <v>17646</v>
      </c>
      <c r="D10" s="5" t="n">
        <v>89570</v>
      </c>
      <c r="E10" s="5" t="n">
        <v>5480</v>
      </c>
      <c r="F10" s="5" t="n">
        <v>19177</v>
      </c>
      <c r="G10" s="5" t="n">
        <v>1692</v>
      </c>
      <c r="H10" s="5" t="n">
        <v>2558</v>
      </c>
      <c r="I10" s="5" t="n">
        <v>0</v>
      </c>
      <c r="J10" s="5" t="n">
        <v>106</v>
      </c>
      <c r="K10" s="5" t="n">
        <v>4921</v>
      </c>
      <c r="L10" s="5" t="n">
        <v>141150</v>
      </c>
      <c r="M10" s="11" t="n">
        <f aca="false">IF(L10=0,0,C10/L10)</f>
        <v>0.125015940488842</v>
      </c>
      <c r="N10" s="11" t="n">
        <f aca="false">IF(L10=0,0,D10/L10)</f>
        <v>0.634573149132129</v>
      </c>
      <c r="O10" s="11" t="n">
        <f aca="false">IF(L10=0,0,E10/L10)</f>
        <v>0.038823946156571</v>
      </c>
      <c r="P10" s="11" t="n">
        <f aca="false">IF(L10=0,0,K10/L10)</f>
        <v>0.0348636202621325</v>
      </c>
      <c r="Q10" s="4" t="str">
        <f aca="false">INDEX($C$3:$I$3,MATCH(MAX(C10:I10),C10:I10,0))</f>
        <v>Juntos Hacemos Historia (Morena-PT-PVEM)</v>
      </c>
      <c r="R10" s="17" t="n">
        <f aca="false">IF(L10=0,0,(MAX(C10:I10)-LARGE(C10:I10,2))/L10*100)</f>
        <v>49.8710591569253</v>
      </c>
      <c r="S10" s="4" t="s">
        <v>24</v>
      </c>
      <c r="T10" s="4" t="s">
        <v>11</v>
      </c>
    </row>
    <row r="11" customFormat="false" ht="15" hidden="false" customHeight="false" outlineLevel="0" collapsed="false">
      <c r="A11" s="4" t="s">
        <v>56</v>
      </c>
      <c r="B11" s="4" t="n">
        <v>5</v>
      </c>
      <c r="C11" s="5" t="n">
        <v>42493</v>
      </c>
      <c r="D11" s="5" t="n">
        <v>67132</v>
      </c>
      <c r="E11" s="5" t="n">
        <v>6540</v>
      </c>
      <c r="F11" s="5" t="n">
        <v>26436</v>
      </c>
      <c r="G11" s="5" t="n">
        <v>2421</v>
      </c>
      <c r="H11" s="5" t="n">
        <v>3085</v>
      </c>
      <c r="I11" s="5" t="n">
        <v>0</v>
      </c>
      <c r="J11" s="5" t="n">
        <v>157</v>
      </c>
      <c r="K11" s="5" t="n">
        <v>4606</v>
      </c>
      <c r="L11" s="5" t="n">
        <v>152870</v>
      </c>
      <c r="M11" s="11" t="n">
        <f aca="false">IF(L11=0,0,C11/L11)</f>
        <v>0.277968208281546</v>
      </c>
      <c r="N11" s="11" t="n">
        <f aca="false">IF(L11=0,0,D11/L11)</f>
        <v>0.439144371034212</v>
      </c>
      <c r="O11" s="11" t="n">
        <f aca="false">IF(L11=0,0,E11/L11)</f>
        <v>0.0427814482893962</v>
      </c>
      <c r="P11" s="11" t="n">
        <f aca="false">IF(L11=0,0,K11/L11)</f>
        <v>0.0301301759665075</v>
      </c>
      <c r="Q11" s="4" t="str">
        <f aca="false">INDEX($C$3:$I$3,MATCH(MAX(C11:I11),C11:I11,0))</f>
        <v>Juntos Hacemos Historia (Morena-PT-PVEM)</v>
      </c>
      <c r="R11" s="17" t="n">
        <f aca="false">IF(L11=0,0,(MAX(C11:I11)-LARGE(C11:I11,2))/L11*100)</f>
        <v>16.1176162752666</v>
      </c>
      <c r="S11" s="4" t="s">
        <v>24</v>
      </c>
      <c r="T11" s="4" t="s">
        <v>25</v>
      </c>
    </row>
    <row r="12" customFormat="false" ht="15" hidden="false" customHeight="false" outlineLevel="0" collapsed="false">
      <c r="A12" s="4" t="s">
        <v>56</v>
      </c>
      <c r="B12" s="4" t="n">
        <v>6</v>
      </c>
      <c r="C12" s="5" t="n">
        <v>37167</v>
      </c>
      <c r="D12" s="5" t="n">
        <v>62922</v>
      </c>
      <c r="E12" s="5" t="n">
        <v>6103</v>
      </c>
      <c r="F12" s="5" t="n">
        <v>28160</v>
      </c>
      <c r="G12" s="5" t="n">
        <v>1688</v>
      </c>
      <c r="H12" s="5" t="n">
        <v>2667</v>
      </c>
      <c r="I12" s="5" t="n">
        <v>0</v>
      </c>
      <c r="J12" s="5" t="n">
        <v>88</v>
      </c>
      <c r="K12" s="5" t="n">
        <v>4914</v>
      </c>
      <c r="L12" s="5" t="n">
        <v>143709</v>
      </c>
      <c r="M12" s="11" t="n">
        <f aca="false">IF(L12=0,0,C12/L12)</f>
        <v>0.258626808341858</v>
      </c>
      <c r="N12" s="11" t="n">
        <f aca="false">IF(L12=0,0,D12/L12)</f>
        <v>0.437843141348141</v>
      </c>
      <c r="O12" s="11" t="n">
        <f aca="false">IF(L12=0,0,E12/L12)</f>
        <v>0.0424677647189807</v>
      </c>
      <c r="P12" s="11" t="n">
        <f aca="false">IF(L12=0,0,K12/L12)</f>
        <v>0.0341941005782519</v>
      </c>
      <c r="Q12" s="4" t="str">
        <f aca="false">INDEX($C$3:$I$3,MATCH(MAX(C12:I12),C12:I12,0))</f>
        <v>Juntos Hacemos Historia (Morena-PT-PVEM)</v>
      </c>
      <c r="R12" s="17" t="n">
        <f aca="false">IF(L12=0,0,(MAX(C12:I12)-LARGE(C12:I12,2))/L12*100)</f>
        <v>17.9216333006284</v>
      </c>
      <c r="S12" s="4" t="s">
        <v>24</v>
      </c>
      <c r="T12" s="4" t="s">
        <v>25</v>
      </c>
    </row>
    <row r="13" customFormat="false" ht="15" hidden="false" customHeight="false" outlineLevel="0" collapsed="false">
      <c r="A13" s="4" t="s">
        <v>56</v>
      </c>
      <c r="B13" s="4" t="n">
        <v>7</v>
      </c>
      <c r="C13" s="5" t="n">
        <v>22417</v>
      </c>
      <c r="D13" s="5" t="n">
        <v>66088</v>
      </c>
      <c r="E13" s="5" t="n">
        <v>7050</v>
      </c>
      <c r="F13" s="5" t="n">
        <v>22148</v>
      </c>
      <c r="G13" s="5" t="n">
        <v>3142</v>
      </c>
      <c r="H13" s="5" t="n">
        <v>5993</v>
      </c>
      <c r="I13" s="5" t="n">
        <v>0</v>
      </c>
      <c r="J13" s="5" t="n">
        <v>180</v>
      </c>
      <c r="K13" s="5" t="n">
        <v>4806</v>
      </c>
      <c r="L13" s="5" t="n">
        <v>131824</v>
      </c>
      <c r="M13" s="11" t="n">
        <f aca="false">IF(L13=0,0,C13/L13)</f>
        <v>0.170052494234737</v>
      </c>
      <c r="N13" s="11" t="n">
        <f aca="false">IF(L13=0,0,D13/L13)</f>
        <v>0.501335113484646</v>
      </c>
      <c r="O13" s="11" t="n">
        <f aca="false">IF(L13=0,0,E13/L13)</f>
        <v>0.0534803981065663</v>
      </c>
      <c r="P13" s="11" t="n">
        <f aca="false">IF(L13=0,0,K13/L13)</f>
        <v>0.0364577011773273</v>
      </c>
      <c r="Q13" s="4" t="str">
        <f aca="false">INDEX($C$3:$I$3,MATCH(MAX(C13:I13),C13:I13,0))</f>
        <v>Juntos Hacemos Historia (Morena-PT-PVEM)</v>
      </c>
      <c r="R13" s="17" t="n">
        <f aca="false">IF(L13=0,0,(MAX(C13:I13)-LARGE(C13:I13,2))/L13*100)</f>
        <v>33.1282619249909</v>
      </c>
      <c r="S13" s="4" t="s">
        <v>23</v>
      </c>
      <c r="T13" s="4" t="s">
        <v>25</v>
      </c>
    </row>
    <row r="14" customFormat="false" ht="15" hidden="false" customHeight="false" outlineLevel="0" collapsed="false">
      <c r="A14" s="4" t="s">
        <v>56</v>
      </c>
      <c r="B14" s="4" t="n">
        <v>8</v>
      </c>
      <c r="C14" s="5" t="n">
        <v>23154</v>
      </c>
      <c r="D14" s="5" t="n">
        <v>74479</v>
      </c>
      <c r="E14" s="5" t="n">
        <v>5109</v>
      </c>
      <c r="F14" s="5" t="n">
        <v>24246</v>
      </c>
      <c r="G14" s="5" t="n">
        <v>1517</v>
      </c>
      <c r="H14" s="5" t="n">
        <v>2546</v>
      </c>
      <c r="I14" s="5" t="n">
        <v>0</v>
      </c>
      <c r="J14" s="5" t="n">
        <v>113</v>
      </c>
      <c r="K14" s="5" t="n">
        <v>3731</v>
      </c>
      <c r="L14" s="5" t="n">
        <v>134895</v>
      </c>
      <c r="M14" s="11" t="n">
        <f aca="false">IF(L14=0,0,C14/L14)</f>
        <v>0.171644612476371</v>
      </c>
      <c r="N14" s="11" t="n">
        <f aca="false">IF(L14=0,0,D14/L14)</f>
        <v>0.552125727417621</v>
      </c>
      <c r="O14" s="11" t="n">
        <f aca="false">IF(L14=0,0,E14/L14)</f>
        <v>0.0378739019237185</v>
      </c>
      <c r="P14" s="11" t="n">
        <f aca="false">IF(L14=0,0,K14/L14)</f>
        <v>0.027658549242003</v>
      </c>
      <c r="Q14" s="4" t="str">
        <f aca="false">INDEX($C$3:$I$3,MATCH(MAX(C14:I14),C14:I14,0))</f>
        <v>Juntos Hacemos Historia (Morena-PT-PVEM)</v>
      </c>
      <c r="R14" s="17" t="n">
        <f aca="false">IF(L14=0,0,(MAX(C14:I14)-LARGE(C14:I14,2))/L14*100)</f>
        <v>37.238592979725</v>
      </c>
      <c r="S14" s="4" t="s">
        <v>23</v>
      </c>
      <c r="T14" s="4" t="s">
        <v>11</v>
      </c>
    </row>
    <row r="15" customFormat="false" ht="15" hidden="false" customHeight="false" outlineLevel="0" collapsed="false">
      <c r="A15" s="4" t="s">
        <v>57</v>
      </c>
      <c r="B15" s="4" t="n">
        <v>1</v>
      </c>
      <c r="C15" s="5" t="n">
        <v>71579</v>
      </c>
      <c r="D15" s="5" t="n">
        <v>71821</v>
      </c>
      <c r="E15" s="5" t="n">
        <v>5900</v>
      </c>
      <c r="F15" s="5" t="n">
        <v>3822</v>
      </c>
      <c r="G15" s="5" t="n">
        <v>1665</v>
      </c>
      <c r="H15" s="5" t="n">
        <v>4254</v>
      </c>
      <c r="I15" s="5" t="n">
        <v>0</v>
      </c>
      <c r="J15" s="5" t="n">
        <v>126</v>
      </c>
      <c r="K15" s="5" t="n">
        <v>5004</v>
      </c>
      <c r="L15" s="5" t="n">
        <v>164171</v>
      </c>
      <c r="M15" s="11" t="n">
        <f aca="false">IF(L15=0,0,C15/L15)</f>
        <v>0.43600270449714</v>
      </c>
      <c r="N15" s="11" t="n">
        <f aca="false">IF(L15=0,0,D15/L15)</f>
        <v>0.437476777262732</v>
      </c>
      <c r="O15" s="11" t="n">
        <f aca="false">IF(L15=0,0,E15/L15)</f>
        <v>0.0359381376735233</v>
      </c>
      <c r="P15" s="11" t="n">
        <f aca="false">IF(L15=0,0,K15/L15)</f>
        <v>0.0304804137149679</v>
      </c>
      <c r="Q15" s="4" t="str">
        <f aca="false">INDEX($C$3:$I$3,MATCH(MAX(C15:I15),C15:I15,0))</f>
        <v>Juntos Hacemos Historia (Morena-PT-PVEM)</v>
      </c>
      <c r="R15" s="17" t="n">
        <f aca="false">IF(L15=0,0,(MAX(C15:I15)-LARGE(C15:I15,2))/L15*100)</f>
        <v>0.147407276559197</v>
      </c>
      <c r="S15" s="4" t="s">
        <v>23</v>
      </c>
      <c r="T15" s="4" t="s">
        <v>25</v>
      </c>
    </row>
    <row r="16" customFormat="false" ht="15" hidden="false" customHeight="false" outlineLevel="0" collapsed="false">
      <c r="A16" s="4" t="s">
        <v>57</v>
      </c>
      <c r="B16" s="4" t="n">
        <v>2</v>
      </c>
      <c r="C16" s="5" t="n">
        <v>41074</v>
      </c>
      <c r="D16" s="5" t="n">
        <v>56895</v>
      </c>
      <c r="E16" s="5" t="n">
        <v>3277</v>
      </c>
      <c r="F16" s="5" t="n">
        <v>2577</v>
      </c>
      <c r="G16" s="5" t="n">
        <v>2608</v>
      </c>
      <c r="H16" s="5" t="n">
        <v>5527</v>
      </c>
      <c r="I16" s="5" t="n">
        <v>0</v>
      </c>
      <c r="J16" s="5" t="n">
        <v>106</v>
      </c>
      <c r="K16" s="5" t="n">
        <v>3651</v>
      </c>
      <c r="L16" s="5" t="n">
        <v>115715</v>
      </c>
      <c r="M16" s="11" t="n">
        <f aca="false">IF(L16=0,0,C16/L16)</f>
        <v>0.354958302726526</v>
      </c>
      <c r="N16" s="11" t="n">
        <f aca="false">IF(L16=0,0,D16/L16)</f>
        <v>0.491682150110185</v>
      </c>
      <c r="O16" s="11" t="n">
        <f aca="false">IF(L16=0,0,E16/L16)</f>
        <v>0.0283195782742082</v>
      </c>
      <c r="P16" s="11" t="n">
        <f aca="false">IF(L16=0,0,K16/L16)</f>
        <v>0.0315516570885365</v>
      </c>
      <c r="Q16" s="4" t="str">
        <f aca="false">INDEX($C$3:$I$3,MATCH(MAX(C16:I16),C16:I16,0))</f>
        <v>Juntos Hacemos Historia (Morena-PT-PVEM)</v>
      </c>
      <c r="R16" s="17" t="n">
        <f aca="false">IF(L16=0,0,(MAX(C16:I16)-LARGE(C16:I16,2))/L16*100)</f>
        <v>13.6723847383658</v>
      </c>
      <c r="S16" s="4" t="s">
        <v>23</v>
      </c>
      <c r="T16" s="4" t="s">
        <v>25</v>
      </c>
    </row>
    <row r="17" customFormat="false" ht="15" hidden="false" customHeight="false" outlineLevel="0" collapsed="false">
      <c r="A17" s="4" t="s">
        <v>58</v>
      </c>
      <c r="B17" s="4" t="n">
        <v>1</v>
      </c>
      <c r="C17" s="5" t="n">
        <v>73447</v>
      </c>
      <c r="D17" s="5" t="n">
        <v>91754</v>
      </c>
      <c r="E17" s="5" t="n">
        <v>51026</v>
      </c>
      <c r="F17" s="5" t="n">
        <v>2015</v>
      </c>
      <c r="G17" s="5" t="n">
        <v>3189</v>
      </c>
      <c r="H17" s="5" t="n">
        <v>1529</v>
      </c>
      <c r="I17" s="5" t="n">
        <v>0</v>
      </c>
      <c r="J17" s="5" t="n">
        <v>90</v>
      </c>
      <c r="K17" s="5" t="n">
        <v>5330</v>
      </c>
      <c r="L17" s="5" t="n">
        <v>228380</v>
      </c>
      <c r="M17" s="11" t="n">
        <f aca="false">IF(L17=0,0,C17/L17)</f>
        <v>0.321599964970663</v>
      </c>
      <c r="N17" s="11" t="n">
        <f aca="false">IF(L17=0,0,D17/L17)</f>
        <v>0.401760224187757</v>
      </c>
      <c r="O17" s="11" t="n">
        <f aca="false">IF(L17=0,0,E17/L17)</f>
        <v>0.223425869165426</v>
      </c>
      <c r="P17" s="11" t="n">
        <f aca="false">IF(L17=0,0,K17/L17)</f>
        <v>0.0233382958227516</v>
      </c>
      <c r="Q17" s="4" t="str">
        <f aca="false">INDEX($C$3:$I$3,MATCH(MAX(C17:I17),C17:I17,0))</f>
        <v>Juntos Hacemos Historia (Morena-PT-PVEM)</v>
      </c>
      <c r="R17" s="17" t="n">
        <f aca="false">IF(L17=0,0,(MAX(C17:I17)-LARGE(C17:I17,2))/L17*100)</f>
        <v>8.01602592170943</v>
      </c>
      <c r="S17" s="4" t="s">
        <v>24</v>
      </c>
      <c r="T17" s="4" t="s">
        <v>25</v>
      </c>
    </row>
    <row r="18" customFormat="false" ht="15" hidden="false" customHeight="false" outlineLevel="0" collapsed="false">
      <c r="A18" s="4" t="s">
        <v>58</v>
      </c>
      <c r="B18" s="4" t="n">
        <v>2</v>
      </c>
      <c r="C18" s="5" t="n">
        <v>63033</v>
      </c>
      <c r="D18" s="5" t="n">
        <v>94241</v>
      </c>
      <c r="E18" s="5" t="n">
        <v>28966</v>
      </c>
      <c r="F18" s="5" t="n">
        <v>1531</v>
      </c>
      <c r="G18" s="5" t="n">
        <v>1761</v>
      </c>
      <c r="H18" s="5" t="n">
        <v>821</v>
      </c>
      <c r="I18" s="5" t="n">
        <v>0</v>
      </c>
      <c r="J18" s="5" t="n">
        <v>43</v>
      </c>
      <c r="K18" s="5" t="n">
        <v>5678</v>
      </c>
      <c r="L18" s="5" t="n">
        <v>196074</v>
      </c>
      <c r="M18" s="11" t="n">
        <f aca="false">IF(L18=0,0,C18/L18)</f>
        <v>0.321475565347777</v>
      </c>
      <c r="N18" s="11" t="n">
        <f aca="false">IF(L18=0,0,D18/L18)</f>
        <v>0.480639962463152</v>
      </c>
      <c r="O18" s="11" t="n">
        <f aca="false">IF(L18=0,0,E18/L18)</f>
        <v>0.147729938696615</v>
      </c>
      <c r="P18" s="11" t="n">
        <f aca="false">IF(L18=0,0,K18/L18)</f>
        <v>0.0289584544610708</v>
      </c>
      <c r="Q18" s="4" t="str">
        <f aca="false">INDEX($C$3:$I$3,MATCH(MAX(C18:I18),C18:I18,0))</f>
        <v>Juntos Hacemos Historia (Morena-PT-PVEM)</v>
      </c>
      <c r="R18" s="17" t="n">
        <f aca="false">IF(L18=0,0,(MAX(C18:I18)-LARGE(C18:I18,2))/L18*100)</f>
        <v>15.9164397115375</v>
      </c>
      <c r="S18" s="4" t="s">
        <v>24</v>
      </c>
      <c r="T18" s="4" t="s">
        <v>25</v>
      </c>
    </row>
    <row r="19" customFormat="false" ht="15" hidden="false" customHeight="false" outlineLevel="0" collapsed="false">
      <c r="A19" s="4" t="s">
        <v>59</v>
      </c>
      <c r="B19" s="4" t="n">
        <v>1</v>
      </c>
      <c r="C19" s="5" t="n">
        <v>77144</v>
      </c>
      <c r="D19" s="5" t="n">
        <v>86783</v>
      </c>
      <c r="E19" s="5" t="n">
        <v>3027</v>
      </c>
      <c r="F19" s="5" t="n">
        <v>1735</v>
      </c>
      <c r="G19" s="5" t="n">
        <v>1001</v>
      </c>
      <c r="H19" s="5" t="n">
        <v>2415</v>
      </c>
      <c r="I19" s="5" t="n">
        <v>0</v>
      </c>
      <c r="J19" s="5" t="n">
        <v>98</v>
      </c>
      <c r="K19" s="5" t="n">
        <v>3602</v>
      </c>
      <c r="L19" s="5" t="n">
        <v>175805</v>
      </c>
      <c r="M19" s="11" t="n">
        <f aca="false">IF(L19=0,0,C19/L19)</f>
        <v>0.438804357100196</v>
      </c>
      <c r="N19" s="11" t="n">
        <f aca="false">IF(L19=0,0,D19/L19)</f>
        <v>0.493632149256278</v>
      </c>
      <c r="O19" s="11" t="n">
        <f aca="false">IF(L19=0,0,E19/L19)</f>
        <v>0.0172179403316174</v>
      </c>
      <c r="P19" s="11" t="n">
        <f aca="false">IF(L19=0,0,K19/L19)</f>
        <v>0.0204886095389778</v>
      </c>
      <c r="Q19" s="4" t="str">
        <f aca="false">INDEX($C$3:$I$3,MATCH(MAX(C19:I19),C19:I19,0))</f>
        <v>Juntos Hacemos Historia (Morena-PT-PVEM)</v>
      </c>
      <c r="R19" s="17" t="n">
        <f aca="false">IF(L19=0,0,(MAX(C19:I19)-LARGE(C19:I19,2))/L19*100)</f>
        <v>5.4827792156082</v>
      </c>
      <c r="S19" s="4" t="s">
        <v>23</v>
      </c>
      <c r="T19" s="4" t="s">
        <v>27</v>
      </c>
    </row>
    <row r="20" customFormat="false" ht="15" hidden="false" customHeight="false" outlineLevel="0" collapsed="false">
      <c r="A20" s="4" t="s">
        <v>59</v>
      </c>
      <c r="B20" s="4" t="n">
        <v>2</v>
      </c>
      <c r="C20" s="5" t="n">
        <v>96181</v>
      </c>
      <c r="D20" s="5" t="n">
        <v>86991</v>
      </c>
      <c r="E20" s="5" t="n">
        <v>3234</v>
      </c>
      <c r="F20" s="5" t="n">
        <v>1904</v>
      </c>
      <c r="G20" s="5" t="n">
        <v>879</v>
      </c>
      <c r="H20" s="5" t="n">
        <v>3158</v>
      </c>
      <c r="I20" s="5" t="n">
        <v>0</v>
      </c>
      <c r="J20" s="5" t="n">
        <v>88</v>
      </c>
      <c r="K20" s="5" t="n">
        <v>4250</v>
      </c>
      <c r="L20" s="5" t="n">
        <v>196685</v>
      </c>
      <c r="M20" s="11" t="n">
        <f aca="false">IF(L20=0,0,C20/L20)</f>
        <v>0.489010346493124</v>
      </c>
      <c r="N20" s="11" t="n">
        <f aca="false">IF(L20=0,0,D20/L20)</f>
        <v>0.442285888603605</v>
      </c>
      <c r="O20" s="11" t="n">
        <f aca="false">IF(L20=0,0,E20/L20)</f>
        <v>0.0164425350179221</v>
      </c>
      <c r="P20" s="11" t="n">
        <f aca="false">IF(L20=0,0,K20/L20)</f>
        <v>0.0216081551719755</v>
      </c>
      <c r="Q20" s="4" t="str">
        <f aca="false">INDEX($C$3:$I$3,MATCH(MAX(C20:I20),C20:I20,0))</f>
        <v>Va por México (PAN-PRI-PRD)</v>
      </c>
      <c r="R20" s="17" t="n">
        <f aca="false">IF(L20=0,0,(MAX(C20:I20)-LARGE(C20:I20,2))/L20*100)</f>
        <v>4.67244578895188</v>
      </c>
      <c r="S20" s="4" t="s">
        <v>23</v>
      </c>
      <c r="T20" s="4" t="s">
        <v>27</v>
      </c>
    </row>
    <row r="21" customFormat="false" ht="15" hidden="false" customHeight="false" outlineLevel="0" collapsed="false">
      <c r="A21" s="4" t="s">
        <v>59</v>
      </c>
      <c r="B21" s="4" t="n">
        <v>3</v>
      </c>
      <c r="C21" s="5" t="n">
        <v>115631</v>
      </c>
      <c r="D21" s="5" t="n">
        <v>55971</v>
      </c>
      <c r="E21" s="5" t="n">
        <v>5193</v>
      </c>
      <c r="F21" s="5" t="n">
        <v>1069</v>
      </c>
      <c r="G21" s="5" t="n">
        <v>550</v>
      </c>
      <c r="H21" s="5" t="n">
        <v>8588</v>
      </c>
      <c r="I21" s="5" t="n">
        <v>0</v>
      </c>
      <c r="J21" s="5" t="n">
        <v>44</v>
      </c>
      <c r="K21" s="5" t="n">
        <v>3418</v>
      </c>
      <c r="L21" s="5" t="n">
        <v>190464</v>
      </c>
      <c r="M21" s="11" t="n">
        <f aca="false">IF(L21=0,0,C21/L21)</f>
        <v>0.607101604502688</v>
      </c>
      <c r="N21" s="11" t="n">
        <f aca="false">IF(L21=0,0,D21/L21)</f>
        <v>0.293866557459677</v>
      </c>
      <c r="O21" s="11" t="n">
        <f aca="false">IF(L21=0,0,E21/L21)</f>
        <v>0.0272649949596774</v>
      </c>
      <c r="P21" s="11" t="n">
        <f aca="false">IF(L21=0,0,K21/L21)</f>
        <v>0.0179456485215054</v>
      </c>
      <c r="Q21" s="4" t="str">
        <f aca="false">INDEX($C$3:$I$3,MATCH(MAX(C21:I21),C21:I21,0))</f>
        <v>Va por México (PAN-PRI-PRD)</v>
      </c>
      <c r="R21" s="17" t="n">
        <f aca="false">IF(L21=0,0,(MAX(C21:I21)-LARGE(C21:I21,2))/L21*100)</f>
        <v>31.3235047043011</v>
      </c>
      <c r="S21" s="4" t="s">
        <v>27</v>
      </c>
      <c r="T21" s="4" t="s">
        <v>23</v>
      </c>
    </row>
    <row r="22" customFormat="false" ht="15" hidden="false" customHeight="false" outlineLevel="0" collapsed="false">
      <c r="A22" s="4" t="s">
        <v>59</v>
      </c>
      <c r="B22" s="4" t="n">
        <v>4</v>
      </c>
      <c r="C22" s="5" t="n">
        <v>112586</v>
      </c>
      <c r="D22" s="5" t="n">
        <v>62203</v>
      </c>
      <c r="E22" s="5" t="n">
        <v>3903</v>
      </c>
      <c r="F22" s="5" t="n">
        <v>1286</v>
      </c>
      <c r="G22" s="5" t="n">
        <v>505</v>
      </c>
      <c r="H22" s="5" t="n">
        <v>1449</v>
      </c>
      <c r="I22" s="5" t="n">
        <v>0</v>
      </c>
      <c r="J22" s="5" t="n">
        <v>61</v>
      </c>
      <c r="K22" s="5" t="n">
        <v>3956</v>
      </c>
      <c r="L22" s="5" t="n">
        <v>185949</v>
      </c>
      <c r="M22" s="11" t="n">
        <f aca="false">IF(L22=0,0,C22/L22)</f>
        <v>0.605467090438776</v>
      </c>
      <c r="N22" s="11" t="n">
        <f aca="false">IF(L22=0,0,D22/L22)</f>
        <v>0.334516453436157</v>
      </c>
      <c r="O22" s="11" t="n">
        <f aca="false">IF(L22=0,0,E22/L22)</f>
        <v>0.0209896261878257</v>
      </c>
      <c r="P22" s="11" t="n">
        <f aca="false">IF(L22=0,0,K22/L22)</f>
        <v>0.0212746505762333</v>
      </c>
      <c r="Q22" s="4" t="str">
        <f aca="false">INDEX($C$3:$I$3,MATCH(MAX(C22:I22),C22:I22,0))</f>
        <v>Va por México (PAN-PRI-PRD)</v>
      </c>
      <c r="R22" s="17" t="n">
        <f aca="false">IF(L22=0,0,(MAX(C22:I22)-LARGE(C22:I22,2))/L22*100)</f>
        <v>27.0950637002619</v>
      </c>
      <c r="S22" s="4" t="s">
        <v>27</v>
      </c>
      <c r="T22" s="4" t="s">
        <v>23</v>
      </c>
    </row>
    <row r="23" customFormat="false" ht="15" hidden="false" customHeight="false" outlineLevel="0" collapsed="false">
      <c r="A23" s="4" t="s">
        <v>59</v>
      </c>
      <c r="B23" s="4" t="n">
        <v>5</v>
      </c>
      <c r="C23" s="5" t="n">
        <v>118546</v>
      </c>
      <c r="D23" s="5" t="n">
        <v>64472</v>
      </c>
      <c r="E23" s="5" t="n">
        <v>1695</v>
      </c>
      <c r="F23" s="5" t="n">
        <v>611</v>
      </c>
      <c r="G23" s="5" t="n">
        <v>635</v>
      </c>
      <c r="H23" s="5" t="n">
        <v>1438</v>
      </c>
      <c r="I23" s="5" t="n">
        <v>0</v>
      </c>
      <c r="J23" s="5" t="n">
        <v>77</v>
      </c>
      <c r="K23" s="5" t="n">
        <v>3090</v>
      </c>
      <c r="L23" s="5" t="n">
        <v>190564</v>
      </c>
      <c r="M23" s="11" t="n">
        <f aca="false">IF(L23=0,0,C23/L23)</f>
        <v>0.622079721248504</v>
      </c>
      <c r="N23" s="11" t="n">
        <f aca="false">IF(L23=0,0,D23/L23)</f>
        <v>0.338322033542537</v>
      </c>
      <c r="O23" s="11" t="n">
        <f aca="false">IF(L23=0,0,E23/L23)</f>
        <v>0.00889464956654982</v>
      </c>
      <c r="P23" s="11" t="n">
        <f aca="false">IF(L23=0,0,K23/L23)</f>
        <v>0.0162150248735333</v>
      </c>
      <c r="Q23" s="4" t="str">
        <f aca="false">INDEX($C$3:$I$3,MATCH(MAX(C23:I23),C23:I23,0))</f>
        <v>Va por México (PAN-PRI-PRD)</v>
      </c>
      <c r="R23" s="17" t="n">
        <f aca="false">IF(L23=0,0,(MAX(C23:I23)-LARGE(C23:I23,2))/L23*100)</f>
        <v>28.3757687705968</v>
      </c>
      <c r="S23" s="4" t="s">
        <v>27</v>
      </c>
      <c r="T23" s="4" t="s">
        <v>23</v>
      </c>
    </row>
    <row r="24" customFormat="false" ht="15" hidden="false" customHeight="false" outlineLevel="0" collapsed="false">
      <c r="A24" s="4" t="s">
        <v>59</v>
      </c>
      <c r="B24" s="4" t="n">
        <v>6</v>
      </c>
      <c r="C24" s="5" t="n">
        <v>103457</v>
      </c>
      <c r="D24" s="5" t="n">
        <v>71729</v>
      </c>
      <c r="E24" s="5" t="n">
        <v>2082</v>
      </c>
      <c r="F24" s="5" t="n">
        <v>995</v>
      </c>
      <c r="G24" s="5" t="n">
        <v>691</v>
      </c>
      <c r="H24" s="5" t="n">
        <v>5409</v>
      </c>
      <c r="I24" s="5" t="n">
        <v>0</v>
      </c>
      <c r="J24" s="5" t="n">
        <v>53</v>
      </c>
      <c r="K24" s="5" t="n">
        <v>3728</v>
      </c>
      <c r="L24" s="5" t="n">
        <v>188144</v>
      </c>
      <c r="M24" s="11" t="n">
        <f aca="false">IF(L24=0,0,C24/L24)</f>
        <v>0.549882005272557</v>
      </c>
      <c r="N24" s="11" t="n">
        <f aca="false">IF(L24=0,0,D24/L24)</f>
        <v>0.381245216429969</v>
      </c>
      <c r="O24" s="11" t="n">
        <f aca="false">IF(L24=0,0,E24/L24)</f>
        <v>0.011065992006123</v>
      </c>
      <c r="P24" s="11" t="n">
        <f aca="false">IF(L24=0,0,K24/L24)</f>
        <v>0.0198146100858917</v>
      </c>
      <c r="Q24" s="4" t="str">
        <f aca="false">INDEX($C$3:$I$3,MATCH(MAX(C24:I24),C24:I24,0))</f>
        <v>Va por México (PAN-PRI-PRD)</v>
      </c>
      <c r="R24" s="17" t="n">
        <f aca="false">IF(L24=0,0,(MAX(C24:I24)-LARGE(C24:I24,2))/L24*100)</f>
        <v>16.8636788842589</v>
      </c>
      <c r="S24" s="4" t="s">
        <v>27</v>
      </c>
      <c r="T24" s="4" t="s">
        <v>23</v>
      </c>
    </row>
    <row r="25" customFormat="false" ht="15" hidden="false" customHeight="false" outlineLevel="0" collapsed="false">
      <c r="A25" s="4" t="s">
        <v>59</v>
      </c>
      <c r="B25" s="4" t="n">
        <v>7</v>
      </c>
      <c r="C25" s="5" t="n">
        <v>98291</v>
      </c>
      <c r="D25" s="5" t="n">
        <v>65696</v>
      </c>
      <c r="E25" s="5" t="n">
        <v>4363</v>
      </c>
      <c r="F25" s="5" t="n">
        <v>1412</v>
      </c>
      <c r="G25" s="5" t="n">
        <v>768</v>
      </c>
      <c r="H25" s="5" t="n">
        <v>4851</v>
      </c>
      <c r="I25" s="5" t="n">
        <v>0</v>
      </c>
      <c r="J25" s="5" t="n">
        <v>83</v>
      </c>
      <c r="K25" s="5" t="n">
        <v>4773</v>
      </c>
      <c r="L25" s="5" t="n">
        <v>180237</v>
      </c>
      <c r="M25" s="11" t="n">
        <f aca="false">IF(L25=0,0,C25/L25)</f>
        <v>0.545343076060964</v>
      </c>
      <c r="N25" s="11" t="n">
        <f aca="false">IF(L25=0,0,D25/L25)</f>
        <v>0.364497855601236</v>
      </c>
      <c r="O25" s="11" t="n">
        <f aca="false">IF(L25=0,0,E25/L25)</f>
        <v>0.0242070163174043</v>
      </c>
      <c r="P25" s="11" t="n">
        <f aca="false">IF(L25=0,0,K25/L25)</f>
        <v>0.0264817989646965</v>
      </c>
      <c r="Q25" s="4" t="str">
        <f aca="false">INDEX($C$3:$I$3,MATCH(MAX(C25:I25),C25:I25,0))</f>
        <v>Va por México (PAN-PRI-PRD)</v>
      </c>
      <c r="R25" s="17" t="n">
        <f aca="false">IF(L25=0,0,(MAX(C25:I25)-LARGE(C25:I25,2))/L25*100)</f>
        <v>18.0845220459728</v>
      </c>
      <c r="S25" s="4" t="s">
        <v>27</v>
      </c>
      <c r="T25" s="4" t="s">
        <v>24</v>
      </c>
    </row>
    <row r="26" customFormat="false" ht="15" hidden="false" customHeight="false" outlineLevel="0" collapsed="false">
      <c r="A26" s="4" t="s">
        <v>60</v>
      </c>
      <c r="B26" s="4" t="n">
        <v>1</v>
      </c>
      <c r="C26" s="5" t="n">
        <v>49660</v>
      </c>
      <c r="D26" s="5" t="n">
        <v>69849</v>
      </c>
      <c r="E26" s="5" t="n">
        <v>28765</v>
      </c>
      <c r="F26" s="5" t="n">
        <v>3610</v>
      </c>
      <c r="G26" s="5" t="n">
        <v>1699</v>
      </c>
      <c r="H26" s="5" t="n">
        <v>4515</v>
      </c>
      <c r="I26" s="5" t="n">
        <v>0</v>
      </c>
      <c r="J26" s="5" t="n">
        <v>139</v>
      </c>
      <c r="K26" s="5" t="n">
        <v>4607</v>
      </c>
      <c r="L26" s="5" t="n">
        <v>162844</v>
      </c>
      <c r="M26" s="11" t="n">
        <f aca="false">IF(L26=0,0,C26/L26)</f>
        <v>0.304954434919309</v>
      </c>
      <c r="N26" s="11" t="n">
        <f aca="false">IF(L26=0,0,D26/L26)</f>
        <v>0.428931983984672</v>
      </c>
      <c r="O26" s="11" t="n">
        <f aca="false">IF(L26=0,0,E26/L26)</f>
        <v>0.176641448257228</v>
      </c>
      <c r="P26" s="11" t="n">
        <f aca="false">IF(L26=0,0,K26/L26)</f>
        <v>0.0282908796148461</v>
      </c>
      <c r="Q26" s="4" t="str">
        <f aca="false">INDEX($C$3:$I$3,MATCH(MAX(C26:I26),C26:I26,0))</f>
        <v>Juntos Hacemos Historia (Morena-PT-PVEM)</v>
      </c>
      <c r="R26" s="17" t="n">
        <f aca="false">IF(L26=0,0,(MAX(C26:I26)-LARGE(C26:I26,2))/L26*100)</f>
        <v>12.3977549065363</v>
      </c>
      <c r="S26" s="4" t="s">
        <v>25</v>
      </c>
      <c r="T26" s="4" t="s">
        <v>24</v>
      </c>
    </row>
    <row r="27" customFormat="false" ht="15" hidden="false" customHeight="false" outlineLevel="0" collapsed="false">
      <c r="A27" s="4" t="s">
        <v>60</v>
      </c>
      <c r="B27" s="4" t="n">
        <v>2</v>
      </c>
      <c r="C27" s="5" t="n">
        <v>30074</v>
      </c>
      <c r="D27" s="5" t="n">
        <v>79214</v>
      </c>
      <c r="E27" s="5" t="n">
        <v>9584</v>
      </c>
      <c r="F27" s="5" t="n">
        <v>5557</v>
      </c>
      <c r="G27" s="5" t="n">
        <v>1439</v>
      </c>
      <c r="H27" s="5" t="n">
        <v>5022</v>
      </c>
      <c r="I27" s="5" t="n">
        <v>0</v>
      </c>
      <c r="J27" s="5" t="n">
        <v>151</v>
      </c>
      <c r="K27" s="5" t="n">
        <v>3811</v>
      </c>
      <c r="L27" s="5" t="n">
        <v>134852</v>
      </c>
      <c r="M27" s="11" t="n">
        <f aca="false">IF(L27=0,0,C27/L27)</f>
        <v>0.223014860736215</v>
      </c>
      <c r="N27" s="11" t="n">
        <f aca="false">IF(L27=0,0,D27/L27)</f>
        <v>0.587414350547267</v>
      </c>
      <c r="O27" s="11" t="n">
        <f aca="false">IF(L27=0,0,E27/L27)</f>
        <v>0.0710705069261116</v>
      </c>
      <c r="P27" s="11" t="n">
        <f aca="false">IF(L27=0,0,K27/L27)</f>
        <v>0.0282606116334945</v>
      </c>
      <c r="Q27" s="4" t="str">
        <f aca="false">INDEX($C$3:$I$3,MATCH(MAX(C27:I27),C27:I27,0))</f>
        <v>Juntos Hacemos Historia (Morena-PT-PVEM)</v>
      </c>
      <c r="R27" s="17" t="n">
        <f aca="false">IF(L27=0,0,(MAX(C27:I27)-LARGE(C27:I27,2))/L27*100)</f>
        <v>36.4399489811052</v>
      </c>
      <c r="S27" s="4" t="s">
        <v>24</v>
      </c>
      <c r="T27" s="4" t="s">
        <v>28</v>
      </c>
    </row>
    <row r="28" customFormat="false" ht="15" hidden="false" customHeight="false" outlineLevel="0" collapsed="false">
      <c r="A28" s="4" t="s">
        <v>61</v>
      </c>
      <c r="B28" s="4" t="n">
        <v>1</v>
      </c>
      <c r="C28" s="5" t="n">
        <v>14559</v>
      </c>
      <c r="D28" s="5" t="n">
        <v>138808</v>
      </c>
      <c r="E28" s="5" t="n">
        <v>4214</v>
      </c>
      <c r="F28" s="5" t="n">
        <v>9637</v>
      </c>
      <c r="G28" s="5" t="n">
        <v>13149</v>
      </c>
      <c r="H28" s="5" t="n">
        <v>2361</v>
      </c>
      <c r="I28" s="5" t="n">
        <v>0</v>
      </c>
      <c r="J28" s="5" t="n">
        <v>48</v>
      </c>
      <c r="K28" s="5" t="n">
        <v>13657</v>
      </c>
      <c r="L28" s="5" t="n">
        <v>196433</v>
      </c>
      <c r="M28" s="11" t="n">
        <f aca="false">IF(L28=0,0,C28/L28)</f>
        <v>0.0741168744559214</v>
      </c>
      <c r="N28" s="11" t="n">
        <f aca="false">IF(L28=0,0,D28/L28)</f>
        <v>0.70664297750378</v>
      </c>
      <c r="O28" s="11" t="n">
        <f aca="false">IF(L28=0,0,E28/L28)</f>
        <v>0.0214526072503093</v>
      </c>
      <c r="P28" s="11" t="n">
        <f aca="false">IF(L28=0,0,K28/L28)</f>
        <v>0.0695249779823146</v>
      </c>
      <c r="Q28" s="4" t="str">
        <f aca="false">INDEX($C$3:$I$3,MATCH(MAX(C28:I28),C28:I28,0))</f>
        <v>Juntos Hacemos Historia (Morena-PT-PVEM)</v>
      </c>
      <c r="R28" s="17" t="n">
        <f aca="false">IF(L28=0,0,(MAX(C28:I28)-LARGE(C28:I28,2))/L28*100)</f>
        <v>63.2526103047859</v>
      </c>
      <c r="S28" s="4" t="s">
        <v>23</v>
      </c>
      <c r="T28" s="4" t="s">
        <v>25</v>
      </c>
    </row>
    <row r="29" customFormat="false" ht="15" hidden="false" customHeight="false" outlineLevel="0" collapsed="false">
      <c r="A29" s="4" t="s">
        <v>61</v>
      </c>
      <c r="B29" s="4" t="n">
        <v>2</v>
      </c>
      <c r="C29" s="5" t="n">
        <v>64117</v>
      </c>
      <c r="D29" s="5" t="n">
        <v>90377</v>
      </c>
      <c r="E29" s="5" t="n">
        <v>2702</v>
      </c>
      <c r="F29" s="5" t="n">
        <v>14607</v>
      </c>
      <c r="G29" s="5" t="n">
        <v>2773</v>
      </c>
      <c r="H29" s="5" t="n">
        <v>4288</v>
      </c>
      <c r="I29" s="5" t="n">
        <v>0</v>
      </c>
      <c r="J29" s="5" t="n">
        <v>18</v>
      </c>
      <c r="K29" s="5" t="n">
        <v>15635</v>
      </c>
      <c r="L29" s="5" t="n">
        <v>194517</v>
      </c>
      <c r="M29" s="11" t="n">
        <f aca="false">IF(L29=0,0,C29/L29)</f>
        <v>0.329621575492116</v>
      </c>
      <c r="N29" s="11" t="n">
        <f aca="false">IF(L29=0,0,D29/L29)</f>
        <v>0.464622629384578</v>
      </c>
      <c r="O29" s="11" t="n">
        <f aca="false">IF(L29=0,0,E29/L29)</f>
        <v>0.0138908167409532</v>
      </c>
      <c r="P29" s="11" t="n">
        <f aca="false">IF(L29=0,0,K29/L29)</f>
        <v>0.0803785787360488</v>
      </c>
      <c r="Q29" s="4" t="str">
        <f aca="false">INDEX($C$3:$I$3,MATCH(MAX(C29:I29),C29:I29,0))</f>
        <v>Juntos Hacemos Historia (Morena-PT-PVEM)</v>
      </c>
      <c r="R29" s="17" t="n">
        <f aca="false">IF(L29=0,0,(MAX(C29:I29)-LARGE(C29:I29,2))/L29*100)</f>
        <v>13.5001053892462</v>
      </c>
      <c r="S29" s="4" t="s">
        <v>23</v>
      </c>
      <c r="T29" s="4" t="s">
        <v>25</v>
      </c>
    </row>
    <row r="30" customFormat="false" ht="15" hidden="false" customHeight="false" outlineLevel="0" collapsed="false">
      <c r="A30" s="4" t="s">
        <v>61</v>
      </c>
      <c r="B30" s="4" t="n">
        <v>3</v>
      </c>
      <c r="C30" s="5" t="n">
        <v>5164</v>
      </c>
      <c r="D30" s="5" t="n">
        <v>155568</v>
      </c>
      <c r="E30" s="5" t="n">
        <v>2921</v>
      </c>
      <c r="F30" s="5" t="n">
        <v>4040</v>
      </c>
      <c r="G30" s="5" t="n">
        <v>4675</v>
      </c>
      <c r="H30" s="5" t="n">
        <v>1336</v>
      </c>
      <c r="I30" s="5" t="n">
        <v>0</v>
      </c>
      <c r="J30" s="5" t="n">
        <v>18</v>
      </c>
      <c r="K30" s="5" t="n">
        <v>8217</v>
      </c>
      <c r="L30" s="5" t="n">
        <v>181939</v>
      </c>
      <c r="M30" s="11" t="n">
        <f aca="false">IF(L30=0,0,C30/L30)</f>
        <v>0.0283831394038661</v>
      </c>
      <c r="N30" s="11" t="n">
        <f aca="false">IF(L30=0,0,D30/L30)</f>
        <v>0.85505581541066</v>
      </c>
      <c r="O30" s="11" t="n">
        <f aca="false">IF(L30=0,0,E30/L30)</f>
        <v>0.0160548315644254</v>
      </c>
      <c r="P30" s="11" t="n">
        <f aca="false">IF(L30=0,0,K30/L30)</f>
        <v>0.0451634888616514</v>
      </c>
      <c r="Q30" s="4" t="str">
        <f aca="false">INDEX($C$3:$I$3,MATCH(MAX(C30:I30),C30:I30,0))</f>
        <v>Juntos Hacemos Historia (Morena-PT-PVEM)</v>
      </c>
      <c r="R30" s="17" t="n">
        <f aca="false">IF(L30=0,0,(MAX(C30:I30)-LARGE(C30:I30,2))/L30*100)</f>
        <v>82.6672676006794</v>
      </c>
      <c r="S30" s="4" t="s">
        <v>24</v>
      </c>
      <c r="T30" s="4" t="s">
        <v>28</v>
      </c>
    </row>
    <row r="31" customFormat="false" ht="15" hidden="false" customHeight="false" outlineLevel="0" collapsed="false">
      <c r="A31" s="4" t="s">
        <v>61</v>
      </c>
      <c r="B31" s="4" t="n">
        <v>4</v>
      </c>
      <c r="C31" s="5" t="n">
        <v>37541</v>
      </c>
      <c r="D31" s="5" t="n">
        <v>121023</v>
      </c>
      <c r="E31" s="5" t="n">
        <v>5397</v>
      </c>
      <c r="F31" s="5" t="n">
        <v>10728</v>
      </c>
      <c r="G31" s="5" t="n">
        <v>6440</v>
      </c>
      <c r="H31" s="5" t="n">
        <v>2493</v>
      </c>
      <c r="I31" s="5" t="n">
        <v>0</v>
      </c>
      <c r="J31" s="5" t="n">
        <v>70</v>
      </c>
      <c r="K31" s="5" t="n">
        <v>11880</v>
      </c>
      <c r="L31" s="5" t="n">
        <v>195572</v>
      </c>
      <c r="M31" s="11" t="n">
        <f aca="false">IF(L31=0,0,C31/L31)</f>
        <v>0.191954881066819</v>
      </c>
      <c r="N31" s="11" t="n">
        <f aca="false">IF(L31=0,0,D31/L31)</f>
        <v>0.618815576871945</v>
      </c>
      <c r="O31" s="11" t="n">
        <f aca="false">IF(L31=0,0,E31/L31)</f>
        <v>0.0275959748839302</v>
      </c>
      <c r="P31" s="11" t="n">
        <f aca="false">IF(L31=0,0,K31/L31)</f>
        <v>0.0607448919068169</v>
      </c>
      <c r="Q31" s="4" t="str">
        <f aca="false">INDEX($C$3:$I$3,MATCH(MAX(C31:I31),C31:I31,0))</f>
        <v>Juntos Hacemos Historia (Morena-PT-PVEM)</v>
      </c>
      <c r="R31" s="17" t="n">
        <f aca="false">IF(L31=0,0,(MAX(C31:I31)-LARGE(C31:I31,2))/L31*100)</f>
        <v>42.6860695805125</v>
      </c>
      <c r="S31" s="4" t="s">
        <v>24</v>
      </c>
      <c r="T31" s="4" t="s">
        <v>28</v>
      </c>
    </row>
    <row r="32" customFormat="false" ht="15" hidden="false" customHeight="false" outlineLevel="0" collapsed="false">
      <c r="A32" s="4" t="s">
        <v>61</v>
      </c>
      <c r="B32" s="4" t="n">
        <v>5</v>
      </c>
      <c r="C32" s="5" t="n">
        <v>72131</v>
      </c>
      <c r="D32" s="5" t="n">
        <v>65830</v>
      </c>
      <c r="E32" s="5" t="n">
        <v>5871</v>
      </c>
      <c r="F32" s="5" t="n">
        <v>10085</v>
      </c>
      <c r="G32" s="5" t="n">
        <v>6249</v>
      </c>
      <c r="H32" s="5" t="n">
        <v>2991</v>
      </c>
      <c r="I32" s="5" t="n">
        <v>0</v>
      </c>
      <c r="J32" s="5" t="n">
        <v>298</v>
      </c>
      <c r="K32" s="5" t="n">
        <v>13662</v>
      </c>
      <c r="L32" s="5" t="n">
        <v>177117</v>
      </c>
      <c r="M32" s="11" t="n">
        <f aca="false">IF(L32=0,0,C32/L32)</f>
        <v>0.407250574479017</v>
      </c>
      <c r="N32" s="11" t="n">
        <f aca="false">IF(L32=0,0,D32/L32)</f>
        <v>0.371675220334581</v>
      </c>
      <c r="O32" s="11" t="n">
        <f aca="false">IF(L32=0,0,E32/L32)</f>
        <v>0.0331475804129474</v>
      </c>
      <c r="P32" s="11" t="n">
        <f aca="false">IF(L32=0,0,K32/L32)</f>
        <v>0.0771354528362608</v>
      </c>
      <c r="Q32" s="4" t="str">
        <f aca="false">INDEX($C$3:$I$3,MATCH(MAX(C32:I32),C32:I32,0))</f>
        <v>Va por México (PAN-PRI-PRD)</v>
      </c>
      <c r="R32" s="17" t="n">
        <f aca="false">IF(L32=0,0,(MAX(C32:I32)-LARGE(C32:I32,2))/L32*100)</f>
        <v>3.55753541444356</v>
      </c>
      <c r="S32" s="4" t="s">
        <v>25</v>
      </c>
      <c r="T32" s="4" t="s">
        <v>23</v>
      </c>
    </row>
    <row r="33" customFormat="false" ht="15" hidden="false" customHeight="false" outlineLevel="0" collapsed="false">
      <c r="A33" s="4" t="s">
        <v>61</v>
      </c>
      <c r="B33" s="4" t="n">
        <v>6</v>
      </c>
      <c r="C33" s="5" t="n">
        <v>30665</v>
      </c>
      <c r="D33" s="5" t="n">
        <v>112255</v>
      </c>
      <c r="E33" s="5" t="n">
        <v>9962</v>
      </c>
      <c r="F33" s="5" t="n">
        <v>6207</v>
      </c>
      <c r="G33" s="5" t="n">
        <v>4802</v>
      </c>
      <c r="H33" s="5" t="n">
        <v>4212</v>
      </c>
      <c r="I33" s="5" t="n">
        <v>0</v>
      </c>
      <c r="J33" s="5" t="n">
        <v>162</v>
      </c>
      <c r="K33" s="5" t="n">
        <v>10408</v>
      </c>
      <c r="L33" s="5" t="n">
        <v>178673</v>
      </c>
      <c r="M33" s="11" t="n">
        <f aca="false">IF(L33=0,0,C33/L33)</f>
        <v>0.171626378915673</v>
      </c>
      <c r="N33" s="11" t="n">
        <f aca="false">IF(L33=0,0,D33/L33)</f>
        <v>0.628270639660161</v>
      </c>
      <c r="O33" s="11" t="n">
        <f aca="false">IF(L33=0,0,E33/L33)</f>
        <v>0.0557554862794043</v>
      </c>
      <c r="P33" s="11" t="n">
        <f aca="false">IF(L33=0,0,K33/L33)</f>
        <v>0.058251666452122</v>
      </c>
      <c r="Q33" s="4" t="str">
        <f aca="false">INDEX($C$3:$I$3,MATCH(MAX(C33:I33),C33:I33,0))</f>
        <v>Juntos Hacemos Historia (Morena-PT-PVEM)</v>
      </c>
      <c r="R33" s="17" t="n">
        <f aca="false">IF(L33=0,0,(MAX(C33:I33)-LARGE(C33:I33,2))/L33*100)</f>
        <v>45.6644260744489</v>
      </c>
      <c r="S33" s="4" t="s">
        <v>23</v>
      </c>
      <c r="T33" s="4" t="s">
        <v>25</v>
      </c>
    </row>
    <row r="34" customFormat="false" ht="15" hidden="false" customHeight="false" outlineLevel="0" collapsed="false">
      <c r="A34" s="4" t="s">
        <v>61</v>
      </c>
      <c r="B34" s="4" t="n">
        <v>7</v>
      </c>
      <c r="C34" s="5" t="n">
        <v>21806</v>
      </c>
      <c r="D34" s="5" t="n">
        <v>110741</v>
      </c>
      <c r="E34" s="5" t="n">
        <v>3716</v>
      </c>
      <c r="F34" s="5" t="n">
        <v>12695</v>
      </c>
      <c r="G34" s="5" t="n">
        <v>11198</v>
      </c>
      <c r="H34" s="5" t="n">
        <v>3065</v>
      </c>
      <c r="I34" s="5" t="n">
        <v>0</v>
      </c>
      <c r="J34" s="5" t="n">
        <v>86</v>
      </c>
      <c r="K34" s="5" t="n">
        <v>7092</v>
      </c>
      <c r="L34" s="5" t="n">
        <v>170399</v>
      </c>
      <c r="M34" s="11" t="n">
        <f aca="false">IF(L34=0,0,C34/L34)</f>
        <v>0.127970234567104</v>
      </c>
      <c r="N34" s="11" t="n">
        <f aca="false">IF(L34=0,0,D34/L34)</f>
        <v>0.649892311574599</v>
      </c>
      <c r="O34" s="11" t="n">
        <f aca="false">IF(L34=0,0,E34/L34)</f>
        <v>0.0218076397161955</v>
      </c>
      <c r="P34" s="11" t="n">
        <f aca="false">IF(L34=0,0,K34/L34)</f>
        <v>0.0416199625584657</v>
      </c>
      <c r="Q34" s="4" t="str">
        <f aca="false">INDEX($C$3:$I$3,MATCH(MAX(C34:I34),C34:I34,0))</f>
        <v>Juntos Hacemos Historia (Morena-PT-PVEM)</v>
      </c>
      <c r="R34" s="17" t="n">
        <f aca="false">IF(L34=0,0,(MAX(C34:I34)-LARGE(C34:I34,2))/L34*100)</f>
        <v>52.1922077007494</v>
      </c>
      <c r="S34" s="4" t="s">
        <v>23</v>
      </c>
      <c r="T34" s="4" t="s">
        <v>25</v>
      </c>
    </row>
    <row r="35" customFormat="false" ht="15" hidden="false" customHeight="false" outlineLevel="0" collapsed="false">
      <c r="A35" s="4" t="s">
        <v>61</v>
      </c>
      <c r="B35" s="4" t="n">
        <v>8</v>
      </c>
      <c r="C35" s="5" t="n">
        <v>28734</v>
      </c>
      <c r="D35" s="5" t="n">
        <v>104302</v>
      </c>
      <c r="E35" s="5" t="n">
        <v>5127</v>
      </c>
      <c r="F35" s="5" t="n">
        <v>6544</v>
      </c>
      <c r="G35" s="5" t="n">
        <v>3763</v>
      </c>
      <c r="H35" s="5" t="n">
        <v>2760</v>
      </c>
      <c r="I35" s="5" t="n">
        <v>0</v>
      </c>
      <c r="J35" s="5" t="n">
        <v>867</v>
      </c>
      <c r="K35" s="5" t="n">
        <v>9988</v>
      </c>
      <c r="L35" s="5" t="n">
        <v>162085</v>
      </c>
      <c r="M35" s="11" t="n">
        <f aca="false">IF(L35=0,0,C35/L35)</f>
        <v>0.177277354474504</v>
      </c>
      <c r="N35" s="11" t="n">
        <f aca="false">IF(L35=0,0,D35/L35)</f>
        <v>0.643501866304717</v>
      </c>
      <c r="O35" s="11" t="n">
        <f aca="false">IF(L35=0,0,E35/L35)</f>
        <v>0.0316315513465157</v>
      </c>
      <c r="P35" s="11" t="n">
        <f aca="false">IF(L35=0,0,K35/L35)</f>
        <v>0.0616219884628436</v>
      </c>
      <c r="Q35" s="4" t="str">
        <f aca="false">INDEX($C$3:$I$3,MATCH(MAX(C35:I35),C35:I35,0))</f>
        <v>Juntos Hacemos Historia (Morena-PT-PVEM)</v>
      </c>
      <c r="R35" s="17" t="n">
        <f aca="false">IF(L35=0,0,(MAX(C35:I35)-LARGE(C35:I35,2))/L35*100)</f>
        <v>46.6224511830213</v>
      </c>
      <c r="S35" s="4" t="s">
        <v>23</v>
      </c>
      <c r="T35" s="4" t="s">
        <v>25</v>
      </c>
    </row>
    <row r="36" customFormat="false" ht="15" hidden="false" customHeight="false" outlineLevel="0" collapsed="false">
      <c r="A36" s="4" t="s">
        <v>61</v>
      </c>
      <c r="B36" s="4" t="n">
        <v>9</v>
      </c>
      <c r="C36" s="5" t="n">
        <v>35520</v>
      </c>
      <c r="D36" s="5" t="n">
        <v>66911</v>
      </c>
      <c r="E36" s="5" t="n">
        <v>14612</v>
      </c>
      <c r="F36" s="5" t="n">
        <v>4573</v>
      </c>
      <c r="G36" s="5" t="n">
        <v>6542</v>
      </c>
      <c r="H36" s="5" t="n">
        <v>2404</v>
      </c>
      <c r="I36" s="5" t="n">
        <v>0</v>
      </c>
      <c r="J36" s="5" t="n">
        <v>244</v>
      </c>
      <c r="K36" s="5" t="n">
        <v>6587</v>
      </c>
      <c r="L36" s="5" t="n">
        <v>137393</v>
      </c>
      <c r="M36" s="11" t="n">
        <f aca="false">IF(L36=0,0,C36/L36)</f>
        <v>0.258528454870335</v>
      </c>
      <c r="N36" s="11" t="n">
        <f aca="false">IF(L36=0,0,D36/L36)</f>
        <v>0.487004432540231</v>
      </c>
      <c r="O36" s="11" t="n">
        <f aca="false">IF(L36=0,0,E36/L36)</f>
        <v>0.106351851986637</v>
      </c>
      <c r="P36" s="11" t="n">
        <f aca="false">IF(L36=0,0,K36/L36)</f>
        <v>0.0479427627317258</v>
      </c>
      <c r="Q36" s="4" t="str">
        <f aca="false">INDEX($C$3:$I$3,MATCH(MAX(C36:I36),C36:I36,0))</f>
        <v>Juntos Hacemos Historia (Morena-PT-PVEM)</v>
      </c>
      <c r="R36" s="17" t="n">
        <f aca="false">IF(L36=0,0,(MAX(C36:I36)-LARGE(C36:I36,2))/L36*100)</f>
        <v>22.8475977669896</v>
      </c>
      <c r="S36" s="4" t="s">
        <v>23</v>
      </c>
      <c r="T36" s="4" t="s">
        <v>25</v>
      </c>
    </row>
    <row r="37" customFormat="false" ht="15" hidden="false" customHeight="false" outlineLevel="0" collapsed="false">
      <c r="A37" s="4" t="s">
        <v>61</v>
      </c>
      <c r="B37" s="4" t="n">
        <v>10</v>
      </c>
      <c r="C37" s="5" t="n">
        <v>18888</v>
      </c>
      <c r="D37" s="5" t="n">
        <v>120978</v>
      </c>
      <c r="E37" s="5" t="n">
        <v>4600</v>
      </c>
      <c r="F37" s="5" t="n">
        <v>15211</v>
      </c>
      <c r="G37" s="5" t="n">
        <v>3465</v>
      </c>
      <c r="H37" s="5" t="n">
        <v>2201</v>
      </c>
      <c r="I37" s="5" t="n">
        <v>0</v>
      </c>
      <c r="J37" s="5" t="n">
        <v>50</v>
      </c>
      <c r="K37" s="5" t="n">
        <v>10944</v>
      </c>
      <c r="L37" s="5" t="n">
        <v>176337</v>
      </c>
      <c r="M37" s="11" t="n">
        <f aca="false">IF(L37=0,0,C37/L37)</f>
        <v>0.107113084605046</v>
      </c>
      <c r="N37" s="11" t="n">
        <f aca="false">IF(L37=0,0,D37/L37)</f>
        <v>0.68606134844077</v>
      </c>
      <c r="O37" s="11" t="n">
        <f aca="false">IF(L37=0,0,E37/L37)</f>
        <v>0.0260864140821268</v>
      </c>
      <c r="P37" s="11" t="n">
        <f aca="false">IF(L37=0,0,K37/L37)</f>
        <v>0.0620629816771296</v>
      </c>
      <c r="Q37" s="4" t="str">
        <f aca="false">INDEX($C$3:$I$3,MATCH(MAX(C37:I37),C37:I37,0))</f>
        <v>Juntos Hacemos Historia (Morena-PT-PVEM)</v>
      </c>
      <c r="R37" s="17" t="n">
        <f aca="false">IF(L37=0,0,(MAX(C37:I37)-LARGE(C37:I37,2))/L37*100)</f>
        <v>57.8948263835724</v>
      </c>
      <c r="S37" s="4" t="s">
        <v>23</v>
      </c>
      <c r="T37" s="4" t="s">
        <v>25</v>
      </c>
    </row>
    <row r="38" customFormat="false" ht="15" hidden="false" customHeight="false" outlineLevel="0" collapsed="false">
      <c r="A38" s="4" t="s">
        <v>61</v>
      </c>
      <c r="B38" s="4" t="n">
        <v>11</v>
      </c>
      <c r="C38" s="5" t="n">
        <v>14969</v>
      </c>
      <c r="D38" s="5" t="n">
        <v>89151</v>
      </c>
      <c r="E38" s="5" t="n">
        <v>2340</v>
      </c>
      <c r="F38" s="5" t="n">
        <v>26254</v>
      </c>
      <c r="G38" s="5" t="n">
        <v>2496</v>
      </c>
      <c r="H38" s="5" t="n">
        <v>1731</v>
      </c>
      <c r="I38" s="5" t="n">
        <v>0</v>
      </c>
      <c r="J38" s="5" t="n">
        <v>52</v>
      </c>
      <c r="K38" s="5" t="n">
        <v>13776</v>
      </c>
      <c r="L38" s="5" t="n">
        <v>150769</v>
      </c>
      <c r="M38" s="11" t="n">
        <f aca="false">IF(L38=0,0,C38/L38)</f>
        <v>0.0992843356392893</v>
      </c>
      <c r="N38" s="11" t="n">
        <f aca="false">IF(L38=0,0,D38/L38)</f>
        <v>0.591308558125344</v>
      </c>
      <c r="O38" s="11" t="n">
        <f aca="false">IF(L38=0,0,E38/L38)</f>
        <v>0.0155204319190284</v>
      </c>
      <c r="P38" s="11" t="n">
        <f aca="false">IF(L38=0,0,K38/L38)</f>
        <v>0.09137156842587</v>
      </c>
      <c r="Q38" s="4" t="str">
        <f aca="false">INDEX($C$3:$I$3,MATCH(MAX(C38:I38),C38:I38,0))</f>
        <v>Juntos Hacemos Historia (Morena-PT-PVEM)</v>
      </c>
      <c r="R38" s="17" t="n">
        <f aca="false">IF(L38=0,0,(MAX(C38:I38)-LARGE(C38:I38,2))/L38*100)</f>
        <v>41.7174618124416</v>
      </c>
      <c r="S38" s="4" t="s">
        <v>23</v>
      </c>
      <c r="T38" s="4" t="s">
        <v>11</v>
      </c>
    </row>
    <row r="39" customFormat="false" ht="15" hidden="false" customHeight="false" outlineLevel="0" collapsed="false">
      <c r="A39" s="4" t="s">
        <v>61</v>
      </c>
      <c r="B39" s="4" t="n">
        <v>12</v>
      </c>
      <c r="C39" s="5" t="n">
        <v>29798</v>
      </c>
      <c r="D39" s="5" t="n">
        <v>101850</v>
      </c>
      <c r="E39" s="5" t="n">
        <v>3950</v>
      </c>
      <c r="F39" s="5" t="n">
        <v>8758</v>
      </c>
      <c r="G39" s="5" t="n">
        <v>4775</v>
      </c>
      <c r="H39" s="5" t="n">
        <v>1884</v>
      </c>
      <c r="I39" s="5" t="n">
        <v>0</v>
      </c>
      <c r="J39" s="5" t="n">
        <v>107</v>
      </c>
      <c r="K39" s="5" t="n">
        <v>7457</v>
      </c>
      <c r="L39" s="5" t="n">
        <v>158579</v>
      </c>
      <c r="M39" s="11" t="n">
        <f aca="false">IF(L39=0,0,C39/L39)</f>
        <v>0.187906343210639</v>
      </c>
      <c r="N39" s="11" t="n">
        <f aca="false">IF(L39=0,0,D39/L39)</f>
        <v>0.642266630512237</v>
      </c>
      <c r="O39" s="11" t="n">
        <f aca="false">IF(L39=0,0,E39/L39)</f>
        <v>0.0249087205746032</v>
      </c>
      <c r="P39" s="11" t="n">
        <f aca="false">IF(L39=0,0,K39/L39)</f>
        <v>0.0470238808417256</v>
      </c>
      <c r="Q39" s="4" t="str">
        <f aca="false">INDEX($C$3:$I$3,MATCH(MAX(C39:I39),C39:I39,0))</f>
        <v>Juntos Hacemos Historia (Morena-PT-PVEM)</v>
      </c>
      <c r="R39" s="17" t="n">
        <f aca="false">IF(L39=0,0,(MAX(C39:I39)-LARGE(C39:I39,2))/L39*100)</f>
        <v>45.4360287301597</v>
      </c>
      <c r="S39" s="4" t="s">
        <v>24</v>
      </c>
      <c r="T39" s="4" t="s">
        <v>25</v>
      </c>
    </row>
    <row r="40" customFormat="false" ht="15" hidden="false" customHeight="false" outlineLevel="0" collapsed="false">
      <c r="A40" s="4" t="s">
        <v>61</v>
      </c>
      <c r="B40" s="4" t="n">
        <v>13</v>
      </c>
      <c r="C40" s="5" t="n">
        <v>22563</v>
      </c>
      <c r="D40" s="5" t="n">
        <v>102458</v>
      </c>
      <c r="E40" s="5" t="n">
        <v>3036</v>
      </c>
      <c r="F40" s="5" t="n">
        <v>15494</v>
      </c>
      <c r="G40" s="5" t="n">
        <v>8599</v>
      </c>
      <c r="H40" s="5" t="n">
        <v>1447</v>
      </c>
      <c r="I40" s="5" t="n">
        <v>0</v>
      </c>
      <c r="J40" s="5" t="n">
        <v>88</v>
      </c>
      <c r="K40" s="5" t="n">
        <v>11317</v>
      </c>
      <c r="L40" s="5" t="n">
        <v>165002</v>
      </c>
      <c r="M40" s="11" t="n">
        <f aca="false">IF(L40=0,0,C40/L40)</f>
        <v>0.136743797044884</v>
      </c>
      <c r="N40" s="11" t="n">
        <f aca="false">IF(L40=0,0,D40/L40)</f>
        <v>0.620950049090314</v>
      </c>
      <c r="O40" s="11" t="n">
        <f aca="false">IF(L40=0,0,E40/L40)</f>
        <v>0.0183997769724003</v>
      </c>
      <c r="P40" s="11" t="n">
        <f aca="false">IF(L40=0,0,K40/L40)</f>
        <v>0.0685870474297281</v>
      </c>
      <c r="Q40" s="4" t="str">
        <f aca="false">INDEX($C$3:$I$3,MATCH(MAX(C40:I40),C40:I40,0))</f>
        <v>Juntos Hacemos Historia (Morena-PT-PVEM)</v>
      </c>
      <c r="R40" s="17" t="n">
        <f aca="false">IF(L40=0,0,(MAX(C40:I40)-LARGE(C40:I40,2))/L40*100)</f>
        <v>48.420625204543</v>
      </c>
      <c r="S40" s="4" t="s">
        <v>23</v>
      </c>
      <c r="T40" s="4" t="s">
        <v>25</v>
      </c>
    </row>
    <row r="41" customFormat="false" ht="15" hidden="false" customHeight="false" outlineLevel="0" collapsed="false">
      <c r="A41" s="4" t="s">
        <v>62</v>
      </c>
      <c r="B41" s="4" t="n">
        <v>1</v>
      </c>
      <c r="C41" s="5" t="n">
        <v>30178</v>
      </c>
      <c r="D41" s="5" t="n">
        <v>70162</v>
      </c>
      <c r="E41" s="5" t="n">
        <v>8822</v>
      </c>
      <c r="F41" s="5" t="n">
        <v>2711</v>
      </c>
      <c r="G41" s="5" t="n">
        <v>944</v>
      </c>
      <c r="H41" s="5" t="n">
        <v>1991</v>
      </c>
      <c r="I41" s="5" t="n">
        <v>0</v>
      </c>
      <c r="J41" s="5" t="n">
        <v>84</v>
      </c>
      <c r="K41" s="5" t="n">
        <v>3925</v>
      </c>
      <c r="L41" s="5" t="n">
        <v>118817</v>
      </c>
      <c r="M41" s="11" t="n">
        <f aca="false">IF(L41=0,0,C41/L41)</f>
        <v>0.253987224050431</v>
      </c>
      <c r="N41" s="11" t="n">
        <f aca="false">IF(L41=0,0,D41/L41)</f>
        <v>0.590504725754732</v>
      </c>
      <c r="O41" s="11" t="n">
        <f aca="false">IF(L41=0,0,E41/L41)</f>
        <v>0.0742486344546656</v>
      </c>
      <c r="P41" s="11" t="n">
        <f aca="false">IF(L41=0,0,K41/L41)</f>
        <v>0.0330339934521154</v>
      </c>
      <c r="Q41" s="4" t="str">
        <f aca="false">INDEX($C$3:$I$3,MATCH(MAX(C41:I41),C41:I41,0))</f>
        <v>Juntos Hacemos Historia (Morena-PT-PVEM)</v>
      </c>
      <c r="R41" s="17" t="n">
        <f aca="false">IF(L41=0,0,(MAX(C41:I41)-LARGE(C41:I41,2))/L41*100)</f>
        <v>33.6517501704302</v>
      </c>
      <c r="S41" s="4" t="s">
        <v>24</v>
      </c>
      <c r="T41" s="4" t="s">
        <v>25</v>
      </c>
    </row>
    <row r="42" customFormat="false" ht="15" hidden="false" customHeight="false" outlineLevel="0" collapsed="false">
      <c r="A42" s="4" t="s">
        <v>62</v>
      </c>
      <c r="B42" s="4" t="n">
        <v>2</v>
      </c>
      <c r="C42" s="5" t="n">
        <v>42763</v>
      </c>
      <c r="D42" s="5" t="n">
        <v>59680</v>
      </c>
      <c r="E42" s="5" t="n">
        <v>10691</v>
      </c>
      <c r="F42" s="5" t="n">
        <v>3166</v>
      </c>
      <c r="G42" s="5" t="n">
        <v>832</v>
      </c>
      <c r="H42" s="5" t="n">
        <v>2434</v>
      </c>
      <c r="I42" s="5" t="n">
        <v>0</v>
      </c>
      <c r="J42" s="5" t="n">
        <v>51</v>
      </c>
      <c r="K42" s="5" t="n">
        <v>4399</v>
      </c>
      <c r="L42" s="5" t="n">
        <v>124016</v>
      </c>
      <c r="M42" s="11" t="n">
        <f aca="false">IF(L42=0,0,C42/L42)</f>
        <v>0.344818410527674</v>
      </c>
      <c r="N42" s="11" t="n">
        <f aca="false">IF(L42=0,0,D42/L42)</f>
        <v>0.481228228615663</v>
      </c>
      <c r="O42" s="11" t="n">
        <f aca="false">IF(L42=0,0,E42/L42)</f>
        <v>0.0862066185008386</v>
      </c>
      <c r="P42" s="11" t="n">
        <f aca="false">IF(L42=0,0,K42/L42)</f>
        <v>0.0354712295187718</v>
      </c>
      <c r="Q42" s="4" t="str">
        <f aca="false">INDEX($C$3:$I$3,MATCH(MAX(C42:I42),C42:I42,0))</f>
        <v>Juntos Hacemos Historia (Morena-PT-PVEM)</v>
      </c>
      <c r="R42" s="17" t="n">
        <f aca="false">IF(L42=0,0,(MAX(C42:I42)-LARGE(C42:I42,2))/L42*100)</f>
        <v>13.6409818087989</v>
      </c>
      <c r="S42" s="4" t="s">
        <v>23</v>
      </c>
      <c r="T42" s="4" t="s">
        <v>25</v>
      </c>
    </row>
    <row r="43" customFormat="false" ht="15" hidden="false" customHeight="false" outlineLevel="0" collapsed="false">
      <c r="A43" s="4" t="s">
        <v>62</v>
      </c>
      <c r="B43" s="4" t="n">
        <v>3</v>
      </c>
      <c r="C43" s="5" t="n">
        <v>26844</v>
      </c>
      <c r="D43" s="5" t="n">
        <v>58908</v>
      </c>
      <c r="E43" s="5" t="n">
        <v>7624</v>
      </c>
      <c r="F43" s="5" t="n">
        <v>2776</v>
      </c>
      <c r="G43" s="5" t="n">
        <v>839</v>
      </c>
      <c r="H43" s="5" t="n">
        <v>1955</v>
      </c>
      <c r="I43" s="5" t="n">
        <v>0</v>
      </c>
      <c r="J43" s="5" t="n">
        <v>101</v>
      </c>
      <c r="K43" s="5" t="n">
        <v>3553</v>
      </c>
      <c r="L43" s="5" t="n">
        <v>102600</v>
      </c>
      <c r="M43" s="11" t="n">
        <f aca="false">IF(L43=0,0,C43/L43)</f>
        <v>0.261637426900585</v>
      </c>
      <c r="N43" s="11" t="n">
        <f aca="false">IF(L43=0,0,D43/L43)</f>
        <v>0.574152046783626</v>
      </c>
      <c r="O43" s="11" t="n">
        <f aca="false">IF(L43=0,0,E43/L43)</f>
        <v>0.0743079922027291</v>
      </c>
      <c r="P43" s="11" t="n">
        <f aca="false">IF(L43=0,0,K43/L43)</f>
        <v>0.0346296296296296</v>
      </c>
      <c r="Q43" s="4" t="str">
        <f aca="false">INDEX($C$3:$I$3,MATCH(MAX(C43:I43),C43:I43,0))</f>
        <v>Juntos Hacemos Historia (Morena-PT-PVEM)</v>
      </c>
      <c r="R43" s="17" t="n">
        <f aca="false">IF(L43=0,0,(MAX(C43:I43)-LARGE(C43:I43,2))/L43*100)</f>
        <v>31.2514619883041</v>
      </c>
      <c r="S43" s="4" t="s">
        <v>23</v>
      </c>
      <c r="T43" s="4" t="s">
        <v>25</v>
      </c>
    </row>
    <row r="44" customFormat="false" ht="15" hidden="false" customHeight="false" outlineLevel="0" collapsed="false">
      <c r="A44" s="4" t="s">
        <v>62</v>
      </c>
      <c r="B44" s="4" t="n">
        <v>4</v>
      </c>
      <c r="C44" s="5" t="n">
        <v>73600</v>
      </c>
      <c r="D44" s="5" t="n">
        <v>64162</v>
      </c>
      <c r="E44" s="5" t="n">
        <v>10326</v>
      </c>
      <c r="F44" s="5" t="n">
        <v>3221</v>
      </c>
      <c r="G44" s="5" t="n">
        <v>1614</v>
      </c>
      <c r="H44" s="5" t="n">
        <v>2394</v>
      </c>
      <c r="I44" s="5" t="n">
        <v>0</v>
      </c>
      <c r="J44" s="5" t="n">
        <v>173</v>
      </c>
      <c r="K44" s="5" t="n">
        <v>3981</v>
      </c>
      <c r="L44" s="5" t="n">
        <v>159471</v>
      </c>
      <c r="M44" s="11" t="n">
        <f aca="false">IF(L44=0,0,C44/L44)</f>
        <v>0.461525920073242</v>
      </c>
      <c r="N44" s="11" t="n">
        <f aca="false">IF(L44=0,0,D44/L44)</f>
        <v>0.40234274570298</v>
      </c>
      <c r="O44" s="11" t="n">
        <f aca="false">IF(L44=0,0,E44/L44)</f>
        <v>0.0647515849276671</v>
      </c>
      <c r="P44" s="11" t="n">
        <f aca="false">IF(L44=0,0,K44/L44)</f>
        <v>0.024963786519179</v>
      </c>
      <c r="Q44" s="4" t="str">
        <f aca="false">INDEX($C$3:$I$3,MATCH(MAX(C44:I44),C44:I44,0))</f>
        <v>Va por México (PAN-PRI-PRD)</v>
      </c>
      <c r="R44" s="17" t="n">
        <f aca="false">IF(L44=0,0,(MAX(C44:I44)-LARGE(C44:I44,2))/L44*100)</f>
        <v>5.91831743702617</v>
      </c>
      <c r="S44" s="4" t="s">
        <v>25</v>
      </c>
      <c r="T44" s="4" t="s">
        <v>23</v>
      </c>
    </row>
    <row r="45" customFormat="false" ht="15" hidden="false" customHeight="false" outlineLevel="0" collapsed="false">
      <c r="A45" s="4" t="s">
        <v>62</v>
      </c>
      <c r="B45" s="4" t="n">
        <v>5</v>
      </c>
      <c r="C45" s="5" t="n">
        <v>102623</v>
      </c>
      <c r="D45" s="5" t="n">
        <v>38381</v>
      </c>
      <c r="E45" s="5" t="n">
        <v>18891</v>
      </c>
      <c r="F45" s="5" t="n">
        <v>4214</v>
      </c>
      <c r="G45" s="5" t="n">
        <v>1002</v>
      </c>
      <c r="H45" s="5" t="n">
        <v>1260</v>
      </c>
      <c r="I45" s="5" t="n">
        <v>0</v>
      </c>
      <c r="J45" s="5" t="n">
        <v>56</v>
      </c>
      <c r="K45" s="5" t="n">
        <v>5423</v>
      </c>
      <c r="L45" s="5" t="n">
        <v>171850</v>
      </c>
      <c r="M45" s="11" t="n">
        <f aca="false">IF(L45=0,0,C45/L45)</f>
        <v>0.597166133255746</v>
      </c>
      <c r="N45" s="11" t="n">
        <f aca="false">IF(L45=0,0,D45/L45)</f>
        <v>0.223340122199593</v>
      </c>
      <c r="O45" s="11" t="n">
        <f aca="false">IF(L45=0,0,E45/L45)</f>
        <v>0.109927262147221</v>
      </c>
      <c r="P45" s="11" t="n">
        <f aca="false">IF(L45=0,0,K45/L45)</f>
        <v>0.0315565900494617</v>
      </c>
      <c r="Q45" s="4" t="str">
        <f aca="false">INDEX($C$3:$I$3,MATCH(MAX(C45:I45),C45:I45,0))</f>
        <v>Va por México (PAN-PRI-PRD)</v>
      </c>
      <c r="R45" s="17" t="n">
        <f aca="false">IF(L45=0,0,(MAX(C45:I45)-LARGE(C45:I45,2))/L45*100)</f>
        <v>37.3826011056154</v>
      </c>
      <c r="S45" s="4" t="s">
        <v>25</v>
      </c>
      <c r="T45" s="4" t="s">
        <v>23</v>
      </c>
    </row>
    <row r="46" customFormat="false" ht="15" hidden="false" customHeight="false" outlineLevel="0" collapsed="false">
      <c r="A46" s="4" t="s">
        <v>62</v>
      </c>
      <c r="B46" s="4" t="n">
        <v>6</v>
      </c>
      <c r="C46" s="5" t="n">
        <v>137611</v>
      </c>
      <c r="D46" s="5" t="n">
        <v>49242</v>
      </c>
      <c r="E46" s="5" t="n">
        <v>11788</v>
      </c>
      <c r="F46" s="5" t="n">
        <v>2865</v>
      </c>
      <c r="G46" s="5" t="n">
        <v>740</v>
      </c>
      <c r="H46" s="5" t="n">
        <v>1504</v>
      </c>
      <c r="I46" s="5" t="n">
        <v>0</v>
      </c>
      <c r="J46" s="5" t="n">
        <v>107</v>
      </c>
      <c r="K46" s="5" t="n">
        <v>4274</v>
      </c>
      <c r="L46" s="5" t="n">
        <v>208131</v>
      </c>
      <c r="M46" s="11" t="n">
        <f aca="false">IF(L46=0,0,C46/L46)</f>
        <v>0.661174933095022</v>
      </c>
      <c r="N46" s="11" t="n">
        <f aca="false">IF(L46=0,0,D46/L46)</f>
        <v>0.236591377545873</v>
      </c>
      <c r="O46" s="11" t="n">
        <f aca="false">IF(L46=0,0,E46/L46)</f>
        <v>0.056637406248949</v>
      </c>
      <c r="P46" s="11" t="n">
        <f aca="false">IF(L46=0,0,K46/L46)</f>
        <v>0.0205351437315921</v>
      </c>
      <c r="Q46" s="4" t="str">
        <f aca="false">INDEX($C$3:$I$3,MATCH(MAX(C46:I46),C46:I46,0))</f>
        <v>Va por México (PAN-PRI-PRD)</v>
      </c>
      <c r="R46" s="17" t="n">
        <f aca="false">IF(L46=0,0,(MAX(C46:I46)-LARGE(C46:I46,2))/L46*100)</f>
        <v>42.4583555549149</v>
      </c>
      <c r="S46" s="4" t="s">
        <v>26</v>
      </c>
      <c r="T46" s="4" t="s">
        <v>24</v>
      </c>
    </row>
    <row r="47" customFormat="false" ht="15" hidden="false" customHeight="false" outlineLevel="0" collapsed="false">
      <c r="A47" s="4" t="s">
        <v>62</v>
      </c>
      <c r="B47" s="4" t="n">
        <v>7</v>
      </c>
      <c r="C47" s="5" t="n">
        <v>83298</v>
      </c>
      <c r="D47" s="5" t="n">
        <v>37850</v>
      </c>
      <c r="E47" s="5" t="n">
        <v>11547</v>
      </c>
      <c r="F47" s="5" t="n">
        <v>2799</v>
      </c>
      <c r="G47" s="5" t="n">
        <v>1482</v>
      </c>
      <c r="H47" s="5" t="n">
        <v>1230</v>
      </c>
      <c r="I47" s="5" t="n">
        <v>0</v>
      </c>
      <c r="J47" s="5" t="n">
        <v>23</v>
      </c>
      <c r="K47" s="5" t="n">
        <v>6809</v>
      </c>
      <c r="L47" s="5" t="n">
        <v>145038</v>
      </c>
      <c r="M47" s="11" t="n">
        <f aca="false">IF(L47=0,0,C47/L47)</f>
        <v>0.574318454474</v>
      </c>
      <c r="N47" s="11" t="n">
        <f aca="false">IF(L47=0,0,D47/L47)</f>
        <v>0.260966091644948</v>
      </c>
      <c r="O47" s="11" t="n">
        <f aca="false">IF(L47=0,0,E47/L47)</f>
        <v>0.0796136184999793</v>
      </c>
      <c r="P47" s="11" t="n">
        <f aca="false">IF(L47=0,0,K47/L47)</f>
        <v>0.0469463175167887</v>
      </c>
      <c r="Q47" s="4" t="str">
        <f aca="false">INDEX($C$3:$I$3,MATCH(MAX(C47:I47),C47:I47,0))</f>
        <v>Va por México (PAN-PRI-PRD)</v>
      </c>
      <c r="R47" s="17" t="n">
        <f aca="false">IF(L47=0,0,(MAX(C47:I47)-LARGE(C47:I47,2))/L47*100)</f>
        <v>31.3352362829052</v>
      </c>
      <c r="S47" s="4" t="s">
        <v>25</v>
      </c>
      <c r="T47" s="4" t="s">
        <v>23</v>
      </c>
    </row>
    <row r="48" customFormat="false" ht="15" hidden="false" customHeight="false" outlineLevel="0" collapsed="false">
      <c r="A48" s="4" t="s">
        <v>62</v>
      </c>
      <c r="B48" s="4" t="n">
        <v>8</v>
      </c>
      <c r="C48" s="5" t="n">
        <v>90838</v>
      </c>
      <c r="D48" s="5" t="n">
        <v>56743</v>
      </c>
      <c r="E48" s="5" t="n">
        <v>11025</v>
      </c>
      <c r="F48" s="5" t="n">
        <v>2974</v>
      </c>
      <c r="G48" s="5" t="n">
        <v>1126</v>
      </c>
      <c r="H48" s="5" t="n">
        <v>1611</v>
      </c>
      <c r="I48" s="5" t="n">
        <v>0</v>
      </c>
      <c r="J48" s="5" t="n">
        <v>80</v>
      </c>
      <c r="K48" s="5" t="n">
        <v>4219</v>
      </c>
      <c r="L48" s="5" t="n">
        <v>168616</v>
      </c>
      <c r="M48" s="11" t="n">
        <f aca="false">IF(L48=0,0,C48/L48)</f>
        <v>0.538727048441429</v>
      </c>
      <c r="N48" s="11" t="n">
        <f aca="false">IF(L48=0,0,D48/L48)</f>
        <v>0.336522038240736</v>
      </c>
      <c r="O48" s="11" t="n">
        <f aca="false">IF(L48=0,0,E48/L48)</f>
        <v>0.0653852540684158</v>
      </c>
      <c r="P48" s="11" t="n">
        <f aca="false">IF(L48=0,0,K48/L48)</f>
        <v>0.0250213502870428</v>
      </c>
      <c r="Q48" s="4" t="str">
        <f aca="false">INDEX($C$3:$I$3,MATCH(MAX(C48:I48),C48:I48,0))</f>
        <v>Va por México (PAN-PRI-PRD)</v>
      </c>
      <c r="R48" s="17" t="n">
        <f aca="false">IF(L48=0,0,(MAX(C48:I48)-LARGE(C48:I48,2))/L48*100)</f>
        <v>20.2205010200693</v>
      </c>
      <c r="S48" s="4" t="s">
        <v>26</v>
      </c>
      <c r="T48" s="4" t="s">
        <v>23</v>
      </c>
    </row>
    <row r="49" customFormat="false" ht="15" hidden="false" customHeight="false" outlineLevel="0" collapsed="false">
      <c r="A49" s="4" t="s">
        <v>62</v>
      </c>
      <c r="B49" s="4" t="n">
        <v>9</v>
      </c>
      <c r="C49" s="5" t="n">
        <v>81813</v>
      </c>
      <c r="D49" s="5" t="n">
        <v>31847</v>
      </c>
      <c r="E49" s="5" t="n">
        <v>23886</v>
      </c>
      <c r="F49" s="5" t="n">
        <v>5671</v>
      </c>
      <c r="G49" s="5" t="n">
        <v>1152</v>
      </c>
      <c r="H49" s="5" t="n">
        <v>1729</v>
      </c>
      <c r="I49" s="5" t="n">
        <v>0</v>
      </c>
      <c r="J49" s="5" t="n">
        <v>62</v>
      </c>
      <c r="K49" s="5" t="n">
        <v>7940</v>
      </c>
      <c r="L49" s="5" t="n">
        <v>154100</v>
      </c>
      <c r="M49" s="11" t="n">
        <f aca="false">IF(L49=0,0,C49/L49)</f>
        <v>0.530908500973394</v>
      </c>
      <c r="N49" s="11" t="n">
        <f aca="false">IF(L49=0,0,D49/L49)</f>
        <v>0.206664503569111</v>
      </c>
      <c r="O49" s="11" t="n">
        <f aca="false">IF(L49=0,0,E49/L49)</f>
        <v>0.155003244646334</v>
      </c>
      <c r="P49" s="11" t="n">
        <f aca="false">IF(L49=0,0,K49/L49)</f>
        <v>0.0515249837767683</v>
      </c>
      <c r="Q49" s="4" t="str">
        <f aca="false">INDEX($C$3:$I$3,MATCH(MAX(C49:I49),C49:I49,0))</f>
        <v>Va por México (PAN-PRI-PRD)</v>
      </c>
      <c r="R49" s="17" t="n">
        <f aca="false">IF(L49=0,0,(MAX(C49:I49)-LARGE(C49:I49,2))/L49*100)</f>
        <v>32.4243997404283</v>
      </c>
      <c r="S49" s="4" t="s">
        <v>25</v>
      </c>
      <c r="T49" s="4" t="s">
        <v>23</v>
      </c>
    </row>
    <row r="50" customFormat="false" ht="15" hidden="false" customHeight="false" outlineLevel="0" collapsed="false">
      <c r="A50" s="4" t="s">
        <v>63</v>
      </c>
      <c r="B50" s="4" t="n">
        <v>1</v>
      </c>
      <c r="C50" s="5" t="n">
        <v>43846</v>
      </c>
      <c r="D50" s="5" t="n">
        <v>80660</v>
      </c>
      <c r="E50" s="5" t="n">
        <v>4193</v>
      </c>
      <c r="F50" s="5" t="n">
        <v>4085</v>
      </c>
      <c r="G50" s="5" t="n">
        <v>1778</v>
      </c>
      <c r="H50" s="5" t="n">
        <v>2911</v>
      </c>
      <c r="I50" s="5" t="n">
        <v>0</v>
      </c>
      <c r="J50" s="5" t="n">
        <v>211</v>
      </c>
      <c r="K50" s="5" t="n">
        <v>5370</v>
      </c>
      <c r="L50" s="5" t="n">
        <v>143054</v>
      </c>
      <c r="M50" s="11" t="n">
        <f aca="false">IF(L50=0,0,C50/L50)</f>
        <v>0.306499643491269</v>
      </c>
      <c r="N50" s="11" t="n">
        <f aca="false">IF(L50=0,0,D50/L50)</f>
        <v>0.563843024312497</v>
      </c>
      <c r="O50" s="11" t="n">
        <f aca="false">IF(L50=0,0,E50/L50)</f>
        <v>0.0293106099794483</v>
      </c>
      <c r="P50" s="11" t="n">
        <f aca="false">IF(L50=0,0,K50/L50)</f>
        <v>0.0375382722608246</v>
      </c>
      <c r="Q50" s="4" t="str">
        <f aca="false">INDEX($C$3:$I$3,MATCH(MAX(C50:I50),C50:I50,0))</f>
        <v>Juntos Hacemos Historia (Morena-PT-PVEM)</v>
      </c>
      <c r="R50" s="17" t="n">
        <f aca="false">IF(L50=0,0,(MAX(C50:I50)-LARGE(C50:I50,2))/L50*100)</f>
        <v>25.7343380821228</v>
      </c>
      <c r="S50" s="4" t="s">
        <v>24</v>
      </c>
      <c r="T50" s="4" t="s">
        <v>25</v>
      </c>
    </row>
    <row r="51" customFormat="false" ht="15" hidden="false" customHeight="false" outlineLevel="0" collapsed="false">
      <c r="A51" s="4" t="s">
        <v>63</v>
      </c>
      <c r="B51" s="4" t="n">
        <v>2</v>
      </c>
      <c r="C51" s="5" t="n">
        <v>99629</v>
      </c>
      <c r="D51" s="5" t="n">
        <v>81028</v>
      </c>
      <c r="E51" s="5" t="n">
        <v>6085</v>
      </c>
      <c r="F51" s="5" t="n">
        <v>2998</v>
      </c>
      <c r="G51" s="5" t="n">
        <v>1555</v>
      </c>
      <c r="H51" s="5" t="n">
        <v>3366</v>
      </c>
      <c r="I51" s="5" t="n">
        <v>0</v>
      </c>
      <c r="J51" s="5" t="n">
        <v>259</v>
      </c>
      <c r="K51" s="5" t="n">
        <v>5188</v>
      </c>
      <c r="L51" s="5" t="n">
        <v>200108</v>
      </c>
      <c r="M51" s="11" t="n">
        <f aca="false">IF(L51=0,0,C51/L51)</f>
        <v>0.497876146880684</v>
      </c>
      <c r="N51" s="11" t="n">
        <f aca="false">IF(L51=0,0,D51/L51)</f>
        <v>0.404921342475063</v>
      </c>
      <c r="O51" s="11" t="n">
        <f aca="false">IF(L51=0,0,E51/L51)</f>
        <v>0.0304085793671417</v>
      </c>
      <c r="P51" s="11" t="n">
        <f aca="false">IF(L51=0,0,K51/L51)</f>
        <v>0.0259259999600216</v>
      </c>
      <c r="Q51" s="4" t="str">
        <f aca="false">INDEX($C$3:$I$3,MATCH(MAX(C51:I51),C51:I51,0))</f>
        <v>Va por México (PAN-PRI-PRD)</v>
      </c>
      <c r="R51" s="17" t="n">
        <f aca="false">IF(L51=0,0,(MAX(C51:I51)-LARGE(C51:I51,2))/L51*100)</f>
        <v>9.2954804405621</v>
      </c>
      <c r="S51" s="4" t="s">
        <v>25</v>
      </c>
      <c r="T51" s="4" t="s">
        <v>23</v>
      </c>
    </row>
    <row r="52" customFormat="false" ht="15" hidden="false" customHeight="false" outlineLevel="0" collapsed="false">
      <c r="A52" s="4" t="s">
        <v>63</v>
      </c>
      <c r="B52" s="4" t="n">
        <v>3</v>
      </c>
      <c r="C52" s="5" t="n">
        <v>89070</v>
      </c>
      <c r="D52" s="5" t="n">
        <v>89336</v>
      </c>
      <c r="E52" s="5" t="n">
        <v>4948</v>
      </c>
      <c r="F52" s="5" t="n">
        <v>4049</v>
      </c>
      <c r="G52" s="5" t="n">
        <v>1827</v>
      </c>
      <c r="H52" s="5" t="n">
        <v>11213</v>
      </c>
      <c r="I52" s="5" t="n">
        <v>0</v>
      </c>
      <c r="J52" s="5" t="n">
        <v>214</v>
      </c>
      <c r="K52" s="5" t="n">
        <v>5385</v>
      </c>
      <c r="L52" s="5" t="n">
        <v>206042</v>
      </c>
      <c r="M52" s="11" t="n">
        <f aca="false">IF(L52=0,0,C52/L52)</f>
        <v>0.43229050387785</v>
      </c>
      <c r="N52" s="11" t="n">
        <f aca="false">IF(L52=0,0,D52/L52)</f>
        <v>0.4335815028004</v>
      </c>
      <c r="O52" s="11" t="n">
        <f aca="false">IF(L52=0,0,E52/L52)</f>
        <v>0.024014521311189</v>
      </c>
      <c r="P52" s="11" t="n">
        <f aca="false">IF(L52=0,0,K52/L52)</f>
        <v>0.0261354481125208</v>
      </c>
      <c r="Q52" s="4" t="str">
        <f aca="false">INDEX($C$3:$I$3,MATCH(MAX(C52:I52),C52:I52,0))</f>
        <v>Juntos Hacemos Historia (Morena-PT-PVEM)</v>
      </c>
      <c r="R52" s="17" t="n">
        <f aca="false">IF(L52=0,0,(MAX(C52:I52)-LARGE(C52:I52,2))/L52*100)</f>
        <v>0.129099892254977</v>
      </c>
      <c r="S52" s="4" t="s">
        <v>23</v>
      </c>
      <c r="T52" s="4" t="s">
        <v>25</v>
      </c>
    </row>
    <row r="53" customFormat="false" ht="15" hidden="false" customHeight="false" outlineLevel="0" collapsed="false">
      <c r="A53" s="4" t="s">
        <v>63</v>
      </c>
      <c r="B53" s="4" t="n">
        <v>4</v>
      </c>
      <c r="C53" s="5" t="n">
        <v>40428</v>
      </c>
      <c r="D53" s="5" t="n">
        <v>71022</v>
      </c>
      <c r="E53" s="5" t="n">
        <v>4553</v>
      </c>
      <c r="F53" s="5" t="n">
        <v>3437</v>
      </c>
      <c r="G53" s="5" t="n">
        <v>1175</v>
      </c>
      <c r="H53" s="5" t="n">
        <v>2699</v>
      </c>
      <c r="I53" s="5" t="n">
        <v>0</v>
      </c>
      <c r="J53" s="5" t="n">
        <v>148</v>
      </c>
      <c r="K53" s="5" t="n">
        <v>3978</v>
      </c>
      <c r="L53" s="5" t="n">
        <v>127440</v>
      </c>
      <c r="M53" s="11" t="n">
        <f aca="false">IF(L53=0,0,C53/L53)</f>
        <v>0.317231638418079</v>
      </c>
      <c r="N53" s="11" t="n">
        <f aca="false">IF(L53=0,0,D53/L53)</f>
        <v>0.557297551789077</v>
      </c>
      <c r="O53" s="11" t="n">
        <f aca="false">IF(L53=0,0,E53/L53)</f>
        <v>0.0357266164469554</v>
      </c>
      <c r="P53" s="11" t="n">
        <f aca="false">IF(L53=0,0,K53/L53)</f>
        <v>0.0312146892655367</v>
      </c>
      <c r="Q53" s="4" t="str">
        <f aca="false">INDEX($C$3:$I$3,MATCH(MAX(C53:I53),C53:I53,0))</f>
        <v>Juntos Hacemos Historia (Morena-PT-PVEM)</v>
      </c>
      <c r="R53" s="17" t="n">
        <f aca="false">IF(L53=0,0,(MAX(C53:I53)-LARGE(C53:I53,2))/L53*100)</f>
        <v>24.0065913370998</v>
      </c>
      <c r="S53" s="4" t="s">
        <v>23</v>
      </c>
      <c r="T53" s="4" t="s">
        <v>25</v>
      </c>
    </row>
    <row r="54" customFormat="false" ht="15" hidden="false" customHeight="false" outlineLevel="0" collapsed="false">
      <c r="A54" s="4" t="s">
        <v>63</v>
      </c>
      <c r="B54" s="4" t="n">
        <v>5</v>
      </c>
      <c r="C54" s="5" t="n">
        <v>69181</v>
      </c>
      <c r="D54" s="5" t="n">
        <v>54879</v>
      </c>
      <c r="E54" s="5" t="n">
        <v>11299</v>
      </c>
      <c r="F54" s="5" t="n">
        <v>1663</v>
      </c>
      <c r="G54" s="5" t="n">
        <v>1005</v>
      </c>
      <c r="H54" s="5" t="n">
        <v>6696</v>
      </c>
      <c r="I54" s="5" t="n">
        <v>0</v>
      </c>
      <c r="J54" s="5" t="n">
        <v>189</v>
      </c>
      <c r="K54" s="5" t="n">
        <v>4106</v>
      </c>
      <c r="L54" s="5" t="n">
        <v>149018</v>
      </c>
      <c r="M54" s="11" t="n">
        <f aca="false">IF(L54=0,0,C54/L54)</f>
        <v>0.464245930021877</v>
      </c>
      <c r="N54" s="11" t="n">
        <f aca="false">IF(L54=0,0,D54/L54)</f>
        <v>0.368270947133903</v>
      </c>
      <c r="O54" s="11" t="n">
        <f aca="false">IF(L54=0,0,E54/L54)</f>
        <v>0.0758230549329611</v>
      </c>
      <c r="P54" s="11" t="n">
        <f aca="false">IF(L54=0,0,K54/L54)</f>
        <v>0.0275537183427505</v>
      </c>
      <c r="Q54" s="4" t="str">
        <f aca="false">INDEX($C$3:$I$3,MATCH(MAX(C54:I54),C54:I54,0))</f>
        <v>Va por México (PAN-PRI-PRD)</v>
      </c>
      <c r="R54" s="17" t="n">
        <f aca="false">IF(L54=0,0,(MAX(C54:I54)-LARGE(C54:I54,2))/L54*100)</f>
        <v>9.59749828879733</v>
      </c>
      <c r="S54" s="4" t="s">
        <v>25</v>
      </c>
      <c r="T54" s="4" t="s">
        <v>23</v>
      </c>
    </row>
    <row r="55" customFormat="false" ht="15" hidden="false" customHeight="false" outlineLevel="0" collapsed="false">
      <c r="A55" s="4" t="s">
        <v>63</v>
      </c>
      <c r="B55" s="4" t="n">
        <v>6</v>
      </c>
      <c r="C55" s="5" t="n">
        <v>100314</v>
      </c>
      <c r="D55" s="5" t="n">
        <v>63875</v>
      </c>
      <c r="E55" s="5" t="n">
        <v>5770</v>
      </c>
      <c r="F55" s="5" t="n">
        <v>3739</v>
      </c>
      <c r="G55" s="5" t="n">
        <v>1345</v>
      </c>
      <c r="H55" s="5" t="n">
        <v>5104</v>
      </c>
      <c r="I55" s="5" t="n">
        <v>0</v>
      </c>
      <c r="J55" s="5" t="n">
        <v>195</v>
      </c>
      <c r="K55" s="5" t="n">
        <v>5998</v>
      </c>
      <c r="L55" s="5" t="n">
        <v>186340</v>
      </c>
      <c r="M55" s="11" t="n">
        <f aca="false">IF(L55=0,0,C55/L55)</f>
        <v>0.538338520983149</v>
      </c>
      <c r="N55" s="11" t="n">
        <f aca="false">IF(L55=0,0,D55/L55)</f>
        <v>0.342787377911345</v>
      </c>
      <c r="O55" s="11" t="n">
        <f aca="false">IF(L55=0,0,E55/L55)</f>
        <v>0.0309649028657293</v>
      </c>
      <c r="P55" s="11" t="n">
        <f aca="false">IF(L55=0,0,K55/L55)</f>
        <v>0.0321884726843405</v>
      </c>
      <c r="Q55" s="4" t="str">
        <f aca="false">INDEX($C$3:$I$3,MATCH(MAX(C55:I55),C55:I55,0))</f>
        <v>Va por México (PAN-PRI-PRD)</v>
      </c>
      <c r="R55" s="17" t="n">
        <f aca="false">IF(L55=0,0,(MAX(C55:I55)-LARGE(C55:I55,2))/L55*100)</f>
        <v>19.5551143071804</v>
      </c>
      <c r="S55" s="4" t="s">
        <v>25</v>
      </c>
      <c r="T55" s="4" t="s">
        <v>24</v>
      </c>
    </row>
    <row r="56" customFormat="false" ht="15" hidden="false" customHeight="false" outlineLevel="0" collapsed="false">
      <c r="A56" s="4" t="s">
        <v>63</v>
      </c>
      <c r="B56" s="4" t="n">
        <v>7</v>
      </c>
      <c r="C56" s="5" t="n">
        <v>77963</v>
      </c>
      <c r="D56" s="5" t="n">
        <v>89432</v>
      </c>
      <c r="E56" s="5" t="n">
        <v>5881</v>
      </c>
      <c r="F56" s="5" t="n">
        <v>3113</v>
      </c>
      <c r="G56" s="5" t="n">
        <v>1779</v>
      </c>
      <c r="H56" s="5" t="n">
        <v>4026</v>
      </c>
      <c r="I56" s="5" t="n">
        <v>0</v>
      </c>
      <c r="J56" s="5" t="n">
        <v>211</v>
      </c>
      <c r="K56" s="5" t="n">
        <v>5952</v>
      </c>
      <c r="L56" s="5" t="n">
        <v>188357</v>
      </c>
      <c r="M56" s="11" t="n">
        <f aca="false">IF(L56=0,0,C56/L56)</f>
        <v>0.413910818286552</v>
      </c>
      <c r="N56" s="11" t="n">
        <f aca="false">IF(L56=0,0,D56/L56)</f>
        <v>0.474800511794093</v>
      </c>
      <c r="O56" s="11" t="n">
        <f aca="false">IF(L56=0,0,E56/L56)</f>
        <v>0.0312226251214449</v>
      </c>
      <c r="P56" s="11" t="n">
        <f aca="false">IF(L56=0,0,K56/L56)</f>
        <v>0.0315995689037307</v>
      </c>
      <c r="Q56" s="4" t="str">
        <f aca="false">INDEX($C$3:$I$3,MATCH(MAX(C56:I56),C56:I56,0))</f>
        <v>Juntos Hacemos Historia (Morena-PT-PVEM)</v>
      </c>
      <c r="R56" s="17" t="n">
        <f aca="false">IF(L56=0,0,(MAX(C56:I56)-LARGE(C56:I56,2))/L56*100)</f>
        <v>6.08896935075415</v>
      </c>
      <c r="S56" s="4" t="s">
        <v>24</v>
      </c>
      <c r="T56" s="4" t="s">
        <v>25</v>
      </c>
    </row>
    <row r="57" customFormat="false" ht="15" hidden="false" customHeight="false" outlineLevel="0" collapsed="false">
      <c r="A57" s="4" t="s">
        <v>63</v>
      </c>
      <c r="B57" s="4" t="n">
        <v>8</v>
      </c>
      <c r="C57" s="5" t="n">
        <v>61319</v>
      </c>
      <c r="D57" s="5" t="n">
        <v>65411</v>
      </c>
      <c r="E57" s="5" t="n">
        <v>4637</v>
      </c>
      <c r="F57" s="5" t="n">
        <v>3703</v>
      </c>
      <c r="G57" s="5" t="n">
        <v>1989</v>
      </c>
      <c r="H57" s="5" t="n">
        <v>2573</v>
      </c>
      <c r="I57" s="5" t="n">
        <v>0</v>
      </c>
      <c r="J57" s="5" t="n">
        <v>245</v>
      </c>
      <c r="K57" s="5" t="n">
        <v>4843</v>
      </c>
      <c r="L57" s="5" t="n">
        <v>144720</v>
      </c>
      <c r="M57" s="11" t="n">
        <f aca="false">IF(L57=0,0,C57/L57)</f>
        <v>0.423707849640686</v>
      </c>
      <c r="N57" s="11" t="n">
        <f aca="false">IF(L57=0,0,D57/L57)</f>
        <v>0.451983139856274</v>
      </c>
      <c r="O57" s="11" t="n">
        <f aca="false">IF(L57=0,0,E57/L57)</f>
        <v>0.0320411829740188</v>
      </c>
      <c r="P57" s="11" t="n">
        <f aca="false">IF(L57=0,0,K57/L57)</f>
        <v>0.0334646213377557</v>
      </c>
      <c r="Q57" s="4" t="str">
        <f aca="false">INDEX($C$3:$I$3,MATCH(MAX(C57:I57),C57:I57,0))</f>
        <v>Juntos Hacemos Historia (Morena-PT-PVEM)</v>
      </c>
      <c r="R57" s="17" t="n">
        <f aca="false">IF(L57=0,0,(MAX(C57:I57)-LARGE(C57:I57,2))/L57*100)</f>
        <v>2.82752902155887</v>
      </c>
      <c r="S57" s="4" t="s">
        <v>23</v>
      </c>
      <c r="T57" s="4" t="s">
        <v>25</v>
      </c>
    </row>
    <row r="58" customFormat="false" ht="15" hidden="false" customHeight="false" outlineLevel="0" collapsed="false">
      <c r="A58" s="4" t="s">
        <v>63</v>
      </c>
      <c r="B58" s="4" t="n">
        <v>9</v>
      </c>
      <c r="C58" s="5" t="n">
        <v>46485</v>
      </c>
      <c r="D58" s="5" t="n">
        <v>72302</v>
      </c>
      <c r="E58" s="5" t="n">
        <v>4162</v>
      </c>
      <c r="F58" s="5" t="n">
        <v>4449</v>
      </c>
      <c r="G58" s="5" t="n">
        <v>1477</v>
      </c>
      <c r="H58" s="5" t="n">
        <v>3156</v>
      </c>
      <c r="I58" s="5" t="n">
        <v>0</v>
      </c>
      <c r="J58" s="5" t="n">
        <v>151</v>
      </c>
      <c r="K58" s="5" t="n">
        <v>5609</v>
      </c>
      <c r="L58" s="5" t="n">
        <v>137791</v>
      </c>
      <c r="M58" s="11" t="n">
        <f aca="false">IF(L58=0,0,C58/L58)</f>
        <v>0.337358753474465</v>
      </c>
      <c r="N58" s="11" t="n">
        <f aca="false">IF(L58=0,0,D58/L58)</f>
        <v>0.524722224238158</v>
      </c>
      <c r="O58" s="11" t="n">
        <f aca="false">IF(L58=0,0,E58/L58)</f>
        <v>0.0302051657945729</v>
      </c>
      <c r="P58" s="11" t="n">
        <f aca="false">IF(L58=0,0,K58/L58)</f>
        <v>0.0407065773526573</v>
      </c>
      <c r="Q58" s="4" t="str">
        <f aca="false">INDEX($C$3:$I$3,MATCH(MAX(C58:I58),C58:I58,0))</f>
        <v>Juntos Hacemos Historia (Morena-PT-PVEM)</v>
      </c>
      <c r="R58" s="17" t="n">
        <f aca="false">IF(L58=0,0,(MAX(C58:I58)-LARGE(C58:I58,2))/L58*100)</f>
        <v>18.7363470763693</v>
      </c>
      <c r="S58" s="4" t="s">
        <v>24</v>
      </c>
      <c r="T58" s="4" t="s">
        <v>25</v>
      </c>
    </row>
    <row r="59" customFormat="false" ht="15" hidden="false" customHeight="false" outlineLevel="0" collapsed="false">
      <c r="A59" s="4" t="s">
        <v>63</v>
      </c>
      <c r="B59" s="4" t="n">
        <v>10</v>
      </c>
      <c r="C59" s="5" t="n">
        <v>110891</v>
      </c>
      <c r="D59" s="5" t="n">
        <v>68399</v>
      </c>
      <c r="E59" s="5" t="n">
        <v>9080</v>
      </c>
      <c r="F59" s="5" t="n">
        <v>1726</v>
      </c>
      <c r="G59" s="5" t="n">
        <v>1049</v>
      </c>
      <c r="H59" s="5" t="n">
        <v>2227</v>
      </c>
      <c r="I59" s="5" t="n">
        <v>0</v>
      </c>
      <c r="J59" s="5" t="n">
        <v>198</v>
      </c>
      <c r="K59" s="5" t="n">
        <v>3631</v>
      </c>
      <c r="L59" s="5" t="n">
        <v>197201</v>
      </c>
      <c r="M59" s="11" t="n">
        <f aca="false">IF(L59=0,0,C59/L59)</f>
        <v>0.562324734661589</v>
      </c>
      <c r="N59" s="11" t="n">
        <f aca="false">IF(L59=0,0,D59/L59)</f>
        <v>0.346849153908956</v>
      </c>
      <c r="O59" s="11" t="n">
        <f aca="false">IF(L59=0,0,E59/L59)</f>
        <v>0.0460443912556224</v>
      </c>
      <c r="P59" s="11" t="n">
        <f aca="false">IF(L59=0,0,K59/L59)</f>
        <v>0.018412685534049</v>
      </c>
      <c r="Q59" s="4" t="str">
        <f aca="false">INDEX($C$3:$I$3,MATCH(MAX(C59:I59),C59:I59,0))</f>
        <v>Va por México (PAN-PRI-PRD)</v>
      </c>
      <c r="R59" s="17" t="n">
        <f aca="false">IF(L59=0,0,(MAX(C59:I59)-LARGE(C59:I59,2))/L59*100)</f>
        <v>21.5475580752633</v>
      </c>
      <c r="S59" s="4" t="s">
        <v>25</v>
      </c>
      <c r="T59" s="4" t="s">
        <v>23</v>
      </c>
    </row>
    <row r="60" customFormat="false" ht="15" hidden="false" customHeight="false" outlineLevel="0" collapsed="false">
      <c r="A60" s="4" t="s">
        <v>63</v>
      </c>
      <c r="B60" s="4" t="n">
        <v>11</v>
      </c>
      <c r="C60" s="5" t="n">
        <v>71569</v>
      </c>
      <c r="D60" s="5" t="n">
        <v>81012</v>
      </c>
      <c r="E60" s="5" t="n">
        <v>6563</v>
      </c>
      <c r="F60" s="5" t="n">
        <v>2452</v>
      </c>
      <c r="G60" s="5" t="n">
        <v>1157</v>
      </c>
      <c r="H60" s="5" t="n">
        <v>3252</v>
      </c>
      <c r="I60" s="5" t="n">
        <v>0</v>
      </c>
      <c r="J60" s="5" t="n">
        <v>228</v>
      </c>
      <c r="K60" s="5" t="n">
        <v>5227</v>
      </c>
      <c r="L60" s="5" t="n">
        <v>171460</v>
      </c>
      <c r="M60" s="11" t="n">
        <f aca="false">IF(L60=0,0,C60/L60)</f>
        <v>0.41740930829348</v>
      </c>
      <c r="N60" s="11" t="n">
        <f aca="false">IF(L60=0,0,D60/L60)</f>
        <v>0.472483378047358</v>
      </c>
      <c r="O60" s="11" t="n">
        <f aca="false">IF(L60=0,0,E60/L60)</f>
        <v>0.0382771491893153</v>
      </c>
      <c r="P60" s="11" t="n">
        <f aca="false">IF(L60=0,0,K60/L60)</f>
        <v>0.0304852443718652</v>
      </c>
      <c r="Q60" s="4" t="str">
        <f aca="false">INDEX($C$3:$I$3,MATCH(MAX(C60:I60),C60:I60,0))</f>
        <v>Juntos Hacemos Historia (Morena-PT-PVEM)</v>
      </c>
      <c r="R60" s="17" t="n">
        <f aca="false">IF(L60=0,0,(MAX(C60:I60)-LARGE(C60:I60,2))/L60*100)</f>
        <v>5.50740697538785</v>
      </c>
      <c r="S60" s="4" t="s">
        <v>24</v>
      </c>
      <c r="T60" s="4" t="s">
        <v>25</v>
      </c>
    </row>
    <row r="61" customFormat="false" ht="15" hidden="false" customHeight="false" outlineLevel="0" collapsed="false">
      <c r="A61" s="4" t="s">
        <v>63</v>
      </c>
      <c r="B61" s="4" t="n">
        <v>12</v>
      </c>
      <c r="C61" s="5" t="n">
        <v>83262</v>
      </c>
      <c r="D61" s="5" t="n">
        <v>57579</v>
      </c>
      <c r="E61" s="5" t="n">
        <v>5400</v>
      </c>
      <c r="F61" s="5" t="n">
        <v>2339</v>
      </c>
      <c r="G61" s="5" t="n">
        <v>1178</v>
      </c>
      <c r="H61" s="5" t="n">
        <v>3166</v>
      </c>
      <c r="I61" s="5" t="n">
        <v>0</v>
      </c>
      <c r="J61" s="5" t="n">
        <v>318</v>
      </c>
      <c r="K61" s="5" t="n">
        <v>4753</v>
      </c>
      <c r="L61" s="5" t="n">
        <v>157995</v>
      </c>
      <c r="M61" s="11" t="n">
        <f aca="false">IF(L61=0,0,C61/L61)</f>
        <v>0.526991360486091</v>
      </c>
      <c r="N61" s="11" t="n">
        <f aca="false">IF(L61=0,0,D61/L61)</f>
        <v>0.364435583404538</v>
      </c>
      <c r="O61" s="11" t="n">
        <f aca="false">IF(L61=0,0,E61/L61)</f>
        <v>0.0341782967815437</v>
      </c>
      <c r="P61" s="11" t="n">
        <f aca="false">IF(L61=0,0,K61/L61)</f>
        <v>0.0300832304819773</v>
      </c>
      <c r="Q61" s="4" t="str">
        <f aca="false">INDEX($C$3:$I$3,MATCH(MAX(C61:I61),C61:I61,0))</f>
        <v>Va por México (PAN-PRI-PRD)</v>
      </c>
      <c r="R61" s="17" t="n">
        <f aca="false">IF(L61=0,0,(MAX(C61:I61)-LARGE(C61:I61,2))/L61*100)</f>
        <v>16.2555777081553</v>
      </c>
      <c r="S61" s="4" t="s">
        <v>25</v>
      </c>
      <c r="T61" s="4" t="s">
        <v>24</v>
      </c>
    </row>
    <row r="62" customFormat="false" ht="15" hidden="false" customHeight="false" outlineLevel="0" collapsed="false">
      <c r="A62" s="4" t="s">
        <v>63</v>
      </c>
      <c r="B62" s="4" t="n">
        <v>13</v>
      </c>
      <c r="C62" s="5" t="n">
        <v>79525</v>
      </c>
      <c r="D62" s="5" t="n">
        <v>86918</v>
      </c>
      <c r="E62" s="5" t="n">
        <v>6070</v>
      </c>
      <c r="F62" s="5" t="n">
        <v>3584</v>
      </c>
      <c r="G62" s="5" t="n">
        <v>1798</v>
      </c>
      <c r="H62" s="5" t="n">
        <v>4840</v>
      </c>
      <c r="I62" s="5" t="n">
        <v>0</v>
      </c>
      <c r="J62" s="5" t="n">
        <v>265</v>
      </c>
      <c r="K62" s="5" t="n">
        <v>5085</v>
      </c>
      <c r="L62" s="5" t="n">
        <v>188085</v>
      </c>
      <c r="M62" s="11" t="n">
        <f aca="false">IF(L62=0,0,C62/L62)</f>
        <v>0.422814153175426</v>
      </c>
      <c r="N62" s="11" t="n">
        <f aca="false">IF(L62=0,0,D62/L62)</f>
        <v>0.462120849615865</v>
      </c>
      <c r="O62" s="11" t="n">
        <f aca="false">IF(L62=0,0,E62/L62)</f>
        <v>0.0322726426881463</v>
      </c>
      <c r="P62" s="11" t="n">
        <f aca="false">IF(L62=0,0,K62/L62)</f>
        <v>0.0270356487758194</v>
      </c>
      <c r="Q62" s="4" t="str">
        <f aca="false">INDEX($C$3:$I$3,MATCH(MAX(C62:I62),C62:I62,0))</f>
        <v>Juntos Hacemos Historia (Morena-PT-PVEM)</v>
      </c>
      <c r="R62" s="17" t="n">
        <f aca="false">IF(L62=0,0,(MAX(C62:I62)-LARGE(C62:I62,2))/L62*100)</f>
        <v>3.93066964404392</v>
      </c>
      <c r="S62" s="4" t="s">
        <v>23</v>
      </c>
      <c r="T62" s="4" t="s">
        <v>25</v>
      </c>
    </row>
    <row r="63" customFormat="false" ht="15" hidden="false" customHeight="false" outlineLevel="0" collapsed="false">
      <c r="A63" s="4" t="s">
        <v>63</v>
      </c>
      <c r="B63" s="4" t="n">
        <v>14</v>
      </c>
      <c r="C63" s="5" t="n">
        <v>59160</v>
      </c>
      <c r="D63" s="5" t="n">
        <v>63261</v>
      </c>
      <c r="E63" s="5" t="n">
        <v>11341</v>
      </c>
      <c r="F63" s="5" t="n">
        <v>2030</v>
      </c>
      <c r="G63" s="5" t="n">
        <v>1125</v>
      </c>
      <c r="H63" s="5" t="n">
        <v>5984</v>
      </c>
      <c r="I63" s="5" t="n">
        <v>0</v>
      </c>
      <c r="J63" s="5" t="n">
        <v>243</v>
      </c>
      <c r="K63" s="5" t="n">
        <v>5132</v>
      </c>
      <c r="L63" s="5" t="n">
        <v>148276</v>
      </c>
      <c r="M63" s="11" t="n">
        <f aca="false">IF(L63=0,0,C63/L63)</f>
        <v>0.398985675362162</v>
      </c>
      <c r="N63" s="11" t="n">
        <f aca="false">IF(L63=0,0,D63/L63)</f>
        <v>0.426643556610645</v>
      </c>
      <c r="O63" s="11" t="n">
        <f aca="false">IF(L63=0,0,E63/L63)</f>
        <v>0.0764857428039602</v>
      </c>
      <c r="P63" s="11" t="n">
        <f aca="false">IF(L63=0,0,K63/L63)</f>
        <v>0.0346111305942971</v>
      </c>
      <c r="Q63" s="4" t="str">
        <f aca="false">INDEX($C$3:$I$3,MATCH(MAX(C63:I63),C63:I63,0))</f>
        <v>Juntos Hacemos Historia (Morena-PT-PVEM)</v>
      </c>
      <c r="R63" s="17" t="n">
        <f aca="false">IF(L63=0,0,(MAX(C63:I63)-LARGE(C63:I63,2))/L63*100)</f>
        <v>2.76578812484826</v>
      </c>
      <c r="S63" s="4" t="s">
        <v>25</v>
      </c>
      <c r="T63" s="4" t="s">
        <v>24</v>
      </c>
    </row>
    <row r="64" customFormat="false" ht="15" hidden="false" customHeight="false" outlineLevel="0" collapsed="false">
      <c r="A64" s="4" t="s">
        <v>63</v>
      </c>
      <c r="B64" s="4" t="n">
        <v>15</v>
      </c>
      <c r="C64" s="5" t="n">
        <v>172717</v>
      </c>
      <c r="D64" s="5" t="n">
        <v>51520</v>
      </c>
      <c r="E64" s="5" t="n">
        <v>6565</v>
      </c>
      <c r="F64" s="5" t="n">
        <v>1492</v>
      </c>
      <c r="G64" s="5" t="n">
        <v>835</v>
      </c>
      <c r="H64" s="5" t="n">
        <v>1957</v>
      </c>
      <c r="I64" s="5" t="n">
        <v>0</v>
      </c>
      <c r="J64" s="5" t="n">
        <v>276</v>
      </c>
      <c r="K64" s="5" t="n">
        <v>3806</v>
      </c>
      <c r="L64" s="5" t="n">
        <v>239168</v>
      </c>
      <c r="M64" s="11" t="n">
        <f aca="false">IF(L64=0,0,C64/L64)</f>
        <v>0.722157646507894</v>
      </c>
      <c r="N64" s="11" t="n">
        <f aca="false">IF(L64=0,0,D64/L64)</f>
        <v>0.215413433235215</v>
      </c>
      <c r="O64" s="11" t="n">
        <f aca="false">IF(L64=0,0,E64/L64)</f>
        <v>0.0274493243243243</v>
      </c>
      <c r="P64" s="11" t="n">
        <f aca="false">IF(L64=0,0,K64/L64)</f>
        <v>0.0159135001337972</v>
      </c>
      <c r="Q64" s="4" t="str">
        <f aca="false">INDEX($C$3:$I$3,MATCH(MAX(C64:I64),C64:I64,0))</f>
        <v>Va por México (PAN-PRI-PRD)</v>
      </c>
      <c r="R64" s="17" t="n">
        <f aca="false">IF(L64=0,0,(MAX(C64:I64)-LARGE(C64:I64,2))/L64*100)</f>
        <v>50.6744213272679</v>
      </c>
      <c r="S64" s="4" t="s">
        <v>25</v>
      </c>
      <c r="T64" s="4" t="s">
        <v>23</v>
      </c>
    </row>
    <row r="65" customFormat="false" ht="15" hidden="false" customHeight="false" outlineLevel="0" collapsed="false">
      <c r="A65" s="4" t="s">
        <v>63</v>
      </c>
      <c r="B65" s="4" t="n">
        <v>16</v>
      </c>
      <c r="C65" s="5" t="n">
        <v>88722</v>
      </c>
      <c r="D65" s="5" t="n">
        <v>68605</v>
      </c>
      <c r="E65" s="5" t="n">
        <v>5915</v>
      </c>
      <c r="F65" s="5" t="n">
        <v>2649</v>
      </c>
      <c r="G65" s="5" t="n">
        <v>1052</v>
      </c>
      <c r="H65" s="5" t="n">
        <v>4259</v>
      </c>
      <c r="I65" s="5" t="n">
        <v>0</v>
      </c>
      <c r="J65" s="5" t="n">
        <v>209</v>
      </c>
      <c r="K65" s="5" t="n">
        <v>4892</v>
      </c>
      <c r="L65" s="5" t="n">
        <v>176303</v>
      </c>
      <c r="M65" s="11" t="n">
        <f aca="false">IF(L65=0,0,C65/L65)</f>
        <v>0.503235906365745</v>
      </c>
      <c r="N65" s="11" t="n">
        <f aca="false">IF(L65=0,0,D65/L65)</f>
        <v>0.38913121160729</v>
      </c>
      <c r="O65" s="11" t="n">
        <f aca="false">IF(L65=0,0,E65/L65)</f>
        <v>0.0335501948350283</v>
      </c>
      <c r="P65" s="11" t="n">
        <f aca="false">IF(L65=0,0,K65/L65)</f>
        <v>0.0277476843842703</v>
      </c>
      <c r="Q65" s="4" t="str">
        <f aca="false">INDEX($C$3:$I$3,MATCH(MAX(C65:I65),C65:I65,0))</f>
        <v>Va por México (PAN-PRI-PRD)</v>
      </c>
      <c r="R65" s="17" t="n">
        <f aca="false">IF(L65=0,0,(MAX(C65:I65)-LARGE(C65:I65,2))/L65*100)</f>
        <v>11.4104694758456</v>
      </c>
      <c r="S65" s="4" t="s">
        <v>25</v>
      </c>
      <c r="T65" s="4" t="s">
        <v>23</v>
      </c>
    </row>
    <row r="66" customFormat="false" ht="15" hidden="false" customHeight="false" outlineLevel="0" collapsed="false">
      <c r="A66" s="4" t="s">
        <v>63</v>
      </c>
      <c r="B66" s="4" t="n">
        <v>17</v>
      </c>
      <c r="C66" s="5" t="n">
        <v>110004</v>
      </c>
      <c r="D66" s="5" t="n">
        <v>65305</v>
      </c>
      <c r="E66" s="5" t="n">
        <v>5299</v>
      </c>
      <c r="F66" s="5" t="n">
        <v>3964</v>
      </c>
      <c r="G66" s="5" t="n">
        <v>1751</v>
      </c>
      <c r="H66" s="5" t="n">
        <v>3931</v>
      </c>
      <c r="I66" s="5" t="n">
        <v>0</v>
      </c>
      <c r="J66" s="5" t="n">
        <v>128</v>
      </c>
      <c r="K66" s="5" t="n">
        <v>4919</v>
      </c>
      <c r="L66" s="5" t="n">
        <v>195301</v>
      </c>
      <c r="M66" s="11" t="n">
        <f aca="false">IF(L66=0,0,C66/L66)</f>
        <v>0.563253644374581</v>
      </c>
      <c r="N66" s="11" t="n">
        <f aca="false">IF(L66=0,0,D66/L66)</f>
        <v>0.334381288370259</v>
      </c>
      <c r="O66" s="11" t="n">
        <f aca="false">IF(L66=0,0,E66/L66)</f>
        <v>0.0271324775602788</v>
      </c>
      <c r="P66" s="11" t="n">
        <f aca="false">IF(L66=0,0,K66/L66)</f>
        <v>0.0251867629966052</v>
      </c>
      <c r="Q66" s="4" t="str">
        <f aca="false">INDEX($C$3:$I$3,MATCH(MAX(C66:I66),C66:I66,0))</f>
        <v>Va por México (PAN-PRI-PRD)</v>
      </c>
      <c r="R66" s="17" t="n">
        <f aca="false">IF(L66=0,0,(MAX(C66:I66)-LARGE(C66:I66,2))/L66*100)</f>
        <v>22.8872356004322</v>
      </c>
      <c r="S66" s="4" t="s">
        <v>25</v>
      </c>
      <c r="T66" s="4" t="s">
        <v>23</v>
      </c>
    </row>
    <row r="67" customFormat="false" ht="15" hidden="false" customHeight="false" outlineLevel="0" collapsed="false">
      <c r="A67" s="4" t="s">
        <v>63</v>
      </c>
      <c r="B67" s="4" t="n">
        <v>18</v>
      </c>
      <c r="C67" s="5" t="n">
        <v>70640</v>
      </c>
      <c r="D67" s="5" t="n">
        <v>77722</v>
      </c>
      <c r="E67" s="5" t="n">
        <v>6328</v>
      </c>
      <c r="F67" s="5" t="n">
        <v>2721</v>
      </c>
      <c r="G67" s="5" t="n">
        <v>1125</v>
      </c>
      <c r="H67" s="5" t="n">
        <v>2541</v>
      </c>
      <c r="I67" s="5" t="n">
        <v>0</v>
      </c>
      <c r="J67" s="5" t="n">
        <v>279</v>
      </c>
      <c r="K67" s="5" t="n">
        <v>5704</v>
      </c>
      <c r="L67" s="5" t="n">
        <v>167060</v>
      </c>
      <c r="M67" s="11" t="n">
        <f aca="false">IF(L67=0,0,C67/L67)</f>
        <v>0.422842092661319</v>
      </c>
      <c r="N67" s="11" t="n">
        <f aca="false">IF(L67=0,0,D67/L67)</f>
        <v>0.465234047647552</v>
      </c>
      <c r="O67" s="11" t="n">
        <f aca="false">IF(L67=0,0,E67/L67)</f>
        <v>0.0378786064886867</v>
      </c>
      <c r="P67" s="11" t="n">
        <f aca="false">IF(L67=0,0,K67/L67)</f>
        <v>0.0341434215252005</v>
      </c>
      <c r="Q67" s="4" t="str">
        <f aca="false">INDEX($C$3:$I$3,MATCH(MAX(C67:I67),C67:I67,0))</f>
        <v>Juntos Hacemos Historia (Morena-PT-PVEM)</v>
      </c>
      <c r="R67" s="17" t="n">
        <f aca="false">IF(L67=0,0,(MAX(C67:I67)-LARGE(C67:I67,2))/L67*100)</f>
        <v>4.23919549862325</v>
      </c>
      <c r="S67" s="4" t="s">
        <v>25</v>
      </c>
      <c r="T67" s="4" t="s">
        <v>24</v>
      </c>
    </row>
    <row r="68" customFormat="false" ht="15" hidden="false" customHeight="false" outlineLevel="0" collapsed="false">
      <c r="A68" s="4" t="s">
        <v>63</v>
      </c>
      <c r="B68" s="4" t="n">
        <v>19</v>
      </c>
      <c r="C68" s="5" t="n">
        <v>48457</v>
      </c>
      <c r="D68" s="5" t="n">
        <v>80227</v>
      </c>
      <c r="E68" s="5" t="n">
        <v>4652</v>
      </c>
      <c r="F68" s="5" t="n">
        <v>2944</v>
      </c>
      <c r="G68" s="5" t="n">
        <v>1058</v>
      </c>
      <c r="H68" s="5" t="n">
        <v>2371</v>
      </c>
      <c r="I68" s="5" t="n">
        <v>0</v>
      </c>
      <c r="J68" s="5" t="n">
        <v>148</v>
      </c>
      <c r="K68" s="5" t="n">
        <v>5198</v>
      </c>
      <c r="L68" s="5" t="n">
        <v>145055</v>
      </c>
      <c r="M68" s="11" t="n">
        <f aca="false">IF(L68=0,0,C68/L68)</f>
        <v>0.334059494674434</v>
      </c>
      <c r="N68" s="11" t="n">
        <f aca="false">IF(L68=0,0,D68/L68)</f>
        <v>0.553079866257626</v>
      </c>
      <c r="O68" s="11" t="n">
        <f aca="false">IF(L68=0,0,E68/L68)</f>
        <v>0.0320705939126538</v>
      </c>
      <c r="P68" s="11" t="n">
        <f aca="false">IF(L68=0,0,K68/L68)</f>
        <v>0.0358346833959533</v>
      </c>
      <c r="Q68" s="4" t="str">
        <f aca="false">INDEX($C$3:$I$3,MATCH(MAX(C68:I68),C68:I68,0))</f>
        <v>Juntos Hacemos Historia (Morena-PT-PVEM)</v>
      </c>
      <c r="R68" s="17" t="n">
        <f aca="false">IF(L68=0,0,(MAX(C68:I68)-LARGE(C68:I68,2))/L68*100)</f>
        <v>21.9020371583193</v>
      </c>
      <c r="S68" s="4" t="s">
        <v>24</v>
      </c>
      <c r="T68" s="4" t="s">
        <v>25</v>
      </c>
    </row>
    <row r="69" customFormat="false" ht="15" hidden="false" customHeight="false" outlineLevel="0" collapsed="false">
      <c r="A69" s="4" t="s">
        <v>63</v>
      </c>
      <c r="B69" s="4" t="n">
        <v>20</v>
      </c>
      <c r="C69" s="5" t="n">
        <v>41856</v>
      </c>
      <c r="D69" s="5" t="n">
        <v>75296</v>
      </c>
      <c r="E69" s="5" t="n">
        <v>4418</v>
      </c>
      <c r="F69" s="5" t="n">
        <v>2227</v>
      </c>
      <c r="G69" s="5" t="n">
        <v>1105</v>
      </c>
      <c r="H69" s="5" t="n">
        <v>2133</v>
      </c>
      <c r="I69" s="5" t="n">
        <v>0</v>
      </c>
      <c r="J69" s="5" t="n">
        <v>135</v>
      </c>
      <c r="K69" s="5" t="n">
        <v>3945</v>
      </c>
      <c r="L69" s="5" t="n">
        <v>131115</v>
      </c>
      <c r="M69" s="11" t="n">
        <f aca="false">IF(L69=0,0,C69/L69)</f>
        <v>0.319231209243794</v>
      </c>
      <c r="N69" s="11" t="n">
        <f aca="false">IF(L69=0,0,D69/L69)</f>
        <v>0.574274491858292</v>
      </c>
      <c r="O69" s="11" t="n">
        <f aca="false">IF(L69=0,0,E69/L69)</f>
        <v>0.0336956107234108</v>
      </c>
      <c r="P69" s="11" t="n">
        <f aca="false">IF(L69=0,0,K69/L69)</f>
        <v>0.030088090607482</v>
      </c>
      <c r="Q69" s="4" t="str">
        <f aca="false">INDEX($C$3:$I$3,MATCH(MAX(C69:I69),C69:I69,0))</f>
        <v>Juntos Hacemos Historia (Morena-PT-PVEM)</v>
      </c>
      <c r="R69" s="17" t="n">
        <f aca="false">IF(L69=0,0,(MAX(C69:I69)-LARGE(C69:I69,2))/L69*100)</f>
        <v>25.5043282614499</v>
      </c>
      <c r="S69" s="4" t="s">
        <v>23</v>
      </c>
      <c r="T69" s="4" t="s">
        <v>25</v>
      </c>
    </row>
    <row r="70" customFormat="false" ht="15" hidden="false" customHeight="false" outlineLevel="0" collapsed="false">
      <c r="A70" s="4" t="s">
        <v>63</v>
      </c>
      <c r="B70" s="4" t="n">
        <v>21</v>
      </c>
      <c r="C70" s="5" t="n">
        <v>47440</v>
      </c>
      <c r="D70" s="5" t="n">
        <v>78662</v>
      </c>
      <c r="E70" s="5" t="n">
        <v>5840</v>
      </c>
      <c r="F70" s="5" t="n">
        <v>4493</v>
      </c>
      <c r="G70" s="5" t="n">
        <v>2041</v>
      </c>
      <c r="H70" s="5" t="n">
        <v>4845</v>
      </c>
      <c r="I70" s="5" t="n">
        <v>0</v>
      </c>
      <c r="J70" s="5" t="n">
        <v>187</v>
      </c>
      <c r="K70" s="5" t="n">
        <v>6402</v>
      </c>
      <c r="L70" s="5" t="n">
        <v>149910</v>
      </c>
      <c r="M70" s="11" t="n">
        <f aca="false">IF(L70=0,0,C70/L70)</f>
        <v>0.316456540591021</v>
      </c>
      <c r="N70" s="11" t="n">
        <f aca="false">IF(L70=0,0,D70/L70)</f>
        <v>0.524728170235475</v>
      </c>
      <c r="O70" s="11" t="n">
        <f aca="false">IF(L70=0,0,E70/L70)</f>
        <v>0.038956707357748</v>
      </c>
      <c r="P70" s="11" t="n">
        <f aca="false">IF(L70=0,0,K70/L70)</f>
        <v>0.0427056233740244</v>
      </c>
      <c r="Q70" s="4" t="str">
        <f aca="false">INDEX($C$3:$I$3,MATCH(MAX(C70:I70),C70:I70,0))</f>
        <v>Juntos Hacemos Historia (Morena-PT-PVEM)</v>
      </c>
      <c r="R70" s="17" t="n">
        <f aca="false">IF(L70=0,0,(MAX(C70:I70)-LARGE(C70:I70,2))/L70*100)</f>
        <v>20.8271629644453</v>
      </c>
      <c r="S70" s="4" t="s">
        <v>24</v>
      </c>
      <c r="T70" s="4" t="s">
        <v>25</v>
      </c>
    </row>
    <row r="71" customFormat="false" ht="15" hidden="false" customHeight="false" outlineLevel="0" collapsed="false">
      <c r="A71" s="4" t="s">
        <v>63</v>
      </c>
      <c r="B71" s="4" t="n">
        <v>22</v>
      </c>
      <c r="C71" s="5" t="n">
        <v>23987</v>
      </c>
      <c r="D71" s="5" t="n">
        <v>73966</v>
      </c>
      <c r="E71" s="5" t="n">
        <v>3206</v>
      </c>
      <c r="F71" s="5" t="n">
        <v>2759</v>
      </c>
      <c r="G71" s="5" t="n">
        <v>809</v>
      </c>
      <c r="H71" s="5" t="n">
        <v>1818</v>
      </c>
      <c r="I71" s="5" t="n">
        <v>0</v>
      </c>
      <c r="J71" s="5" t="n">
        <v>96</v>
      </c>
      <c r="K71" s="5" t="n">
        <v>4817</v>
      </c>
      <c r="L71" s="5" t="n">
        <v>111458</v>
      </c>
      <c r="M71" s="11" t="n">
        <f aca="false">IF(L71=0,0,C71/L71)</f>
        <v>0.215211110911734</v>
      </c>
      <c r="N71" s="11" t="n">
        <f aca="false">IF(L71=0,0,D71/L71)</f>
        <v>0.663622171580326</v>
      </c>
      <c r="O71" s="11" t="n">
        <f aca="false">IF(L71=0,0,E71/L71)</f>
        <v>0.028764198173303</v>
      </c>
      <c r="P71" s="11" t="n">
        <f aca="false">IF(L71=0,0,K71/L71)</f>
        <v>0.043218073175546</v>
      </c>
      <c r="Q71" s="4" t="str">
        <f aca="false">INDEX($C$3:$I$3,MATCH(MAX(C71:I71),C71:I71,0))</f>
        <v>Juntos Hacemos Historia (Morena-PT-PVEM)</v>
      </c>
      <c r="R71" s="17" t="n">
        <f aca="false">IF(L71=0,0,(MAX(C71:I71)-LARGE(C71:I71,2))/L71*100)</f>
        <v>44.8411060668593</v>
      </c>
      <c r="S71" s="4" t="s">
        <v>24</v>
      </c>
      <c r="T71" s="4" t="s">
        <v>25</v>
      </c>
    </row>
    <row r="72" customFormat="false" ht="15" hidden="false" customHeight="false" outlineLevel="0" collapsed="false">
      <c r="A72" s="4" t="s">
        <v>63</v>
      </c>
      <c r="B72" s="4" t="n">
        <v>23</v>
      </c>
      <c r="C72" s="5" t="n">
        <v>101913</v>
      </c>
      <c r="D72" s="5" t="n">
        <v>82828</v>
      </c>
      <c r="E72" s="5" t="n">
        <v>8331</v>
      </c>
      <c r="F72" s="5" t="n">
        <v>2352</v>
      </c>
      <c r="G72" s="5" t="n">
        <v>1201</v>
      </c>
      <c r="H72" s="5" t="n">
        <v>3441</v>
      </c>
      <c r="I72" s="5" t="n">
        <v>0</v>
      </c>
      <c r="J72" s="5" t="n">
        <v>236</v>
      </c>
      <c r="K72" s="5" t="n">
        <v>5418</v>
      </c>
      <c r="L72" s="5" t="n">
        <v>205720</v>
      </c>
      <c r="M72" s="11" t="n">
        <f aca="false">IF(L72=0,0,C72/L72)</f>
        <v>0.495396655648454</v>
      </c>
      <c r="N72" s="11" t="n">
        <f aca="false">IF(L72=0,0,D72/L72)</f>
        <v>0.402624927085359</v>
      </c>
      <c r="O72" s="11" t="n">
        <f aca="false">IF(L72=0,0,E72/L72)</f>
        <v>0.0404967917557846</v>
      </c>
      <c r="P72" s="11" t="n">
        <f aca="false">IF(L72=0,0,K72/L72)</f>
        <v>0.0263367684230994</v>
      </c>
      <c r="Q72" s="4" t="str">
        <f aca="false">INDEX($C$3:$I$3,MATCH(MAX(C72:I72),C72:I72,0))</f>
        <v>Va por México (PAN-PRI-PRD)</v>
      </c>
      <c r="R72" s="17" t="n">
        <f aca="false">IF(L72=0,0,(MAX(C72:I72)-LARGE(C72:I72,2))/L72*100)</f>
        <v>9.27717285630955</v>
      </c>
      <c r="S72" s="4" t="s">
        <v>25</v>
      </c>
      <c r="T72" s="4" t="s">
        <v>23</v>
      </c>
    </row>
    <row r="73" customFormat="false" ht="15" hidden="false" customHeight="false" outlineLevel="0" collapsed="false">
      <c r="A73" s="4" t="s">
        <v>63</v>
      </c>
      <c r="B73" s="4" t="n">
        <v>24</v>
      </c>
      <c r="C73" s="5" t="n">
        <v>104540</v>
      </c>
      <c r="D73" s="5" t="n">
        <v>71857</v>
      </c>
      <c r="E73" s="5" t="n">
        <v>6100</v>
      </c>
      <c r="F73" s="5" t="n">
        <v>2296</v>
      </c>
      <c r="G73" s="5" t="n">
        <v>1213</v>
      </c>
      <c r="H73" s="5" t="n">
        <v>3332</v>
      </c>
      <c r="I73" s="5" t="n">
        <v>0</v>
      </c>
      <c r="J73" s="5" t="n">
        <v>235</v>
      </c>
      <c r="K73" s="5" t="n">
        <v>4993</v>
      </c>
      <c r="L73" s="5" t="n">
        <v>194566</v>
      </c>
      <c r="M73" s="11" t="n">
        <f aca="false">IF(L73=0,0,C73/L73)</f>
        <v>0.53729839745896</v>
      </c>
      <c r="N73" s="11" t="n">
        <f aca="false">IF(L73=0,0,D73/L73)</f>
        <v>0.369319408324168</v>
      </c>
      <c r="O73" s="11" t="n">
        <f aca="false">IF(L73=0,0,E73/L73)</f>
        <v>0.0313518291993462</v>
      </c>
      <c r="P73" s="11" t="n">
        <f aca="false">IF(L73=0,0,K73/L73)</f>
        <v>0.0256622431462846</v>
      </c>
      <c r="Q73" s="4" t="str">
        <f aca="false">INDEX($C$3:$I$3,MATCH(MAX(C73:I73),C73:I73,0))</f>
        <v>Va por México (PAN-PRI-PRD)</v>
      </c>
      <c r="R73" s="17" t="n">
        <f aca="false">IF(L73=0,0,(MAX(C73:I73)-LARGE(C73:I73,2))/L73*100)</f>
        <v>16.7978989134792</v>
      </c>
      <c r="S73" s="4" t="s">
        <v>25</v>
      </c>
      <c r="T73" s="4" t="s">
        <v>24</v>
      </c>
    </row>
    <row r="74" customFormat="false" ht="15" hidden="false" customHeight="false" outlineLevel="0" collapsed="false">
      <c r="A74" s="4" t="s">
        <v>64</v>
      </c>
      <c r="B74" s="4" t="n">
        <v>1</v>
      </c>
      <c r="C74" s="5" t="n">
        <v>73452</v>
      </c>
      <c r="D74" s="5" t="n">
        <v>56024</v>
      </c>
      <c r="E74" s="5" t="n">
        <v>4968</v>
      </c>
      <c r="F74" s="5" t="n">
        <v>2318</v>
      </c>
      <c r="G74" s="5" t="n">
        <v>3203</v>
      </c>
      <c r="H74" s="5" t="n">
        <v>1952</v>
      </c>
      <c r="I74" s="5" t="n">
        <v>0</v>
      </c>
      <c r="J74" s="5" t="n">
        <v>79</v>
      </c>
      <c r="K74" s="5" t="n">
        <v>4270</v>
      </c>
      <c r="L74" s="5" t="n">
        <v>146266</v>
      </c>
      <c r="M74" s="11" t="n">
        <f aca="false">IF(L74=0,0,C74/L74)</f>
        <v>0.502180957980665</v>
      </c>
      <c r="N74" s="11" t="n">
        <f aca="false">IF(L74=0,0,D74/L74)</f>
        <v>0.383028181532277</v>
      </c>
      <c r="O74" s="11" t="n">
        <f aca="false">IF(L74=0,0,E74/L74)</f>
        <v>0.0339655148838418</v>
      </c>
      <c r="P74" s="11" t="n">
        <f aca="false">IF(L74=0,0,K74/L74)</f>
        <v>0.0291933873900975</v>
      </c>
      <c r="Q74" s="4" t="str">
        <f aca="false">INDEX($C$3:$I$3,MATCH(MAX(C74:I74),C74:I74,0))</f>
        <v>Va por México (PAN-PRI-PRD)</v>
      </c>
      <c r="R74" s="17" t="n">
        <f aca="false">IF(L74=0,0,(MAX(C74:I74)-LARGE(C74:I74,2))/L74*100)</f>
        <v>11.9152776448389</v>
      </c>
      <c r="S74" s="4" t="s">
        <v>25</v>
      </c>
      <c r="T74" s="4" t="s">
        <v>23</v>
      </c>
    </row>
    <row r="75" customFormat="false" ht="15" hidden="false" customHeight="false" outlineLevel="0" collapsed="false">
      <c r="A75" s="4" t="s">
        <v>64</v>
      </c>
      <c r="B75" s="4" t="n">
        <v>2</v>
      </c>
      <c r="C75" s="5" t="n">
        <v>54716</v>
      </c>
      <c r="D75" s="5" t="n">
        <v>72663</v>
      </c>
      <c r="E75" s="5" t="n">
        <v>3915</v>
      </c>
      <c r="F75" s="5" t="n">
        <v>2142</v>
      </c>
      <c r="G75" s="5" t="n">
        <v>784</v>
      </c>
      <c r="H75" s="5" t="n">
        <v>1502</v>
      </c>
      <c r="I75" s="5" t="n">
        <v>0</v>
      </c>
      <c r="J75" s="5" t="n">
        <v>85</v>
      </c>
      <c r="K75" s="5" t="n">
        <v>3174</v>
      </c>
      <c r="L75" s="5" t="n">
        <v>138981</v>
      </c>
      <c r="M75" s="11" t="n">
        <f aca="false">IF(L75=0,0,C75/L75)</f>
        <v>0.393694102071506</v>
      </c>
      <c r="N75" s="11" t="n">
        <f aca="false">IF(L75=0,0,D75/L75)</f>
        <v>0.522826861225635</v>
      </c>
      <c r="O75" s="11" t="n">
        <f aca="false">IF(L75=0,0,E75/L75)</f>
        <v>0.0281693181082306</v>
      </c>
      <c r="P75" s="11" t="n">
        <f aca="false">IF(L75=0,0,K75/L75)</f>
        <v>0.0228376540678222</v>
      </c>
      <c r="Q75" s="4" t="str">
        <f aca="false">INDEX($C$3:$I$3,MATCH(MAX(C75:I75),C75:I75,0))</f>
        <v>Juntos Hacemos Historia (Morena-PT-PVEM)</v>
      </c>
      <c r="R75" s="17" t="n">
        <f aca="false">IF(L75=0,0,(MAX(C75:I75)-LARGE(C75:I75,2))/L75*100)</f>
        <v>12.9132759154129</v>
      </c>
      <c r="S75" s="4" t="s">
        <v>23</v>
      </c>
      <c r="T75" s="4" t="s">
        <v>25</v>
      </c>
    </row>
    <row r="76" customFormat="false" ht="15" hidden="false" customHeight="false" outlineLevel="0" collapsed="false">
      <c r="A76" s="4" t="s">
        <v>64</v>
      </c>
      <c r="B76" s="4" t="n">
        <v>3</v>
      </c>
      <c r="C76" s="5" t="n">
        <v>62743</v>
      </c>
      <c r="D76" s="5" t="n">
        <v>67836</v>
      </c>
      <c r="E76" s="5" t="n">
        <v>5204</v>
      </c>
      <c r="F76" s="5" t="n">
        <v>2322</v>
      </c>
      <c r="G76" s="5" t="n">
        <v>3608</v>
      </c>
      <c r="H76" s="5" t="n">
        <v>1724</v>
      </c>
      <c r="I76" s="5" t="n">
        <v>0</v>
      </c>
      <c r="J76" s="5" t="n">
        <v>49</v>
      </c>
      <c r="K76" s="5" t="n">
        <v>3888</v>
      </c>
      <c r="L76" s="5" t="n">
        <v>147374</v>
      </c>
      <c r="M76" s="11" t="n">
        <f aca="false">IF(L76=0,0,C76/L76)</f>
        <v>0.425739954130308</v>
      </c>
      <c r="N76" s="11" t="n">
        <f aca="false">IF(L76=0,0,D76/L76)</f>
        <v>0.460298288707642</v>
      </c>
      <c r="O76" s="11" t="n">
        <f aca="false">IF(L76=0,0,E76/L76)</f>
        <v>0.0353115203495868</v>
      </c>
      <c r="P76" s="11" t="n">
        <f aca="false">IF(L76=0,0,K76/L76)</f>
        <v>0.0263818584010748</v>
      </c>
      <c r="Q76" s="4" t="str">
        <f aca="false">INDEX($C$3:$I$3,MATCH(MAX(C76:I76),C76:I76,0))</f>
        <v>Juntos Hacemos Historia (Morena-PT-PVEM)</v>
      </c>
      <c r="R76" s="17" t="n">
        <f aca="false">IF(L76=0,0,(MAX(C76:I76)-LARGE(C76:I76,2))/L76*100)</f>
        <v>3.45583345773339</v>
      </c>
      <c r="S76" s="4" t="s">
        <v>23</v>
      </c>
      <c r="T76" s="4" t="s">
        <v>25</v>
      </c>
    </row>
    <row r="77" customFormat="false" ht="15" hidden="false" customHeight="false" outlineLevel="0" collapsed="false">
      <c r="A77" s="4" t="s">
        <v>64</v>
      </c>
      <c r="B77" s="4" t="n">
        <v>4</v>
      </c>
      <c r="C77" s="5" t="n">
        <v>59596</v>
      </c>
      <c r="D77" s="5" t="n">
        <v>41786</v>
      </c>
      <c r="E77" s="5" t="n">
        <v>15375</v>
      </c>
      <c r="F77" s="5" t="n">
        <v>2982</v>
      </c>
      <c r="G77" s="5" t="n">
        <v>14110</v>
      </c>
      <c r="H77" s="5" t="n">
        <v>3338</v>
      </c>
      <c r="I77" s="5" t="n">
        <v>0</v>
      </c>
      <c r="J77" s="5" t="n">
        <v>129</v>
      </c>
      <c r="K77" s="5" t="n">
        <v>4024</v>
      </c>
      <c r="L77" s="5" t="n">
        <v>141340</v>
      </c>
      <c r="M77" s="11" t="n">
        <f aca="false">IF(L77=0,0,C77/L77)</f>
        <v>0.421649922173482</v>
      </c>
      <c r="N77" s="11" t="n">
        <f aca="false">IF(L77=0,0,D77/L77)</f>
        <v>0.295641715013443</v>
      </c>
      <c r="O77" s="11" t="n">
        <f aca="false">IF(L77=0,0,E77/L77)</f>
        <v>0.108780246214801</v>
      </c>
      <c r="P77" s="11" t="n">
        <f aca="false">IF(L77=0,0,K77/L77)</f>
        <v>0.0284703551719259</v>
      </c>
      <c r="Q77" s="4" t="str">
        <f aca="false">INDEX($C$3:$I$3,MATCH(MAX(C77:I77),C77:I77,0))</f>
        <v>Va por México (PAN-PRI-PRD)</v>
      </c>
      <c r="R77" s="17" t="n">
        <f aca="false">IF(L77=0,0,(MAX(C77:I77)-LARGE(C77:I77,2))/L77*100)</f>
        <v>12.600820716004</v>
      </c>
      <c r="S77" s="4" t="s">
        <v>25</v>
      </c>
      <c r="T77" s="4" t="s">
        <v>23</v>
      </c>
    </row>
    <row r="78" customFormat="false" ht="15" hidden="false" customHeight="false" outlineLevel="0" collapsed="false">
      <c r="A78" s="4" t="s">
        <v>65</v>
      </c>
      <c r="B78" s="4" t="n">
        <v>1</v>
      </c>
      <c r="C78" s="5" t="n">
        <v>80820</v>
      </c>
      <c r="D78" s="5" t="n">
        <v>33901</v>
      </c>
      <c r="E78" s="5" t="n">
        <v>2262</v>
      </c>
      <c r="F78" s="5" t="n">
        <v>4582</v>
      </c>
      <c r="G78" s="5" t="n">
        <v>2960</v>
      </c>
      <c r="H78" s="5" t="n">
        <v>5606</v>
      </c>
      <c r="I78" s="5" t="n">
        <v>0</v>
      </c>
      <c r="J78" s="5" t="n">
        <v>131</v>
      </c>
      <c r="K78" s="5" t="n">
        <v>6878</v>
      </c>
      <c r="L78" s="5" t="n">
        <v>137140</v>
      </c>
      <c r="M78" s="11" t="n">
        <f aca="false">IF(L78=0,0,C78/L78)</f>
        <v>0.589324777599533</v>
      </c>
      <c r="N78" s="11" t="n">
        <f aca="false">IF(L78=0,0,D78/L78)</f>
        <v>0.247199941665451</v>
      </c>
      <c r="O78" s="11" t="n">
        <f aca="false">IF(L78=0,0,E78/L78)</f>
        <v>0.0164940936269506</v>
      </c>
      <c r="P78" s="11" t="n">
        <f aca="false">IF(L78=0,0,K78/L78)</f>
        <v>0.0501531281901706</v>
      </c>
      <c r="Q78" s="4" t="str">
        <f aca="false">INDEX($C$3:$I$3,MATCH(MAX(C78:I78),C78:I78,0))</f>
        <v>Va por México (PAN-PRI-PRD)</v>
      </c>
      <c r="R78" s="17" t="n">
        <f aca="false">IF(L78=0,0,(MAX(C78:I78)-LARGE(C78:I78,2))/L78*100)</f>
        <v>34.2124835934082</v>
      </c>
      <c r="S78" s="4" t="s">
        <v>26</v>
      </c>
      <c r="T78" s="4" t="s">
        <v>27</v>
      </c>
    </row>
    <row r="79" customFormat="false" ht="15" hidden="false" customHeight="false" outlineLevel="0" collapsed="false">
      <c r="A79" s="4" t="s">
        <v>65</v>
      </c>
      <c r="B79" s="4" t="n">
        <v>2</v>
      </c>
      <c r="C79" s="5" t="n">
        <v>67702</v>
      </c>
      <c r="D79" s="5" t="n">
        <v>45535</v>
      </c>
      <c r="E79" s="5" t="n">
        <v>6433</v>
      </c>
      <c r="F79" s="5" t="n">
        <v>4374</v>
      </c>
      <c r="G79" s="5" t="n">
        <v>1568</v>
      </c>
      <c r="H79" s="5" t="n">
        <v>4315</v>
      </c>
      <c r="I79" s="5" t="n">
        <v>0</v>
      </c>
      <c r="J79" s="5" t="n">
        <v>107</v>
      </c>
      <c r="K79" s="5" t="n">
        <v>4947</v>
      </c>
      <c r="L79" s="5" t="n">
        <v>134981</v>
      </c>
      <c r="M79" s="11" t="n">
        <f aca="false">IF(L79=0,0,C79/L79)</f>
        <v>0.501566887191531</v>
      </c>
      <c r="N79" s="11" t="n">
        <f aca="false">IF(L79=0,0,D79/L79)</f>
        <v>0.337343774308977</v>
      </c>
      <c r="O79" s="11" t="n">
        <f aca="false">IF(L79=0,0,E79/L79)</f>
        <v>0.0476585593527978</v>
      </c>
      <c r="P79" s="11" t="n">
        <f aca="false">IF(L79=0,0,K79/L79)</f>
        <v>0.0366496025366533</v>
      </c>
      <c r="Q79" s="4" t="str">
        <f aca="false">INDEX($C$3:$I$3,MATCH(MAX(C79:I79),C79:I79,0))</f>
        <v>Va por México (PAN-PRI-PRD)</v>
      </c>
      <c r="R79" s="17" t="n">
        <f aca="false">IF(L79=0,0,(MAX(C79:I79)-LARGE(C79:I79,2))/L79*100)</f>
        <v>16.4223112882554</v>
      </c>
      <c r="S79" s="4" t="s">
        <v>26</v>
      </c>
      <c r="T79" s="4" t="s">
        <v>24</v>
      </c>
    </row>
    <row r="80" customFormat="false" ht="15" hidden="false" customHeight="false" outlineLevel="0" collapsed="false">
      <c r="A80" s="4" t="s">
        <v>65</v>
      </c>
      <c r="B80" s="4" t="n">
        <v>3</v>
      </c>
      <c r="C80" s="5" t="n">
        <v>111279</v>
      </c>
      <c r="D80" s="5" t="n">
        <v>31689</v>
      </c>
      <c r="E80" s="5" t="n">
        <v>5197</v>
      </c>
      <c r="F80" s="5" t="n">
        <v>1005</v>
      </c>
      <c r="G80" s="5" t="n">
        <v>590</v>
      </c>
      <c r="H80" s="5" t="n">
        <v>953</v>
      </c>
      <c r="I80" s="5" t="n">
        <v>0</v>
      </c>
      <c r="J80" s="5" t="n">
        <v>91</v>
      </c>
      <c r="K80" s="5" t="n">
        <v>2684</v>
      </c>
      <c r="L80" s="5" t="n">
        <v>153488</v>
      </c>
      <c r="M80" s="11" t="n">
        <f aca="false">IF(L80=0,0,C80/L80)</f>
        <v>0.725001303033462</v>
      </c>
      <c r="N80" s="11" t="n">
        <f aca="false">IF(L80=0,0,D80/L80)</f>
        <v>0.206459136870635</v>
      </c>
      <c r="O80" s="11" t="n">
        <f aca="false">IF(L80=0,0,E80/L80)</f>
        <v>0.0338593245074534</v>
      </c>
      <c r="P80" s="11" t="n">
        <f aca="false">IF(L80=0,0,K80/L80)</f>
        <v>0.0174867090586886</v>
      </c>
      <c r="Q80" s="4" t="str">
        <f aca="false">INDEX($C$3:$I$3,MATCH(MAX(C80:I80),C80:I80,0))</f>
        <v>Va por México (PAN-PRI-PRD)</v>
      </c>
      <c r="R80" s="17" t="n">
        <f aca="false">IF(L80=0,0,(MAX(C80:I80)-LARGE(C80:I80,2))/L80*100)</f>
        <v>51.8542166162827</v>
      </c>
      <c r="S80" s="4" t="s">
        <v>26</v>
      </c>
      <c r="T80" s="4" t="s">
        <v>24</v>
      </c>
    </row>
    <row r="81" customFormat="false" ht="15" hidden="false" customHeight="false" outlineLevel="0" collapsed="false">
      <c r="A81" s="4" t="s">
        <v>65</v>
      </c>
      <c r="B81" s="4" t="n">
        <v>4</v>
      </c>
      <c r="C81" s="5" t="n">
        <v>69834</v>
      </c>
      <c r="D81" s="5" t="n">
        <v>38552</v>
      </c>
      <c r="E81" s="5" t="n">
        <v>4013</v>
      </c>
      <c r="F81" s="5" t="n">
        <v>1406</v>
      </c>
      <c r="G81" s="5" t="n">
        <v>5519</v>
      </c>
      <c r="H81" s="5" t="n">
        <v>2502</v>
      </c>
      <c r="I81" s="5" t="n">
        <v>0</v>
      </c>
      <c r="J81" s="5" t="n">
        <v>94</v>
      </c>
      <c r="K81" s="5" t="n">
        <v>4378</v>
      </c>
      <c r="L81" s="5" t="n">
        <v>126298</v>
      </c>
      <c r="M81" s="11" t="n">
        <f aca="false">IF(L81=0,0,C81/L81)</f>
        <v>0.552930371027253</v>
      </c>
      <c r="N81" s="11" t="n">
        <f aca="false">IF(L81=0,0,D81/L81)</f>
        <v>0.305246322190375</v>
      </c>
      <c r="O81" s="11" t="n">
        <f aca="false">IF(L81=0,0,E81/L81)</f>
        <v>0.0317740581798603</v>
      </c>
      <c r="P81" s="11" t="n">
        <f aca="false">IF(L81=0,0,K81/L81)</f>
        <v>0.0346640485201666</v>
      </c>
      <c r="Q81" s="4" t="str">
        <f aca="false">INDEX($C$3:$I$3,MATCH(MAX(C81:I81),C81:I81,0))</f>
        <v>Va por México (PAN-PRI-PRD)</v>
      </c>
      <c r="R81" s="17" t="n">
        <f aca="false">IF(L81=0,0,(MAX(C81:I81)-LARGE(C81:I81,2))/L81*100)</f>
        <v>24.7684048836878</v>
      </c>
      <c r="S81" s="4" t="s">
        <v>26</v>
      </c>
      <c r="T81" s="4" t="s">
        <v>24</v>
      </c>
    </row>
    <row r="82" customFormat="false" ht="15" hidden="false" customHeight="false" outlineLevel="0" collapsed="false">
      <c r="A82" s="4" t="s">
        <v>65</v>
      </c>
      <c r="B82" s="4" t="n">
        <v>5</v>
      </c>
      <c r="C82" s="5" t="n">
        <v>85016</v>
      </c>
      <c r="D82" s="5" t="n">
        <v>35006</v>
      </c>
      <c r="E82" s="5" t="n">
        <v>4114</v>
      </c>
      <c r="F82" s="5" t="n">
        <v>1455</v>
      </c>
      <c r="G82" s="5" t="n">
        <v>574</v>
      </c>
      <c r="H82" s="5" t="n">
        <v>1310</v>
      </c>
      <c r="I82" s="5" t="n">
        <v>0</v>
      </c>
      <c r="J82" s="5" t="n">
        <v>77</v>
      </c>
      <c r="K82" s="5" t="n">
        <v>2893</v>
      </c>
      <c r="L82" s="5" t="n">
        <v>130445</v>
      </c>
      <c r="M82" s="11" t="n">
        <f aca="false">IF(L82=0,0,C82/L82)</f>
        <v>0.651738280501361</v>
      </c>
      <c r="N82" s="11" t="n">
        <f aca="false">IF(L82=0,0,D82/L82)</f>
        <v>0.268358311932232</v>
      </c>
      <c r="O82" s="11" t="n">
        <f aca="false">IF(L82=0,0,E82/L82)</f>
        <v>0.031538196174633</v>
      </c>
      <c r="P82" s="11" t="n">
        <f aca="false">IF(L82=0,0,K82/L82)</f>
        <v>0.0221779293955307</v>
      </c>
      <c r="Q82" s="4" t="str">
        <f aca="false">INDEX($C$3:$I$3,MATCH(MAX(C82:I82),C82:I82,0))</f>
        <v>Va por México (PAN-PRI-PRD)</v>
      </c>
      <c r="R82" s="17" t="n">
        <f aca="false">IF(L82=0,0,(MAX(C82:I82)-LARGE(C82:I82,2))/L82*100)</f>
        <v>38.3379968569129</v>
      </c>
      <c r="S82" s="4" t="s">
        <v>26</v>
      </c>
      <c r="T82" s="4" t="s">
        <v>24</v>
      </c>
    </row>
    <row r="83" customFormat="false" ht="15" hidden="false" customHeight="false" outlineLevel="0" collapsed="false">
      <c r="A83" s="4" t="s">
        <v>65</v>
      </c>
      <c r="B83" s="4" t="n">
        <v>6</v>
      </c>
      <c r="C83" s="5" t="n">
        <v>91081</v>
      </c>
      <c r="D83" s="5" t="n">
        <v>35740</v>
      </c>
      <c r="E83" s="5" t="n">
        <v>4169</v>
      </c>
      <c r="F83" s="5" t="n">
        <v>1075</v>
      </c>
      <c r="G83" s="5" t="n">
        <v>599</v>
      </c>
      <c r="H83" s="5" t="n">
        <v>1016</v>
      </c>
      <c r="I83" s="5" t="n">
        <v>0</v>
      </c>
      <c r="J83" s="5" t="n">
        <v>96</v>
      </c>
      <c r="K83" s="5" t="n">
        <v>2790</v>
      </c>
      <c r="L83" s="5" t="n">
        <v>136566</v>
      </c>
      <c r="M83" s="11" t="n">
        <f aca="false">IF(L83=0,0,C83/L83)</f>
        <v>0.666937597937993</v>
      </c>
      <c r="N83" s="11" t="n">
        <f aca="false">IF(L83=0,0,D83/L83)</f>
        <v>0.261704963167992</v>
      </c>
      <c r="O83" s="11" t="n">
        <f aca="false">IF(L83=0,0,E83/L83)</f>
        <v>0.030527364058404</v>
      </c>
      <c r="P83" s="11" t="n">
        <f aca="false">IF(L83=0,0,K83/L83)</f>
        <v>0.0204296823513905</v>
      </c>
      <c r="Q83" s="4" t="str">
        <f aca="false">INDEX($C$3:$I$3,MATCH(MAX(C83:I83),C83:I83,0))</f>
        <v>Va por México (PAN-PRI-PRD)</v>
      </c>
      <c r="R83" s="17" t="n">
        <f aca="false">IF(L83=0,0,(MAX(C83:I83)-LARGE(C83:I83,2))/L83*100)</f>
        <v>40.5232634770001</v>
      </c>
      <c r="S83" s="4" t="s">
        <v>26</v>
      </c>
      <c r="T83" s="4" t="s">
        <v>24</v>
      </c>
    </row>
    <row r="84" customFormat="false" ht="15" hidden="false" customHeight="false" outlineLevel="0" collapsed="false">
      <c r="A84" s="4" t="s">
        <v>65</v>
      </c>
      <c r="B84" s="4" t="n">
        <v>7</v>
      </c>
      <c r="C84" s="5" t="n">
        <v>86637</v>
      </c>
      <c r="D84" s="5" t="n">
        <v>31986</v>
      </c>
      <c r="E84" s="5" t="n">
        <v>4603</v>
      </c>
      <c r="F84" s="5" t="n">
        <v>871</v>
      </c>
      <c r="G84" s="5" t="n">
        <v>369</v>
      </c>
      <c r="H84" s="5" t="n">
        <v>563</v>
      </c>
      <c r="I84" s="5" t="n">
        <v>0</v>
      </c>
      <c r="J84" s="5" t="n">
        <v>41</v>
      </c>
      <c r="K84" s="5" t="n">
        <v>3235</v>
      </c>
      <c r="L84" s="5" t="n">
        <v>128305</v>
      </c>
      <c r="M84" s="11" t="n">
        <f aca="false">IF(L84=0,0,C84/L84)</f>
        <v>0.675242586025486</v>
      </c>
      <c r="N84" s="11" t="n">
        <f aca="false">IF(L84=0,0,D84/L84)</f>
        <v>0.249296597950197</v>
      </c>
      <c r="O84" s="11" t="n">
        <f aca="false">IF(L84=0,0,E84/L84)</f>
        <v>0.0358754530220958</v>
      </c>
      <c r="P84" s="11" t="n">
        <f aca="false">IF(L84=0,0,K84/L84)</f>
        <v>0.0252133587934999</v>
      </c>
      <c r="Q84" s="4" t="str">
        <f aca="false">INDEX($C$3:$I$3,MATCH(MAX(C84:I84),C84:I84,0))</f>
        <v>Va por México (PAN-PRI-PRD)</v>
      </c>
      <c r="R84" s="17" t="n">
        <f aca="false">IF(L84=0,0,(MAX(C84:I84)-LARGE(C84:I84,2))/L84*100)</f>
        <v>42.5945988075289</v>
      </c>
      <c r="S84" s="4" t="s">
        <v>26</v>
      </c>
      <c r="T84" s="4" t="s">
        <v>27</v>
      </c>
    </row>
    <row r="85" customFormat="false" ht="15" hidden="false" customHeight="false" outlineLevel="0" collapsed="false">
      <c r="A85" s="4" t="s">
        <v>65</v>
      </c>
      <c r="B85" s="4" t="n">
        <v>8</v>
      </c>
      <c r="C85" s="5" t="n">
        <v>64870</v>
      </c>
      <c r="D85" s="5" t="n">
        <v>63304</v>
      </c>
      <c r="E85" s="5" t="n">
        <v>12253</v>
      </c>
      <c r="F85" s="5" t="n">
        <v>2135</v>
      </c>
      <c r="G85" s="5" t="n">
        <v>4295</v>
      </c>
      <c r="H85" s="5" t="n">
        <v>4229</v>
      </c>
      <c r="I85" s="5" t="n">
        <v>0</v>
      </c>
      <c r="J85" s="5" t="n">
        <v>150</v>
      </c>
      <c r="K85" s="5" t="n">
        <v>4658</v>
      </c>
      <c r="L85" s="5" t="n">
        <v>155894</v>
      </c>
      <c r="M85" s="11" t="n">
        <f aca="false">IF(L85=0,0,C85/L85)</f>
        <v>0.416116078874107</v>
      </c>
      <c r="N85" s="11" t="n">
        <f aca="false">IF(L85=0,0,D85/L85)</f>
        <v>0.406070791691791</v>
      </c>
      <c r="O85" s="11" t="n">
        <f aca="false">IF(L85=0,0,E85/L85)</f>
        <v>0.0785982783173182</v>
      </c>
      <c r="P85" s="11" t="n">
        <f aca="false">IF(L85=0,0,K85/L85)</f>
        <v>0.0298792769445906</v>
      </c>
      <c r="Q85" s="4" t="str">
        <f aca="false">INDEX($C$3:$I$3,MATCH(MAX(C85:I85),C85:I85,0))</f>
        <v>Va por México (PAN-PRI-PRD)</v>
      </c>
      <c r="R85" s="17" t="n">
        <f aca="false">IF(L85=0,0,(MAX(C85:I85)-LARGE(C85:I85,2))/L85*100)</f>
        <v>1.00452871823162</v>
      </c>
      <c r="S85" s="4" t="s">
        <v>25</v>
      </c>
      <c r="T85" s="4" t="s">
        <v>24</v>
      </c>
    </row>
    <row r="86" customFormat="false" ht="15" hidden="false" customHeight="false" outlineLevel="0" collapsed="false">
      <c r="A86" s="4" t="s">
        <v>65</v>
      </c>
      <c r="B86" s="4" t="n">
        <v>9</v>
      </c>
      <c r="C86" s="5" t="n">
        <v>66521</v>
      </c>
      <c r="D86" s="5" t="n">
        <v>39945</v>
      </c>
      <c r="E86" s="5" t="n">
        <v>3850</v>
      </c>
      <c r="F86" s="5" t="n">
        <v>1567</v>
      </c>
      <c r="G86" s="5" t="n">
        <v>1171</v>
      </c>
      <c r="H86" s="5" t="n">
        <v>1666</v>
      </c>
      <c r="I86" s="5" t="n">
        <v>0</v>
      </c>
      <c r="J86" s="5" t="n">
        <v>101</v>
      </c>
      <c r="K86" s="5" t="n">
        <v>2911</v>
      </c>
      <c r="L86" s="5" t="n">
        <v>117732</v>
      </c>
      <c r="M86" s="11" t="n">
        <f aca="false">IF(L86=0,0,C86/L86)</f>
        <v>0.565020555159175</v>
      </c>
      <c r="N86" s="11" t="n">
        <f aca="false">IF(L86=0,0,D86/L86)</f>
        <v>0.339287534400163</v>
      </c>
      <c r="O86" s="11" t="n">
        <f aca="false">IF(L86=0,0,E86/L86)</f>
        <v>0.0327013895967112</v>
      </c>
      <c r="P86" s="11" t="n">
        <f aca="false">IF(L86=0,0,K86/L86)</f>
        <v>0.0247256480820847</v>
      </c>
      <c r="Q86" s="4" t="str">
        <f aca="false">INDEX($C$3:$I$3,MATCH(MAX(C86:I86),C86:I86,0))</f>
        <v>Va por México (PAN-PRI-PRD)</v>
      </c>
      <c r="R86" s="17" t="n">
        <f aca="false">IF(L86=0,0,(MAX(C86:I86)-LARGE(C86:I86,2))/L86*100)</f>
        <v>22.5733020759012</v>
      </c>
      <c r="S86" s="4" t="s">
        <v>26</v>
      </c>
      <c r="T86" s="4" t="s">
        <v>24</v>
      </c>
    </row>
    <row r="87" customFormat="false" ht="15" hidden="false" customHeight="false" outlineLevel="0" collapsed="false">
      <c r="A87" s="4" t="s">
        <v>65</v>
      </c>
      <c r="B87" s="4" t="n">
        <v>10</v>
      </c>
      <c r="C87" s="5" t="n">
        <v>66133</v>
      </c>
      <c r="D87" s="5" t="n">
        <v>56998</v>
      </c>
      <c r="E87" s="5" t="n">
        <v>12324</v>
      </c>
      <c r="F87" s="5" t="n">
        <v>3743</v>
      </c>
      <c r="G87" s="5" t="n">
        <v>2640</v>
      </c>
      <c r="H87" s="5" t="n">
        <v>1517</v>
      </c>
      <c r="I87" s="5" t="n">
        <v>0</v>
      </c>
      <c r="J87" s="5" t="n">
        <v>89</v>
      </c>
      <c r="K87" s="5" t="n">
        <v>4563</v>
      </c>
      <c r="L87" s="5" t="n">
        <v>148007</v>
      </c>
      <c r="M87" s="11" t="n">
        <f aca="false">IF(L87=0,0,C87/L87)</f>
        <v>0.446823461052518</v>
      </c>
      <c r="N87" s="11" t="n">
        <f aca="false">IF(L87=0,0,D87/L87)</f>
        <v>0.385103407271278</v>
      </c>
      <c r="O87" s="11" t="n">
        <f aca="false">IF(L87=0,0,E87/L87)</f>
        <v>0.0832663319978109</v>
      </c>
      <c r="P87" s="11" t="n">
        <f aca="false">IF(L87=0,0,K87/L87)</f>
        <v>0.0308296229232401</v>
      </c>
      <c r="Q87" s="4" t="str">
        <f aca="false">INDEX($C$3:$I$3,MATCH(MAX(C87:I87),C87:I87,0))</f>
        <v>Va por México (PAN-PRI-PRD)</v>
      </c>
      <c r="R87" s="17" t="n">
        <f aca="false">IF(L87=0,0,(MAX(C87:I87)-LARGE(C87:I87,2))/L87*100)</f>
        <v>6.17200537812401</v>
      </c>
      <c r="S87" s="4" t="s">
        <v>24</v>
      </c>
      <c r="T87" s="4" t="s">
        <v>26</v>
      </c>
    </row>
    <row r="88" customFormat="false" ht="15" hidden="false" customHeight="false" outlineLevel="0" collapsed="false">
      <c r="A88" s="4" t="s">
        <v>65</v>
      </c>
      <c r="B88" s="4" t="n">
        <v>11</v>
      </c>
      <c r="C88" s="5" t="n">
        <v>77759</v>
      </c>
      <c r="D88" s="5" t="n">
        <v>34350</v>
      </c>
      <c r="E88" s="5" t="n">
        <v>3792</v>
      </c>
      <c r="F88" s="5" t="n">
        <v>1100</v>
      </c>
      <c r="G88" s="5" t="n">
        <v>726</v>
      </c>
      <c r="H88" s="5" t="n">
        <v>1231</v>
      </c>
      <c r="I88" s="5" t="n">
        <v>0</v>
      </c>
      <c r="J88" s="5" t="n">
        <v>84</v>
      </c>
      <c r="K88" s="5" t="n">
        <v>2587</v>
      </c>
      <c r="L88" s="5" t="n">
        <v>121629</v>
      </c>
      <c r="M88" s="11" t="n">
        <f aca="false">IF(L88=0,0,C88/L88)</f>
        <v>0.639312992789549</v>
      </c>
      <c r="N88" s="11" t="n">
        <f aca="false">IF(L88=0,0,D88/L88)</f>
        <v>0.282416200083862</v>
      </c>
      <c r="O88" s="11" t="n">
        <f aca="false">IF(L88=0,0,E88/L88)</f>
        <v>0.0311767752756333</v>
      </c>
      <c r="P88" s="11" t="n">
        <f aca="false">IF(L88=0,0,K88/L88)</f>
        <v>0.0212695985332445</v>
      </c>
      <c r="Q88" s="4" t="str">
        <f aca="false">INDEX($C$3:$I$3,MATCH(MAX(C88:I88),C88:I88,0))</f>
        <v>Va por México (PAN-PRI-PRD)</v>
      </c>
      <c r="R88" s="17" t="n">
        <f aca="false">IF(L88=0,0,(MAX(C88:I88)-LARGE(C88:I88,2))/L88*100)</f>
        <v>35.6896792705687</v>
      </c>
      <c r="S88" s="4" t="s">
        <v>26</v>
      </c>
      <c r="T88" s="4" t="s">
        <v>24</v>
      </c>
    </row>
    <row r="89" customFormat="false" ht="15" hidden="false" customHeight="false" outlineLevel="0" collapsed="false">
      <c r="A89" s="4" t="s">
        <v>65</v>
      </c>
      <c r="B89" s="4" t="n">
        <v>12</v>
      </c>
      <c r="C89" s="5" t="n">
        <v>72887</v>
      </c>
      <c r="D89" s="5" t="n">
        <v>54499</v>
      </c>
      <c r="E89" s="5" t="n">
        <v>5574</v>
      </c>
      <c r="F89" s="5" t="n">
        <v>2051</v>
      </c>
      <c r="G89" s="5" t="n">
        <v>1174</v>
      </c>
      <c r="H89" s="5" t="n">
        <v>2038</v>
      </c>
      <c r="I89" s="5" t="n">
        <v>0</v>
      </c>
      <c r="J89" s="5" t="n">
        <v>110</v>
      </c>
      <c r="K89" s="5" t="n">
        <v>3670</v>
      </c>
      <c r="L89" s="5" t="n">
        <v>142003</v>
      </c>
      <c r="M89" s="11" t="n">
        <f aca="false">IF(L89=0,0,C89/L89)</f>
        <v>0.513277888495314</v>
      </c>
      <c r="N89" s="11" t="n">
        <f aca="false">IF(L89=0,0,D89/L89)</f>
        <v>0.383787666457751</v>
      </c>
      <c r="O89" s="11" t="n">
        <f aca="false">IF(L89=0,0,E89/L89)</f>
        <v>0.0392526918445385</v>
      </c>
      <c r="P89" s="11" t="n">
        <f aca="false">IF(L89=0,0,K89/L89)</f>
        <v>0.0258445244114561</v>
      </c>
      <c r="Q89" s="4" t="str">
        <f aca="false">INDEX($C$3:$I$3,MATCH(MAX(C89:I89),C89:I89,0))</f>
        <v>Va por México (PAN-PRI-PRD)</v>
      </c>
      <c r="R89" s="17" t="n">
        <f aca="false">IF(L89=0,0,(MAX(C89:I89)-LARGE(C89:I89,2))/L89*100)</f>
        <v>12.9490222037563</v>
      </c>
      <c r="S89" s="4" t="s">
        <v>26</v>
      </c>
      <c r="T89" s="4" t="s">
        <v>24</v>
      </c>
    </row>
    <row r="90" customFormat="false" ht="15" hidden="false" customHeight="false" outlineLevel="0" collapsed="false">
      <c r="A90" s="4" t="s">
        <v>65</v>
      </c>
      <c r="B90" s="4" t="n">
        <v>13</v>
      </c>
      <c r="C90" s="5" t="n">
        <v>73587</v>
      </c>
      <c r="D90" s="5" t="n">
        <v>47998</v>
      </c>
      <c r="E90" s="5" t="n">
        <v>7037</v>
      </c>
      <c r="F90" s="5" t="n">
        <v>2159</v>
      </c>
      <c r="G90" s="5" t="n">
        <v>8939</v>
      </c>
      <c r="H90" s="5" t="n">
        <v>3317</v>
      </c>
      <c r="I90" s="5" t="n">
        <v>0</v>
      </c>
      <c r="J90" s="5" t="n">
        <v>60</v>
      </c>
      <c r="K90" s="5" t="n">
        <v>4649</v>
      </c>
      <c r="L90" s="5" t="n">
        <v>147746</v>
      </c>
      <c r="M90" s="11" t="n">
        <f aca="false">IF(L90=0,0,C90/L90)</f>
        <v>0.498064245394122</v>
      </c>
      <c r="N90" s="11" t="n">
        <f aca="false">IF(L90=0,0,D90/L90)</f>
        <v>0.324868355150055</v>
      </c>
      <c r="O90" s="11" t="n">
        <f aca="false">IF(L90=0,0,E90/L90)</f>
        <v>0.0476290390264373</v>
      </c>
      <c r="P90" s="11" t="n">
        <f aca="false">IF(L90=0,0,K90/L90)</f>
        <v>0.0314661649046336</v>
      </c>
      <c r="Q90" s="4" t="str">
        <f aca="false">INDEX($C$3:$I$3,MATCH(MAX(C90:I90),C90:I90,0))</f>
        <v>Va por México (PAN-PRI-PRD)</v>
      </c>
      <c r="R90" s="17" t="n">
        <f aca="false">IF(L90=0,0,(MAX(C90:I90)-LARGE(C90:I90,2))/L90*100)</f>
        <v>17.3195890244068</v>
      </c>
      <c r="S90" s="4" t="s">
        <v>23</v>
      </c>
      <c r="T90" s="4" t="s">
        <v>26</v>
      </c>
    </row>
    <row r="91" customFormat="false" ht="15" hidden="false" customHeight="false" outlineLevel="0" collapsed="false">
      <c r="A91" s="4" t="s">
        <v>65</v>
      </c>
      <c r="B91" s="4" t="n">
        <v>14</v>
      </c>
      <c r="C91" s="5" t="n">
        <v>66743</v>
      </c>
      <c r="D91" s="5" t="n">
        <v>43765</v>
      </c>
      <c r="E91" s="5" t="n">
        <v>7969</v>
      </c>
      <c r="F91" s="5" t="n">
        <v>4913</v>
      </c>
      <c r="G91" s="5" t="n">
        <v>2124</v>
      </c>
      <c r="H91" s="5" t="n">
        <v>2529</v>
      </c>
      <c r="I91" s="5" t="n">
        <v>0</v>
      </c>
      <c r="J91" s="5" t="n">
        <v>212</v>
      </c>
      <c r="K91" s="5" t="n">
        <v>5455</v>
      </c>
      <c r="L91" s="5" t="n">
        <v>133710</v>
      </c>
      <c r="M91" s="11" t="n">
        <f aca="false">IF(L91=0,0,C91/L91)</f>
        <v>0.49916236631516</v>
      </c>
      <c r="N91" s="11" t="n">
        <f aca="false">IF(L91=0,0,D91/L91)</f>
        <v>0.327312841223544</v>
      </c>
      <c r="O91" s="11" t="n">
        <f aca="false">IF(L91=0,0,E91/L91)</f>
        <v>0.0595991324508264</v>
      </c>
      <c r="P91" s="11" t="n">
        <f aca="false">IF(L91=0,0,K91/L91)</f>
        <v>0.0407972477750355</v>
      </c>
      <c r="Q91" s="4" t="str">
        <f aca="false">INDEX($C$3:$I$3,MATCH(MAX(C91:I91),C91:I91,0))</f>
        <v>Va por México (PAN-PRI-PRD)</v>
      </c>
      <c r="R91" s="17" t="n">
        <f aca="false">IF(L91=0,0,(MAX(C91:I91)-LARGE(C91:I91,2))/L91*100)</f>
        <v>17.1849525091616</v>
      </c>
      <c r="S91" s="4" t="s">
        <v>26</v>
      </c>
      <c r="T91" s="4" t="s">
        <v>24</v>
      </c>
    </row>
    <row r="92" customFormat="false" ht="15" hidden="false" customHeight="false" outlineLevel="0" collapsed="false">
      <c r="A92" s="4" t="s">
        <v>65</v>
      </c>
      <c r="B92" s="4" t="n">
        <v>15</v>
      </c>
      <c r="C92" s="5" t="n">
        <v>60483</v>
      </c>
      <c r="D92" s="5" t="n">
        <v>41244</v>
      </c>
      <c r="E92" s="5" t="n">
        <v>4503</v>
      </c>
      <c r="F92" s="5" t="n">
        <v>1160</v>
      </c>
      <c r="G92" s="5" t="n">
        <v>1142</v>
      </c>
      <c r="H92" s="5" t="n">
        <v>1184</v>
      </c>
      <c r="I92" s="5" t="n">
        <v>0</v>
      </c>
      <c r="J92" s="5" t="n">
        <v>168</v>
      </c>
      <c r="K92" s="5" t="n">
        <v>2988</v>
      </c>
      <c r="L92" s="5" t="n">
        <v>112872</v>
      </c>
      <c r="M92" s="11" t="n">
        <f aca="false">IF(L92=0,0,C92/L92)</f>
        <v>0.535854773548799</v>
      </c>
      <c r="N92" s="11" t="n">
        <f aca="false">IF(L92=0,0,D92/L92)</f>
        <v>0.365405060599617</v>
      </c>
      <c r="O92" s="11" t="n">
        <f aca="false">IF(L92=0,0,E92/L92)</f>
        <v>0.0398947480331703</v>
      </c>
      <c r="P92" s="11" t="n">
        <f aca="false">IF(L92=0,0,K92/L92)</f>
        <v>0.0264724643844355</v>
      </c>
      <c r="Q92" s="4" t="str">
        <f aca="false">INDEX($C$3:$I$3,MATCH(MAX(C92:I92),C92:I92,0))</f>
        <v>Va por México (PAN-PRI-PRD)</v>
      </c>
      <c r="R92" s="17" t="n">
        <f aca="false">IF(L92=0,0,(MAX(C92:I92)-LARGE(C92:I92,2))/L92*100)</f>
        <v>17.0449712949181</v>
      </c>
      <c r="S92" s="4" t="s">
        <v>26</v>
      </c>
      <c r="T92" s="4" t="s">
        <v>24</v>
      </c>
    </row>
    <row r="93" customFormat="false" ht="15" hidden="false" customHeight="false" outlineLevel="0" collapsed="false">
      <c r="A93" s="4" t="s">
        <v>66</v>
      </c>
      <c r="B93" s="4" t="n">
        <v>1</v>
      </c>
      <c r="C93" s="5" t="n">
        <v>77331</v>
      </c>
      <c r="D93" s="5" t="n">
        <v>65656</v>
      </c>
      <c r="E93" s="5" t="n">
        <v>5106</v>
      </c>
      <c r="F93" s="5" t="n">
        <v>1139</v>
      </c>
      <c r="G93" s="5" t="n">
        <v>860</v>
      </c>
      <c r="H93" s="5" t="n">
        <v>915</v>
      </c>
      <c r="I93" s="5" t="n">
        <v>0</v>
      </c>
      <c r="J93" s="5" t="n">
        <v>12</v>
      </c>
      <c r="K93" s="5" t="n">
        <v>4748</v>
      </c>
      <c r="L93" s="5" t="n">
        <v>155767</v>
      </c>
      <c r="M93" s="11" t="n">
        <f aca="false">IF(L93=0,0,C93/L93)</f>
        <v>0.49645303562372</v>
      </c>
      <c r="N93" s="11" t="n">
        <f aca="false">IF(L93=0,0,D93/L93)</f>
        <v>0.421501344957533</v>
      </c>
      <c r="O93" s="11" t="n">
        <f aca="false">IF(L93=0,0,E93/L93)</f>
        <v>0.0327797286973493</v>
      </c>
      <c r="P93" s="11" t="n">
        <f aca="false">IF(L93=0,0,K93/L93)</f>
        <v>0.0304814241784203</v>
      </c>
      <c r="Q93" s="4" t="str">
        <f aca="false">INDEX($C$3:$I$3,MATCH(MAX(C93:I93),C93:I93,0))</f>
        <v>Va por México (PAN-PRI-PRD)</v>
      </c>
      <c r="R93" s="17" t="n">
        <f aca="false">IF(L93=0,0,(MAX(C93:I93)-LARGE(C93:I93,2))/L93*100)</f>
        <v>7.49516906661873</v>
      </c>
      <c r="S93" s="4" t="s">
        <v>25</v>
      </c>
      <c r="T93" s="4" t="s">
        <v>23</v>
      </c>
    </row>
    <row r="94" customFormat="false" ht="15" hidden="false" customHeight="false" outlineLevel="0" collapsed="false">
      <c r="A94" s="4" t="s">
        <v>66</v>
      </c>
      <c r="B94" s="4" t="n">
        <v>2</v>
      </c>
      <c r="C94" s="5" t="n">
        <v>74718</v>
      </c>
      <c r="D94" s="5" t="n">
        <v>66592</v>
      </c>
      <c r="E94" s="5" t="n">
        <v>3967</v>
      </c>
      <c r="F94" s="5" t="n">
        <v>2973</v>
      </c>
      <c r="G94" s="5" t="n">
        <v>3020</v>
      </c>
      <c r="H94" s="5" t="n">
        <v>8834</v>
      </c>
      <c r="I94" s="5" t="n">
        <v>0</v>
      </c>
      <c r="J94" s="5" t="n">
        <v>62</v>
      </c>
      <c r="K94" s="5" t="n">
        <v>6782</v>
      </c>
      <c r="L94" s="5" t="n">
        <v>166948</v>
      </c>
      <c r="M94" s="11" t="n">
        <f aca="false">IF(L94=0,0,C94/L94)</f>
        <v>0.44755253132712</v>
      </c>
      <c r="N94" s="11" t="n">
        <f aca="false">IF(L94=0,0,D94/L94)</f>
        <v>0.39887869276661</v>
      </c>
      <c r="O94" s="11" t="n">
        <f aca="false">IF(L94=0,0,E94/L94)</f>
        <v>0.0237618899297985</v>
      </c>
      <c r="P94" s="11" t="n">
        <f aca="false">IF(L94=0,0,K94/L94)</f>
        <v>0.0406234276541198</v>
      </c>
      <c r="Q94" s="4" t="str">
        <f aca="false">INDEX($C$3:$I$3,MATCH(MAX(C94:I94),C94:I94,0))</f>
        <v>Va por México (PAN-PRI-PRD)</v>
      </c>
      <c r="R94" s="17" t="n">
        <f aca="false">IF(L94=0,0,(MAX(C94:I94)-LARGE(C94:I94,2))/L94*100)</f>
        <v>4.86738385605099</v>
      </c>
      <c r="S94" s="4" t="s">
        <v>24</v>
      </c>
      <c r="T94" s="4" t="s">
        <v>27</v>
      </c>
    </row>
    <row r="95" customFormat="false" ht="15" hidden="false" customHeight="false" outlineLevel="0" collapsed="false">
      <c r="A95" s="4" t="s">
        <v>66</v>
      </c>
      <c r="B95" s="4" t="n">
        <v>3</v>
      </c>
      <c r="C95" s="5" t="n">
        <v>76859</v>
      </c>
      <c r="D95" s="5" t="n">
        <v>90666</v>
      </c>
      <c r="E95" s="5" t="n">
        <v>3218</v>
      </c>
      <c r="F95" s="5" t="n">
        <v>4934</v>
      </c>
      <c r="G95" s="5" t="n">
        <v>2302</v>
      </c>
      <c r="H95" s="5" t="n">
        <v>1221</v>
      </c>
      <c r="I95" s="5" t="n">
        <v>0</v>
      </c>
      <c r="J95" s="5" t="n">
        <v>35</v>
      </c>
      <c r="K95" s="5" t="n">
        <v>5333</v>
      </c>
      <c r="L95" s="5" t="n">
        <v>184568</v>
      </c>
      <c r="M95" s="11" t="n">
        <f aca="false">IF(L95=0,0,C95/L95)</f>
        <v>0.416426466126306</v>
      </c>
      <c r="N95" s="11" t="n">
        <f aca="false">IF(L95=0,0,D95/L95)</f>
        <v>0.491233583286377</v>
      </c>
      <c r="O95" s="11" t="n">
        <f aca="false">IF(L95=0,0,E95/L95)</f>
        <v>0.0174353083958216</v>
      </c>
      <c r="P95" s="11" t="n">
        <f aca="false">IF(L95=0,0,K95/L95)</f>
        <v>0.0288944995882276</v>
      </c>
      <c r="Q95" s="4" t="str">
        <f aca="false">INDEX($C$3:$I$3,MATCH(MAX(C95:I95),C95:I95,0))</f>
        <v>Juntos Hacemos Historia (Morena-PT-PVEM)</v>
      </c>
      <c r="R95" s="17" t="n">
        <f aca="false">IF(L95=0,0,(MAX(C95:I95)-LARGE(C95:I95,2))/L95*100)</f>
        <v>7.48071171600711</v>
      </c>
      <c r="S95" s="4" t="s">
        <v>23</v>
      </c>
      <c r="T95" s="4" t="s">
        <v>25</v>
      </c>
    </row>
    <row r="96" customFormat="false" ht="15" hidden="false" customHeight="false" outlineLevel="0" collapsed="false">
      <c r="A96" s="4" t="s">
        <v>66</v>
      </c>
      <c r="B96" s="4" t="n">
        <v>4</v>
      </c>
      <c r="C96" s="5" t="n">
        <v>45201</v>
      </c>
      <c r="D96" s="5" t="n">
        <v>86662</v>
      </c>
      <c r="E96" s="5" t="n">
        <v>9354</v>
      </c>
      <c r="F96" s="5" t="n">
        <v>2522</v>
      </c>
      <c r="G96" s="5" t="n">
        <v>1396</v>
      </c>
      <c r="H96" s="5" t="n">
        <v>3124</v>
      </c>
      <c r="I96" s="5" t="n">
        <v>0</v>
      </c>
      <c r="J96" s="5" t="n">
        <v>96</v>
      </c>
      <c r="K96" s="5" t="n">
        <v>5150</v>
      </c>
      <c r="L96" s="5" t="n">
        <v>153505</v>
      </c>
      <c r="M96" s="11" t="n">
        <f aca="false">IF(L96=0,0,C96/L96)</f>
        <v>0.294459463861112</v>
      </c>
      <c r="N96" s="11" t="n">
        <f aca="false">IF(L96=0,0,D96/L96)</f>
        <v>0.564554900491841</v>
      </c>
      <c r="O96" s="11" t="n">
        <f aca="false">IF(L96=0,0,E96/L96)</f>
        <v>0.0609361258590925</v>
      </c>
      <c r="P96" s="11" t="n">
        <f aca="false">IF(L96=0,0,K96/L96)</f>
        <v>0.0335493957851536</v>
      </c>
      <c r="Q96" s="4" t="str">
        <f aca="false">INDEX($C$3:$I$3,MATCH(MAX(C96:I96),C96:I96,0))</f>
        <v>Juntos Hacemos Historia (Morena-PT-PVEM)</v>
      </c>
      <c r="R96" s="17" t="n">
        <f aca="false">IF(L96=0,0,(MAX(C96:I96)-LARGE(C96:I96,2))/L96*100)</f>
        <v>27.0095436630729</v>
      </c>
      <c r="S96" s="4" t="s">
        <v>24</v>
      </c>
      <c r="T96" s="4" t="s">
        <v>25</v>
      </c>
    </row>
    <row r="97" customFormat="false" ht="15" hidden="false" customHeight="false" outlineLevel="0" collapsed="false">
      <c r="A97" s="4" t="s">
        <v>66</v>
      </c>
      <c r="B97" s="4" t="n">
        <v>5</v>
      </c>
      <c r="C97" s="5" t="n">
        <v>58141</v>
      </c>
      <c r="D97" s="5" t="n">
        <v>93858</v>
      </c>
      <c r="E97" s="5" t="n">
        <v>9331</v>
      </c>
      <c r="F97" s="5" t="n">
        <v>5279</v>
      </c>
      <c r="G97" s="5" t="n">
        <v>1848</v>
      </c>
      <c r="H97" s="5" t="n">
        <v>1264</v>
      </c>
      <c r="I97" s="5" t="n">
        <v>0</v>
      </c>
      <c r="J97" s="5" t="n">
        <v>4179</v>
      </c>
      <c r="K97" s="5" t="n">
        <v>8171</v>
      </c>
      <c r="L97" s="5" t="n">
        <v>182071</v>
      </c>
      <c r="M97" s="11" t="n">
        <f aca="false">IF(L97=0,0,C97/L97)</f>
        <v>0.319331469591533</v>
      </c>
      <c r="N97" s="11" t="n">
        <f aca="false">IF(L97=0,0,D97/L97)</f>
        <v>0.515502194198966</v>
      </c>
      <c r="O97" s="11" t="n">
        <f aca="false">IF(L97=0,0,E97/L97)</f>
        <v>0.0512492379346519</v>
      </c>
      <c r="P97" s="11" t="n">
        <f aca="false">IF(L97=0,0,K97/L97)</f>
        <v>0.044878097006113</v>
      </c>
      <c r="Q97" s="4" t="str">
        <f aca="false">INDEX($C$3:$I$3,MATCH(MAX(C97:I97),C97:I97,0))</f>
        <v>Juntos Hacemos Historia (Morena-PT-PVEM)</v>
      </c>
      <c r="R97" s="17" t="n">
        <f aca="false">IF(L97=0,0,(MAX(C97:I97)-LARGE(C97:I97,2))/L97*100)</f>
        <v>19.6170724607433</v>
      </c>
      <c r="S97" s="4" t="s">
        <v>23</v>
      </c>
      <c r="T97" s="4" t="s">
        <v>25</v>
      </c>
    </row>
    <row r="98" customFormat="false" ht="15" hidden="false" customHeight="false" outlineLevel="0" collapsed="false">
      <c r="A98" s="4" t="s">
        <v>66</v>
      </c>
      <c r="B98" s="4" t="n">
        <v>6</v>
      </c>
      <c r="C98" s="5" t="n">
        <v>99449</v>
      </c>
      <c r="D98" s="5" t="n">
        <v>59840</v>
      </c>
      <c r="E98" s="5" t="n">
        <v>3751</v>
      </c>
      <c r="F98" s="5" t="n">
        <v>2243</v>
      </c>
      <c r="G98" s="5" t="n">
        <v>2128</v>
      </c>
      <c r="H98" s="5" t="n">
        <v>823</v>
      </c>
      <c r="I98" s="5" t="n">
        <v>0</v>
      </c>
      <c r="J98" s="5" t="n">
        <v>82</v>
      </c>
      <c r="K98" s="5" t="n">
        <v>7159</v>
      </c>
      <c r="L98" s="5" t="n">
        <v>175475</v>
      </c>
      <c r="M98" s="11" t="n">
        <f aca="false">IF(L98=0,0,C98/L98)</f>
        <v>0.566741701097022</v>
      </c>
      <c r="N98" s="11" t="n">
        <f aca="false">IF(L98=0,0,D98/L98)</f>
        <v>0.341017238922924</v>
      </c>
      <c r="O98" s="11" t="n">
        <f aca="false">IF(L98=0,0,E98/L98)</f>
        <v>0.0213762644251318</v>
      </c>
      <c r="P98" s="11" t="n">
        <f aca="false">IF(L98=0,0,K98/L98)</f>
        <v>0.0407978344493518</v>
      </c>
      <c r="Q98" s="4" t="str">
        <f aca="false">INDEX($C$3:$I$3,MATCH(MAX(C98:I98),C98:I98,0))</f>
        <v>Va por México (PAN-PRI-PRD)</v>
      </c>
      <c r="R98" s="17" t="n">
        <f aca="false">IF(L98=0,0,(MAX(C98:I98)-LARGE(C98:I98,2))/L98*100)</f>
        <v>22.5724462174099</v>
      </c>
      <c r="S98" s="4" t="s">
        <v>25</v>
      </c>
      <c r="T98" s="4" t="s">
        <v>23</v>
      </c>
    </row>
    <row r="99" customFormat="false" ht="15" hidden="false" customHeight="false" outlineLevel="0" collapsed="false">
      <c r="A99" s="4" t="s">
        <v>66</v>
      </c>
      <c r="B99" s="4" t="n">
        <v>7</v>
      </c>
      <c r="C99" s="5" t="n">
        <v>65599</v>
      </c>
      <c r="D99" s="5" t="n">
        <v>77700</v>
      </c>
      <c r="E99" s="5" t="n">
        <v>2480</v>
      </c>
      <c r="F99" s="5" t="n">
        <v>1886</v>
      </c>
      <c r="G99" s="5" t="n">
        <v>1656</v>
      </c>
      <c r="H99" s="5" t="n">
        <v>1727</v>
      </c>
      <c r="I99" s="5" t="n">
        <v>0</v>
      </c>
      <c r="J99" s="5" t="n">
        <v>99</v>
      </c>
      <c r="K99" s="5" t="n">
        <v>5102</v>
      </c>
      <c r="L99" s="5" t="n">
        <v>156249</v>
      </c>
      <c r="M99" s="11" t="n">
        <f aca="false">IF(L99=0,0,C99/L99)</f>
        <v>0.419836286952237</v>
      </c>
      <c r="N99" s="11" t="n">
        <f aca="false">IF(L99=0,0,D99/L99)</f>
        <v>0.497283182612369</v>
      </c>
      <c r="O99" s="11" t="n">
        <f aca="false">IF(L99=0,0,E99/L99)</f>
        <v>0.0158721015814501</v>
      </c>
      <c r="P99" s="11" t="n">
        <f aca="false">IF(L99=0,0,K99/L99)</f>
        <v>0.0326530089792575</v>
      </c>
      <c r="Q99" s="4" t="str">
        <f aca="false">INDEX($C$3:$I$3,MATCH(MAX(C99:I99),C99:I99,0))</f>
        <v>Juntos Hacemos Historia (Morena-PT-PVEM)</v>
      </c>
      <c r="R99" s="17" t="n">
        <f aca="false">IF(L99=0,0,(MAX(C99:I99)-LARGE(C99:I99,2))/L99*100)</f>
        <v>7.74468956601322</v>
      </c>
      <c r="S99" s="4" t="s">
        <v>23</v>
      </c>
      <c r="T99" s="4" t="s">
        <v>25</v>
      </c>
    </row>
    <row r="100" customFormat="false" ht="15" hidden="false" customHeight="false" outlineLevel="0" collapsed="false">
      <c r="A100" s="4" t="s">
        <v>66</v>
      </c>
      <c r="B100" s="4" t="n">
        <v>8</v>
      </c>
      <c r="C100" s="5" t="n">
        <v>63830</v>
      </c>
      <c r="D100" s="5" t="n">
        <v>86113</v>
      </c>
      <c r="E100" s="5" t="n">
        <v>2824</v>
      </c>
      <c r="F100" s="5" t="n">
        <v>4033</v>
      </c>
      <c r="G100" s="5" t="n">
        <v>1359</v>
      </c>
      <c r="H100" s="5" t="n">
        <v>1974</v>
      </c>
      <c r="I100" s="5" t="n">
        <v>0</v>
      </c>
      <c r="J100" s="5" t="n">
        <v>21</v>
      </c>
      <c r="K100" s="5" t="n">
        <v>7192</v>
      </c>
      <c r="L100" s="5" t="n">
        <v>167346</v>
      </c>
      <c r="M100" s="11" t="n">
        <f aca="false">IF(L100=0,0,C100/L100)</f>
        <v>0.381425310434668</v>
      </c>
      <c r="N100" s="11" t="n">
        <f aca="false">IF(L100=0,0,D100/L100)</f>
        <v>0.514580569598317</v>
      </c>
      <c r="O100" s="11" t="n">
        <f aca="false">IF(L100=0,0,E100/L100)</f>
        <v>0.0168752166170688</v>
      </c>
      <c r="P100" s="11" t="n">
        <f aca="false">IF(L100=0,0,K100/L100)</f>
        <v>0.0429768264553679</v>
      </c>
      <c r="Q100" s="4" t="str">
        <f aca="false">INDEX($C$3:$I$3,MATCH(MAX(C100:I100),C100:I100,0))</f>
        <v>Juntos Hacemos Historia (Morena-PT-PVEM)</v>
      </c>
      <c r="R100" s="17" t="n">
        <f aca="false">IF(L100=0,0,(MAX(C100:I100)-LARGE(C100:I100,2))/L100*100)</f>
        <v>13.3155259163649</v>
      </c>
      <c r="S100" s="4" t="s">
        <v>23</v>
      </c>
      <c r="T100" s="4" t="s">
        <v>25</v>
      </c>
    </row>
    <row r="101" customFormat="false" ht="15" hidden="false" customHeight="false" outlineLevel="0" collapsed="false">
      <c r="A101" s="4" t="s">
        <v>66</v>
      </c>
      <c r="B101" s="4" t="n">
        <v>9</v>
      </c>
      <c r="C101" s="5" t="n">
        <v>53544</v>
      </c>
      <c r="D101" s="5" t="n">
        <v>72770</v>
      </c>
      <c r="E101" s="5" t="n">
        <v>3154</v>
      </c>
      <c r="F101" s="5" t="n">
        <v>2595</v>
      </c>
      <c r="G101" s="5" t="n">
        <v>1445</v>
      </c>
      <c r="H101" s="5" t="n">
        <v>1951</v>
      </c>
      <c r="I101" s="5" t="n">
        <v>0</v>
      </c>
      <c r="J101" s="5" t="n">
        <v>45</v>
      </c>
      <c r="K101" s="5" t="n">
        <v>4852</v>
      </c>
      <c r="L101" s="5" t="n">
        <v>140356</v>
      </c>
      <c r="M101" s="11" t="n">
        <f aca="false">IF(L101=0,0,C101/L101)</f>
        <v>0.381487075721736</v>
      </c>
      <c r="N101" s="11" t="n">
        <f aca="false">IF(L101=0,0,D101/L101)</f>
        <v>0.518467325942603</v>
      </c>
      <c r="O101" s="11" t="n">
        <f aca="false">IF(L101=0,0,E101/L101)</f>
        <v>0.0224714297928126</v>
      </c>
      <c r="P101" s="11" t="n">
        <f aca="false">IF(L101=0,0,K101/L101)</f>
        <v>0.0345692382228049</v>
      </c>
      <c r="Q101" s="4" t="str">
        <f aca="false">INDEX($C$3:$I$3,MATCH(MAX(C101:I101),C101:I101,0))</f>
        <v>Juntos Hacemos Historia (Morena-PT-PVEM)</v>
      </c>
      <c r="R101" s="17" t="n">
        <f aca="false">IF(L101=0,0,(MAX(C101:I101)-LARGE(C101:I101,2))/L101*100)</f>
        <v>13.6980250220867</v>
      </c>
      <c r="S101" s="4" t="s">
        <v>24</v>
      </c>
      <c r="T101" s="4" t="s">
        <v>25</v>
      </c>
    </row>
    <row r="102" customFormat="false" ht="15" hidden="false" customHeight="false" outlineLevel="0" collapsed="false">
      <c r="A102" s="4" t="s">
        <v>67</v>
      </c>
      <c r="B102" s="4" t="n">
        <v>1</v>
      </c>
      <c r="C102" s="5" t="n">
        <v>67936</v>
      </c>
      <c r="D102" s="5" t="n">
        <v>65830</v>
      </c>
      <c r="E102" s="5" t="n">
        <v>2227</v>
      </c>
      <c r="F102" s="5" t="n">
        <v>15150</v>
      </c>
      <c r="G102" s="5" t="n">
        <v>3366</v>
      </c>
      <c r="H102" s="5" t="n">
        <v>2013</v>
      </c>
      <c r="I102" s="5" t="n">
        <v>0</v>
      </c>
      <c r="J102" s="5" t="n">
        <v>41</v>
      </c>
      <c r="K102" s="5" t="n">
        <v>6734</v>
      </c>
      <c r="L102" s="5" t="n">
        <v>163297</v>
      </c>
      <c r="M102" s="11" t="n">
        <f aca="false">IF(L102=0,0,C102/L102)</f>
        <v>0.416027238712285</v>
      </c>
      <c r="N102" s="11" t="n">
        <f aca="false">IF(L102=0,0,D102/L102)</f>
        <v>0.403130492293184</v>
      </c>
      <c r="O102" s="11" t="n">
        <f aca="false">IF(L102=0,0,E102/L102)</f>
        <v>0.0136377275761343</v>
      </c>
      <c r="P102" s="11" t="n">
        <f aca="false">IF(L102=0,0,K102/L102)</f>
        <v>0.0412377447228057</v>
      </c>
      <c r="Q102" s="4" t="str">
        <f aca="false">INDEX($C$3:$I$3,MATCH(MAX(C102:I102),C102:I102,0))</f>
        <v>Va por México (PAN-PRI-PRD)</v>
      </c>
      <c r="R102" s="17" t="n">
        <f aca="false">IF(L102=0,0,(MAX(C102:I102)-LARGE(C102:I102,2))/L102*100)</f>
        <v>1.28967464191014</v>
      </c>
      <c r="S102" s="4" t="s">
        <v>25</v>
      </c>
      <c r="T102" s="4" t="s">
        <v>23</v>
      </c>
    </row>
    <row r="103" customFormat="false" ht="15" hidden="false" customHeight="false" outlineLevel="0" collapsed="false">
      <c r="A103" s="4" t="s">
        <v>67</v>
      </c>
      <c r="B103" s="4" t="n">
        <v>2</v>
      </c>
      <c r="C103" s="5" t="n">
        <v>53546</v>
      </c>
      <c r="D103" s="5" t="n">
        <v>75014</v>
      </c>
      <c r="E103" s="5" t="n">
        <v>2111</v>
      </c>
      <c r="F103" s="5" t="n">
        <v>3250</v>
      </c>
      <c r="G103" s="5" t="n">
        <v>3404</v>
      </c>
      <c r="H103" s="5" t="n">
        <v>2849</v>
      </c>
      <c r="I103" s="5" t="n">
        <v>0</v>
      </c>
      <c r="J103" s="5" t="n">
        <v>60</v>
      </c>
      <c r="K103" s="5" t="n">
        <v>6043</v>
      </c>
      <c r="L103" s="5" t="n">
        <v>146277</v>
      </c>
      <c r="M103" s="11" t="n">
        <f aca="false">IF(L103=0,0,C103/L103)</f>
        <v>0.366058915618997</v>
      </c>
      <c r="N103" s="11" t="n">
        <f aca="false">IF(L103=0,0,D103/L103)</f>
        <v>0.512821564565858</v>
      </c>
      <c r="O103" s="11" t="n">
        <f aca="false">IF(L103=0,0,E103/L103)</f>
        <v>0.0144315237528798</v>
      </c>
      <c r="P103" s="11" t="n">
        <f aca="false">IF(L103=0,0,K103/L103)</f>
        <v>0.0413120312831135</v>
      </c>
      <c r="Q103" s="4" t="str">
        <f aca="false">INDEX($C$3:$I$3,MATCH(MAX(C103:I103),C103:I103,0))</f>
        <v>Juntos Hacemos Historia (Morena-PT-PVEM)</v>
      </c>
      <c r="R103" s="17" t="n">
        <f aca="false">IF(L103=0,0,(MAX(C103:I103)-LARGE(C103:I103,2))/L103*100)</f>
        <v>14.6762648946861</v>
      </c>
      <c r="S103" s="4" t="s">
        <v>23</v>
      </c>
      <c r="T103" s="4" t="s">
        <v>25</v>
      </c>
    </row>
    <row r="104" customFormat="false" ht="15" hidden="false" customHeight="false" outlineLevel="0" collapsed="false">
      <c r="A104" s="4" t="s">
        <v>67</v>
      </c>
      <c r="B104" s="4" t="n">
        <v>3</v>
      </c>
      <c r="C104" s="5" t="n">
        <v>54782</v>
      </c>
      <c r="D104" s="5" t="n">
        <v>70209</v>
      </c>
      <c r="E104" s="5" t="n">
        <v>2319</v>
      </c>
      <c r="F104" s="5" t="n">
        <v>2455</v>
      </c>
      <c r="G104" s="5" t="n">
        <v>1932</v>
      </c>
      <c r="H104" s="5" t="n">
        <v>2419</v>
      </c>
      <c r="I104" s="5" t="n">
        <v>0</v>
      </c>
      <c r="J104" s="5" t="n">
        <v>64</v>
      </c>
      <c r="K104" s="5" t="n">
        <v>5450</v>
      </c>
      <c r="L104" s="5" t="n">
        <v>139630</v>
      </c>
      <c r="M104" s="11" t="n">
        <f aca="false">IF(L104=0,0,C104/L104)</f>
        <v>0.392336890353076</v>
      </c>
      <c r="N104" s="11" t="n">
        <f aca="false">IF(L104=0,0,D104/L104)</f>
        <v>0.5028217431784</v>
      </c>
      <c r="O104" s="11" t="n">
        <f aca="false">IF(L104=0,0,E104/L104)</f>
        <v>0.0166081787581465</v>
      </c>
      <c r="P104" s="11" t="n">
        <f aca="false">IF(L104=0,0,K104/L104)</f>
        <v>0.0390317267062952</v>
      </c>
      <c r="Q104" s="4" t="str">
        <f aca="false">INDEX($C$3:$I$3,MATCH(MAX(C104:I104),C104:I104,0))</f>
        <v>Juntos Hacemos Historia (Morena-PT-PVEM)</v>
      </c>
      <c r="R104" s="17" t="n">
        <f aca="false">IF(L104=0,0,(MAX(C104:I104)-LARGE(C104:I104,2))/L104*100)</f>
        <v>11.0484852825324</v>
      </c>
      <c r="S104" s="4" t="s">
        <v>24</v>
      </c>
      <c r="T104" s="4" t="s">
        <v>25</v>
      </c>
    </row>
    <row r="105" customFormat="false" ht="15" hidden="false" customHeight="false" outlineLevel="0" collapsed="false">
      <c r="A105" s="4" t="s">
        <v>67</v>
      </c>
      <c r="B105" s="4" t="n">
        <v>4</v>
      </c>
      <c r="C105" s="5" t="n">
        <v>49745</v>
      </c>
      <c r="D105" s="5" t="n">
        <v>60331</v>
      </c>
      <c r="E105" s="5" t="n">
        <v>3771</v>
      </c>
      <c r="F105" s="5" t="n">
        <v>2340</v>
      </c>
      <c r="G105" s="5" t="n">
        <v>2033</v>
      </c>
      <c r="H105" s="5" t="n">
        <v>3132</v>
      </c>
      <c r="I105" s="5" t="n">
        <v>0</v>
      </c>
      <c r="J105" s="5" t="n">
        <v>121</v>
      </c>
      <c r="K105" s="5" t="n">
        <v>4888</v>
      </c>
      <c r="L105" s="5" t="n">
        <v>126361</v>
      </c>
      <c r="M105" s="11" t="n">
        <f aca="false">IF(L105=0,0,C105/L105)</f>
        <v>0.393673680961689</v>
      </c>
      <c r="N105" s="11" t="n">
        <f aca="false">IF(L105=0,0,D105/L105)</f>
        <v>0.477449529522558</v>
      </c>
      <c r="O105" s="11" t="n">
        <f aca="false">IF(L105=0,0,E105/L105)</f>
        <v>0.0298430686683391</v>
      </c>
      <c r="P105" s="11" t="n">
        <f aca="false">IF(L105=0,0,K105/L105)</f>
        <v>0.0386828214401595</v>
      </c>
      <c r="Q105" s="4" t="str">
        <f aca="false">INDEX($C$3:$I$3,MATCH(MAX(C105:I105),C105:I105,0))</f>
        <v>Juntos Hacemos Historia (Morena-PT-PVEM)</v>
      </c>
      <c r="R105" s="17" t="n">
        <f aca="false">IF(L105=0,0,(MAX(C105:I105)-LARGE(C105:I105,2))/L105*100)</f>
        <v>8.37758485608693</v>
      </c>
      <c r="S105" s="4" t="s">
        <v>23</v>
      </c>
      <c r="T105" s="4" t="s">
        <v>25</v>
      </c>
    </row>
    <row r="106" customFormat="false" ht="15" hidden="false" customHeight="false" outlineLevel="0" collapsed="false">
      <c r="A106" s="4" t="s">
        <v>67</v>
      </c>
      <c r="B106" s="4" t="n">
        <v>5</v>
      </c>
      <c r="C106" s="5" t="n">
        <v>58353</v>
      </c>
      <c r="D106" s="5" t="n">
        <v>81644</v>
      </c>
      <c r="E106" s="5" t="n">
        <v>4202</v>
      </c>
      <c r="F106" s="5" t="n">
        <v>2109</v>
      </c>
      <c r="G106" s="5" t="n">
        <v>3130</v>
      </c>
      <c r="H106" s="5" t="n">
        <v>3315</v>
      </c>
      <c r="I106" s="5" t="n">
        <v>0</v>
      </c>
      <c r="J106" s="5" t="n">
        <v>54</v>
      </c>
      <c r="K106" s="5" t="n">
        <v>4991</v>
      </c>
      <c r="L106" s="5" t="n">
        <v>157798</v>
      </c>
      <c r="M106" s="11" t="n">
        <f aca="false">IF(L106=0,0,C106/L106)</f>
        <v>0.36979556141396</v>
      </c>
      <c r="N106" s="11" t="n">
        <f aca="false">IF(L106=0,0,D106/L106)</f>
        <v>0.517395657739642</v>
      </c>
      <c r="O106" s="11" t="n">
        <f aca="false">IF(L106=0,0,E106/L106)</f>
        <v>0.0266289813559107</v>
      </c>
      <c r="P106" s="11" t="n">
        <f aca="false">IF(L106=0,0,K106/L106)</f>
        <v>0.0316290447280701</v>
      </c>
      <c r="Q106" s="4" t="str">
        <f aca="false">INDEX($C$3:$I$3,MATCH(MAX(C106:I106),C106:I106,0))</f>
        <v>Juntos Hacemos Historia (Morena-PT-PVEM)</v>
      </c>
      <c r="R106" s="17" t="n">
        <f aca="false">IF(L106=0,0,(MAX(C106:I106)-LARGE(C106:I106,2))/L106*100)</f>
        <v>14.7600096325682</v>
      </c>
      <c r="S106" s="4" t="s">
        <v>23</v>
      </c>
      <c r="T106" s="4" t="s">
        <v>25</v>
      </c>
    </row>
    <row r="107" customFormat="false" ht="15" hidden="false" customHeight="false" outlineLevel="0" collapsed="false">
      <c r="A107" s="4" t="s">
        <v>67</v>
      </c>
      <c r="B107" s="4" t="n">
        <v>6</v>
      </c>
      <c r="C107" s="5" t="n">
        <v>72429</v>
      </c>
      <c r="D107" s="5" t="n">
        <v>82018</v>
      </c>
      <c r="E107" s="5" t="n">
        <v>5366</v>
      </c>
      <c r="F107" s="5" t="n">
        <v>2137</v>
      </c>
      <c r="G107" s="5" t="n">
        <v>1688</v>
      </c>
      <c r="H107" s="5" t="n">
        <v>3639</v>
      </c>
      <c r="I107" s="5" t="n">
        <v>0</v>
      </c>
      <c r="J107" s="5" t="n">
        <v>127</v>
      </c>
      <c r="K107" s="5" t="n">
        <v>4563</v>
      </c>
      <c r="L107" s="5" t="n">
        <v>171967</v>
      </c>
      <c r="M107" s="11" t="n">
        <f aca="false">IF(L107=0,0,C107/L107)</f>
        <v>0.421179644931877</v>
      </c>
      <c r="N107" s="11" t="n">
        <f aca="false">IF(L107=0,0,D107/L107)</f>
        <v>0.476940343205382</v>
      </c>
      <c r="O107" s="11" t="n">
        <f aca="false">IF(L107=0,0,E107/L107)</f>
        <v>0.0312036611675496</v>
      </c>
      <c r="P107" s="11" t="n">
        <f aca="false">IF(L107=0,0,K107/L107)</f>
        <v>0.0265341606238406</v>
      </c>
      <c r="Q107" s="4" t="str">
        <f aca="false">INDEX($C$3:$I$3,MATCH(MAX(C107:I107),C107:I107,0))</f>
        <v>Juntos Hacemos Historia (Morena-PT-PVEM)</v>
      </c>
      <c r="R107" s="17" t="n">
        <f aca="false">IF(L107=0,0,(MAX(C107:I107)-LARGE(C107:I107,2))/L107*100)</f>
        <v>5.5760698273506</v>
      </c>
      <c r="S107" s="4" t="s">
        <v>23</v>
      </c>
      <c r="T107" s="4" t="s">
        <v>25</v>
      </c>
    </row>
    <row r="108" customFormat="false" ht="15" hidden="false" customHeight="false" outlineLevel="0" collapsed="false">
      <c r="A108" s="4" t="s">
        <v>67</v>
      </c>
      <c r="B108" s="4" t="n">
        <v>7</v>
      </c>
      <c r="C108" s="5" t="n">
        <v>57216</v>
      </c>
      <c r="D108" s="5" t="n">
        <v>70629</v>
      </c>
      <c r="E108" s="5" t="n">
        <v>2843</v>
      </c>
      <c r="F108" s="5" t="n">
        <v>1696</v>
      </c>
      <c r="G108" s="5" t="n">
        <v>2543</v>
      </c>
      <c r="H108" s="5" t="n">
        <v>2463</v>
      </c>
      <c r="I108" s="5" t="n">
        <v>0</v>
      </c>
      <c r="J108" s="5" t="n">
        <v>93</v>
      </c>
      <c r="K108" s="5" t="n">
        <v>4338</v>
      </c>
      <c r="L108" s="5" t="n">
        <v>141821</v>
      </c>
      <c r="M108" s="11" t="n">
        <f aca="false">IF(L108=0,0,C108/L108)</f>
        <v>0.403438136806256</v>
      </c>
      <c r="N108" s="11" t="n">
        <f aca="false">IF(L108=0,0,D108/L108)</f>
        <v>0.498015103546019</v>
      </c>
      <c r="O108" s="11" t="n">
        <f aca="false">IF(L108=0,0,E108/L108)</f>
        <v>0.0200463965139154</v>
      </c>
      <c r="P108" s="11" t="n">
        <f aca="false">IF(L108=0,0,K108/L108)</f>
        <v>0.0305878537029072</v>
      </c>
      <c r="Q108" s="4" t="str">
        <f aca="false">INDEX($C$3:$I$3,MATCH(MAX(C108:I108),C108:I108,0))</f>
        <v>Juntos Hacemos Historia (Morena-PT-PVEM)</v>
      </c>
      <c r="R108" s="17" t="n">
        <f aca="false">IF(L108=0,0,(MAX(C108:I108)-LARGE(C108:I108,2))/L108*100)</f>
        <v>9.45769667397635</v>
      </c>
      <c r="S108" s="4" t="s">
        <v>24</v>
      </c>
      <c r="T108" s="4" t="s">
        <v>25</v>
      </c>
    </row>
    <row r="109" customFormat="false" ht="15" hidden="false" customHeight="false" outlineLevel="0" collapsed="false">
      <c r="A109" s="4" t="s">
        <v>68</v>
      </c>
      <c r="B109" s="4" t="n">
        <v>1</v>
      </c>
      <c r="C109" s="5" t="n">
        <v>69303</v>
      </c>
      <c r="D109" s="5" t="n">
        <v>42856</v>
      </c>
      <c r="E109" s="5" t="n">
        <v>47463</v>
      </c>
      <c r="F109" s="5" t="n">
        <v>3242</v>
      </c>
      <c r="G109" s="5" t="n">
        <v>1089</v>
      </c>
      <c r="H109" s="5" t="n">
        <v>2474</v>
      </c>
      <c r="I109" s="5" t="n">
        <v>0</v>
      </c>
      <c r="J109" s="5" t="n">
        <v>43</v>
      </c>
      <c r="K109" s="5" t="n">
        <v>4179</v>
      </c>
      <c r="L109" s="5" t="n">
        <v>170649</v>
      </c>
      <c r="M109" s="11" t="n">
        <f aca="false">IF(L109=0,0,C109/L109)</f>
        <v>0.406114304801083</v>
      </c>
      <c r="N109" s="11" t="n">
        <f aca="false">IF(L109=0,0,D109/L109)</f>
        <v>0.251135371434934</v>
      </c>
      <c r="O109" s="11" t="n">
        <f aca="false">IF(L109=0,0,E109/L109)</f>
        <v>0.278132306664557</v>
      </c>
      <c r="P109" s="11" t="n">
        <f aca="false">IF(L109=0,0,K109/L109)</f>
        <v>0.0244888631049699</v>
      </c>
      <c r="Q109" s="4" t="str">
        <f aca="false">INDEX($C$3:$I$3,MATCH(MAX(C109:I109),C109:I109,0))</f>
        <v>Va por México (PAN-PRI-PRD)</v>
      </c>
      <c r="R109" s="17" t="n">
        <f aca="false">IF(L109=0,0,(MAX(C109:I109)-LARGE(C109:I109,2))/L109*100)</f>
        <v>12.7981998136526</v>
      </c>
      <c r="S109" s="4" t="s">
        <v>25</v>
      </c>
      <c r="T109" s="4" t="s">
        <v>10</v>
      </c>
    </row>
    <row r="110" customFormat="false" ht="15" hidden="false" customHeight="false" outlineLevel="0" collapsed="false">
      <c r="A110" s="4" t="s">
        <v>68</v>
      </c>
      <c r="B110" s="4" t="n">
        <v>2</v>
      </c>
      <c r="C110" s="5" t="n">
        <v>56450</v>
      </c>
      <c r="D110" s="5" t="n">
        <v>28494</v>
      </c>
      <c r="E110" s="5" t="n">
        <v>49948</v>
      </c>
      <c r="F110" s="5" t="n">
        <v>3404</v>
      </c>
      <c r="G110" s="5" t="n">
        <v>1896</v>
      </c>
      <c r="H110" s="5" t="n">
        <v>1900</v>
      </c>
      <c r="I110" s="5" t="n">
        <v>0</v>
      </c>
      <c r="J110" s="5" t="n">
        <v>101</v>
      </c>
      <c r="K110" s="5" t="n">
        <v>3508</v>
      </c>
      <c r="L110" s="5" t="n">
        <v>145701</v>
      </c>
      <c r="M110" s="11" t="n">
        <f aca="false">IF(L110=0,0,C110/L110)</f>
        <v>0.387437285948621</v>
      </c>
      <c r="N110" s="11" t="n">
        <f aca="false">IF(L110=0,0,D110/L110)</f>
        <v>0.195564889739947</v>
      </c>
      <c r="O110" s="11" t="n">
        <f aca="false">IF(L110=0,0,E110/L110)</f>
        <v>0.342811648513051</v>
      </c>
      <c r="P110" s="11" t="n">
        <f aca="false">IF(L110=0,0,K110/L110)</f>
        <v>0.0240767050329099</v>
      </c>
      <c r="Q110" s="4" t="str">
        <f aca="false">INDEX($C$3:$I$3,MATCH(MAX(C110:I110),C110:I110,0))</f>
        <v>Va por México (PAN-PRI-PRD)</v>
      </c>
      <c r="R110" s="17" t="n">
        <f aca="false">IF(L110=0,0,(MAX(C110:I110)-LARGE(C110:I110,2))/L110*100)</f>
        <v>4.46256374355701</v>
      </c>
      <c r="S110" s="4" t="s">
        <v>25</v>
      </c>
      <c r="T110" s="4" t="s">
        <v>10</v>
      </c>
    </row>
    <row r="111" customFormat="false" ht="15" hidden="false" customHeight="false" outlineLevel="0" collapsed="false">
      <c r="A111" s="4" t="s">
        <v>68</v>
      </c>
      <c r="B111" s="4" t="n">
        <v>3</v>
      </c>
      <c r="C111" s="5" t="n">
        <v>88140</v>
      </c>
      <c r="D111" s="5" t="n">
        <v>26069</v>
      </c>
      <c r="E111" s="5" t="n">
        <v>40436</v>
      </c>
      <c r="F111" s="5" t="n">
        <v>4453</v>
      </c>
      <c r="G111" s="5" t="n">
        <v>601</v>
      </c>
      <c r="H111" s="5" t="n">
        <v>6794</v>
      </c>
      <c r="I111" s="5" t="n">
        <v>0</v>
      </c>
      <c r="J111" s="5" t="n">
        <v>99</v>
      </c>
      <c r="K111" s="5" t="n">
        <v>5154</v>
      </c>
      <c r="L111" s="5" t="n">
        <v>171746</v>
      </c>
      <c r="M111" s="11" t="n">
        <f aca="false">IF(L111=0,0,C111/L111)</f>
        <v>0.51319972517555</v>
      </c>
      <c r="N111" s="11" t="n">
        <f aca="false">IF(L111=0,0,D111/L111)</f>
        <v>0.151788105690962</v>
      </c>
      <c r="O111" s="11" t="n">
        <f aca="false">IF(L111=0,0,E111/L111)</f>
        <v>0.23544070895392</v>
      </c>
      <c r="P111" s="11" t="n">
        <f aca="false">IF(L111=0,0,K111/L111)</f>
        <v>0.030009432534091</v>
      </c>
      <c r="Q111" s="4" t="str">
        <f aca="false">INDEX($C$3:$I$3,MATCH(MAX(C111:I111),C111:I111,0))</f>
        <v>Va por México (PAN-PRI-PRD)</v>
      </c>
      <c r="R111" s="17" t="n">
        <f aca="false">IF(L111=0,0,(MAX(C111:I111)-LARGE(C111:I111,2))/L111*100)</f>
        <v>27.775901622163</v>
      </c>
      <c r="S111" s="4" t="s">
        <v>25</v>
      </c>
      <c r="T111" s="4" t="s">
        <v>10</v>
      </c>
    </row>
    <row r="112" customFormat="false" ht="15" hidden="false" customHeight="false" outlineLevel="0" collapsed="false">
      <c r="A112" s="4" t="s">
        <v>68</v>
      </c>
      <c r="B112" s="4" t="n">
        <v>4</v>
      </c>
      <c r="C112" s="5" t="n">
        <v>35559</v>
      </c>
      <c r="D112" s="5" t="n">
        <v>38538</v>
      </c>
      <c r="E112" s="5" t="n">
        <v>45656</v>
      </c>
      <c r="F112" s="5" t="n">
        <v>3249</v>
      </c>
      <c r="G112" s="5" t="n">
        <v>1134</v>
      </c>
      <c r="H112" s="5" t="n">
        <v>2863</v>
      </c>
      <c r="I112" s="5" t="n">
        <v>0</v>
      </c>
      <c r="J112" s="5" t="n">
        <v>122</v>
      </c>
      <c r="K112" s="5" t="n">
        <v>3253</v>
      </c>
      <c r="L112" s="5" t="n">
        <v>130374</v>
      </c>
      <c r="M112" s="11" t="n">
        <f aca="false">IF(L112=0,0,C112/L112)</f>
        <v>0.272746099682452</v>
      </c>
      <c r="N112" s="11" t="n">
        <f aca="false">IF(L112=0,0,D112/L112)</f>
        <v>0.29559574761839</v>
      </c>
      <c r="O112" s="11" t="n">
        <f aca="false">IF(L112=0,0,E112/L112)</f>
        <v>0.350192523049074</v>
      </c>
      <c r="P112" s="11" t="n">
        <f aca="false">IF(L112=0,0,K112/L112)</f>
        <v>0.0249512939696565</v>
      </c>
      <c r="Q112" s="4" t="str">
        <f aca="false">INDEX($C$3:$I$3,MATCH(MAX(C112:I112),C112:I112,0))</f>
        <v>MC</v>
      </c>
      <c r="R112" s="17" t="n">
        <f aca="false">IF(L112=0,0,(MAX(C112:I112)-LARGE(C112:I112,2))/L112*100)</f>
        <v>5.4596775430684</v>
      </c>
      <c r="S112" s="4" t="s">
        <v>10</v>
      </c>
      <c r="T112" s="4" t="s">
        <v>23</v>
      </c>
    </row>
    <row r="113" customFormat="false" ht="15" hidden="false" customHeight="false" outlineLevel="0" collapsed="false">
      <c r="A113" s="4" t="s">
        <v>68</v>
      </c>
      <c r="B113" s="4" t="n">
        <v>5</v>
      </c>
      <c r="C113" s="5" t="n">
        <v>20946</v>
      </c>
      <c r="D113" s="5" t="n">
        <v>71921</v>
      </c>
      <c r="E113" s="5" t="n">
        <v>40968</v>
      </c>
      <c r="F113" s="5" t="n">
        <v>2988</v>
      </c>
      <c r="G113" s="5" t="n">
        <v>1663</v>
      </c>
      <c r="H113" s="5" t="n">
        <v>1452</v>
      </c>
      <c r="I113" s="5" t="n">
        <v>0</v>
      </c>
      <c r="J113" s="5" t="n">
        <v>75</v>
      </c>
      <c r="K113" s="5" t="n">
        <v>3518</v>
      </c>
      <c r="L113" s="5" t="n">
        <v>143531</v>
      </c>
      <c r="M113" s="11" t="n">
        <f aca="false">IF(L113=0,0,C113/L113)</f>
        <v>0.145933631062279</v>
      </c>
      <c r="N113" s="11" t="n">
        <f aca="false">IF(L113=0,0,D113/L113)</f>
        <v>0.501083389651016</v>
      </c>
      <c r="O113" s="11" t="n">
        <f aca="false">IF(L113=0,0,E113/L113)</f>
        <v>0.285429628442636</v>
      </c>
      <c r="P113" s="11" t="n">
        <f aca="false">IF(L113=0,0,K113/L113)</f>
        <v>0.0245103845162369</v>
      </c>
      <c r="Q113" s="4" t="str">
        <f aca="false">INDEX($C$3:$I$3,MATCH(MAX(C113:I113),C113:I113,0))</f>
        <v>Juntos Hacemos Historia (Morena-PT-PVEM)</v>
      </c>
      <c r="R113" s="17" t="n">
        <f aca="false">IF(L113=0,0,(MAX(C113:I113)-LARGE(C113:I113,2))/L113*100)</f>
        <v>21.565376120838</v>
      </c>
      <c r="S113" s="4" t="s">
        <v>23</v>
      </c>
      <c r="T113" s="4" t="s">
        <v>10</v>
      </c>
    </row>
    <row r="114" customFormat="false" ht="15" hidden="false" customHeight="false" outlineLevel="0" collapsed="false">
      <c r="A114" s="4" t="s">
        <v>68</v>
      </c>
      <c r="B114" s="4" t="n">
        <v>6</v>
      </c>
      <c r="C114" s="5" t="n">
        <v>44151</v>
      </c>
      <c r="D114" s="5" t="n">
        <v>38765</v>
      </c>
      <c r="E114" s="5" t="n">
        <v>63036</v>
      </c>
      <c r="F114" s="5" t="n">
        <v>3152</v>
      </c>
      <c r="G114" s="5" t="n">
        <v>1018</v>
      </c>
      <c r="H114" s="5" t="n">
        <v>3011</v>
      </c>
      <c r="I114" s="5" t="n">
        <v>0</v>
      </c>
      <c r="J114" s="5" t="n">
        <v>220</v>
      </c>
      <c r="K114" s="5" t="n">
        <v>3331</v>
      </c>
      <c r="L114" s="5" t="n">
        <v>156684</v>
      </c>
      <c r="M114" s="11" t="n">
        <f aca="false">IF(L114=0,0,C114/L114)</f>
        <v>0.281783717546144</v>
      </c>
      <c r="N114" s="11" t="n">
        <f aca="false">IF(L114=0,0,D114/L114)</f>
        <v>0.247408797324551</v>
      </c>
      <c r="O114" s="11" t="n">
        <f aca="false">IF(L114=0,0,E114/L114)</f>
        <v>0.402312935590105</v>
      </c>
      <c r="P114" s="11" t="n">
        <f aca="false">IF(L114=0,0,K114/L114)</f>
        <v>0.0212593500293585</v>
      </c>
      <c r="Q114" s="4" t="str">
        <f aca="false">INDEX($C$3:$I$3,MATCH(MAX(C114:I114),C114:I114,0))</f>
        <v>MC</v>
      </c>
      <c r="R114" s="17" t="n">
        <f aca="false">IF(L114=0,0,(MAX(C114:I114)-LARGE(C114:I114,2))/L114*100)</f>
        <v>12.0529218043961</v>
      </c>
      <c r="S114" s="4" t="s">
        <v>10</v>
      </c>
      <c r="T114" s="4" t="s">
        <v>25</v>
      </c>
    </row>
    <row r="115" customFormat="false" ht="15" hidden="false" customHeight="false" outlineLevel="0" collapsed="false">
      <c r="A115" s="4" t="s">
        <v>68</v>
      </c>
      <c r="B115" s="4" t="n">
        <v>7</v>
      </c>
      <c r="C115" s="5" t="n">
        <v>32839</v>
      </c>
      <c r="D115" s="5" t="n">
        <v>38056</v>
      </c>
      <c r="E115" s="5" t="n">
        <v>22195</v>
      </c>
      <c r="F115" s="5" t="n">
        <v>3234</v>
      </c>
      <c r="G115" s="5" t="n">
        <v>1209</v>
      </c>
      <c r="H115" s="5" t="n">
        <v>2796</v>
      </c>
      <c r="I115" s="5" t="n">
        <v>0</v>
      </c>
      <c r="J115" s="5" t="n">
        <v>198</v>
      </c>
      <c r="K115" s="5" t="n">
        <v>2851</v>
      </c>
      <c r="L115" s="5" t="n">
        <v>103378</v>
      </c>
      <c r="M115" s="11" t="n">
        <f aca="false">IF(L115=0,0,C115/L115)</f>
        <v>0.317659463328755</v>
      </c>
      <c r="N115" s="11" t="n">
        <f aca="false">IF(L115=0,0,D115/L115)</f>
        <v>0.368124746077502</v>
      </c>
      <c r="O115" s="11" t="n">
        <f aca="false">IF(L115=0,0,E115/L115)</f>
        <v>0.214697517847124</v>
      </c>
      <c r="P115" s="11" t="n">
        <f aca="false">IF(L115=0,0,K115/L115)</f>
        <v>0.0275784015941496</v>
      </c>
      <c r="Q115" s="4" t="str">
        <f aca="false">INDEX($C$3:$I$3,MATCH(MAX(C115:I115),C115:I115,0))</f>
        <v>Juntos Hacemos Historia (Morena-PT-PVEM)</v>
      </c>
      <c r="R115" s="17" t="n">
        <f aca="false">IF(L115=0,0,(MAX(C115:I115)-LARGE(C115:I115,2))/L115*100)</f>
        <v>5.04652827487473</v>
      </c>
      <c r="S115" s="4" t="s">
        <v>23</v>
      </c>
      <c r="T115" s="4" t="s">
        <v>25</v>
      </c>
    </row>
    <row r="116" customFormat="false" ht="15" hidden="false" customHeight="false" outlineLevel="0" collapsed="false">
      <c r="A116" s="4" t="s">
        <v>68</v>
      </c>
      <c r="B116" s="4" t="n">
        <v>8</v>
      </c>
      <c r="C116" s="5" t="n">
        <v>62354</v>
      </c>
      <c r="D116" s="5" t="n">
        <v>39077</v>
      </c>
      <c r="E116" s="5" t="n">
        <v>72639</v>
      </c>
      <c r="F116" s="5" t="n">
        <v>2652</v>
      </c>
      <c r="G116" s="5" t="n">
        <v>968</v>
      </c>
      <c r="H116" s="5" t="n">
        <v>4133</v>
      </c>
      <c r="I116" s="5" t="n">
        <v>0</v>
      </c>
      <c r="J116" s="5" t="n">
        <v>134</v>
      </c>
      <c r="K116" s="5" t="n">
        <v>4157</v>
      </c>
      <c r="L116" s="5" t="n">
        <v>186114</v>
      </c>
      <c r="M116" s="11" t="n">
        <f aca="false">IF(L116=0,0,C116/L116)</f>
        <v>0.335031217425879</v>
      </c>
      <c r="N116" s="11" t="n">
        <f aca="false">IF(L116=0,0,D116/L116)</f>
        <v>0.209962711026575</v>
      </c>
      <c r="O116" s="11" t="n">
        <f aca="false">IF(L116=0,0,E116/L116)</f>
        <v>0.390293046197492</v>
      </c>
      <c r="P116" s="11" t="n">
        <f aca="false">IF(L116=0,0,K116/L116)</f>
        <v>0.0223357726984536</v>
      </c>
      <c r="Q116" s="4" t="str">
        <f aca="false">INDEX($C$3:$I$3,MATCH(MAX(C116:I116),C116:I116,0))</f>
        <v>MC</v>
      </c>
      <c r="R116" s="17" t="n">
        <f aca="false">IF(L116=0,0,(MAX(C116:I116)-LARGE(C116:I116,2))/L116*100)</f>
        <v>5.52618287716131</v>
      </c>
      <c r="S116" s="4" t="s">
        <v>10</v>
      </c>
      <c r="T116" s="4" t="s">
        <v>25</v>
      </c>
    </row>
    <row r="117" customFormat="false" ht="15" hidden="false" customHeight="false" outlineLevel="0" collapsed="false">
      <c r="A117" s="4" t="s">
        <v>68</v>
      </c>
      <c r="B117" s="4" t="n">
        <v>9</v>
      </c>
      <c r="C117" s="5" t="n">
        <v>30607</v>
      </c>
      <c r="D117" s="5" t="n">
        <v>45546</v>
      </c>
      <c r="E117" s="5" t="n">
        <v>40058</v>
      </c>
      <c r="F117" s="5" t="n">
        <v>3041</v>
      </c>
      <c r="G117" s="5" t="n">
        <v>1053</v>
      </c>
      <c r="H117" s="5" t="n">
        <v>3353</v>
      </c>
      <c r="I117" s="5" t="n">
        <v>4097</v>
      </c>
      <c r="J117" s="5" t="n">
        <v>142</v>
      </c>
      <c r="K117" s="5" t="n">
        <v>3922</v>
      </c>
      <c r="L117" s="5" t="n">
        <v>131819</v>
      </c>
      <c r="M117" s="11" t="n">
        <f aca="false">IF(L117=0,0,C117/L117)</f>
        <v>0.232189593305973</v>
      </c>
      <c r="N117" s="11" t="n">
        <f aca="false">IF(L117=0,0,D117/L117)</f>
        <v>0.345519234708198</v>
      </c>
      <c r="O117" s="11" t="n">
        <f aca="false">IF(L117=0,0,E117/L117)</f>
        <v>0.303886389670685</v>
      </c>
      <c r="P117" s="11" t="n">
        <f aca="false">IF(L117=0,0,K117/L117)</f>
        <v>0.0297529187749869</v>
      </c>
      <c r="Q117" s="4" t="str">
        <f aca="false">INDEX($C$3:$I$3,MATCH(MAX(C117:I117),C117:I117,0))</f>
        <v>Juntos Hacemos Historia (Morena-PT-PVEM)</v>
      </c>
      <c r="R117" s="17" t="n">
        <f aca="false">IF(L117=0,0,(MAX(C117:I117)-LARGE(C117:I117,2))/L117*100)</f>
        <v>4.16328450375136</v>
      </c>
      <c r="S117" s="4" t="s">
        <v>23</v>
      </c>
      <c r="T117" s="4" t="s">
        <v>10</v>
      </c>
    </row>
    <row r="118" customFormat="false" ht="15" hidden="false" customHeight="false" outlineLevel="0" collapsed="false">
      <c r="A118" s="4" t="s">
        <v>68</v>
      </c>
      <c r="B118" s="4" t="n">
        <v>10</v>
      </c>
      <c r="C118" s="5" t="n">
        <v>55830</v>
      </c>
      <c r="D118" s="5" t="n">
        <v>26670</v>
      </c>
      <c r="E118" s="5" t="n">
        <v>70358</v>
      </c>
      <c r="F118" s="5" t="n">
        <v>1891</v>
      </c>
      <c r="G118" s="5" t="n">
        <v>874</v>
      </c>
      <c r="H118" s="5" t="n">
        <v>2024</v>
      </c>
      <c r="I118" s="5" t="n">
        <v>0</v>
      </c>
      <c r="J118" s="5" t="n">
        <v>134</v>
      </c>
      <c r="K118" s="5" t="n">
        <v>2909</v>
      </c>
      <c r="L118" s="5" t="n">
        <v>160690</v>
      </c>
      <c r="M118" s="11" t="n">
        <f aca="false">IF(L118=0,0,C118/L118)</f>
        <v>0.347439168585475</v>
      </c>
      <c r="N118" s="11" t="n">
        <f aca="false">IF(L118=0,0,D118/L118)</f>
        <v>0.165971746841745</v>
      </c>
      <c r="O118" s="11" t="n">
        <f aca="false">IF(L118=0,0,E118/L118)</f>
        <v>0.437849275001556</v>
      </c>
      <c r="P118" s="11" t="n">
        <f aca="false">IF(L118=0,0,K118/L118)</f>
        <v>0.0181031800360943</v>
      </c>
      <c r="Q118" s="4" t="str">
        <f aca="false">INDEX($C$3:$I$3,MATCH(MAX(C118:I118),C118:I118,0))</f>
        <v>MC</v>
      </c>
      <c r="R118" s="17" t="n">
        <f aca="false">IF(L118=0,0,(MAX(C118:I118)-LARGE(C118:I118,2))/L118*100)</f>
        <v>9.04101064160806</v>
      </c>
      <c r="S118" s="4" t="s">
        <v>10</v>
      </c>
      <c r="T118" s="4" t="s">
        <v>25</v>
      </c>
    </row>
    <row r="119" customFormat="false" ht="15" hidden="false" customHeight="false" outlineLevel="0" collapsed="false">
      <c r="A119" s="4" t="s">
        <v>68</v>
      </c>
      <c r="B119" s="4" t="n">
        <v>11</v>
      </c>
      <c r="C119" s="5" t="n">
        <v>36924</v>
      </c>
      <c r="D119" s="5" t="n">
        <v>48095</v>
      </c>
      <c r="E119" s="5" t="n">
        <v>45841</v>
      </c>
      <c r="F119" s="5" t="n">
        <v>5351</v>
      </c>
      <c r="G119" s="5" t="n">
        <v>1214</v>
      </c>
      <c r="H119" s="5" t="n">
        <v>4068</v>
      </c>
      <c r="I119" s="5" t="n">
        <v>0</v>
      </c>
      <c r="J119" s="5" t="n">
        <v>122</v>
      </c>
      <c r="K119" s="5" t="n">
        <v>3943</v>
      </c>
      <c r="L119" s="5" t="n">
        <v>145558</v>
      </c>
      <c r="M119" s="11" t="n">
        <f aca="false">IF(L119=0,0,C119/L119)</f>
        <v>0.253672075736133</v>
      </c>
      <c r="N119" s="11" t="n">
        <f aca="false">IF(L119=0,0,D119/L119)</f>
        <v>0.330418115115624</v>
      </c>
      <c r="O119" s="11" t="n">
        <f aca="false">IF(L119=0,0,E119/L119)</f>
        <v>0.314932878989819</v>
      </c>
      <c r="P119" s="11" t="n">
        <f aca="false">IF(L119=0,0,K119/L119)</f>
        <v>0.0270888580497121</v>
      </c>
      <c r="Q119" s="4" t="str">
        <f aca="false">INDEX($C$3:$I$3,MATCH(MAX(C119:I119),C119:I119,0))</f>
        <v>Juntos Hacemos Historia (Morena-PT-PVEM)</v>
      </c>
      <c r="R119" s="17" t="n">
        <f aca="false">IF(L119=0,0,(MAX(C119:I119)-LARGE(C119:I119,2))/L119*100)</f>
        <v>1.54852361258055</v>
      </c>
      <c r="S119" s="4" t="s">
        <v>23</v>
      </c>
      <c r="T119" s="4" t="s">
        <v>10</v>
      </c>
    </row>
    <row r="120" customFormat="false" ht="15" hidden="false" customHeight="false" outlineLevel="0" collapsed="false">
      <c r="A120" s="4" t="s">
        <v>68</v>
      </c>
      <c r="B120" s="4" t="n">
        <v>12</v>
      </c>
      <c r="C120" s="5" t="n">
        <v>33672</v>
      </c>
      <c r="D120" s="5" t="n">
        <v>46583</v>
      </c>
      <c r="E120" s="5" t="n">
        <v>52851</v>
      </c>
      <c r="F120" s="5" t="n">
        <v>4471</v>
      </c>
      <c r="G120" s="5" t="n">
        <v>1370</v>
      </c>
      <c r="H120" s="5" t="n">
        <v>2204</v>
      </c>
      <c r="I120" s="5" t="n">
        <v>0</v>
      </c>
      <c r="J120" s="5" t="n">
        <v>125</v>
      </c>
      <c r="K120" s="5" t="n">
        <v>3142</v>
      </c>
      <c r="L120" s="5" t="n">
        <v>144418</v>
      </c>
      <c r="M120" s="11" t="n">
        <f aca="false">IF(L120=0,0,C120/L120)</f>
        <v>0.233156531734271</v>
      </c>
      <c r="N120" s="11" t="n">
        <f aca="false">IF(L120=0,0,D120/L120)</f>
        <v>0.322556745004085</v>
      </c>
      <c r="O120" s="11" t="n">
        <f aca="false">IF(L120=0,0,E120/L120)</f>
        <v>0.365958537024471</v>
      </c>
      <c r="P120" s="11" t="n">
        <f aca="false">IF(L120=0,0,K120/L120)</f>
        <v>0.0217562907670789</v>
      </c>
      <c r="Q120" s="4" t="str">
        <f aca="false">INDEX($C$3:$I$3,MATCH(MAX(C120:I120),C120:I120,0))</f>
        <v>MC</v>
      </c>
      <c r="R120" s="17" t="n">
        <f aca="false">IF(L120=0,0,(MAX(C120:I120)-LARGE(C120:I120,2))/L120*100)</f>
        <v>4.34017920203853</v>
      </c>
      <c r="S120" s="4" t="s">
        <v>10</v>
      </c>
      <c r="T120" s="4" t="s">
        <v>23</v>
      </c>
    </row>
    <row r="121" customFormat="false" ht="15" hidden="false" customHeight="false" outlineLevel="0" collapsed="false">
      <c r="A121" s="4" t="s">
        <v>68</v>
      </c>
      <c r="B121" s="4" t="n">
        <v>13</v>
      </c>
      <c r="C121" s="5" t="n">
        <v>42684</v>
      </c>
      <c r="D121" s="5" t="n">
        <v>35284</v>
      </c>
      <c r="E121" s="5" t="n">
        <v>47544</v>
      </c>
      <c r="F121" s="5" t="n">
        <v>2835</v>
      </c>
      <c r="G121" s="5" t="n">
        <v>1336</v>
      </c>
      <c r="H121" s="5" t="n">
        <v>2537</v>
      </c>
      <c r="I121" s="5" t="n">
        <v>0</v>
      </c>
      <c r="J121" s="5" t="n">
        <v>110</v>
      </c>
      <c r="K121" s="5" t="n">
        <v>2920</v>
      </c>
      <c r="L121" s="5" t="n">
        <v>135250</v>
      </c>
      <c r="M121" s="11" t="n">
        <f aca="false">IF(L121=0,0,C121/L121)</f>
        <v>0.315593345656192</v>
      </c>
      <c r="N121" s="11" t="n">
        <f aca="false">IF(L121=0,0,D121/L121)</f>
        <v>0.260879852125693</v>
      </c>
      <c r="O121" s="11" t="n">
        <f aca="false">IF(L121=0,0,E121/L121)</f>
        <v>0.351526802218115</v>
      </c>
      <c r="P121" s="11" t="n">
        <f aca="false">IF(L121=0,0,K121/L121)</f>
        <v>0.0215896487985213</v>
      </c>
      <c r="Q121" s="4" t="str">
        <f aca="false">INDEX($C$3:$I$3,MATCH(MAX(C121:I121),C121:I121,0))</f>
        <v>MC</v>
      </c>
      <c r="R121" s="17" t="n">
        <f aca="false">IF(L121=0,0,(MAX(C121:I121)-LARGE(C121:I121,2))/L121*100)</f>
        <v>3.59334565619224</v>
      </c>
      <c r="S121" s="4" t="s">
        <v>10</v>
      </c>
      <c r="T121" s="4" t="s">
        <v>25</v>
      </c>
    </row>
    <row r="122" customFormat="false" ht="15" hidden="false" customHeight="false" outlineLevel="0" collapsed="false">
      <c r="A122" s="4" t="s">
        <v>68</v>
      </c>
      <c r="B122" s="4" t="n">
        <v>14</v>
      </c>
      <c r="C122" s="5" t="n">
        <v>44005</v>
      </c>
      <c r="D122" s="5" t="n">
        <v>45965</v>
      </c>
      <c r="E122" s="5" t="n">
        <v>51669</v>
      </c>
      <c r="F122" s="5" t="n">
        <v>3465</v>
      </c>
      <c r="G122" s="5" t="n">
        <v>1145</v>
      </c>
      <c r="H122" s="5" t="n">
        <v>3775</v>
      </c>
      <c r="I122" s="5" t="n">
        <v>0</v>
      </c>
      <c r="J122" s="5" t="n">
        <v>131</v>
      </c>
      <c r="K122" s="5" t="n">
        <v>4170</v>
      </c>
      <c r="L122" s="5" t="n">
        <v>154325</v>
      </c>
      <c r="M122" s="11" t="n">
        <f aca="false">IF(L122=0,0,C122/L122)</f>
        <v>0.285144986230358</v>
      </c>
      <c r="N122" s="11" t="n">
        <f aca="false">IF(L122=0,0,D122/L122)</f>
        <v>0.297845456018144</v>
      </c>
      <c r="O122" s="11" t="n">
        <f aca="false">IF(L122=0,0,E122/L122)</f>
        <v>0.334806415033209</v>
      </c>
      <c r="P122" s="11" t="n">
        <f aca="false">IF(L122=0,0,K122/L122)</f>
        <v>0.0270208974566661</v>
      </c>
      <c r="Q122" s="4" t="str">
        <f aca="false">INDEX($C$3:$I$3,MATCH(MAX(C122:I122),C122:I122,0))</f>
        <v>MC</v>
      </c>
      <c r="R122" s="17" t="n">
        <f aca="false">IF(L122=0,0,(MAX(C122:I122)-LARGE(C122:I122,2))/L122*100)</f>
        <v>3.69609590150656</v>
      </c>
      <c r="S122" s="4" t="s">
        <v>10</v>
      </c>
      <c r="T122" s="4" t="s">
        <v>23</v>
      </c>
    </row>
    <row r="123" customFormat="false" ht="15" hidden="false" customHeight="false" outlineLevel="0" collapsed="false">
      <c r="A123" s="4" t="s">
        <v>68</v>
      </c>
      <c r="B123" s="4" t="n">
        <v>15</v>
      </c>
      <c r="C123" s="5" t="n">
        <v>52549</v>
      </c>
      <c r="D123" s="5" t="n">
        <v>44136</v>
      </c>
      <c r="E123" s="5" t="n">
        <v>44958</v>
      </c>
      <c r="F123" s="5" t="n">
        <v>5563</v>
      </c>
      <c r="G123" s="5" t="n">
        <v>6793</v>
      </c>
      <c r="H123" s="5" t="n">
        <v>4233</v>
      </c>
      <c r="I123" s="5" t="n">
        <v>0</v>
      </c>
      <c r="J123" s="5" t="n">
        <v>143</v>
      </c>
      <c r="K123" s="5" t="n">
        <v>4008</v>
      </c>
      <c r="L123" s="5" t="n">
        <v>162383</v>
      </c>
      <c r="M123" s="11" t="n">
        <f aca="false">IF(L123=0,0,C123/L123)</f>
        <v>0.323611461790951</v>
      </c>
      <c r="N123" s="11" t="n">
        <f aca="false">IF(L123=0,0,D123/L123)</f>
        <v>0.271801851179003</v>
      </c>
      <c r="O123" s="11" t="n">
        <f aca="false">IF(L123=0,0,E123/L123)</f>
        <v>0.276863957433968</v>
      </c>
      <c r="P123" s="11" t="n">
        <f aca="false">IF(L123=0,0,K123/L123)</f>
        <v>0.0246823867030416</v>
      </c>
      <c r="Q123" s="4" t="str">
        <f aca="false">INDEX($C$3:$I$3,MATCH(MAX(C123:I123),C123:I123,0))</f>
        <v>Va por México (PAN-PRI-PRD)</v>
      </c>
      <c r="R123" s="17" t="n">
        <f aca="false">IF(L123=0,0,(MAX(C123:I123)-LARGE(C123:I123,2))/L123*100)</f>
        <v>4.67475043569832</v>
      </c>
      <c r="S123" s="4" t="s">
        <v>25</v>
      </c>
      <c r="T123" s="4" t="s">
        <v>10</v>
      </c>
    </row>
    <row r="124" customFormat="false" ht="15" hidden="false" customHeight="false" outlineLevel="0" collapsed="false">
      <c r="A124" s="4" t="s">
        <v>68</v>
      </c>
      <c r="B124" s="4" t="n">
        <v>16</v>
      </c>
      <c r="C124" s="5" t="n">
        <v>36217</v>
      </c>
      <c r="D124" s="5" t="n">
        <v>44491</v>
      </c>
      <c r="E124" s="5" t="n">
        <v>31041</v>
      </c>
      <c r="F124" s="5" t="n">
        <v>4799</v>
      </c>
      <c r="G124" s="5" t="n">
        <v>1894</v>
      </c>
      <c r="H124" s="5" t="n">
        <v>2362</v>
      </c>
      <c r="I124" s="5" t="n">
        <v>0</v>
      </c>
      <c r="J124" s="5" t="n">
        <v>88</v>
      </c>
      <c r="K124" s="5" t="n">
        <v>3178</v>
      </c>
      <c r="L124" s="5" t="n">
        <v>124070</v>
      </c>
      <c r="M124" s="11" t="n">
        <f aca="false">IF(L124=0,0,C124/L124)</f>
        <v>0.291907793987265</v>
      </c>
      <c r="N124" s="11" t="n">
        <f aca="false">IF(L124=0,0,D124/L124)</f>
        <v>0.358595953896994</v>
      </c>
      <c r="O124" s="11" t="n">
        <f aca="false">IF(L124=0,0,E124/L124)</f>
        <v>0.250189409204481</v>
      </c>
      <c r="P124" s="11" t="n">
        <f aca="false">IF(L124=0,0,K124/L124)</f>
        <v>0.0256145724187958</v>
      </c>
      <c r="Q124" s="4" t="str">
        <f aca="false">INDEX($C$3:$I$3,MATCH(MAX(C124:I124),C124:I124,0))</f>
        <v>Juntos Hacemos Historia (Morena-PT-PVEM)</v>
      </c>
      <c r="R124" s="17" t="n">
        <f aca="false">IF(L124=0,0,(MAX(C124:I124)-LARGE(C124:I124,2))/L124*100)</f>
        <v>6.66881599097284</v>
      </c>
      <c r="S124" s="4" t="s">
        <v>23</v>
      </c>
      <c r="T124" s="4" t="s">
        <v>25</v>
      </c>
    </row>
    <row r="125" customFormat="false" ht="15" hidden="false" customHeight="false" outlineLevel="0" collapsed="false">
      <c r="A125" s="4" t="s">
        <v>68</v>
      </c>
      <c r="B125" s="4" t="n">
        <v>17</v>
      </c>
      <c r="C125" s="5" t="n">
        <v>43069</v>
      </c>
      <c r="D125" s="5" t="n">
        <v>53410</v>
      </c>
      <c r="E125" s="5" t="n">
        <v>45730</v>
      </c>
      <c r="F125" s="5" t="n">
        <v>5622</v>
      </c>
      <c r="G125" s="5" t="n">
        <v>807</v>
      </c>
      <c r="H125" s="5" t="n">
        <v>6657</v>
      </c>
      <c r="I125" s="5" t="n">
        <v>0</v>
      </c>
      <c r="J125" s="5" t="n">
        <v>61</v>
      </c>
      <c r="K125" s="5" t="n">
        <v>3946</v>
      </c>
      <c r="L125" s="5" t="n">
        <v>159302</v>
      </c>
      <c r="M125" s="11" t="n">
        <f aca="false">IF(L125=0,0,C125/L125)</f>
        <v>0.270360698547413</v>
      </c>
      <c r="N125" s="11" t="n">
        <f aca="false">IF(L125=0,0,D125/L125)</f>
        <v>0.335275137788603</v>
      </c>
      <c r="O125" s="11" t="n">
        <f aca="false">IF(L125=0,0,E125/L125)</f>
        <v>0.287064820278465</v>
      </c>
      <c r="P125" s="11" t="n">
        <f aca="false">IF(L125=0,0,K125/L125)</f>
        <v>0.0247705615748704</v>
      </c>
      <c r="Q125" s="4" t="str">
        <f aca="false">INDEX($C$3:$I$3,MATCH(MAX(C125:I125),C125:I125,0))</f>
        <v>Juntos Hacemos Historia (Morena-PT-PVEM)</v>
      </c>
      <c r="R125" s="17" t="n">
        <f aca="false">IF(L125=0,0,(MAX(C125:I125)-LARGE(C125:I125,2))/L125*100)</f>
        <v>4.8210317510138</v>
      </c>
      <c r="S125" s="4" t="s">
        <v>23</v>
      </c>
      <c r="T125" s="4" t="s">
        <v>10</v>
      </c>
    </row>
    <row r="126" customFormat="false" ht="15" hidden="false" customHeight="false" outlineLevel="0" collapsed="false">
      <c r="A126" s="4" t="s">
        <v>68</v>
      </c>
      <c r="B126" s="4" t="n">
        <v>18</v>
      </c>
      <c r="C126" s="5" t="n">
        <v>64082</v>
      </c>
      <c r="D126" s="5" t="n">
        <v>44831</v>
      </c>
      <c r="E126" s="5" t="n">
        <v>48405</v>
      </c>
      <c r="F126" s="5" t="n">
        <v>2604</v>
      </c>
      <c r="G126" s="5" t="n">
        <v>714</v>
      </c>
      <c r="H126" s="5" t="n">
        <v>3433</v>
      </c>
      <c r="I126" s="5" t="n">
        <v>0</v>
      </c>
      <c r="J126" s="5" t="n">
        <v>95</v>
      </c>
      <c r="K126" s="5" t="n">
        <v>5082</v>
      </c>
      <c r="L126" s="5" t="n">
        <v>169246</v>
      </c>
      <c r="M126" s="11" t="n">
        <f aca="false">IF(L126=0,0,C126/L126)</f>
        <v>0.378632286730558</v>
      </c>
      <c r="N126" s="11" t="n">
        <f aca="false">IF(L126=0,0,D126/L126)</f>
        <v>0.264886614750127</v>
      </c>
      <c r="O126" s="11" t="n">
        <f aca="false">IF(L126=0,0,E126/L126)</f>
        <v>0.286003805112085</v>
      </c>
      <c r="P126" s="11" t="n">
        <f aca="false">IF(L126=0,0,K126/L126)</f>
        <v>0.0300272975432211</v>
      </c>
      <c r="Q126" s="4" t="str">
        <f aca="false">INDEX($C$3:$I$3,MATCH(MAX(C126:I126),C126:I126,0))</f>
        <v>Va por México (PAN-PRI-PRD)</v>
      </c>
      <c r="R126" s="17" t="n">
        <f aca="false">IF(L126=0,0,(MAX(C126:I126)-LARGE(C126:I126,2))/L126*100)</f>
        <v>9.26284816184725</v>
      </c>
      <c r="S126" s="4" t="s">
        <v>25</v>
      </c>
      <c r="T126" s="4" t="s">
        <v>10</v>
      </c>
    </row>
    <row r="127" customFormat="false" ht="15" hidden="false" customHeight="false" outlineLevel="0" collapsed="false">
      <c r="A127" s="4" t="s">
        <v>68</v>
      </c>
      <c r="B127" s="4" t="n">
        <v>19</v>
      </c>
      <c r="C127" s="5" t="n">
        <v>46436</v>
      </c>
      <c r="D127" s="5" t="n">
        <v>56202</v>
      </c>
      <c r="E127" s="5" t="n">
        <v>52788</v>
      </c>
      <c r="F127" s="5" t="n">
        <v>3207</v>
      </c>
      <c r="G127" s="5" t="n">
        <v>1520</v>
      </c>
      <c r="H127" s="5" t="n">
        <v>7290</v>
      </c>
      <c r="I127" s="5" t="n">
        <v>0</v>
      </c>
      <c r="J127" s="5" t="n">
        <v>97</v>
      </c>
      <c r="K127" s="5" t="n">
        <v>5051</v>
      </c>
      <c r="L127" s="5" t="n">
        <v>172591</v>
      </c>
      <c r="M127" s="11" t="n">
        <f aca="false">IF(L127=0,0,C127/L127)</f>
        <v>0.269052268078869</v>
      </c>
      <c r="N127" s="11" t="n">
        <f aca="false">IF(L127=0,0,D127/L127)</f>
        <v>0.325636910383508</v>
      </c>
      <c r="O127" s="11" t="n">
        <f aca="false">IF(L127=0,0,E127/L127)</f>
        <v>0.305856041160895</v>
      </c>
      <c r="P127" s="11" t="n">
        <f aca="false">IF(L127=0,0,K127/L127)</f>
        <v>0.0292657206922725</v>
      </c>
      <c r="Q127" s="4" t="str">
        <f aca="false">INDEX($C$3:$I$3,MATCH(MAX(C127:I127),C127:I127,0))</f>
        <v>Juntos Hacemos Historia (Morena-PT-PVEM)</v>
      </c>
      <c r="R127" s="17" t="n">
        <f aca="false">IF(L127=0,0,(MAX(C127:I127)-LARGE(C127:I127,2))/L127*100)</f>
        <v>1.9780869222613</v>
      </c>
      <c r="S127" s="4" t="s">
        <v>23</v>
      </c>
      <c r="T127" s="4" t="s">
        <v>10</v>
      </c>
    </row>
    <row r="128" customFormat="false" ht="15" hidden="false" customHeight="false" outlineLevel="0" collapsed="false">
      <c r="A128" s="4" t="s">
        <v>68</v>
      </c>
      <c r="B128" s="4" t="n">
        <v>20</v>
      </c>
      <c r="C128" s="5" t="n">
        <v>42336</v>
      </c>
      <c r="D128" s="5" t="n">
        <v>39193</v>
      </c>
      <c r="E128" s="5" t="n">
        <v>36422</v>
      </c>
      <c r="F128" s="5" t="n">
        <v>3701</v>
      </c>
      <c r="G128" s="5" t="n">
        <v>1288</v>
      </c>
      <c r="H128" s="5" t="n">
        <v>2850</v>
      </c>
      <c r="I128" s="5" t="n">
        <v>0</v>
      </c>
      <c r="J128" s="5" t="n">
        <v>128</v>
      </c>
      <c r="K128" s="5" t="n">
        <v>3315</v>
      </c>
      <c r="L128" s="5" t="n">
        <v>129233</v>
      </c>
      <c r="M128" s="11" t="n">
        <f aca="false">IF(L128=0,0,C128/L128)</f>
        <v>0.327594345097614</v>
      </c>
      <c r="N128" s="11" t="n">
        <f aca="false">IF(L128=0,0,D128/L128)</f>
        <v>0.303273931580943</v>
      </c>
      <c r="O128" s="11" t="n">
        <f aca="false">IF(L128=0,0,E128/L128)</f>
        <v>0.281832039804075</v>
      </c>
      <c r="P128" s="11" t="n">
        <f aca="false">IF(L128=0,0,K128/L128)</f>
        <v>0.0256513429232472</v>
      </c>
      <c r="Q128" s="4" t="str">
        <f aca="false">INDEX($C$3:$I$3,MATCH(MAX(C128:I128),C128:I128,0))</f>
        <v>Va por México (PAN-PRI-PRD)</v>
      </c>
      <c r="R128" s="17" t="n">
        <f aca="false">IF(L128=0,0,(MAX(C128:I128)-LARGE(C128:I128,2))/L128*100)</f>
        <v>2.43204135166714</v>
      </c>
      <c r="S128" s="4" t="s">
        <v>25</v>
      </c>
      <c r="T128" s="4" t="s">
        <v>23</v>
      </c>
    </row>
    <row r="129" customFormat="false" ht="15" hidden="false" customHeight="false" outlineLevel="0" collapsed="false">
      <c r="A129" s="4" t="s">
        <v>69</v>
      </c>
      <c r="B129" s="4" t="n">
        <v>1</v>
      </c>
      <c r="C129" s="5" t="n">
        <v>99439</v>
      </c>
      <c r="D129" s="5" t="n">
        <v>92818</v>
      </c>
      <c r="E129" s="5" t="n">
        <v>7198</v>
      </c>
      <c r="F129" s="5" t="n">
        <v>4980</v>
      </c>
      <c r="G129" s="5" t="n">
        <v>5441</v>
      </c>
      <c r="H129" s="5" t="n">
        <v>5729</v>
      </c>
      <c r="I129" s="5" t="n">
        <v>0</v>
      </c>
      <c r="J129" s="5" t="n">
        <v>75</v>
      </c>
      <c r="K129" s="5" t="n">
        <v>5555</v>
      </c>
      <c r="L129" s="5" t="n">
        <v>221235</v>
      </c>
      <c r="M129" s="11" t="n">
        <f aca="false">IF(L129=0,0,C129/L129)</f>
        <v>0.449472280606595</v>
      </c>
      <c r="N129" s="11" t="n">
        <f aca="false">IF(L129=0,0,D129/L129)</f>
        <v>0.419544827897937</v>
      </c>
      <c r="O129" s="11" t="n">
        <f aca="false">IF(L129=0,0,E129/L129)</f>
        <v>0.0325355391325966</v>
      </c>
      <c r="P129" s="11" t="n">
        <f aca="false">IF(L129=0,0,K129/L129)</f>
        <v>0.0251090469410356</v>
      </c>
      <c r="Q129" s="4" t="str">
        <f aca="false">INDEX($C$3:$I$3,MATCH(MAX(C129:I129),C129:I129,0))</f>
        <v>Va por México (PAN-PRI-PRD)</v>
      </c>
      <c r="R129" s="17" t="n">
        <f aca="false">IF(L129=0,0,(MAX(C129:I129)-LARGE(C129:I129,2))/L129*100)</f>
        <v>2.99274527086582</v>
      </c>
      <c r="S129" s="4" t="s">
        <v>25</v>
      </c>
      <c r="T129" s="4" t="s">
        <v>23</v>
      </c>
    </row>
    <row r="130" customFormat="false" ht="15" hidden="false" customHeight="false" outlineLevel="0" collapsed="false">
      <c r="A130" s="4" t="s">
        <v>69</v>
      </c>
      <c r="B130" s="4" t="n">
        <v>2</v>
      </c>
      <c r="C130" s="5" t="n">
        <v>47993</v>
      </c>
      <c r="D130" s="5" t="n">
        <v>70645</v>
      </c>
      <c r="E130" s="5" t="n">
        <v>7701</v>
      </c>
      <c r="F130" s="5" t="n">
        <v>3780</v>
      </c>
      <c r="G130" s="5" t="n">
        <v>3989</v>
      </c>
      <c r="H130" s="5" t="n">
        <v>3618</v>
      </c>
      <c r="I130" s="5" t="n">
        <v>0</v>
      </c>
      <c r="J130" s="5" t="n">
        <v>119</v>
      </c>
      <c r="K130" s="5" t="n">
        <v>3637</v>
      </c>
      <c r="L130" s="5" t="n">
        <v>141482</v>
      </c>
      <c r="M130" s="11" t="n">
        <f aca="false">IF(L130=0,0,C130/L130)</f>
        <v>0.339216296065931</v>
      </c>
      <c r="N130" s="11" t="n">
        <f aca="false">IF(L130=0,0,D130/L130)</f>
        <v>0.499321468455351</v>
      </c>
      <c r="O130" s="11" t="n">
        <f aca="false">IF(L130=0,0,E130/L130)</f>
        <v>0.0544309523472951</v>
      </c>
      <c r="P130" s="11" t="n">
        <f aca="false">IF(L130=0,0,K130/L130)</f>
        <v>0.0257064502904963</v>
      </c>
      <c r="Q130" s="4" t="str">
        <f aca="false">INDEX($C$3:$I$3,MATCH(MAX(C130:I130),C130:I130,0))</f>
        <v>Juntos Hacemos Historia (Morena-PT-PVEM)</v>
      </c>
      <c r="R130" s="17" t="n">
        <f aca="false">IF(L130=0,0,(MAX(C130:I130)-LARGE(C130:I130,2))/L130*100)</f>
        <v>16.0105172389421</v>
      </c>
      <c r="S130" s="4" t="s">
        <v>23</v>
      </c>
      <c r="T130" s="4" t="s">
        <v>25</v>
      </c>
    </row>
    <row r="131" customFormat="false" ht="15" hidden="false" customHeight="false" outlineLevel="0" collapsed="false">
      <c r="A131" s="4" t="s">
        <v>69</v>
      </c>
      <c r="B131" s="4" t="n">
        <v>3</v>
      </c>
      <c r="C131" s="5" t="n">
        <v>86571</v>
      </c>
      <c r="D131" s="5" t="n">
        <v>79079</v>
      </c>
      <c r="E131" s="5" t="n">
        <v>16369</v>
      </c>
      <c r="F131" s="5" t="n">
        <v>8067</v>
      </c>
      <c r="G131" s="5" t="n">
        <v>2940</v>
      </c>
      <c r="H131" s="5" t="n">
        <v>8415</v>
      </c>
      <c r="I131" s="5" t="n">
        <v>0</v>
      </c>
      <c r="J131" s="5" t="n">
        <v>93</v>
      </c>
      <c r="K131" s="5" t="n">
        <v>5373</v>
      </c>
      <c r="L131" s="5" t="n">
        <v>206907</v>
      </c>
      <c r="M131" s="11" t="n">
        <f aca="false">IF(L131=0,0,C131/L131)</f>
        <v>0.418405370528788</v>
      </c>
      <c r="N131" s="11" t="n">
        <f aca="false">IF(L131=0,0,D131/L131)</f>
        <v>0.382195865775445</v>
      </c>
      <c r="O131" s="11" t="n">
        <f aca="false">IF(L131=0,0,E131/L131)</f>
        <v>0.0791128381350075</v>
      </c>
      <c r="P131" s="11" t="n">
        <f aca="false">IF(L131=0,0,K131/L131)</f>
        <v>0.0259681886064754</v>
      </c>
      <c r="Q131" s="4" t="str">
        <f aca="false">INDEX($C$3:$I$3,MATCH(MAX(C131:I131),C131:I131,0))</f>
        <v>Va por México (PAN-PRI-PRD)</v>
      </c>
      <c r="R131" s="17" t="n">
        <f aca="false">IF(L131=0,0,(MAX(C131:I131)-LARGE(C131:I131,2))/L131*100)</f>
        <v>3.62095047533433</v>
      </c>
      <c r="S131" s="4" t="s">
        <v>25</v>
      </c>
      <c r="T131" s="4" t="s">
        <v>23</v>
      </c>
    </row>
    <row r="132" customFormat="false" ht="15" hidden="false" customHeight="false" outlineLevel="0" collapsed="false">
      <c r="A132" s="4" t="s">
        <v>69</v>
      </c>
      <c r="B132" s="4" t="n">
        <v>4</v>
      </c>
      <c r="C132" s="5" t="n">
        <v>75128</v>
      </c>
      <c r="D132" s="5" t="n">
        <v>65490</v>
      </c>
      <c r="E132" s="5" t="n">
        <v>6277</v>
      </c>
      <c r="F132" s="5" t="n">
        <v>3704</v>
      </c>
      <c r="G132" s="5" t="n">
        <v>4776</v>
      </c>
      <c r="H132" s="5" t="n">
        <v>3802</v>
      </c>
      <c r="I132" s="5" t="n">
        <v>0</v>
      </c>
      <c r="J132" s="5" t="n">
        <v>121</v>
      </c>
      <c r="K132" s="5" t="n">
        <v>4157</v>
      </c>
      <c r="L132" s="5" t="n">
        <v>163455</v>
      </c>
      <c r="M132" s="11" t="n">
        <f aca="false">IF(L132=0,0,C132/L132)</f>
        <v>0.459624973234223</v>
      </c>
      <c r="N132" s="11" t="n">
        <f aca="false">IF(L132=0,0,D132/L132)</f>
        <v>0.400660732311645</v>
      </c>
      <c r="O132" s="11" t="n">
        <f aca="false">IF(L132=0,0,E132/L132)</f>
        <v>0.038402006668502</v>
      </c>
      <c r="P132" s="11" t="n">
        <f aca="false">IF(L132=0,0,K132/L132)</f>
        <v>0.0254320761065737</v>
      </c>
      <c r="Q132" s="4" t="str">
        <f aca="false">INDEX($C$3:$I$3,MATCH(MAX(C132:I132),C132:I132,0))</f>
        <v>Va por México (PAN-PRI-PRD)</v>
      </c>
      <c r="R132" s="17" t="n">
        <f aca="false">IF(L132=0,0,(MAX(C132:I132)-LARGE(C132:I132,2))/L132*100)</f>
        <v>5.89642409225781</v>
      </c>
      <c r="S132" s="4" t="s">
        <v>23</v>
      </c>
      <c r="T132" s="4" t="s">
        <v>27</v>
      </c>
    </row>
    <row r="133" customFormat="false" ht="15" hidden="false" customHeight="false" outlineLevel="0" collapsed="false">
      <c r="A133" s="4" t="s">
        <v>69</v>
      </c>
      <c r="B133" s="4" t="n">
        <v>5</v>
      </c>
      <c r="C133" s="5" t="n">
        <v>92774</v>
      </c>
      <c r="D133" s="5" t="n">
        <v>68382</v>
      </c>
      <c r="E133" s="5" t="n">
        <v>3530</v>
      </c>
      <c r="F133" s="5" t="n">
        <v>3583</v>
      </c>
      <c r="G133" s="5" t="n">
        <v>4727</v>
      </c>
      <c r="H133" s="5" t="n">
        <v>4211</v>
      </c>
      <c r="I133" s="5" t="n">
        <v>0</v>
      </c>
      <c r="J133" s="5" t="n">
        <v>227</v>
      </c>
      <c r="K133" s="5" t="n">
        <v>4202</v>
      </c>
      <c r="L133" s="5" t="n">
        <v>181636</v>
      </c>
      <c r="M133" s="11" t="n">
        <f aca="false">IF(L133=0,0,C133/L133)</f>
        <v>0.510768790327909</v>
      </c>
      <c r="N133" s="11" t="n">
        <f aca="false">IF(L133=0,0,D133/L133)</f>
        <v>0.37647823118765</v>
      </c>
      <c r="O133" s="11" t="n">
        <f aca="false">IF(L133=0,0,E133/L133)</f>
        <v>0.019434473342289</v>
      </c>
      <c r="P133" s="11" t="n">
        <f aca="false">IF(L133=0,0,K133/L133)</f>
        <v>0.0231341804488097</v>
      </c>
      <c r="Q133" s="4" t="str">
        <f aca="false">INDEX($C$3:$I$3,MATCH(MAX(C133:I133),C133:I133,0))</f>
        <v>Va por México (PAN-PRI-PRD)</v>
      </c>
      <c r="R133" s="17" t="n">
        <f aca="false">IF(L133=0,0,(MAX(C133:I133)-LARGE(C133:I133,2))/L133*100)</f>
        <v>13.4290559140259</v>
      </c>
      <c r="S133" s="4" t="s">
        <v>23</v>
      </c>
      <c r="T133" s="4" t="s">
        <v>27</v>
      </c>
    </row>
    <row r="134" customFormat="false" ht="15" hidden="false" customHeight="false" outlineLevel="0" collapsed="false">
      <c r="A134" s="4" t="s">
        <v>69</v>
      </c>
      <c r="B134" s="4" t="n">
        <v>6</v>
      </c>
      <c r="C134" s="5" t="n">
        <v>59696</v>
      </c>
      <c r="D134" s="5" t="n">
        <v>68529</v>
      </c>
      <c r="E134" s="5" t="n">
        <v>7067</v>
      </c>
      <c r="F134" s="5" t="n">
        <v>3308</v>
      </c>
      <c r="G134" s="5" t="n">
        <v>6059</v>
      </c>
      <c r="H134" s="5" t="n">
        <v>4216</v>
      </c>
      <c r="I134" s="5" t="n">
        <v>0</v>
      </c>
      <c r="J134" s="5" t="n">
        <v>179</v>
      </c>
      <c r="K134" s="5" t="n">
        <v>3579</v>
      </c>
      <c r="L134" s="5" t="n">
        <v>152633</v>
      </c>
      <c r="M134" s="11" t="n">
        <f aca="false">IF(L134=0,0,C134/L134)</f>
        <v>0.391108082786815</v>
      </c>
      <c r="N134" s="11" t="n">
        <f aca="false">IF(L134=0,0,D134/L134)</f>
        <v>0.44897892329968</v>
      </c>
      <c r="O134" s="11" t="n">
        <f aca="false">IF(L134=0,0,E134/L134)</f>
        <v>0.0463006034081752</v>
      </c>
      <c r="P134" s="11" t="n">
        <f aca="false">IF(L134=0,0,K134/L134)</f>
        <v>0.0234484023769434</v>
      </c>
      <c r="Q134" s="4" t="str">
        <f aca="false">INDEX($C$3:$I$3,MATCH(MAX(C134:I134),C134:I134,0))</f>
        <v>Juntos Hacemos Historia (Morena-PT-PVEM)</v>
      </c>
      <c r="R134" s="17" t="n">
        <f aca="false">IF(L134=0,0,(MAX(C134:I134)-LARGE(C134:I134,2))/L134*100)</f>
        <v>5.78708405128642</v>
      </c>
      <c r="S134" s="4" t="s">
        <v>23</v>
      </c>
      <c r="T134" s="4" t="s">
        <v>25</v>
      </c>
    </row>
    <row r="135" customFormat="false" ht="15" hidden="false" customHeight="false" outlineLevel="0" collapsed="false">
      <c r="A135" s="4" t="s">
        <v>69</v>
      </c>
      <c r="B135" s="4" t="n">
        <v>7</v>
      </c>
      <c r="C135" s="5" t="n">
        <v>80931</v>
      </c>
      <c r="D135" s="5" t="n">
        <v>76081</v>
      </c>
      <c r="E135" s="5" t="n">
        <v>6643</v>
      </c>
      <c r="F135" s="5" t="n">
        <v>2358</v>
      </c>
      <c r="G135" s="5" t="n">
        <v>2064</v>
      </c>
      <c r="H135" s="5" t="n">
        <v>2751</v>
      </c>
      <c r="I135" s="5" t="n">
        <v>0</v>
      </c>
      <c r="J135" s="5" t="n">
        <v>137</v>
      </c>
      <c r="K135" s="5" t="n">
        <v>4195</v>
      </c>
      <c r="L135" s="5" t="n">
        <v>175160</v>
      </c>
      <c r="M135" s="11" t="n">
        <f aca="false">IF(L135=0,0,C135/L135)</f>
        <v>0.462040420187257</v>
      </c>
      <c r="N135" s="11" t="n">
        <f aca="false">IF(L135=0,0,D135/L135)</f>
        <v>0.434351450102763</v>
      </c>
      <c r="O135" s="11" t="n">
        <f aca="false">IF(L135=0,0,E135/L135)</f>
        <v>0.0379253254167618</v>
      </c>
      <c r="P135" s="11" t="n">
        <f aca="false">IF(L135=0,0,K135/L135)</f>
        <v>0.0239495318565883</v>
      </c>
      <c r="Q135" s="4" t="str">
        <f aca="false">INDEX($C$3:$I$3,MATCH(MAX(C135:I135),C135:I135,0))</f>
        <v>Va por México (PAN-PRI-PRD)</v>
      </c>
      <c r="R135" s="17" t="n">
        <f aca="false">IF(L135=0,0,(MAX(C135:I135)-LARGE(C135:I135,2))/L135*100)</f>
        <v>2.76889700844942</v>
      </c>
      <c r="S135" s="4" t="s">
        <v>25</v>
      </c>
      <c r="T135" s="4" t="s">
        <v>24</v>
      </c>
    </row>
    <row r="136" customFormat="false" ht="15" hidden="false" customHeight="false" outlineLevel="0" collapsed="false">
      <c r="A136" s="4" t="s">
        <v>69</v>
      </c>
      <c r="B136" s="4" t="n">
        <v>8</v>
      </c>
      <c r="C136" s="5" t="n">
        <v>51816</v>
      </c>
      <c r="D136" s="5" t="n">
        <v>63307</v>
      </c>
      <c r="E136" s="5" t="n">
        <v>3542</v>
      </c>
      <c r="F136" s="5" t="n">
        <v>1990</v>
      </c>
      <c r="G136" s="5" t="n">
        <v>994</v>
      </c>
      <c r="H136" s="5" t="n">
        <v>3656</v>
      </c>
      <c r="I136" s="5" t="n">
        <v>0</v>
      </c>
      <c r="J136" s="5" t="n">
        <v>107</v>
      </c>
      <c r="K136" s="5" t="n">
        <v>3991</v>
      </c>
      <c r="L136" s="5" t="n">
        <v>129403</v>
      </c>
      <c r="M136" s="11" t="n">
        <f aca="false">IF(L136=0,0,C136/L136)</f>
        <v>0.400423483226819</v>
      </c>
      <c r="N136" s="11" t="n">
        <f aca="false">IF(L136=0,0,D136/L136)</f>
        <v>0.489223588324846</v>
      </c>
      <c r="O136" s="11" t="n">
        <f aca="false">IF(L136=0,0,E136/L136)</f>
        <v>0.0273718538210088</v>
      </c>
      <c r="P136" s="11" t="n">
        <f aca="false">IF(L136=0,0,K136/L136)</f>
        <v>0.0308416342743213</v>
      </c>
      <c r="Q136" s="4" t="str">
        <f aca="false">INDEX($C$3:$I$3,MATCH(MAX(C136:I136),C136:I136,0))</f>
        <v>Juntos Hacemos Historia (Morena-PT-PVEM)</v>
      </c>
      <c r="R136" s="17" t="n">
        <f aca="false">IF(L136=0,0,(MAX(C136:I136)-LARGE(C136:I136,2))/L136*100)</f>
        <v>8.88001050980271</v>
      </c>
      <c r="S136" s="4" t="s">
        <v>24</v>
      </c>
      <c r="T136" s="4" t="s">
        <v>27</v>
      </c>
    </row>
    <row r="137" customFormat="false" ht="15" hidden="false" customHeight="false" outlineLevel="0" collapsed="false">
      <c r="A137" s="4" t="s">
        <v>69</v>
      </c>
      <c r="B137" s="4" t="n">
        <v>9</v>
      </c>
      <c r="C137" s="5" t="n">
        <v>97153</v>
      </c>
      <c r="D137" s="5" t="n">
        <v>59119</v>
      </c>
      <c r="E137" s="5" t="n">
        <v>14915</v>
      </c>
      <c r="F137" s="5" t="n">
        <v>3868</v>
      </c>
      <c r="G137" s="5" t="n">
        <v>1751</v>
      </c>
      <c r="H137" s="5" t="n">
        <v>1328</v>
      </c>
      <c r="I137" s="5" t="n">
        <v>0</v>
      </c>
      <c r="J137" s="5" t="n">
        <v>44</v>
      </c>
      <c r="K137" s="5" t="n">
        <v>6539</v>
      </c>
      <c r="L137" s="5" t="n">
        <v>184717</v>
      </c>
      <c r="M137" s="11" t="n">
        <f aca="false">IF(L137=0,0,C137/L137)</f>
        <v>0.525955921761397</v>
      </c>
      <c r="N137" s="11" t="n">
        <f aca="false">IF(L137=0,0,D137/L137)</f>
        <v>0.320051754846603</v>
      </c>
      <c r="O137" s="11" t="n">
        <f aca="false">IF(L137=0,0,E137/L137)</f>
        <v>0.0807451398626006</v>
      </c>
      <c r="P137" s="11" t="n">
        <f aca="false">IF(L137=0,0,K137/L137)</f>
        <v>0.0354000985291013</v>
      </c>
      <c r="Q137" s="4" t="str">
        <f aca="false">INDEX($C$3:$I$3,MATCH(MAX(C137:I137),C137:I137,0))</f>
        <v>Va por México (PAN-PRI-PRD)</v>
      </c>
      <c r="R137" s="17" t="n">
        <f aca="false">IF(L137=0,0,(MAX(C137:I137)-LARGE(C137:I137,2))/L137*100)</f>
        <v>20.5904166914794</v>
      </c>
      <c r="S137" s="4" t="s">
        <v>25</v>
      </c>
      <c r="T137" s="4" t="s">
        <v>24</v>
      </c>
    </row>
    <row r="138" customFormat="false" ht="15" hidden="false" customHeight="false" outlineLevel="0" collapsed="false">
      <c r="A138" s="4" t="s">
        <v>69</v>
      </c>
      <c r="B138" s="4" t="n">
        <v>10</v>
      </c>
      <c r="C138" s="5" t="n">
        <v>50514</v>
      </c>
      <c r="D138" s="5" t="n">
        <v>61111</v>
      </c>
      <c r="E138" s="5" t="n">
        <v>3102</v>
      </c>
      <c r="F138" s="5" t="n">
        <v>1789</v>
      </c>
      <c r="G138" s="5" t="n">
        <v>1106</v>
      </c>
      <c r="H138" s="5" t="n">
        <v>2668</v>
      </c>
      <c r="I138" s="5" t="n">
        <v>0</v>
      </c>
      <c r="J138" s="5" t="n">
        <v>164</v>
      </c>
      <c r="K138" s="5" t="n">
        <v>4034</v>
      </c>
      <c r="L138" s="5" t="n">
        <v>124488</v>
      </c>
      <c r="M138" s="11" t="n">
        <f aca="false">IF(L138=0,0,C138/L138)</f>
        <v>0.405774050510893</v>
      </c>
      <c r="N138" s="11" t="n">
        <f aca="false">IF(L138=0,0,D138/L138)</f>
        <v>0.490898721161879</v>
      </c>
      <c r="O138" s="11" t="n">
        <f aca="false">IF(L138=0,0,E138/L138)</f>
        <v>0.0249180643917486</v>
      </c>
      <c r="P138" s="11" t="n">
        <f aca="false">IF(L138=0,0,K138/L138)</f>
        <v>0.0324047297731508</v>
      </c>
      <c r="Q138" s="4" t="str">
        <f aca="false">INDEX($C$3:$I$3,MATCH(MAX(C138:I138),C138:I138,0))</f>
        <v>Juntos Hacemos Historia (Morena-PT-PVEM)</v>
      </c>
      <c r="R138" s="17" t="n">
        <f aca="false">IF(L138=0,0,(MAX(C138:I138)-LARGE(C138:I138,2))/L138*100)</f>
        <v>8.51246706509864</v>
      </c>
      <c r="S138" s="4" t="s">
        <v>24</v>
      </c>
      <c r="T138" s="4" t="s">
        <v>27</v>
      </c>
    </row>
    <row r="139" customFormat="false" ht="15" hidden="false" customHeight="false" outlineLevel="0" collapsed="false">
      <c r="A139" s="4" t="s">
        <v>69</v>
      </c>
      <c r="B139" s="4" t="n">
        <v>11</v>
      </c>
      <c r="C139" s="5" t="n">
        <v>56147</v>
      </c>
      <c r="D139" s="5" t="n">
        <v>63608</v>
      </c>
      <c r="E139" s="5" t="n">
        <v>3472</v>
      </c>
      <c r="F139" s="5" t="n">
        <v>1844</v>
      </c>
      <c r="G139" s="5" t="n">
        <v>1570</v>
      </c>
      <c r="H139" s="5" t="n">
        <v>2786</v>
      </c>
      <c r="I139" s="5" t="n">
        <v>0</v>
      </c>
      <c r="J139" s="5" t="n">
        <v>183</v>
      </c>
      <c r="K139" s="5" t="n">
        <v>4439</v>
      </c>
      <c r="L139" s="5" t="n">
        <v>134049</v>
      </c>
      <c r="M139" s="11" t="n">
        <f aca="false">IF(L139=0,0,C139/L139)</f>
        <v>0.418854299547181</v>
      </c>
      <c r="N139" s="11" t="n">
        <f aca="false">IF(L139=0,0,D139/L139)</f>
        <v>0.474513051197696</v>
      </c>
      <c r="O139" s="11" t="n">
        <f aca="false">IF(L139=0,0,E139/L139)</f>
        <v>0.0259009765085901</v>
      </c>
      <c r="P139" s="11" t="n">
        <f aca="false">IF(L139=0,0,K139/L139)</f>
        <v>0.0331147565442487</v>
      </c>
      <c r="Q139" s="4" t="str">
        <f aca="false">INDEX($C$3:$I$3,MATCH(MAX(C139:I139),C139:I139,0))</f>
        <v>Juntos Hacemos Historia (Morena-PT-PVEM)</v>
      </c>
      <c r="R139" s="17" t="n">
        <f aca="false">IF(L139=0,0,(MAX(C139:I139)-LARGE(C139:I139,2))/L139*100)</f>
        <v>5.56587516505159</v>
      </c>
      <c r="S139" s="4" t="s">
        <v>24</v>
      </c>
      <c r="T139" s="4" t="s">
        <v>27</v>
      </c>
    </row>
    <row r="140" customFormat="false" ht="15" hidden="false" customHeight="false" outlineLevel="0" collapsed="false">
      <c r="A140" s="4" t="s">
        <v>69</v>
      </c>
      <c r="B140" s="4" t="n">
        <v>12</v>
      </c>
      <c r="C140" s="5" t="n">
        <v>53915</v>
      </c>
      <c r="D140" s="5" t="n">
        <v>61966</v>
      </c>
      <c r="E140" s="5" t="n">
        <v>4285</v>
      </c>
      <c r="F140" s="5" t="n">
        <v>1774</v>
      </c>
      <c r="G140" s="5" t="n">
        <v>1168</v>
      </c>
      <c r="H140" s="5" t="n">
        <v>5875</v>
      </c>
      <c r="I140" s="5" t="n">
        <v>0</v>
      </c>
      <c r="J140" s="5" t="n">
        <v>113</v>
      </c>
      <c r="K140" s="5" t="n">
        <v>3774</v>
      </c>
      <c r="L140" s="5" t="n">
        <v>132870</v>
      </c>
      <c r="M140" s="11" t="n">
        <f aca="false">IF(L140=0,0,C140/L140)</f>
        <v>0.405772559644766</v>
      </c>
      <c r="N140" s="11" t="n">
        <f aca="false">IF(L140=0,0,D140/L140)</f>
        <v>0.466365620531346</v>
      </c>
      <c r="O140" s="11" t="n">
        <f aca="false">IF(L140=0,0,E140/L140)</f>
        <v>0.0322495672461805</v>
      </c>
      <c r="P140" s="11" t="n">
        <f aca="false">IF(L140=0,0,K140/L140)</f>
        <v>0.0284037028674644</v>
      </c>
      <c r="Q140" s="4" t="str">
        <f aca="false">INDEX($C$3:$I$3,MATCH(MAX(C140:I140),C140:I140,0))</f>
        <v>Juntos Hacemos Historia (Morena-PT-PVEM)</v>
      </c>
      <c r="R140" s="17" t="n">
        <f aca="false">IF(L140=0,0,(MAX(C140:I140)-LARGE(C140:I140,2))/L140*100)</f>
        <v>6.05930608865809</v>
      </c>
      <c r="S140" s="4" t="s">
        <v>23</v>
      </c>
      <c r="T140" s="4" t="s">
        <v>27</v>
      </c>
    </row>
    <row r="141" customFormat="false" ht="15" hidden="false" customHeight="false" outlineLevel="0" collapsed="false">
      <c r="A141" s="4" t="s">
        <v>69</v>
      </c>
      <c r="B141" s="4" t="n">
        <v>13</v>
      </c>
      <c r="C141" s="5" t="n">
        <v>55030</v>
      </c>
      <c r="D141" s="5" t="n">
        <v>65670</v>
      </c>
      <c r="E141" s="5" t="n">
        <v>3776</v>
      </c>
      <c r="F141" s="5" t="n">
        <v>1877</v>
      </c>
      <c r="G141" s="5" t="n">
        <v>946</v>
      </c>
      <c r="H141" s="5" t="n">
        <v>2367</v>
      </c>
      <c r="I141" s="5" t="n">
        <v>0</v>
      </c>
      <c r="J141" s="5" t="n">
        <v>173</v>
      </c>
      <c r="K141" s="5" t="n">
        <v>4611</v>
      </c>
      <c r="L141" s="5" t="n">
        <v>134450</v>
      </c>
      <c r="M141" s="11" t="n">
        <f aca="false">IF(L141=0,0,C141/L141)</f>
        <v>0.409297136481964</v>
      </c>
      <c r="N141" s="11" t="n">
        <f aca="false">IF(L141=0,0,D141/L141)</f>
        <v>0.488434362216437</v>
      </c>
      <c r="O141" s="11" t="n">
        <f aca="false">IF(L141=0,0,E141/L141)</f>
        <v>0.0280847898847155</v>
      </c>
      <c r="P141" s="11" t="n">
        <f aca="false">IF(L141=0,0,K141/L141)</f>
        <v>0.0342952770546672</v>
      </c>
      <c r="Q141" s="4" t="str">
        <f aca="false">INDEX($C$3:$I$3,MATCH(MAX(C141:I141),C141:I141,0))</f>
        <v>Juntos Hacemos Historia (Morena-PT-PVEM)</v>
      </c>
      <c r="R141" s="17" t="n">
        <f aca="false">IF(L141=0,0,(MAX(C141:I141)-LARGE(C141:I141,2))/L141*100)</f>
        <v>7.91372257344738</v>
      </c>
      <c r="S141" s="4" t="s">
        <v>24</v>
      </c>
      <c r="T141" s="4" t="s">
        <v>27</v>
      </c>
    </row>
    <row r="142" customFormat="false" ht="15" hidden="false" customHeight="false" outlineLevel="0" collapsed="false">
      <c r="A142" s="4" t="s">
        <v>69</v>
      </c>
      <c r="B142" s="4" t="n">
        <v>14</v>
      </c>
      <c r="C142" s="5" t="n">
        <v>86439</v>
      </c>
      <c r="D142" s="5" t="n">
        <v>63815</v>
      </c>
      <c r="E142" s="5" t="n">
        <v>5492</v>
      </c>
      <c r="F142" s="5" t="n">
        <v>2225</v>
      </c>
      <c r="G142" s="5" t="n">
        <v>1341</v>
      </c>
      <c r="H142" s="5" t="n">
        <v>3116</v>
      </c>
      <c r="I142" s="5" t="n">
        <v>0</v>
      </c>
      <c r="J142" s="5" t="n">
        <v>137</v>
      </c>
      <c r="K142" s="5" t="n">
        <v>3646</v>
      </c>
      <c r="L142" s="5" t="n">
        <v>166211</v>
      </c>
      <c r="M142" s="11" t="n">
        <f aca="false">IF(L142=0,0,C142/L142)</f>
        <v>0.520055832646455</v>
      </c>
      <c r="N142" s="11" t="n">
        <f aca="false">IF(L142=0,0,D142/L142)</f>
        <v>0.38393969111551</v>
      </c>
      <c r="O142" s="11" t="n">
        <f aca="false">IF(L142=0,0,E142/L142)</f>
        <v>0.0330423377514124</v>
      </c>
      <c r="P142" s="11" t="n">
        <f aca="false">IF(L142=0,0,K142/L142)</f>
        <v>0.0219359729500454</v>
      </c>
      <c r="Q142" s="4" t="str">
        <f aca="false">INDEX($C$3:$I$3,MATCH(MAX(C142:I142),C142:I142,0))</f>
        <v>Va por México (PAN-PRI-PRD)</v>
      </c>
      <c r="R142" s="17" t="n">
        <f aca="false">IF(L142=0,0,(MAX(C142:I142)-LARGE(C142:I142,2))/L142*100)</f>
        <v>13.6116141530946</v>
      </c>
      <c r="S142" s="4" t="s">
        <v>25</v>
      </c>
      <c r="T142" s="4" t="s">
        <v>23</v>
      </c>
    </row>
    <row r="143" customFormat="false" ht="15" hidden="false" customHeight="false" outlineLevel="0" collapsed="false">
      <c r="A143" s="4" t="s">
        <v>69</v>
      </c>
      <c r="B143" s="4" t="n">
        <v>15</v>
      </c>
      <c r="C143" s="5" t="n">
        <v>86529</v>
      </c>
      <c r="D143" s="5" t="n">
        <v>60379</v>
      </c>
      <c r="E143" s="5" t="n">
        <v>4850</v>
      </c>
      <c r="F143" s="5" t="n">
        <v>2357</v>
      </c>
      <c r="G143" s="5" t="n">
        <v>1552</v>
      </c>
      <c r="H143" s="5" t="n">
        <v>3995</v>
      </c>
      <c r="I143" s="5" t="n">
        <v>0</v>
      </c>
      <c r="J143" s="5" t="n">
        <v>100</v>
      </c>
      <c r="K143" s="5" t="n">
        <v>3652</v>
      </c>
      <c r="L143" s="5" t="n">
        <v>163414</v>
      </c>
      <c r="M143" s="11" t="n">
        <f aca="false">IF(L143=0,0,C143/L143)</f>
        <v>0.529507875702204</v>
      </c>
      <c r="N143" s="11" t="n">
        <f aca="false">IF(L143=0,0,D143/L143)</f>
        <v>0.369484866657692</v>
      </c>
      <c r="O143" s="11" t="n">
        <f aca="false">IF(L143=0,0,E143/L143)</f>
        <v>0.0296792196507031</v>
      </c>
      <c r="P143" s="11" t="n">
        <f aca="false">IF(L143=0,0,K143/L143)</f>
        <v>0.0223481464256428</v>
      </c>
      <c r="Q143" s="4" t="str">
        <f aca="false">INDEX($C$3:$I$3,MATCH(MAX(C143:I143),C143:I143,0))</f>
        <v>Va por México (PAN-PRI-PRD)</v>
      </c>
      <c r="R143" s="17" t="n">
        <f aca="false">IF(L143=0,0,(MAX(C143:I143)-LARGE(C143:I143,2))/L143*100)</f>
        <v>16.0023009044513</v>
      </c>
      <c r="S143" s="4" t="s">
        <v>25</v>
      </c>
      <c r="T143" s="4" t="s">
        <v>23</v>
      </c>
    </row>
    <row r="144" customFormat="false" ht="15" hidden="false" customHeight="false" outlineLevel="0" collapsed="false">
      <c r="A144" s="4" t="s">
        <v>69</v>
      </c>
      <c r="B144" s="4" t="n">
        <v>16</v>
      </c>
      <c r="C144" s="5" t="n">
        <v>54102</v>
      </c>
      <c r="D144" s="5" t="n">
        <v>67126</v>
      </c>
      <c r="E144" s="5" t="n">
        <v>3167</v>
      </c>
      <c r="F144" s="5" t="n">
        <v>2249</v>
      </c>
      <c r="G144" s="5" t="n">
        <v>921</v>
      </c>
      <c r="H144" s="5" t="n">
        <v>2206</v>
      </c>
      <c r="I144" s="5" t="n">
        <v>0</v>
      </c>
      <c r="J144" s="5" t="n">
        <v>90</v>
      </c>
      <c r="K144" s="5" t="n">
        <v>4326</v>
      </c>
      <c r="L144" s="5" t="n">
        <v>134187</v>
      </c>
      <c r="M144" s="11" t="n">
        <f aca="false">IF(L144=0,0,C144/L144)</f>
        <v>0.403183616892844</v>
      </c>
      <c r="N144" s="11" t="n">
        <f aca="false">IF(L144=0,0,D144/L144)</f>
        <v>0.500242199318861</v>
      </c>
      <c r="O144" s="11" t="n">
        <f aca="false">IF(L144=0,0,E144/L144)</f>
        <v>0.0236013920871619</v>
      </c>
      <c r="P144" s="11" t="n">
        <f aca="false">IF(L144=0,0,K144/L144)</f>
        <v>0.0322385924120817</v>
      </c>
      <c r="Q144" s="4" t="str">
        <f aca="false">INDEX($C$3:$I$3,MATCH(MAX(C144:I144),C144:I144,0))</f>
        <v>Juntos Hacemos Historia (Morena-PT-PVEM)</v>
      </c>
      <c r="R144" s="17" t="n">
        <f aca="false">IF(L144=0,0,(MAX(C144:I144)-LARGE(C144:I144,2))/L144*100)</f>
        <v>9.70585824260174</v>
      </c>
      <c r="S144" s="4" t="s">
        <v>23</v>
      </c>
      <c r="T144" s="4" t="s">
        <v>27</v>
      </c>
    </row>
    <row r="145" customFormat="false" ht="15" hidden="false" customHeight="false" outlineLevel="0" collapsed="false">
      <c r="A145" s="4" t="s">
        <v>69</v>
      </c>
      <c r="B145" s="4" t="n">
        <v>17</v>
      </c>
      <c r="C145" s="5" t="n">
        <v>50593</v>
      </c>
      <c r="D145" s="5" t="n">
        <v>60240</v>
      </c>
      <c r="E145" s="5" t="n">
        <v>3468</v>
      </c>
      <c r="F145" s="5" t="n">
        <v>1992</v>
      </c>
      <c r="G145" s="5" t="n">
        <v>1108</v>
      </c>
      <c r="H145" s="5" t="n">
        <v>2172</v>
      </c>
      <c r="I145" s="5" t="n">
        <v>0</v>
      </c>
      <c r="J145" s="5" t="n">
        <v>167</v>
      </c>
      <c r="K145" s="5" t="n">
        <v>4148</v>
      </c>
      <c r="L145" s="5" t="n">
        <v>123888</v>
      </c>
      <c r="M145" s="11" t="n">
        <f aca="false">IF(L145=0,0,C145/L145)</f>
        <v>0.408376921090017</v>
      </c>
      <c r="N145" s="11" t="n">
        <f aca="false">IF(L145=0,0,D145/L145)</f>
        <v>0.486245641224332</v>
      </c>
      <c r="O145" s="11" t="n">
        <f aca="false">IF(L145=0,0,E145/L145)</f>
        <v>0.0279930259589306</v>
      </c>
      <c r="P145" s="11" t="n">
        <f aca="false">IF(L145=0,0,K145/L145)</f>
        <v>0.0334818545783288</v>
      </c>
      <c r="Q145" s="4" t="str">
        <f aca="false">INDEX($C$3:$I$3,MATCH(MAX(C145:I145),C145:I145,0))</f>
        <v>Juntos Hacemos Historia (Morena-PT-PVEM)</v>
      </c>
      <c r="R145" s="17" t="n">
        <f aca="false">IF(L145=0,0,(MAX(C145:I145)-LARGE(C145:I145,2))/L145*100)</f>
        <v>7.78687201343149</v>
      </c>
      <c r="S145" s="4" t="s">
        <v>24</v>
      </c>
      <c r="T145" s="4" t="s">
        <v>27</v>
      </c>
    </row>
    <row r="146" customFormat="false" ht="15" hidden="false" customHeight="false" outlineLevel="0" collapsed="false">
      <c r="A146" s="4" t="s">
        <v>69</v>
      </c>
      <c r="B146" s="4" t="n">
        <v>18</v>
      </c>
      <c r="C146" s="5" t="n">
        <v>131367</v>
      </c>
      <c r="D146" s="5" t="n">
        <v>57012</v>
      </c>
      <c r="E146" s="5" t="n">
        <v>6036</v>
      </c>
      <c r="F146" s="5" t="n">
        <v>2819</v>
      </c>
      <c r="G146" s="5" t="n">
        <v>1251</v>
      </c>
      <c r="H146" s="5" t="n">
        <v>4593</v>
      </c>
      <c r="I146" s="5" t="n">
        <v>0</v>
      </c>
      <c r="J146" s="5" t="n">
        <v>68</v>
      </c>
      <c r="K146" s="5" t="n">
        <v>5273</v>
      </c>
      <c r="L146" s="5" t="n">
        <v>208419</v>
      </c>
      <c r="M146" s="11" t="n">
        <f aca="false">IF(L146=0,0,C146/L146)</f>
        <v>0.630302419645042</v>
      </c>
      <c r="N146" s="11" t="n">
        <f aca="false">IF(L146=0,0,D146/L146)</f>
        <v>0.273545118247377</v>
      </c>
      <c r="O146" s="11" t="n">
        <f aca="false">IF(L146=0,0,E146/L146)</f>
        <v>0.028960891281505</v>
      </c>
      <c r="P146" s="11" t="n">
        <f aca="false">IF(L146=0,0,K146/L146)</f>
        <v>0.0252999966413811</v>
      </c>
      <c r="Q146" s="4" t="str">
        <f aca="false">INDEX($C$3:$I$3,MATCH(MAX(C146:I146),C146:I146,0))</f>
        <v>Va por México (PAN-PRI-PRD)</v>
      </c>
      <c r="R146" s="17" t="n">
        <f aca="false">IF(L146=0,0,(MAX(C146:I146)-LARGE(C146:I146,2))/L146*100)</f>
        <v>35.6757301397665</v>
      </c>
      <c r="S146" s="4" t="s">
        <v>26</v>
      </c>
      <c r="T146" s="4" t="s">
        <v>24</v>
      </c>
    </row>
    <row r="147" customFormat="false" ht="15" hidden="false" customHeight="false" outlineLevel="0" collapsed="false">
      <c r="A147" s="4" t="s">
        <v>69</v>
      </c>
      <c r="B147" s="4" t="n">
        <v>19</v>
      </c>
      <c r="C147" s="5" t="n">
        <v>89683</v>
      </c>
      <c r="D147" s="5" t="n">
        <v>70274</v>
      </c>
      <c r="E147" s="5" t="n">
        <v>5094</v>
      </c>
      <c r="F147" s="5" t="n">
        <v>1912</v>
      </c>
      <c r="G147" s="5" t="n">
        <v>1208</v>
      </c>
      <c r="H147" s="5" t="n">
        <v>3518</v>
      </c>
      <c r="I147" s="5" t="n">
        <v>0</v>
      </c>
      <c r="J147" s="5" t="n">
        <v>162</v>
      </c>
      <c r="K147" s="5" t="n">
        <v>4573</v>
      </c>
      <c r="L147" s="5" t="n">
        <v>176424</v>
      </c>
      <c r="M147" s="11" t="n">
        <f aca="false">IF(L147=0,0,C147/L147)</f>
        <v>0.508337867863783</v>
      </c>
      <c r="N147" s="11" t="n">
        <f aca="false">IF(L147=0,0,D147/L147)</f>
        <v>0.398324490998957</v>
      </c>
      <c r="O147" s="11" t="n">
        <f aca="false">IF(L147=0,0,E147/L147)</f>
        <v>0.028873622636376</v>
      </c>
      <c r="P147" s="11" t="n">
        <f aca="false">IF(L147=0,0,K147/L147)</f>
        <v>0.0259205096812225</v>
      </c>
      <c r="Q147" s="4" t="str">
        <f aca="false">INDEX($C$3:$I$3,MATCH(MAX(C147:I147),C147:I147,0))</f>
        <v>Va por México (PAN-PRI-PRD)</v>
      </c>
      <c r="R147" s="17" t="n">
        <f aca="false">IF(L147=0,0,(MAX(C147:I147)-LARGE(C147:I147,2))/L147*100)</f>
        <v>11.0013376864826</v>
      </c>
      <c r="S147" s="4" t="s">
        <v>25</v>
      </c>
      <c r="T147" s="4" t="s">
        <v>24</v>
      </c>
    </row>
    <row r="148" customFormat="false" ht="15" hidden="false" customHeight="false" outlineLevel="0" collapsed="false">
      <c r="A148" s="4" t="s">
        <v>69</v>
      </c>
      <c r="B148" s="4" t="n">
        <v>20</v>
      </c>
      <c r="C148" s="5" t="n">
        <v>47184</v>
      </c>
      <c r="D148" s="5" t="n">
        <v>64860</v>
      </c>
      <c r="E148" s="5" t="n">
        <v>28967</v>
      </c>
      <c r="F148" s="5" t="n">
        <v>1694</v>
      </c>
      <c r="G148" s="5" t="n">
        <v>832</v>
      </c>
      <c r="H148" s="5" t="n">
        <v>1759</v>
      </c>
      <c r="I148" s="5" t="n">
        <v>0</v>
      </c>
      <c r="J148" s="5" t="n">
        <v>98</v>
      </c>
      <c r="K148" s="5" t="n">
        <v>4236</v>
      </c>
      <c r="L148" s="5" t="n">
        <v>149630</v>
      </c>
      <c r="M148" s="11" t="n">
        <f aca="false">IF(L148=0,0,C148/L148)</f>
        <v>0.315337833322195</v>
      </c>
      <c r="N148" s="11" t="n">
        <f aca="false">IF(L148=0,0,D148/L148)</f>
        <v>0.433469224086079</v>
      </c>
      <c r="O148" s="11" t="n">
        <f aca="false">IF(L148=0,0,E148/L148)</f>
        <v>0.193590857448373</v>
      </c>
      <c r="P148" s="11" t="n">
        <f aca="false">IF(L148=0,0,K148/L148)</f>
        <v>0.0283098309162601</v>
      </c>
      <c r="Q148" s="4" t="str">
        <f aca="false">INDEX($C$3:$I$3,MATCH(MAX(C148:I148),C148:I148,0))</f>
        <v>Juntos Hacemos Historia (Morena-PT-PVEM)</v>
      </c>
      <c r="R148" s="17" t="n">
        <f aca="false">IF(L148=0,0,(MAX(C148:I148)-LARGE(C148:I148,2))/L148*100)</f>
        <v>11.8131390763884</v>
      </c>
      <c r="S148" s="4" t="s">
        <v>24</v>
      </c>
      <c r="T148" s="4" t="s">
        <v>25</v>
      </c>
    </row>
    <row r="149" customFormat="false" ht="15" hidden="false" customHeight="false" outlineLevel="0" collapsed="false">
      <c r="A149" s="4" t="s">
        <v>69</v>
      </c>
      <c r="B149" s="4" t="n">
        <v>21</v>
      </c>
      <c r="C149" s="5" t="n">
        <v>58259</v>
      </c>
      <c r="D149" s="5" t="n">
        <v>72939</v>
      </c>
      <c r="E149" s="5" t="n">
        <v>11075</v>
      </c>
      <c r="F149" s="5" t="n">
        <v>5397</v>
      </c>
      <c r="G149" s="5" t="n">
        <v>3879</v>
      </c>
      <c r="H149" s="5" t="n">
        <v>6543</v>
      </c>
      <c r="I149" s="5" t="n">
        <v>0</v>
      </c>
      <c r="J149" s="5" t="n">
        <v>91</v>
      </c>
      <c r="K149" s="5" t="n">
        <v>5119</v>
      </c>
      <c r="L149" s="5" t="n">
        <v>163302</v>
      </c>
      <c r="M149" s="11" t="n">
        <f aca="false">IF(L149=0,0,C149/L149)</f>
        <v>0.356756194045388</v>
      </c>
      <c r="N149" s="11" t="n">
        <f aca="false">IF(L149=0,0,D149/L149)</f>
        <v>0.446650990189955</v>
      </c>
      <c r="O149" s="11" t="n">
        <f aca="false">IF(L149=0,0,E149/L149)</f>
        <v>0.0678191326499369</v>
      </c>
      <c r="P149" s="11" t="n">
        <f aca="false">IF(L149=0,0,K149/L149)</f>
        <v>0.0313468298000025</v>
      </c>
      <c r="Q149" s="4" t="str">
        <f aca="false">INDEX($C$3:$I$3,MATCH(MAX(C149:I149),C149:I149,0))</f>
        <v>Juntos Hacemos Historia (Morena-PT-PVEM)</v>
      </c>
      <c r="R149" s="17" t="n">
        <f aca="false">IF(L149=0,0,(MAX(C149:I149)-LARGE(C149:I149,2))/L149*100)</f>
        <v>8.98947961445665</v>
      </c>
      <c r="S149" s="4" t="s">
        <v>24</v>
      </c>
      <c r="T149" s="4" t="s">
        <v>27</v>
      </c>
    </row>
    <row r="150" customFormat="false" ht="15" hidden="false" customHeight="false" outlineLevel="0" collapsed="false">
      <c r="A150" s="4" t="s">
        <v>69</v>
      </c>
      <c r="B150" s="4" t="n">
        <v>22</v>
      </c>
      <c r="C150" s="5" t="n">
        <v>114076</v>
      </c>
      <c r="D150" s="5" t="n">
        <v>58210</v>
      </c>
      <c r="E150" s="5" t="n">
        <v>7664</v>
      </c>
      <c r="F150" s="5" t="n">
        <v>3056</v>
      </c>
      <c r="G150" s="5" t="n">
        <v>2368</v>
      </c>
      <c r="H150" s="5" t="n">
        <v>2858</v>
      </c>
      <c r="I150" s="5" t="n">
        <v>0</v>
      </c>
      <c r="J150" s="5" t="n">
        <v>149</v>
      </c>
      <c r="K150" s="5" t="n">
        <v>6351</v>
      </c>
      <c r="L150" s="5" t="n">
        <v>194732</v>
      </c>
      <c r="M150" s="11" t="n">
        <f aca="false">IF(L150=0,0,C150/L150)</f>
        <v>0.585810241768174</v>
      </c>
      <c r="N150" s="11" t="n">
        <f aca="false">IF(L150=0,0,D150/L150)</f>
        <v>0.298923648912351</v>
      </c>
      <c r="O150" s="11" t="n">
        <f aca="false">IF(L150=0,0,E150/L150)</f>
        <v>0.0393566542735657</v>
      </c>
      <c r="P150" s="11" t="n">
        <f aca="false">IF(L150=0,0,K150/L150)</f>
        <v>0.0326140541872933</v>
      </c>
      <c r="Q150" s="4" t="str">
        <f aca="false">INDEX($C$3:$I$3,MATCH(MAX(C150:I150),C150:I150,0))</f>
        <v>Va por México (PAN-PRI-PRD)</v>
      </c>
      <c r="R150" s="17" t="n">
        <f aca="false">IF(L150=0,0,(MAX(C150:I150)-LARGE(C150:I150,2))/L150*100)</f>
        <v>28.6886592855822</v>
      </c>
      <c r="S150" s="4" t="s">
        <v>26</v>
      </c>
      <c r="T150" s="4" t="s">
        <v>24</v>
      </c>
    </row>
    <row r="151" customFormat="false" ht="15" hidden="false" customHeight="false" outlineLevel="0" collapsed="false">
      <c r="A151" s="4" t="s">
        <v>69</v>
      </c>
      <c r="B151" s="4" t="n">
        <v>23</v>
      </c>
      <c r="C151" s="5" t="n">
        <v>83960</v>
      </c>
      <c r="D151" s="5" t="n">
        <v>85937</v>
      </c>
      <c r="E151" s="5" t="n">
        <v>3029</v>
      </c>
      <c r="F151" s="5" t="n">
        <v>6304</v>
      </c>
      <c r="G151" s="5" t="n">
        <v>3032</v>
      </c>
      <c r="H151" s="5" t="n">
        <v>5182</v>
      </c>
      <c r="I151" s="5" t="n">
        <v>0</v>
      </c>
      <c r="J151" s="5" t="n">
        <v>112</v>
      </c>
      <c r="K151" s="5" t="n">
        <v>5822</v>
      </c>
      <c r="L151" s="5" t="n">
        <v>193378</v>
      </c>
      <c r="M151" s="11" t="n">
        <f aca="false">IF(L151=0,0,C151/L151)</f>
        <v>0.434175552544757</v>
      </c>
      <c r="N151" s="11" t="n">
        <f aca="false">IF(L151=0,0,D151/L151)</f>
        <v>0.444399052632668</v>
      </c>
      <c r="O151" s="11" t="n">
        <f aca="false">IF(L151=0,0,E151/L151)</f>
        <v>0.0156636225423781</v>
      </c>
      <c r="P151" s="11" t="n">
        <f aca="false">IF(L151=0,0,K151/L151)</f>
        <v>0.0301068373858453</v>
      </c>
      <c r="Q151" s="4" t="str">
        <f aca="false">INDEX($C$3:$I$3,MATCH(MAX(C151:I151),C151:I151,0))</f>
        <v>Juntos Hacemos Historia (Morena-PT-PVEM)</v>
      </c>
      <c r="R151" s="17" t="n">
        <f aca="false">IF(L151=0,0,(MAX(C151:I151)-LARGE(C151:I151,2))/L151*100)</f>
        <v>1.02235000879107</v>
      </c>
      <c r="S151" s="4" t="s">
        <v>24</v>
      </c>
      <c r="T151" s="4" t="s">
        <v>27</v>
      </c>
    </row>
    <row r="152" customFormat="false" ht="15" hidden="false" customHeight="false" outlineLevel="0" collapsed="false">
      <c r="A152" s="4" t="s">
        <v>69</v>
      </c>
      <c r="B152" s="4" t="n">
        <v>24</v>
      </c>
      <c r="C152" s="5" t="n">
        <v>66925</v>
      </c>
      <c r="D152" s="5" t="n">
        <v>65883</v>
      </c>
      <c r="E152" s="5" t="n">
        <v>8582</v>
      </c>
      <c r="F152" s="5" t="n">
        <v>5252</v>
      </c>
      <c r="G152" s="5" t="n">
        <v>1505</v>
      </c>
      <c r="H152" s="5" t="n">
        <v>2963</v>
      </c>
      <c r="I152" s="5" t="n">
        <v>0</v>
      </c>
      <c r="J152" s="5" t="n">
        <v>126</v>
      </c>
      <c r="K152" s="5" t="n">
        <v>4514</v>
      </c>
      <c r="L152" s="5" t="n">
        <v>155750</v>
      </c>
      <c r="M152" s="11" t="n">
        <f aca="false">IF(L152=0,0,C152/L152)</f>
        <v>0.429695024077047</v>
      </c>
      <c r="N152" s="11" t="n">
        <f aca="false">IF(L152=0,0,D152/L152)</f>
        <v>0.42300481540931</v>
      </c>
      <c r="O152" s="11" t="n">
        <f aca="false">IF(L152=0,0,E152/L152)</f>
        <v>0.0551011235955056</v>
      </c>
      <c r="P152" s="11" t="n">
        <f aca="false">IF(L152=0,0,K152/L152)</f>
        <v>0.0289823434991974</v>
      </c>
      <c r="Q152" s="4" t="str">
        <f aca="false">INDEX($C$3:$I$3,MATCH(MAX(C152:I152),C152:I152,0))</f>
        <v>Va por México (PAN-PRI-PRD)</v>
      </c>
      <c r="R152" s="17" t="n">
        <f aca="false">IF(L152=0,0,(MAX(C152:I152)-LARGE(C152:I152,2))/L152*100)</f>
        <v>0.669020866773676</v>
      </c>
      <c r="S152" s="4" t="s">
        <v>25</v>
      </c>
      <c r="T152" s="4" t="s">
        <v>23</v>
      </c>
    </row>
    <row r="153" customFormat="false" ht="15" hidden="false" customHeight="false" outlineLevel="0" collapsed="false">
      <c r="A153" s="4" t="s">
        <v>69</v>
      </c>
      <c r="B153" s="4" t="n">
        <v>25</v>
      </c>
      <c r="C153" s="5" t="n">
        <v>49717</v>
      </c>
      <c r="D153" s="5" t="n">
        <v>61653</v>
      </c>
      <c r="E153" s="5" t="n">
        <v>2028</v>
      </c>
      <c r="F153" s="5" t="n">
        <v>1430</v>
      </c>
      <c r="G153" s="5" t="n">
        <v>714</v>
      </c>
      <c r="H153" s="5" t="n">
        <v>1574</v>
      </c>
      <c r="I153" s="5" t="n">
        <v>0</v>
      </c>
      <c r="J153" s="5" t="n">
        <v>64</v>
      </c>
      <c r="K153" s="5" t="n">
        <v>3557</v>
      </c>
      <c r="L153" s="5" t="n">
        <v>120737</v>
      </c>
      <c r="M153" s="11" t="n">
        <f aca="false">IF(L153=0,0,C153/L153)</f>
        <v>0.411779321997399</v>
      </c>
      <c r="N153" s="11" t="n">
        <f aca="false">IF(L153=0,0,D153/L153)</f>
        <v>0.510638826540331</v>
      </c>
      <c r="O153" s="11" t="n">
        <f aca="false">IF(L153=0,0,E153/L153)</f>
        <v>0.0167968394112824</v>
      </c>
      <c r="P153" s="11" t="n">
        <f aca="false">IF(L153=0,0,K153/L153)</f>
        <v>0.0294607286912877</v>
      </c>
      <c r="Q153" s="4" t="str">
        <f aca="false">INDEX($C$3:$I$3,MATCH(MAX(C153:I153),C153:I153,0))</f>
        <v>Juntos Hacemos Historia (Morena-PT-PVEM)</v>
      </c>
      <c r="R153" s="17" t="n">
        <f aca="false">IF(L153=0,0,(MAX(C153:I153)-LARGE(C153:I153,2))/L153*100)</f>
        <v>9.88595045429322</v>
      </c>
      <c r="S153" s="4" t="s">
        <v>24</v>
      </c>
      <c r="T153" s="4" t="s">
        <v>27</v>
      </c>
    </row>
    <row r="154" customFormat="false" ht="15" hidden="false" customHeight="false" outlineLevel="0" collapsed="false">
      <c r="A154" s="4" t="s">
        <v>69</v>
      </c>
      <c r="B154" s="4" t="n">
        <v>26</v>
      </c>
      <c r="C154" s="5" t="n">
        <v>79733</v>
      </c>
      <c r="D154" s="5" t="n">
        <v>75003</v>
      </c>
      <c r="E154" s="5" t="n">
        <v>4537</v>
      </c>
      <c r="F154" s="5" t="n">
        <v>5195</v>
      </c>
      <c r="G154" s="5" t="n">
        <v>2264</v>
      </c>
      <c r="H154" s="5" t="n">
        <v>3554</v>
      </c>
      <c r="I154" s="5" t="n">
        <v>0</v>
      </c>
      <c r="J154" s="5" t="n">
        <v>120</v>
      </c>
      <c r="K154" s="5" t="n">
        <v>4591</v>
      </c>
      <c r="L154" s="5" t="n">
        <v>174997</v>
      </c>
      <c r="M154" s="11" t="n">
        <f aca="false">IF(L154=0,0,C154/L154)</f>
        <v>0.455624953570633</v>
      </c>
      <c r="N154" s="11" t="n">
        <f aca="false">IF(L154=0,0,D154/L154)</f>
        <v>0.428595918787179</v>
      </c>
      <c r="O154" s="11" t="n">
        <f aca="false">IF(L154=0,0,E154/L154)</f>
        <v>0.0259261587341497</v>
      </c>
      <c r="P154" s="11" t="n">
        <f aca="false">IF(L154=0,0,K154/L154)</f>
        <v>0.0262347354526078</v>
      </c>
      <c r="Q154" s="4" t="str">
        <f aca="false">INDEX($C$3:$I$3,MATCH(MAX(C154:I154),C154:I154,0))</f>
        <v>Va por México (PAN-PRI-PRD)</v>
      </c>
      <c r="R154" s="17" t="n">
        <f aca="false">IF(L154=0,0,(MAX(C154:I154)-LARGE(C154:I154,2))/L154*100)</f>
        <v>2.70290347834534</v>
      </c>
      <c r="S154" s="4" t="s">
        <v>25</v>
      </c>
      <c r="T154" s="4" t="s">
        <v>23</v>
      </c>
    </row>
    <row r="155" customFormat="false" ht="15" hidden="false" customHeight="false" outlineLevel="0" collapsed="false">
      <c r="A155" s="4" t="s">
        <v>69</v>
      </c>
      <c r="B155" s="4" t="n">
        <v>27</v>
      </c>
      <c r="C155" s="5" t="n">
        <v>106628</v>
      </c>
      <c r="D155" s="5" t="n">
        <v>71370</v>
      </c>
      <c r="E155" s="5" t="n">
        <v>12855</v>
      </c>
      <c r="F155" s="5" t="n">
        <v>5107</v>
      </c>
      <c r="G155" s="5" t="n">
        <v>4404</v>
      </c>
      <c r="H155" s="5" t="n">
        <v>6593</v>
      </c>
      <c r="I155" s="5" t="n">
        <v>0</v>
      </c>
      <c r="J155" s="5" t="n">
        <v>172</v>
      </c>
      <c r="K155" s="5" t="n">
        <v>4477</v>
      </c>
      <c r="L155" s="5" t="n">
        <v>211606</v>
      </c>
      <c r="M155" s="11" t="n">
        <f aca="false">IF(L155=0,0,C155/L155)</f>
        <v>0.503898755233784</v>
      </c>
      <c r="N155" s="11" t="n">
        <f aca="false">IF(L155=0,0,D155/L155)</f>
        <v>0.337277770951674</v>
      </c>
      <c r="O155" s="11" t="n">
        <f aca="false">IF(L155=0,0,E155/L155)</f>
        <v>0.0607496951882272</v>
      </c>
      <c r="P155" s="11" t="n">
        <f aca="false">IF(L155=0,0,K155/L155)</f>
        <v>0.0211572450686654</v>
      </c>
      <c r="Q155" s="4" t="str">
        <f aca="false">INDEX($C$3:$I$3,MATCH(MAX(C155:I155),C155:I155,0))</f>
        <v>Va por México (PAN-PRI-PRD)</v>
      </c>
      <c r="R155" s="17" t="n">
        <f aca="false">IF(L155=0,0,(MAX(C155:I155)-LARGE(C155:I155,2))/L155*100)</f>
        <v>16.6620984282109</v>
      </c>
      <c r="S155" s="4" t="s">
        <v>25</v>
      </c>
      <c r="T155" s="4" t="s">
        <v>23</v>
      </c>
    </row>
    <row r="156" customFormat="false" ht="15" hidden="false" customHeight="false" outlineLevel="0" collapsed="false">
      <c r="A156" s="4" t="s">
        <v>69</v>
      </c>
      <c r="B156" s="4" t="n">
        <v>28</v>
      </c>
      <c r="C156" s="5" t="n">
        <v>76632</v>
      </c>
      <c r="D156" s="5" t="n">
        <v>74293</v>
      </c>
      <c r="E156" s="5" t="n">
        <v>3723</v>
      </c>
      <c r="F156" s="5" t="n">
        <v>2091</v>
      </c>
      <c r="G156" s="5" t="n">
        <v>2122</v>
      </c>
      <c r="H156" s="5" t="n">
        <v>12268</v>
      </c>
      <c r="I156" s="5" t="n">
        <v>0</v>
      </c>
      <c r="J156" s="5" t="n">
        <v>235</v>
      </c>
      <c r="K156" s="5" t="n">
        <v>5447</v>
      </c>
      <c r="L156" s="5" t="n">
        <v>176811</v>
      </c>
      <c r="M156" s="11" t="n">
        <f aca="false">IF(L156=0,0,C156/L156)</f>
        <v>0.43341194835163</v>
      </c>
      <c r="N156" s="11" t="n">
        <f aca="false">IF(L156=0,0,D156/L156)</f>
        <v>0.420183133402334</v>
      </c>
      <c r="O156" s="11" t="n">
        <f aca="false">IF(L156=0,0,E156/L156)</f>
        <v>0.0210563822386616</v>
      </c>
      <c r="P156" s="11" t="n">
        <f aca="false">IF(L156=0,0,K156/L156)</f>
        <v>0.0308069068100967</v>
      </c>
      <c r="Q156" s="4" t="str">
        <f aca="false">INDEX($C$3:$I$3,MATCH(MAX(C156:I156),C156:I156,0))</f>
        <v>Va por México (PAN-PRI-PRD)</v>
      </c>
      <c r="R156" s="17" t="n">
        <f aca="false">IF(L156=0,0,(MAX(C156:I156)-LARGE(C156:I156,2))/L156*100)</f>
        <v>1.32288149492961</v>
      </c>
      <c r="S156" s="4" t="s">
        <v>24</v>
      </c>
      <c r="T156" s="4" t="s">
        <v>26</v>
      </c>
    </row>
    <row r="157" customFormat="false" ht="15" hidden="false" customHeight="false" outlineLevel="0" collapsed="false">
      <c r="A157" s="4" t="s">
        <v>69</v>
      </c>
      <c r="B157" s="4" t="n">
        <v>29</v>
      </c>
      <c r="C157" s="5" t="n">
        <v>46278</v>
      </c>
      <c r="D157" s="5" t="n">
        <v>69213</v>
      </c>
      <c r="E157" s="5" t="n">
        <v>30974</v>
      </c>
      <c r="F157" s="5" t="n">
        <v>2471</v>
      </c>
      <c r="G157" s="5" t="n">
        <v>1013</v>
      </c>
      <c r="H157" s="5" t="n">
        <v>3356</v>
      </c>
      <c r="I157" s="5" t="n">
        <v>0</v>
      </c>
      <c r="J157" s="5" t="n">
        <v>131</v>
      </c>
      <c r="K157" s="5" t="n">
        <v>4750</v>
      </c>
      <c r="L157" s="5" t="n">
        <v>158186</v>
      </c>
      <c r="M157" s="11" t="n">
        <f aca="false">IF(L157=0,0,C157/L157)</f>
        <v>0.29255433477046</v>
      </c>
      <c r="N157" s="11" t="n">
        <f aca="false">IF(L157=0,0,D157/L157)</f>
        <v>0.437541881076707</v>
      </c>
      <c r="O157" s="11" t="n">
        <f aca="false">IF(L157=0,0,E157/L157)</f>
        <v>0.195807467158914</v>
      </c>
      <c r="P157" s="11" t="n">
        <f aca="false">IF(L157=0,0,K157/L157)</f>
        <v>0.0300279417900446</v>
      </c>
      <c r="Q157" s="4" t="str">
        <f aca="false">INDEX($C$3:$I$3,MATCH(MAX(C157:I157),C157:I157,0))</f>
        <v>Juntos Hacemos Historia (Morena-PT-PVEM)</v>
      </c>
      <c r="R157" s="17" t="n">
        <f aca="false">IF(L157=0,0,(MAX(C157:I157)-LARGE(C157:I157,2))/L157*100)</f>
        <v>14.4987546306247</v>
      </c>
      <c r="S157" s="4" t="s">
        <v>24</v>
      </c>
      <c r="T157" s="4" t="s">
        <v>25</v>
      </c>
    </row>
    <row r="158" customFormat="false" ht="15" hidden="false" customHeight="false" outlineLevel="0" collapsed="false">
      <c r="A158" s="4" t="s">
        <v>69</v>
      </c>
      <c r="B158" s="4" t="n">
        <v>30</v>
      </c>
      <c r="C158" s="5" t="n">
        <v>59381</v>
      </c>
      <c r="D158" s="5" t="n">
        <v>59962</v>
      </c>
      <c r="E158" s="5" t="n">
        <v>1955</v>
      </c>
      <c r="F158" s="5" t="n">
        <v>2745</v>
      </c>
      <c r="G158" s="5" t="n">
        <v>1021</v>
      </c>
      <c r="H158" s="5" t="n">
        <v>3623</v>
      </c>
      <c r="I158" s="5" t="n">
        <v>0</v>
      </c>
      <c r="J158" s="5" t="n">
        <v>85</v>
      </c>
      <c r="K158" s="5" t="n">
        <v>3574</v>
      </c>
      <c r="L158" s="5" t="n">
        <v>132346</v>
      </c>
      <c r="M158" s="11" t="n">
        <f aca="false">IF(L158=0,0,C158/L158)</f>
        <v>0.448679975216478</v>
      </c>
      <c r="N158" s="11" t="n">
        <f aca="false">IF(L158=0,0,D158/L158)</f>
        <v>0.453069983225787</v>
      </c>
      <c r="O158" s="11" t="n">
        <f aca="false">IF(L158=0,0,E158/L158)</f>
        <v>0.014771885814456</v>
      </c>
      <c r="P158" s="11" t="n">
        <f aca="false">IF(L158=0,0,K158/L158)</f>
        <v>0.0270049718162997</v>
      </c>
      <c r="Q158" s="4" t="str">
        <f aca="false">INDEX($C$3:$I$3,MATCH(MAX(C158:I158),C158:I158,0))</f>
        <v>Juntos Hacemos Historia (Morena-PT-PVEM)</v>
      </c>
      <c r="R158" s="17" t="n">
        <f aca="false">IF(L158=0,0,(MAX(C158:I158)-LARGE(C158:I158,2))/L158*100)</f>
        <v>0.439000800930893</v>
      </c>
      <c r="S158" s="4" t="s">
        <v>23</v>
      </c>
      <c r="T158" s="4" t="s">
        <v>27</v>
      </c>
    </row>
    <row r="159" customFormat="false" ht="15" hidden="false" customHeight="false" outlineLevel="0" collapsed="false">
      <c r="A159" s="4" t="s">
        <v>69</v>
      </c>
      <c r="B159" s="4" t="n">
        <v>31</v>
      </c>
      <c r="C159" s="5" t="n">
        <v>37671</v>
      </c>
      <c r="D159" s="5" t="n">
        <v>68341</v>
      </c>
      <c r="E159" s="5" t="n">
        <v>31868</v>
      </c>
      <c r="F159" s="5" t="n">
        <v>2257</v>
      </c>
      <c r="G159" s="5" t="n">
        <v>903</v>
      </c>
      <c r="H159" s="5" t="n">
        <v>2187</v>
      </c>
      <c r="I159" s="5" t="n">
        <v>0</v>
      </c>
      <c r="J159" s="5" t="n">
        <v>97</v>
      </c>
      <c r="K159" s="5" t="n">
        <v>4618</v>
      </c>
      <c r="L159" s="5" t="n">
        <v>147942</v>
      </c>
      <c r="M159" s="11" t="n">
        <f aca="false">IF(L159=0,0,C159/L159)</f>
        <v>0.254633572616296</v>
      </c>
      <c r="N159" s="11" t="n">
        <f aca="false">IF(L159=0,0,D159/L159)</f>
        <v>0.46194454583553</v>
      </c>
      <c r="O159" s="11" t="n">
        <f aca="false">IF(L159=0,0,E159/L159)</f>
        <v>0.215408741263468</v>
      </c>
      <c r="P159" s="11" t="n">
        <f aca="false">IF(L159=0,0,K159/L159)</f>
        <v>0.0312149355828636</v>
      </c>
      <c r="Q159" s="4" t="str">
        <f aca="false">INDEX($C$3:$I$3,MATCH(MAX(C159:I159),C159:I159,0))</f>
        <v>Juntos Hacemos Historia (Morena-PT-PVEM)</v>
      </c>
      <c r="R159" s="17" t="n">
        <f aca="false">IF(L159=0,0,(MAX(C159:I159)-LARGE(C159:I159,2))/L159*100)</f>
        <v>20.7310973219235</v>
      </c>
      <c r="S159" s="4" t="s">
        <v>24</v>
      </c>
      <c r="T159" s="4" t="s">
        <v>25</v>
      </c>
    </row>
    <row r="160" customFormat="false" ht="15" hidden="false" customHeight="false" outlineLevel="0" collapsed="false">
      <c r="A160" s="4" t="s">
        <v>69</v>
      </c>
      <c r="B160" s="4" t="n">
        <v>32</v>
      </c>
      <c r="C160" s="5" t="n">
        <v>44028</v>
      </c>
      <c r="D160" s="5" t="n">
        <v>74717</v>
      </c>
      <c r="E160" s="5" t="n">
        <v>4504</v>
      </c>
      <c r="F160" s="5" t="n">
        <v>2118</v>
      </c>
      <c r="G160" s="5" t="n">
        <v>2013</v>
      </c>
      <c r="H160" s="5" t="n">
        <v>2831</v>
      </c>
      <c r="I160" s="5" t="n">
        <v>0</v>
      </c>
      <c r="J160" s="5" t="n">
        <v>92</v>
      </c>
      <c r="K160" s="5" t="n">
        <v>4774</v>
      </c>
      <c r="L160" s="5" t="n">
        <v>135077</v>
      </c>
      <c r="M160" s="11" t="n">
        <f aca="false">IF(L160=0,0,C160/L160)</f>
        <v>0.325947422581194</v>
      </c>
      <c r="N160" s="11" t="n">
        <f aca="false">IF(L160=0,0,D160/L160)</f>
        <v>0.553143762446605</v>
      </c>
      <c r="O160" s="11" t="n">
        <f aca="false">IF(L160=0,0,E160/L160)</f>
        <v>0.0333439445649518</v>
      </c>
      <c r="P160" s="11" t="n">
        <f aca="false">IF(L160=0,0,K160/L160)</f>
        <v>0.0353428044744849</v>
      </c>
      <c r="Q160" s="4" t="str">
        <f aca="false">INDEX($C$3:$I$3,MATCH(MAX(C160:I160),C160:I160,0))</f>
        <v>Juntos Hacemos Historia (Morena-PT-PVEM)</v>
      </c>
      <c r="R160" s="17" t="n">
        <f aca="false">IF(L160=0,0,(MAX(C160:I160)-LARGE(C160:I160,2))/L160*100)</f>
        <v>22.719633986541</v>
      </c>
      <c r="S160" s="4" t="s">
        <v>23</v>
      </c>
      <c r="T160" s="4" t="s">
        <v>25</v>
      </c>
    </row>
    <row r="161" customFormat="false" ht="15" hidden="false" customHeight="false" outlineLevel="0" collapsed="false">
      <c r="A161" s="4" t="s">
        <v>69</v>
      </c>
      <c r="B161" s="4" t="n">
        <v>33</v>
      </c>
      <c r="C161" s="5" t="n">
        <v>46251</v>
      </c>
      <c r="D161" s="5" t="n">
        <v>69027</v>
      </c>
      <c r="E161" s="5" t="n">
        <v>6588</v>
      </c>
      <c r="F161" s="5" t="n">
        <v>2449</v>
      </c>
      <c r="G161" s="5" t="n">
        <v>2216</v>
      </c>
      <c r="H161" s="5" t="n">
        <v>2650</v>
      </c>
      <c r="I161" s="5" t="n">
        <v>0</v>
      </c>
      <c r="J161" s="5" t="n">
        <v>89</v>
      </c>
      <c r="K161" s="5" t="n">
        <v>4625</v>
      </c>
      <c r="L161" s="5" t="n">
        <v>133895</v>
      </c>
      <c r="M161" s="11" t="n">
        <f aca="false">IF(L161=0,0,C161/L161)</f>
        <v>0.345427387131708</v>
      </c>
      <c r="N161" s="11" t="n">
        <f aca="false">IF(L161=0,0,D161/L161)</f>
        <v>0.515530826393816</v>
      </c>
      <c r="O161" s="11" t="n">
        <f aca="false">IF(L161=0,0,E161/L161)</f>
        <v>0.0492027334851936</v>
      </c>
      <c r="P161" s="11" t="n">
        <f aca="false">IF(L161=0,0,K161/L161)</f>
        <v>0.0345419918592927</v>
      </c>
      <c r="Q161" s="4" t="str">
        <f aca="false">INDEX($C$3:$I$3,MATCH(MAX(C161:I161),C161:I161,0))</f>
        <v>Juntos Hacemos Historia (Morena-PT-PVEM)</v>
      </c>
      <c r="R161" s="17" t="n">
        <f aca="false">IF(L161=0,0,(MAX(C161:I161)-LARGE(C161:I161,2))/L161*100)</f>
        <v>17.0103439262108</v>
      </c>
      <c r="S161" s="4" t="s">
        <v>24</v>
      </c>
      <c r="T161" s="4" t="s">
        <v>25</v>
      </c>
    </row>
    <row r="162" customFormat="false" ht="15" hidden="false" customHeight="false" outlineLevel="0" collapsed="false">
      <c r="A162" s="4" t="s">
        <v>69</v>
      </c>
      <c r="B162" s="4" t="n">
        <v>34</v>
      </c>
      <c r="C162" s="5" t="n">
        <v>97337</v>
      </c>
      <c r="D162" s="5" t="n">
        <v>74309</v>
      </c>
      <c r="E162" s="5" t="n">
        <v>5300</v>
      </c>
      <c r="F162" s="5" t="n">
        <v>4020</v>
      </c>
      <c r="G162" s="5" t="n">
        <v>2652</v>
      </c>
      <c r="H162" s="5" t="n">
        <v>4389</v>
      </c>
      <c r="I162" s="5" t="n">
        <v>0</v>
      </c>
      <c r="J162" s="5" t="n">
        <v>178</v>
      </c>
      <c r="K162" s="5" t="n">
        <v>4569</v>
      </c>
      <c r="L162" s="5" t="n">
        <v>192754</v>
      </c>
      <c r="M162" s="11" t="n">
        <f aca="false">IF(L162=0,0,C162/L162)</f>
        <v>0.504980441391618</v>
      </c>
      <c r="N162" s="11" t="n">
        <f aca="false">IF(L162=0,0,D162/L162)</f>
        <v>0.385512103510174</v>
      </c>
      <c r="O162" s="11" t="n">
        <f aca="false">IF(L162=0,0,E162/L162)</f>
        <v>0.0274961868495595</v>
      </c>
      <c r="P162" s="11" t="n">
        <f aca="false">IF(L162=0,0,K162/L162)</f>
        <v>0.0237037882482335</v>
      </c>
      <c r="Q162" s="4" t="str">
        <f aca="false">INDEX($C$3:$I$3,MATCH(MAX(C162:I162),C162:I162,0))</f>
        <v>Va por México (PAN-PRI-PRD)</v>
      </c>
      <c r="R162" s="17" t="n">
        <f aca="false">IF(L162=0,0,(MAX(C162:I162)-LARGE(C162:I162,2))/L162*100)</f>
        <v>11.9468337881445</v>
      </c>
      <c r="S162" s="4" t="s">
        <v>25</v>
      </c>
      <c r="T162" s="4" t="s">
        <v>23</v>
      </c>
    </row>
    <row r="163" customFormat="false" ht="15" hidden="false" customHeight="false" outlineLevel="0" collapsed="false">
      <c r="A163" s="4" t="s">
        <v>69</v>
      </c>
      <c r="B163" s="4" t="n">
        <v>35</v>
      </c>
      <c r="C163" s="5" t="n">
        <v>66148</v>
      </c>
      <c r="D163" s="5" t="n">
        <v>76422</v>
      </c>
      <c r="E163" s="5" t="n">
        <v>13261</v>
      </c>
      <c r="F163" s="5" t="n">
        <v>6979</v>
      </c>
      <c r="G163" s="5" t="n">
        <v>3385</v>
      </c>
      <c r="H163" s="5" t="n">
        <v>5756</v>
      </c>
      <c r="I163" s="5" t="n">
        <v>0</v>
      </c>
      <c r="J163" s="5" t="n">
        <v>89</v>
      </c>
      <c r="K163" s="5" t="n">
        <v>5486</v>
      </c>
      <c r="L163" s="5" t="n">
        <v>177526</v>
      </c>
      <c r="M163" s="11" t="n">
        <f aca="false">IF(L163=0,0,C163/L163)</f>
        <v>0.372610209208792</v>
      </c>
      <c r="N163" s="11" t="n">
        <f aca="false">IF(L163=0,0,D163/L163)</f>
        <v>0.430483422146615</v>
      </c>
      <c r="O163" s="11" t="n">
        <f aca="false">IF(L163=0,0,E163/L163)</f>
        <v>0.0746989173416852</v>
      </c>
      <c r="P163" s="11" t="n">
        <f aca="false">IF(L163=0,0,K163/L163)</f>
        <v>0.0309025156878429</v>
      </c>
      <c r="Q163" s="4" t="str">
        <f aca="false">INDEX($C$3:$I$3,MATCH(MAX(C163:I163),C163:I163,0))</f>
        <v>Juntos Hacemos Historia (Morena-PT-PVEM)</v>
      </c>
      <c r="R163" s="17" t="n">
        <f aca="false">IF(L163=0,0,(MAX(C163:I163)-LARGE(C163:I163,2))/L163*100)</f>
        <v>5.78732129378232</v>
      </c>
      <c r="S163" s="4" t="s">
        <v>23</v>
      </c>
      <c r="T163" s="4" t="s">
        <v>25</v>
      </c>
    </row>
    <row r="164" customFormat="false" ht="15" hidden="false" customHeight="false" outlineLevel="0" collapsed="false">
      <c r="A164" s="4" t="s">
        <v>69</v>
      </c>
      <c r="B164" s="4" t="n">
        <v>36</v>
      </c>
      <c r="C164" s="5" t="n">
        <v>97277</v>
      </c>
      <c r="D164" s="5" t="n">
        <v>84618</v>
      </c>
      <c r="E164" s="5" t="n">
        <v>4114</v>
      </c>
      <c r="F164" s="5" t="n">
        <v>4276</v>
      </c>
      <c r="G164" s="5" t="n">
        <v>2880</v>
      </c>
      <c r="H164" s="5" t="n">
        <v>4371</v>
      </c>
      <c r="I164" s="5" t="n">
        <v>0</v>
      </c>
      <c r="J164" s="5" t="n">
        <v>49</v>
      </c>
      <c r="K164" s="5" t="n">
        <v>6643</v>
      </c>
      <c r="L164" s="5" t="n">
        <v>204228</v>
      </c>
      <c r="M164" s="11" t="n">
        <f aca="false">IF(L164=0,0,C164/L164)</f>
        <v>0.476315686389721</v>
      </c>
      <c r="N164" s="11" t="n">
        <f aca="false">IF(L164=0,0,D164/L164)</f>
        <v>0.414331041776838</v>
      </c>
      <c r="O164" s="11" t="n">
        <f aca="false">IF(L164=0,0,E164/L164)</f>
        <v>0.0201441526137454</v>
      </c>
      <c r="P164" s="11" t="n">
        <f aca="false">IF(L164=0,0,K164/L164)</f>
        <v>0.032527371369254</v>
      </c>
      <c r="Q164" s="4" t="str">
        <f aca="false">INDEX($C$3:$I$3,MATCH(MAX(C164:I164),C164:I164,0))</f>
        <v>Va por México (PAN-PRI-PRD)</v>
      </c>
      <c r="R164" s="17" t="n">
        <f aca="false">IF(L164=0,0,(MAX(C164:I164)-LARGE(C164:I164,2))/L164*100)</f>
        <v>6.19846446128836</v>
      </c>
      <c r="S164" s="4" t="s">
        <v>25</v>
      </c>
      <c r="T164" s="4" t="s">
        <v>24</v>
      </c>
    </row>
    <row r="165" customFormat="false" ht="15" hidden="false" customHeight="false" outlineLevel="0" collapsed="false">
      <c r="A165" s="4" t="s">
        <v>69</v>
      </c>
      <c r="B165" s="4" t="n">
        <v>37</v>
      </c>
      <c r="C165" s="5" t="n">
        <v>54359</v>
      </c>
      <c r="D165" s="5" t="n">
        <v>77903</v>
      </c>
      <c r="E165" s="5" t="n">
        <v>14279</v>
      </c>
      <c r="F165" s="5" t="n">
        <v>5721</v>
      </c>
      <c r="G165" s="5" t="n">
        <v>5554</v>
      </c>
      <c r="H165" s="5" t="n">
        <v>4933</v>
      </c>
      <c r="I165" s="5" t="n">
        <v>0</v>
      </c>
      <c r="J165" s="5" t="n">
        <v>953</v>
      </c>
      <c r="K165" s="5" t="n">
        <v>5725</v>
      </c>
      <c r="L165" s="5" t="n">
        <v>169427</v>
      </c>
      <c r="M165" s="11" t="n">
        <f aca="false">IF(L165=0,0,C165/L165)</f>
        <v>0.320840243880845</v>
      </c>
      <c r="N165" s="11" t="n">
        <f aca="false">IF(L165=0,0,D165/L165)</f>
        <v>0.459802746905747</v>
      </c>
      <c r="O165" s="11" t="n">
        <f aca="false">IF(L165=0,0,E165/L165)</f>
        <v>0.0842781847049172</v>
      </c>
      <c r="P165" s="11" t="n">
        <f aca="false">IF(L165=0,0,K165/L165)</f>
        <v>0.0337903639915716</v>
      </c>
      <c r="Q165" s="4" t="str">
        <f aca="false">INDEX($C$3:$I$3,MATCH(MAX(C165:I165),C165:I165,0))</f>
        <v>Juntos Hacemos Historia (Morena-PT-PVEM)</v>
      </c>
      <c r="R165" s="17" t="n">
        <f aca="false">IF(L165=0,0,(MAX(C165:I165)-LARGE(C165:I165,2))/L165*100)</f>
        <v>13.8962503024902</v>
      </c>
      <c r="S165" s="4" t="s">
        <v>24</v>
      </c>
      <c r="T165" s="4" t="s">
        <v>27</v>
      </c>
    </row>
    <row r="166" customFormat="false" ht="15" hidden="false" customHeight="false" outlineLevel="0" collapsed="false">
      <c r="A166" s="4" t="s">
        <v>69</v>
      </c>
      <c r="B166" s="4" t="n">
        <v>38</v>
      </c>
      <c r="C166" s="5" t="n">
        <v>55541</v>
      </c>
      <c r="D166" s="5" t="n">
        <v>87026</v>
      </c>
      <c r="E166" s="5" t="n">
        <v>3606</v>
      </c>
      <c r="F166" s="5" t="n">
        <v>3675</v>
      </c>
      <c r="G166" s="5" t="n">
        <v>1965</v>
      </c>
      <c r="H166" s="5" t="n">
        <v>3990</v>
      </c>
      <c r="I166" s="5" t="n">
        <v>0</v>
      </c>
      <c r="J166" s="5" t="n">
        <v>125</v>
      </c>
      <c r="K166" s="5" t="n">
        <v>4671</v>
      </c>
      <c r="L166" s="5" t="n">
        <v>160599</v>
      </c>
      <c r="M166" s="11" t="n">
        <f aca="false">IF(L166=0,0,C166/L166)</f>
        <v>0.345836524511361</v>
      </c>
      <c r="N166" s="11" t="n">
        <f aca="false">IF(L166=0,0,D166/L166)</f>
        <v>0.541883822439741</v>
      </c>
      <c r="O166" s="11" t="n">
        <f aca="false">IF(L166=0,0,E166/L166)</f>
        <v>0.0224534399342462</v>
      </c>
      <c r="P166" s="11" t="n">
        <f aca="false">IF(L166=0,0,K166/L166)</f>
        <v>0.0290848635421142</v>
      </c>
      <c r="Q166" s="4" t="str">
        <f aca="false">INDEX($C$3:$I$3,MATCH(MAX(C166:I166),C166:I166,0))</f>
        <v>Juntos Hacemos Historia (Morena-PT-PVEM)</v>
      </c>
      <c r="R166" s="17" t="n">
        <f aca="false">IF(L166=0,0,(MAX(C166:I166)-LARGE(C166:I166,2))/L166*100)</f>
        <v>19.6047297928381</v>
      </c>
      <c r="S166" s="4" t="s">
        <v>24</v>
      </c>
      <c r="T166" s="4" t="s">
        <v>27</v>
      </c>
    </row>
    <row r="167" customFormat="false" ht="15" hidden="false" customHeight="false" outlineLevel="0" collapsed="false">
      <c r="A167" s="4" t="s">
        <v>69</v>
      </c>
      <c r="B167" s="4" t="n">
        <v>39</v>
      </c>
      <c r="C167" s="5" t="n">
        <v>60184</v>
      </c>
      <c r="D167" s="5" t="n">
        <v>52943</v>
      </c>
      <c r="E167" s="5" t="n">
        <v>3158</v>
      </c>
      <c r="F167" s="5" t="n">
        <v>2453</v>
      </c>
      <c r="G167" s="5" t="n">
        <v>1445</v>
      </c>
      <c r="H167" s="5" t="n">
        <v>7040</v>
      </c>
      <c r="I167" s="5" t="n">
        <v>0</v>
      </c>
      <c r="J167" s="5" t="n">
        <v>121</v>
      </c>
      <c r="K167" s="5" t="n">
        <v>3865</v>
      </c>
      <c r="L167" s="5" t="n">
        <v>131209</v>
      </c>
      <c r="M167" s="11" t="n">
        <f aca="false">IF(L167=0,0,C167/L167)</f>
        <v>0.458688047313828</v>
      </c>
      <c r="N167" s="11" t="n">
        <f aca="false">IF(L167=0,0,D167/L167)</f>
        <v>0.403501284210687</v>
      </c>
      <c r="O167" s="11" t="n">
        <f aca="false">IF(L167=0,0,E167/L167)</f>
        <v>0.0240684709128185</v>
      </c>
      <c r="P167" s="11" t="n">
        <f aca="false">IF(L167=0,0,K167/L167)</f>
        <v>0.0294568207973538</v>
      </c>
      <c r="Q167" s="4" t="str">
        <f aca="false">INDEX($C$3:$I$3,MATCH(MAX(C167:I167),C167:I167,0))</f>
        <v>Va por México (PAN-PRI-PRD)</v>
      </c>
      <c r="R167" s="17" t="n">
        <f aca="false">IF(L167=0,0,(MAX(C167:I167)-LARGE(C167:I167,2))/L167*100)</f>
        <v>5.51867631031408</v>
      </c>
      <c r="S167" s="4" t="s">
        <v>25</v>
      </c>
      <c r="T167" s="4" t="s">
        <v>23</v>
      </c>
    </row>
    <row r="168" customFormat="false" ht="15" hidden="false" customHeight="false" outlineLevel="0" collapsed="false">
      <c r="A168" s="4" t="s">
        <v>69</v>
      </c>
      <c r="B168" s="4" t="n">
        <v>40</v>
      </c>
      <c r="C168" s="5" t="n">
        <v>75419</v>
      </c>
      <c r="D168" s="5" t="n">
        <v>82614</v>
      </c>
      <c r="E168" s="5" t="n">
        <v>6811</v>
      </c>
      <c r="F168" s="5" t="n">
        <v>6197</v>
      </c>
      <c r="G168" s="5" t="n">
        <v>2246</v>
      </c>
      <c r="H168" s="5" t="n">
        <v>4140</v>
      </c>
      <c r="I168" s="5" t="n">
        <v>0</v>
      </c>
      <c r="J168" s="5" t="n">
        <v>160</v>
      </c>
      <c r="K168" s="5" t="n">
        <v>6453</v>
      </c>
      <c r="L168" s="5" t="n">
        <v>184040</v>
      </c>
      <c r="M168" s="11" t="n">
        <f aca="false">IF(L168=0,0,C168/L168)</f>
        <v>0.409796783307977</v>
      </c>
      <c r="N168" s="11" t="n">
        <f aca="false">IF(L168=0,0,D168/L168)</f>
        <v>0.448891545316236</v>
      </c>
      <c r="O168" s="11" t="n">
        <f aca="false">IF(L168=0,0,E168/L168)</f>
        <v>0.0370082590741143</v>
      </c>
      <c r="P168" s="11" t="n">
        <f aca="false">IF(L168=0,0,K168/L168)</f>
        <v>0.0350630297761356</v>
      </c>
      <c r="Q168" s="4" t="str">
        <f aca="false">INDEX($C$3:$I$3,MATCH(MAX(C168:I168),C168:I168,0))</f>
        <v>Juntos Hacemos Historia (Morena-PT-PVEM)</v>
      </c>
      <c r="R168" s="17" t="n">
        <f aca="false">IF(L168=0,0,(MAX(C168:I168)-LARGE(C168:I168,2))/L168*100)</f>
        <v>3.90947620082591</v>
      </c>
      <c r="S168" s="4" t="s">
        <v>25</v>
      </c>
      <c r="T168" s="4" t="s">
        <v>24</v>
      </c>
    </row>
    <row r="169" customFormat="false" ht="15" hidden="false" customHeight="false" outlineLevel="0" collapsed="false">
      <c r="A169" s="4" t="s">
        <v>69</v>
      </c>
      <c r="B169" s="4" t="n">
        <v>41</v>
      </c>
      <c r="C169" s="5" t="n">
        <v>93890</v>
      </c>
      <c r="D169" s="5" t="n">
        <v>87564</v>
      </c>
      <c r="E169" s="5" t="n">
        <v>4869</v>
      </c>
      <c r="F169" s="5" t="n">
        <v>2400</v>
      </c>
      <c r="G169" s="5" t="n">
        <v>1168</v>
      </c>
      <c r="H169" s="5" t="n">
        <v>3006</v>
      </c>
      <c r="I169" s="5" t="n">
        <v>0</v>
      </c>
      <c r="J169" s="5" t="n">
        <v>198</v>
      </c>
      <c r="K169" s="5" t="n">
        <v>4223</v>
      </c>
      <c r="L169" s="5" t="n">
        <v>197318</v>
      </c>
      <c r="M169" s="11" t="n">
        <f aca="false">IF(L169=0,0,C169/L169)</f>
        <v>0.475830892265277</v>
      </c>
      <c r="N169" s="11" t="n">
        <f aca="false">IF(L169=0,0,D169/L169)</f>
        <v>0.443770968690135</v>
      </c>
      <c r="O169" s="11" t="n">
        <f aca="false">IF(L169=0,0,E169/L169)</f>
        <v>0.0246759038709089</v>
      </c>
      <c r="P169" s="11" t="n">
        <f aca="false">IF(L169=0,0,K169/L169)</f>
        <v>0.0214020008311457</v>
      </c>
      <c r="Q169" s="4" t="str">
        <f aca="false">INDEX($C$3:$I$3,MATCH(MAX(C169:I169),C169:I169,0))</f>
        <v>Va por México (PAN-PRI-PRD)</v>
      </c>
      <c r="R169" s="17" t="n">
        <f aca="false">IF(L169=0,0,(MAX(C169:I169)-LARGE(C169:I169,2))/L169*100)</f>
        <v>3.20599235751427</v>
      </c>
      <c r="S169" s="4" t="s">
        <v>25</v>
      </c>
      <c r="T169" s="4" t="s">
        <v>23</v>
      </c>
    </row>
    <row r="170" customFormat="false" ht="15" hidden="false" customHeight="false" outlineLevel="0" collapsed="false">
      <c r="A170" s="4" t="s">
        <v>70</v>
      </c>
      <c r="B170" s="4" t="n">
        <v>1</v>
      </c>
      <c r="C170" s="5" t="n">
        <v>38120</v>
      </c>
      <c r="D170" s="5" t="n">
        <v>90774</v>
      </c>
      <c r="E170" s="5" t="n">
        <v>2096</v>
      </c>
      <c r="F170" s="5" t="n">
        <v>1489</v>
      </c>
      <c r="G170" s="5" t="n">
        <v>2104</v>
      </c>
      <c r="H170" s="5" t="n">
        <v>2337</v>
      </c>
      <c r="I170" s="5" t="n">
        <v>0</v>
      </c>
      <c r="J170" s="5" t="n">
        <v>55</v>
      </c>
      <c r="K170" s="5" t="n">
        <v>6464</v>
      </c>
      <c r="L170" s="5" t="n">
        <v>143439</v>
      </c>
      <c r="M170" s="11" t="n">
        <f aca="false">IF(L170=0,0,C170/L170)</f>
        <v>0.265757569419753</v>
      </c>
      <c r="N170" s="11" t="n">
        <f aca="false">IF(L170=0,0,D170/L170)</f>
        <v>0.632840440884278</v>
      </c>
      <c r="O170" s="11" t="n">
        <f aca="false">IF(L170=0,0,E170/L170)</f>
        <v>0.0146124833552939</v>
      </c>
      <c r="P170" s="11" t="n">
        <f aca="false">IF(L170=0,0,K170/L170)</f>
        <v>0.0450644524850285</v>
      </c>
      <c r="Q170" s="4" t="str">
        <f aca="false">INDEX($C$3:$I$3,MATCH(MAX(C170:I170),C170:I170,0))</f>
        <v>Juntos Hacemos Historia (Morena-PT-PVEM)</v>
      </c>
      <c r="R170" s="17" t="n">
        <f aca="false">IF(L170=0,0,(MAX(C170:I170)-LARGE(C170:I170,2))/L170*100)</f>
        <v>36.7082871464525</v>
      </c>
      <c r="S170" s="4" t="s">
        <v>24</v>
      </c>
      <c r="T170" s="4" t="s">
        <v>25</v>
      </c>
    </row>
    <row r="171" customFormat="false" ht="15" hidden="false" customHeight="false" outlineLevel="0" collapsed="false">
      <c r="A171" s="4" t="s">
        <v>70</v>
      </c>
      <c r="B171" s="4" t="n">
        <v>2</v>
      </c>
      <c r="C171" s="5" t="n">
        <v>59387</v>
      </c>
      <c r="D171" s="5" t="n">
        <v>68837</v>
      </c>
      <c r="E171" s="5" t="n">
        <v>7895</v>
      </c>
      <c r="F171" s="5" t="n">
        <v>14892</v>
      </c>
      <c r="G171" s="5" t="n">
        <v>1841</v>
      </c>
      <c r="H171" s="5" t="n">
        <v>7851</v>
      </c>
      <c r="I171" s="5" t="n">
        <v>0</v>
      </c>
      <c r="J171" s="5" t="n">
        <v>80</v>
      </c>
      <c r="K171" s="5" t="n">
        <v>9066</v>
      </c>
      <c r="L171" s="5" t="n">
        <v>169849</v>
      </c>
      <c r="M171" s="11" t="n">
        <f aca="false">IF(L171=0,0,C171/L171)</f>
        <v>0.34964586191264</v>
      </c>
      <c r="N171" s="11" t="n">
        <f aca="false">IF(L171=0,0,D171/L171)</f>
        <v>0.405283516535275</v>
      </c>
      <c r="O171" s="11" t="n">
        <f aca="false">IF(L171=0,0,E171/L171)</f>
        <v>0.0464824638355245</v>
      </c>
      <c r="P171" s="11" t="n">
        <f aca="false">IF(L171=0,0,K171/L171)</f>
        <v>0.0533768229427315</v>
      </c>
      <c r="Q171" s="4" t="str">
        <f aca="false">INDEX($C$3:$I$3,MATCH(MAX(C171:I171),C171:I171,0))</f>
        <v>Juntos Hacemos Historia (Morena-PT-PVEM)</v>
      </c>
      <c r="R171" s="17" t="n">
        <f aca="false">IF(L171=0,0,(MAX(C171:I171)-LARGE(C171:I171,2))/L171*100)</f>
        <v>5.56376546226354</v>
      </c>
      <c r="S171" s="4" t="s">
        <v>25</v>
      </c>
      <c r="T171" s="4" t="s">
        <v>24</v>
      </c>
    </row>
    <row r="172" customFormat="false" ht="15" hidden="false" customHeight="false" outlineLevel="0" collapsed="false">
      <c r="A172" s="4" t="s">
        <v>70</v>
      </c>
      <c r="B172" s="4" t="n">
        <v>3</v>
      </c>
      <c r="C172" s="5" t="n">
        <v>64859</v>
      </c>
      <c r="D172" s="5" t="n">
        <v>74457</v>
      </c>
      <c r="E172" s="5" t="n">
        <v>3776</v>
      </c>
      <c r="F172" s="5" t="n">
        <v>4361</v>
      </c>
      <c r="G172" s="5" t="n">
        <v>2907</v>
      </c>
      <c r="H172" s="5" t="n">
        <v>2396</v>
      </c>
      <c r="I172" s="5" t="n">
        <v>0</v>
      </c>
      <c r="J172" s="5" t="n">
        <v>50</v>
      </c>
      <c r="K172" s="5" t="n">
        <v>6544</v>
      </c>
      <c r="L172" s="5" t="n">
        <v>159350</v>
      </c>
      <c r="M172" s="11" t="n">
        <f aca="false">IF(L172=0,0,C172/L172)</f>
        <v>0.407022278004393</v>
      </c>
      <c r="N172" s="11" t="n">
        <f aca="false">IF(L172=0,0,D172/L172)</f>
        <v>0.467254471289614</v>
      </c>
      <c r="O172" s="11" t="n">
        <f aca="false">IF(L172=0,0,E172/L172)</f>
        <v>0.0236962660809539</v>
      </c>
      <c r="P172" s="11" t="n">
        <f aca="false">IF(L172=0,0,K172/L172)</f>
        <v>0.0410668340131785</v>
      </c>
      <c r="Q172" s="4" t="str">
        <f aca="false">INDEX($C$3:$I$3,MATCH(MAX(C172:I172),C172:I172,0))</f>
        <v>Juntos Hacemos Historia (Morena-PT-PVEM)</v>
      </c>
      <c r="R172" s="17" t="n">
        <f aca="false">IF(L172=0,0,(MAX(C172:I172)-LARGE(C172:I172,2))/L172*100)</f>
        <v>6.02321932852212</v>
      </c>
      <c r="S172" s="4" t="s">
        <v>23</v>
      </c>
      <c r="T172" s="4" t="s">
        <v>25</v>
      </c>
    </row>
    <row r="173" customFormat="false" ht="15" hidden="false" customHeight="false" outlineLevel="0" collapsed="false">
      <c r="A173" s="4" t="s">
        <v>70</v>
      </c>
      <c r="B173" s="4" t="n">
        <v>4</v>
      </c>
      <c r="C173" s="5" t="n">
        <v>67345</v>
      </c>
      <c r="D173" s="5" t="n">
        <v>58482</v>
      </c>
      <c r="E173" s="5" t="n">
        <v>10805</v>
      </c>
      <c r="F173" s="5" t="n">
        <v>4178</v>
      </c>
      <c r="G173" s="5" t="n">
        <v>2187</v>
      </c>
      <c r="H173" s="5" t="n">
        <v>5324</v>
      </c>
      <c r="I173" s="5" t="n">
        <v>0</v>
      </c>
      <c r="J173" s="5" t="n">
        <v>49</v>
      </c>
      <c r="K173" s="5" t="n">
        <v>5845</v>
      </c>
      <c r="L173" s="5" t="n">
        <v>154215</v>
      </c>
      <c r="M173" s="11" t="n">
        <f aca="false">IF(L173=0,0,C173/L173)</f>
        <v>0.436695522484843</v>
      </c>
      <c r="N173" s="11" t="n">
        <f aca="false">IF(L173=0,0,D173/L173)</f>
        <v>0.379223810913335</v>
      </c>
      <c r="O173" s="11" t="n">
        <f aca="false">IF(L173=0,0,E173/L173)</f>
        <v>0.0700645203125507</v>
      </c>
      <c r="P173" s="11" t="n">
        <f aca="false">IF(L173=0,0,K173/L173)</f>
        <v>0.037901630840061</v>
      </c>
      <c r="Q173" s="4" t="str">
        <f aca="false">INDEX($C$3:$I$3,MATCH(MAX(C173:I173),C173:I173,0))</f>
        <v>Va por México (PAN-PRI-PRD)</v>
      </c>
      <c r="R173" s="17" t="n">
        <f aca="false">IF(L173=0,0,(MAX(C173:I173)-LARGE(C173:I173,2))/L173*100)</f>
        <v>5.74717115715073</v>
      </c>
      <c r="S173" s="4" t="s">
        <v>25</v>
      </c>
      <c r="T173" s="4" t="s">
        <v>24</v>
      </c>
    </row>
    <row r="174" customFormat="false" ht="15" hidden="false" customHeight="false" outlineLevel="0" collapsed="false">
      <c r="A174" s="4" t="s">
        <v>70</v>
      </c>
      <c r="B174" s="4" t="n">
        <v>5</v>
      </c>
      <c r="C174" s="5" t="n">
        <v>62650</v>
      </c>
      <c r="D174" s="5" t="n">
        <v>47983</v>
      </c>
      <c r="E174" s="5" t="n">
        <v>10253</v>
      </c>
      <c r="F174" s="5" t="n">
        <v>3859</v>
      </c>
      <c r="G174" s="5" t="n">
        <v>1015</v>
      </c>
      <c r="H174" s="5" t="n">
        <v>2887</v>
      </c>
      <c r="I174" s="5" t="n">
        <v>0</v>
      </c>
      <c r="J174" s="5" t="n">
        <v>76</v>
      </c>
      <c r="K174" s="5" t="n">
        <v>4777</v>
      </c>
      <c r="L174" s="5" t="n">
        <v>133500</v>
      </c>
      <c r="M174" s="11" t="n">
        <f aca="false">IF(L174=0,0,C174/L174)</f>
        <v>0.469288389513109</v>
      </c>
      <c r="N174" s="11" t="n">
        <f aca="false">IF(L174=0,0,D174/L174)</f>
        <v>0.359423220973783</v>
      </c>
      <c r="O174" s="11" t="n">
        <f aca="false">IF(L174=0,0,E174/L174)</f>
        <v>0.0768014981273408</v>
      </c>
      <c r="P174" s="11" t="n">
        <f aca="false">IF(L174=0,0,K174/L174)</f>
        <v>0.0357827715355805</v>
      </c>
      <c r="Q174" s="4" t="str">
        <f aca="false">INDEX($C$3:$I$3,MATCH(MAX(C174:I174),C174:I174,0))</f>
        <v>Va por México (PAN-PRI-PRD)</v>
      </c>
      <c r="R174" s="17" t="n">
        <f aca="false">IF(L174=0,0,(MAX(C174:I174)-LARGE(C174:I174,2))/L174*100)</f>
        <v>10.9865168539326</v>
      </c>
      <c r="S174" s="4" t="s">
        <v>25</v>
      </c>
      <c r="T174" s="4" t="s">
        <v>24</v>
      </c>
    </row>
    <row r="175" customFormat="false" ht="15" hidden="false" customHeight="false" outlineLevel="0" collapsed="false">
      <c r="A175" s="4" t="s">
        <v>70</v>
      </c>
      <c r="B175" s="4" t="n">
        <v>6</v>
      </c>
      <c r="C175" s="5" t="n">
        <v>56347</v>
      </c>
      <c r="D175" s="5" t="n">
        <v>70074</v>
      </c>
      <c r="E175" s="5" t="n">
        <v>9385</v>
      </c>
      <c r="F175" s="5" t="n">
        <v>2725</v>
      </c>
      <c r="G175" s="5" t="n">
        <v>2799</v>
      </c>
      <c r="H175" s="5" t="n">
        <v>2793</v>
      </c>
      <c r="I175" s="5" t="n">
        <v>0</v>
      </c>
      <c r="J175" s="5" t="n">
        <v>85</v>
      </c>
      <c r="K175" s="5" t="n">
        <v>7949</v>
      </c>
      <c r="L175" s="5" t="n">
        <v>152157</v>
      </c>
      <c r="M175" s="11" t="n">
        <f aca="false">IF(L175=0,0,C175/L175)</f>
        <v>0.370321444297666</v>
      </c>
      <c r="N175" s="11" t="n">
        <f aca="false">IF(L175=0,0,D175/L175)</f>
        <v>0.460537471164652</v>
      </c>
      <c r="O175" s="11" t="n">
        <f aca="false">IF(L175=0,0,E175/L175)</f>
        <v>0.0616797124023213</v>
      </c>
      <c r="P175" s="11" t="n">
        <f aca="false">IF(L175=0,0,K175/L175)</f>
        <v>0.0522420920496592</v>
      </c>
      <c r="Q175" s="4" t="str">
        <f aca="false">INDEX($C$3:$I$3,MATCH(MAX(C175:I175),C175:I175,0))</f>
        <v>Juntos Hacemos Historia (Morena-PT-PVEM)</v>
      </c>
      <c r="R175" s="17" t="n">
        <f aca="false">IF(L175=0,0,(MAX(C175:I175)-LARGE(C175:I175,2))/L175*100)</f>
        <v>9.02160268669861</v>
      </c>
      <c r="S175" s="4" t="s">
        <v>25</v>
      </c>
      <c r="T175" s="4" t="s">
        <v>24</v>
      </c>
    </row>
    <row r="176" customFormat="false" ht="15" hidden="false" customHeight="false" outlineLevel="0" collapsed="false">
      <c r="A176" s="4" t="s">
        <v>70</v>
      </c>
      <c r="B176" s="4" t="n">
        <v>7</v>
      </c>
      <c r="C176" s="5" t="n">
        <v>56571</v>
      </c>
      <c r="D176" s="5" t="n">
        <v>60367</v>
      </c>
      <c r="E176" s="5" t="n">
        <v>8348</v>
      </c>
      <c r="F176" s="5" t="n">
        <v>9253</v>
      </c>
      <c r="G176" s="5" t="n">
        <v>2642</v>
      </c>
      <c r="H176" s="5" t="n">
        <v>4917</v>
      </c>
      <c r="I176" s="5" t="n">
        <v>0</v>
      </c>
      <c r="J176" s="5" t="n">
        <v>44</v>
      </c>
      <c r="K176" s="5" t="n">
        <v>7287</v>
      </c>
      <c r="L176" s="5" t="n">
        <v>149429</v>
      </c>
      <c r="M176" s="11" t="n">
        <f aca="false">IF(L176=0,0,C176/L176)</f>
        <v>0.378581132176485</v>
      </c>
      <c r="N176" s="11" t="n">
        <f aca="false">IF(L176=0,0,D176/L176)</f>
        <v>0.403984501000475</v>
      </c>
      <c r="O176" s="11" t="n">
        <f aca="false">IF(L176=0,0,E176/L176)</f>
        <v>0.0558659965602393</v>
      </c>
      <c r="P176" s="11" t="n">
        <f aca="false">IF(L176=0,0,K176/L176)</f>
        <v>0.0487656345153886</v>
      </c>
      <c r="Q176" s="4" t="str">
        <f aca="false">INDEX($C$3:$I$3,MATCH(MAX(C176:I176),C176:I176,0))</f>
        <v>Juntos Hacemos Historia (Morena-PT-PVEM)</v>
      </c>
      <c r="R176" s="17" t="n">
        <f aca="false">IF(L176=0,0,(MAX(C176:I176)-LARGE(C176:I176,2))/L176*100)</f>
        <v>2.540336882399</v>
      </c>
      <c r="S176" s="4" t="s">
        <v>25</v>
      </c>
      <c r="T176" s="4" t="s">
        <v>24</v>
      </c>
    </row>
    <row r="177" customFormat="false" ht="15" hidden="false" customHeight="false" outlineLevel="0" collapsed="false">
      <c r="A177" s="4" t="s">
        <v>70</v>
      </c>
      <c r="B177" s="4" t="n">
        <v>8</v>
      </c>
      <c r="C177" s="5" t="n">
        <v>54284</v>
      </c>
      <c r="D177" s="5" t="n">
        <v>60045</v>
      </c>
      <c r="E177" s="5" t="n">
        <v>3593</v>
      </c>
      <c r="F177" s="5" t="n">
        <v>3035</v>
      </c>
      <c r="G177" s="5" t="n">
        <v>2020</v>
      </c>
      <c r="H177" s="5" t="n">
        <v>2760</v>
      </c>
      <c r="I177" s="5" t="n">
        <v>0</v>
      </c>
      <c r="J177" s="5" t="n">
        <v>147</v>
      </c>
      <c r="K177" s="5" t="n">
        <v>6985</v>
      </c>
      <c r="L177" s="5" t="n">
        <v>132869</v>
      </c>
      <c r="M177" s="11" t="n">
        <f aca="false">IF(L177=0,0,C177/L177)</f>
        <v>0.40855278507402</v>
      </c>
      <c r="N177" s="11" t="n">
        <f aca="false">IF(L177=0,0,D177/L177)</f>
        <v>0.451911281036209</v>
      </c>
      <c r="O177" s="11" t="n">
        <f aca="false">IF(L177=0,0,E177/L177)</f>
        <v>0.0270416726249163</v>
      </c>
      <c r="P177" s="11" t="n">
        <f aca="false">IF(L177=0,0,K177/L177)</f>
        <v>0.0525705770345227</v>
      </c>
      <c r="Q177" s="4" t="str">
        <f aca="false">INDEX($C$3:$I$3,MATCH(MAX(C177:I177),C177:I177,0))</f>
        <v>Juntos Hacemos Historia (Morena-PT-PVEM)</v>
      </c>
      <c r="R177" s="17" t="n">
        <f aca="false">IF(L177=0,0,(MAX(C177:I177)-LARGE(C177:I177,2))/L177*100)</f>
        <v>4.33584959621883</v>
      </c>
      <c r="S177" s="4" t="s">
        <v>25</v>
      </c>
      <c r="T177" s="4" t="s">
        <v>24</v>
      </c>
    </row>
    <row r="178" customFormat="false" ht="15" hidden="false" customHeight="false" outlineLevel="0" collapsed="false">
      <c r="A178" s="4" t="s">
        <v>70</v>
      </c>
      <c r="B178" s="4" t="n">
        <v>9</v>
      </c>
      <c r="C178" s="5" t="n">
        <v>40123</v>
      </c>
      <c r="D178" s="5" t="n">
        <v>53052</v>
      </c>
      <c r="E178" s="5" t="n">
        <v>2002</v>
      </c>
      <c r="F178" s="5" t="n">
        <v>969</v>
      </c>
      <c r="G178" s="5" t="n">
        <v>569</v>
      </c>
      <c r="H178" s="5" t="n">
        <v>1190</v>
      </c>
      <c r="I178" s="5" t="n">
        <v>9286</v>
      </c>
      <c r="J178" s="5" t="n">
        <v>39</v>
      </c>
      <c r="K178" s="5" t="n">
        <v>4376</v>
      </c>
      <c r="L178" s="5" t="n">
        <v>111606</v>
      </c>
      <c r="M178" s="11" t="n">
        <f aca="false">IF(L178=0,0,C178/L178)</f>
        <v>0.359505761338996</v>
      </c>
      <c r="N178" s="11" t="n">
        <f aca="false">IF(L178=0,0,D178/L178)</f>
        <v>0.475350787592065</v>
      </c>
      <c r="O178" s="11" t="n">
        <f aca="false">IF(L178=0,0,E178/L178)</f>
        <v>0.0179381036861817</v>
      </c>
      <c r="P178" s="11" t="n">
        <f aca="false">IF(L178=0,0,K178/L178)</f>
        <v>0.0392093615038618</v>
      </c>
      <c r="Q178" s="4" t="str">
        <f aca="false">INDEX($C$3:$I$3,MATCH(MAX(C178:I178),C178:I178,0))</f>
        <v>Juntos Hacemos Historia (Morena-PT-PVEM)</v>
      </c>
      <c r="R178" s="17" t="n">
        <f aca="false">IF(L178=0,0,(MAX(C178:I178)-LARGE(C178:I178,2))/L178*100)</f>
        <v>11.5845026253069</v>
      </c>
      <c r="S178" s="4" t="s">
        <v>24</v>
      </c>
      <c r="T178" s="4" t="s">
        <v>25</v>
      </c>
    </row>
    <row r="179" customFormat="false" ht="15" hidden="false" customHeight="false" outlineLevel="0" collapsed="false">
      <c r="A179" s="4" t="s">
        <v>70</v>
      </c>
      <c r="B179" s="4" t="n">
        <v>10</v>
      </c>
      <c r="C179" s="5" t="n">
        <v>84639</v>
      </c>
      <c r="D179" s="5" t="n">
        <v>61279</v>
      </c>
      <c r="E179" s="5" t="n">
        <v>4105</v>
      </c>
      <c r="F179" s="5" t="n">
        <v>2617</v>
      </c>
      <c r="G179" s="5" t="n">
        <v>1933</v>
      </c>
      <c r="H179" s="5" t="n">
        <v>2697</v>
      </c>
      <c r="I179" s="5" t="n">
        <v>0</v>
      </c>
      <c r="J179" s="5" t="n">
        <v>149</v>
      </c>
      <c r="K179" s="5" t="n">
        <v>6762</v>
      </c>
      <c r="L179" s="5" t="n">
        <v>164181</v>
      </c>
      <c r="M179" s="11" t="n">
        <f aca="false">IF(L179=0,0,C179/L179)</f>
        <v>0.515522502603834</v>
      </c>
      <c r="N179" s="11" t="n">
        <f aca="false">IF(L179=0,0,D179/L179)</f>
        <v>0.373240508950488</v>
      </c>
      <c r="O179" s="11" t="n">
        <f aca="false">IF(L179=0,0,E179/L179)</f>
        <v>0.0250028931484155</v>
      </c>
      <c r="P179" s="11" t="n">
        <f aca="false">IF(L179=0,0,K179/L179)</f>
        <v>0.0411862517587297</v>
      </c>
      <c r="Q179" s="4" t="str">
        <f aca="false">INDEX($C$3:$I$3,MATCH(MAX(C179:I179),C179:I179,0))</f>
        <v>Va por México (PAN-PRI-PRD)</v>
      </c>
      <c r="R179" s="17" t="n">
        <f aca="false">IF(L179=0,0,(MAX(C179:I179)-LARGE(C179:I179,2))/L179*100)</f>
        <v>14.2281993653346</v>
      </c>
      <c r="S179" s="4" t="s">
        <v>25</v>
      </c>
      <c r="T179" s="4" t="s">
        <v>24</v>
      </c>
    </row>
    <row r="180" customFormat="false" ht="15" hidden="false" customHeight="false" outlineLevel="0" collapsed="false">
      <c r="A180" s="4" t="s">
        <v>70</v>
      </c>
      <c r="B180" s="4" t="n">
        <v>11</v>
      </c>
      <c r="C180" s="5" t="n">
        <v>61093</v>
      </c>
      <c r="D180" s="5" t="n">
        <v>68145</v>
      </c>
      <c r="E180" s="5" t="n">
        <v>3239</v>
      </c>
      <c r="F180" s="5" t="n">
        <v>8140</v>
      </c>
      <c r="G180" s="5" t="n">
        <v>3955</v>
      </c>
      <c r="H180" s="5" t="n">
        <v>5458</v>
      </c>
      <c r="I180" s="5" t="n">
        <v>0</v>
      </c>
      <c r="J180" s="5" t="n">
        <v>55</v>
      </c>
      <c r="K180" s="5" t="n">
        <v>9626</v>
      </c>
      <c r="L180" s="5" t="n">
        <v>159711</v>
      </c>
      <c r="M180" s="11" t="n">
        <f aca="false">IF(L180=0,0,C180/L180)</f>
        <v>0.382522180688869</v>
      </c>
      <c r="N180" s="11" t="n">
        <f aca="false">IF(L180=0,0,D180/L180)</f>
        <v>0.426676935214231</v>
      </c>
      <c r="O180" s="11" t="n">
        <f aca="false">IF(L180=0,0,E180/L180)</f>
        <v>0.0202803814389741</v>
      </c>
      <c r="P180" s="11" t="n">
        <f aca="false">IF(L180=0,0,K180/L180)</f>
        <v>0.0602713651533082</v>
      </c>
      <c r="Q180" s="4" t="str">
        <f aca="false">INDEX($C$3:$I$3,MATCH(MAX(C180:I180),C180:I180,0))</f>
        <v>Juntos Hacemos Historia (Morena-PT-PVEM)</v>
      </c>
      <c r="R180" s="17" t="n">
        <f aca="false">IF(L180=0,0,(MAX(C180:I180)-LARGE(C180:I180,2))/L180*100)</f>
        <v>4.41547545253614</v>
      </c>
      <c r="S180" s="4" t="s">
        <v>25</v>
      </c>
      <c r="T180" s="4" t="s">
        <v>24</v>
      </c>
    </row>
    <row r="181" customFormat="false" ht="15" hidden="false" customHeight="false" outlineLevel="0" collapsed="false">
      <c r="A181" s="4" t="s">
        <v>70</v>
      </c>
      <c r="B181" s="4" t="n">
        <v>12</v>
      </c>
      <c r="C181" s="5" t="n">
        <v>42587</v>
      </c>
      <c r="D181" s="5" t="n">
        <v>56363</v>
      </c>
      <c r="E181" s="5" t="n">
        <v>3336</v>
      </c>
      <c r="F181" s="5" t="n">
        <v>2865</v>
      </c>
      <c r="G181" s="5" t="n">
        <v>2636</v>
      </c>
      <c r="H181" s="5" t="n">
        <v>5902</v>
      </c>
      <c r="I181" s="5" t="n">
        <v>0</v>
      </c>
      <c r="J181" s="5" t="n">
        <v>519</v>
      </c>
      <c r="K181" s="5" t="n">
        <v>5010</v>
      </c>
      <c r="L181" s="5" t="n">
        <v>119218</v>
      </c>
      <c r="M181" s="11" t="n">
        <f aca="false">IF(L181=0,0,C181/L181)</f>
        <v>0.357219547383784</v>
      </c>
      <c r="N181" s="11" t="n">
        <f aca="false">IF(L181=0,0,D181/L181)</f>
        <v>0.47277256790082</v>
      </c>
      <c r="O181" s="11" t="n">
        <f aca="false">IF(L181=0,0,E181/L181)</f>
        <v>0.0279823516583066</v>
      </c>
      <c r="P181" s="11" t="n">
        <f aca="false">IF(L181=0,0,K181/L181)</f>
        <v>0.0420238554580684</v>
      </c>
      <c r="Q181" s="4" t="str">
        <f aca="false">INDEX($C$3:$I$3,MATCH(MAX(C181:I181),C181:I181,0))</f>
        <v>Juntos Hacemos Historia (Morena-PT-PVEM)</v>
      </c>
      <c r="R181" s="17" t="n">
        <f aca="false">IF(L181=0,0,(MAX(C181:I181)-LARGE(C181:I181,2))/L181*100)</f>
        <v>11.5553020517036</v>
      </c>
      <c r="S181" s="4" t="s">
        <v>23</v>
      </c>
      <c r="T181" s="4" t="s">
        <v>25</v>
      </c>
    </row>
    <row r="182" customFormat="false" ht="15" hidden="false" customHeight="false" outlineLevel="0" collapsed="false">
      <c r="A182" s="4" t="s">
        <v>71</v>
      </c>
      <c r="B182" s="4" t="n">
        <v>1</v>
      </c>
      <c r="C182" s="5" t="n">
        <v>64545</v>
      </c>
      <c r="D182" s="5" t="n">
        <v>57796</v>
      </c>
      <c r="E182" s="5" t="n">
        <v>5072</v>
      </c>
      <c r="F182" s="5" t="n">
        <v>4178</v>
      </c>
      <c r="G182" s="5" t="n">
        <v>2332</v>
      </c>
      <c r="H182" s="5" t="n">
        <v>15803</v>
      </c>
      <c r="I182" s="5" t="n">
        <v>0</v>
      </c>
      <c r="J182" s="5" t="n">
        <v>307</v>
      </c>
      <c r="K182" s="5" t="n">
        <v>6575</v>
      </c>
      <c r="L182" s="5" t="n">
        <v>156608</v>
      </c>
      <c r="M182" s="11" t="n">
        <f aca="false">IF(L182=0,0,C182/L182)</f>
        <v>0.412143696362893</v>
      </c>
      <c r="N182" s="11" t="n">
        <f aca="false">IF(L182=0,0,D182/L182)</f>
        <v>0.369048835308541</v>
      </c>
      <c r="O182" s="11" t="n">
        <f aca="false">IF(L182=0,0,E182/L182)</f>
        <v>0.0323865958316306</v>
      </c>
      <c r="P182" s="11" t="n">
        <f aca="false">IF(L182=0,0,K182/L182)</f>
        <v>0.0419838067020842</v>
      </c>
      <c r="Q182" s="4" t="str">
        <f aca="false">INDEX($C$3:$I$3,MATCH(MAX(C182:I182),C182:I182,0))</f>
        <v>Va por México (PAN-PRI-PRD)</v>
      </c>
      <c r="R182" s="17" t="n">
        <f aca="false">IF(L182=0,0,(MAX(C182:I182)-LARGE(C182:I182,2))/L182*100)</f>
        <v>4.30948610543523</v>
      </c>
      <c r="S182" s="4" t="s">
        <v>24</v>
      </c>
      <c r="T182" s="4" t="s">
        <v>26</v>
      </c>
    </row>
    <row r="183" customFormat="false" ht="15" hidden="false" customHeight="false" outlineLevel="0" collapsed="false">
      <c r="A183" s="4" t="s">
        <v>71</v>
      </c>
      <c r="B183" s="4" t="n">
        <v>2</v>
      </c>
      <c r="C183" s="5" t="n">
        <v>43209</v>
      </c>
      <c r="D183" s="5" t="n">
        <v>59867</v>
      </c>
      <c r="E183" s="5" t="n">
        <v>9890</v>
      </c>
      <c r="F183" s="5" t="n">
        <v>3778</v>
      </c>
      <c r="G183" s="5" t="n">
        <v>11086</v>
      </c>
      <c r="H183" s="5" t="n">
        <v>9290</v>
      </c>
      <c r="I183" s="5" t="n">
        <v>0</v>
      </c>
      <c r="J183" s="5" t="n">
        <v>147</v>
      </c>
      <c r="K183" s="5" t="n">
        <v>6743</v>
      </c>
      <c r="L183" s="5" t="n">
        <v>144010</v>
      </c>
      <c r="M183" s="11" t="n">
        <f aca="false">IF(L183=0,0,C183/L183)</f>
        <v>0.300041663773349</v>
      </c>
      <c r="N183" s="11" t="n">
        <f aca="false">IF(L183=0,0,D183/L183)</f>
        <v>0.415714186514825</v>
      </c>
      <c r="O183" s="11" t="n">
        <f aca="false">IF(L183=0,0,E183/L183)</f>
        <v>0.068675786403722</v>
      </c>
      <c r="P183" s="11" t="n">
        <f aca="false">IF(L183=0,0,K183/L183)</f>
        <v>0.0468231372821332</v>
      </c>
      <c r="Q183" s="4" t="str">
        <f aca="false">INDEX($C$3:$I$3,MATCH(MAX(C183:I183),C183:I183,0))</f>
        <v>Juntos Hacemos Historia (Morena-PT-PVEM)</v>
      </c>
      <c r="R183" s="17" t="n">
        <f aca="false">IF(L183=0,0,(MAX(C183:I183)-LARGE(C183:I183,2))/L183*100)</f>
        <v>11.5672522741476</v>
      </c>
      <c r="S183" s="4" t="s">
        <v>23</v>
      </c>
      <c r="T183" s="4" t="s">
        <v>26</v>
      </c>
    </row>
    <row r="184" customFormat="false" ht="15" hidden="false" customHeight="false" outlineLevel="0" collapsed="false">
      <c r="A184" s="4" t="s">
        <v>71</v>
      </c>
      <c r="B184" s="4" t="n">
        <v>3</v>
      </c>
      <c r="C184" s="5" t="n">
        <v>34608</v>
      </c>
      <c r="D184" s="5" t="n">
        <v>69823</v>
      </c>
      <c r="E184" s="5" t="n">
        <v>13411</v>
      </c>
      <c r="F184" s="5" t="n">
        <v>16775</v>
      </c>
      <c r="G184" s="5" t="n">
        <v>6664</v>
      </c>
      <c r="H184" s="5" t="n">
        <v>6461</v>
      </c>
      <c r="I184" s="5" t="n">
        <v>0</v>
      </c>
      <c r="J184" s="5" t="n">
        <v>164</v>
      </c>
      <c r="K184" s="5" t="n">
        <v>7538</v>
      </c>
      <c r="L184" s="5" t="n">
        <v>155444</v>
      </c>
      <c r="M184" s="11" t="n">
        <f aca="false">IF(L184=0,0,C184/L184)</f>
        <v>0.222639664445073</v>
      </c>
      <c r="N184" s="11" t="n">
        <f aca="false">IF(L184=0,0,D184/L184)</f>
        <v>0.449184272149456</v>
      </c>
      <c r="O184" s="11" t="n">
        <f aca="false">IF(L184=0,0,E184/L184)</f>
        <v>0.0862754432464424</v>
      </c>
      <c r="P184" s="11" t="n">
        <f aca="false">IF(L184=0,0,K184/L184)</f>
        <v>0.0484933480867708</v>
      </c>
      <c r="Q184" s="4" t="str">
        <f aca="false">INDEX($C$3:$I$3,MATCH(MAX(C184:I184),C184:I184,0))</f>
        <v>Juntos Hacemos Historia (Morena-PT-PVEM)</v>
      </c>
      <c r="R184" s="17" t="n">
        <f aca="false">IF(L184=0,0,(MAX(C184:I184)-LARGE(C184:I184,2))/L184*100)</f>
        <v>22.6544607704382</v>
      </c>
      <c r="S184" s="4" t="s">
        <v>24</v>
      </c>
      <c r="T184" s="4" t="s">
        <v>26</v>
      </c>
    </row>
    <row r="185" customFormat="false" ht="15" hidden="false" customHeight="false" outlineLevel="0" collapsed="false">
      <c r="A185" s="4" t="s">
        <v>71</v>
      </c>
      <c r="B185" s="4" t="n">
        <v>4</v>
      </c>
      <c r="C185" s="5" t="n">
        <v>22651</v>
      </c>
      <c r="D185" s="5" t="n">
        <v>62340</v>
      </c>
      <c r="E185" s="5" t="n">
        <v>11821</v>
      </c>
      <c r="F185" s="5" t="n">
        <v>3282</v>
      </c>
      <c r="G185" s="5" t="n">
        <v>32236</v>
      </c>
      <c r="H185" s="5" t="n">
        <v>25630</v>
      </c>
      <c r="I185" s="5" t="n">
        <v>0</v>
      </c>
      <c r="J185" s="5" t="n">
        <v>107</v>
      </c>
      <c r="K185" s="5" t="n">
        <v>7440</v>
      </c>
      <c r="L185" s="5" t="n">
        <v>165507</v>
      </c>
      <c r="M185" s="11" t="n">
        <f aca="false">IF(L185=0,0,C185/L185)</f>
        <v>0.13685825977149</v>
      </c>
      <c r="N185" s="11" t="n">
        <f aca="false">IF(L185=0,0,D185/L185)</f>
        <v>0.376660805887364</v>
      </c>
      <c r="O185" s="11" t="n">
        <f aca="false">IF(L185=0,0,E185/L185)</f>
        <v>0.0714229609623762</v>
      </c>
      <c r="P185" s="11" t="n">
        <f aca="false">IF(L185=0,0,K185/L185)</f>
        <v>0.0449527814533524</v>
      </c>
      <c r="Q185" s="4" t="str">
        <f aca="false">INDEX($C$3:$I$3,MATCH(MAX(C185:I185),C185:I185,0))</f>
        <v>Juntos Hacemos Historia (Morena-PT-PVEM)</v>
      </c>
      <c r="R185" s="17" t="n">
        <f aca="false">IF(L185=0,0,(MAX(C185:I185)-LARGE(C185:I185,2))/L185*100)</f>
        <v>18.1889587751575</v>
      </c>
      <c r="S185" s="4" t="s">
        <v>23</v>
      </c>
      <c r="T185" s="4" t="s">
        <v>12</v>
      </c>
    </row>
    <row r="186" customFormat="false" ht="15" hidden="false" customHeight="false" outlineLevel="0" collapsed="false">
      <c r="A186" s="4" t="s">
        <v>71</v>
      </c>
      <c r="B186" s="4" t="n">
        <v>5</v>
      </c>
      <c r="C186" s="5" t="n">
        <v>41855</v>
      </c>
      <c r="D186" s="5" t="n">
        <v>74373</v>
      </c>
      <c r="E186" s="5" t="n">
        <v>13355</v>
      </c>
      <c r="F186" s="5" t="n">
        <v>11781</v>
      </c>
      <c r="G186" s="5" t="n">
        <v>9580</v>
      </c>
      <c r="H186" s="5" t="n">
        <v>13088</v>
      </c>
      <c r="I186" s="5" t="n">
        <v>0</v>
      </c>
      <c r="J186" s="5" t="n">
        <v>126</v>
      </c>
      <c r="K186" s="5" t="n">
        <v>10276</v>
      </c>
      <c r="L186" s="5" t="n">
        <v>174434</v>
      </c>
      <c r="M186" s="11" t="n">
        <f aca="false">IF(L186=0,0,C186/L186)</f>
        <v>0.239947487301788</v>
      </c>
      <c r="N186" s="11" t="n">
        <f aca="false">IF(L186=0,0,D186/L186)</f>
        <v>0.426367565956178</v>
      </c>
      <c r="O186" s="11" t="n">
        <f aca="false">IF(L186=0,0,E186/L186)</f>
        <v>0.0765619088021831</v>
      </c>
      <c r="P186" s="11" t="n">
        <f aca="false">IF(L186=0,0,K186/L186)</f>
        <v>0.05891053349691</v>
      </c>
      <c r="Q186" s="4" t="str">
        <f aca="false">INDEX($C$3:$I$3,MATCH(MAX(C186:I186),C186:I186,0))</f>
        <v>Juntos Hacemos Historia (Morena-PT-PVEM)</v>
      </c>
      <c r="R186" s="17" t="n">
        <f aca="false">IF(L186=0,0,(MAX(C186:I186)-LARGE(C186:I186,2))/L186*100)</f>
        <v>18.6420078654391</v>
      </c>
      <c r="S186" s="4" t="s">
        <v>24</v>
      </c>
      <c r="T186" s="4" t="s">
        <v>26</v>
      </c>
    </row>
    <row r="187" customFormat="false" ht="15" hidden="false" customHeight="false" outlineLevel="0" collapsed="false">
      <c r="A187" s="4" t="s">
        <v>72</v>
      </c>
      <c r="B187" s="4" t="n">
        <v>1</v>
      </c>
      <c r="C187" s="5" t="n">
        <v>35219</v>
      </c>
      <c r="D187" s="5" t="n">
        <v>74292</v>
      </c>
      <c r="E187" s="5" t="n">
        <v>30537</v>
      </c>
      <c r="F187" s="5" t="n">
        <v>3946</v>
      </c>
      <c r="G187" s="5" t="n">
        <v>3874</v>
      </c>
      <c r="H187" s="5" t="n">
        <v>4752</v>
      </c>
      <c r="I187" s="5" t="n">
        <v>0</v>
      </c>
      <c r="J187" s="5" t="n">
        <v>47</v>
      </c>
      <c r="K187" s="5" t="n">
        <v>7866</v>
      </c>
      <c r="L187" s="5" t="n">
        <v>160533</v>
      </c>
      <c r="M187" s="11" t="n">
        <f aca="false">IF(L187=0,0,C187/L187)</f>
        <v>0.219387914011449</v>
      </c>
      <c r="N187" s="11" t="n">
        <f aca="false">IF(L187=0,0,D187/L187)</f>
        <v>0.462783352955467</v>
      </c>
      <c r="O187" s="11" t="n">
        <f aca="false">IF(L187=0,0,E187/L187)</f>
        <v>0.190222571060156</v>
      </c>
      <c r="P187" s="11" t="n">
        <f aca="false">IF(L187=0,0,K187/L187)</f>
        <v>0.0489992711778887</v>
      </c>
      <c r="Q187" s="4" t="str">
        <f aca="false">INDEX($C$3:$I$3,MATCH(MAX(C187:I187),C187:I187,0))</f>
        <v>Juntos Hacemos Historia (Morena-PT-PVEM)</v>
      </c>
      <c r="R187" s="17" t="n">
        <f aca="false">IF(L187=0,0,(MAX(C187:I187)-LARGE(C187:I187,2))/L187*100)</f>
        <v>24.3395438944018</v>
      </c>
      <c r="S187" s="4" t="s">
        <v>23</v>
      </c>
      <c r="T187" s="4" t="s">
        <v>25</v>
      </c>
    </row>
    <row r="188" customFormat="false" ht="15" hidden="false" customHeight="false" outlineLevel="0" collapsed="false">
      <c r="A188" s="4" t="s">
        <v>72</v>
      </c>
      <c r="B188" s="4" t="n">
        <v>2</v>
      </c>
      <c r="C188" s="5" t="n">
        <v>31958</v>
      </c>
      <c r="D188" s="5" t="n">
        <v>83531</v>
      </c>
      <c r="E188" s="5" t="n">
        <v>25307</v>
      </c>
      <c r="F188" s="5" t="n">
        <v>6933</v>
      </c>
      <c r="G188" s="5" t="n">
        <v>5023</v>
      </c>
      <c r="H188" s="5" t="n">
        <v>4193</v>
      </c>
      <c r="I188" s="5" t="n">
        <v>0</v>
      </c>
      <c r="J188" s="5" t="n">
        <v>137</v>
      </c>
      <c r="K188" s="5" t="n">
        <v>5351</v>
      </c>
      <c r="L188" s="5" t="n">
        <v>162433</v>
      </c>
      <c r="M188" s="11" t="n">
        <f aca="false">IF(L188=0,0,C188/L188)</f>
        <v>0.196745735164653</v>
      </c>
      <c r="N188" s="11" t="n">
        <f aca="false">IF(L188=0,0,D188/L188)</f>
        <v>0.514248951875543</v>
      </c>
      <c r="O188" s="11" t="n">
        <f aca="false">IF(L188=0,0,E188/L188)</f>
        <v>0.155799621997993</v>
      </c>
      <c r="P188" s="11" t="n">
        <f aca="false">IF(L188=0,0,K188/L188)</f>
        <v>0.032942813344579</v>
      </c>
      <c r="Q188" s="4" t="str">
        <f aca="false">INDEX($C$3:$I$3,MATCH(MAX(C188:I188),C188:I188,0))</f>
        <v>Juntos Hacemos Historia (Morena-PT-PVEM)</v>
      </c>
      <c r="R188" s="17" t="n">
        <f aca="false">IF(L188=0,0,(MAX(C188:I188)-LARGE(C188:I188,2))/L188*100)</f>
        <v>31.750321671089</v>
      </c>
      <c r="S188" s="4" t="s">
        <v>23</v>
      </c>
      <c r="T188" s="4" t="s">
        <v>25</v>
      </c>
    </row>
    <row r="189" customFormat="false" ht="15" hidden="false" customHeight="false" outlineLevel="0" collapsed="false">
      <c r="A189" s="4" t="s">
        <v>72</v>
      </c>
      <c r="B189" s="4" t="n">
        <v>3</v>
      </c>
      <c r="C189" s="5" t="n">
        <v>42448</v>
      </c>
      <c r="D189" s="5" t="n">
        <v>71921</v>
      </c>
      <c r="E189" s="5" t="n">
        <v>19475</v>
      </c>
      <c r="F189" s="5" t="n">
        <v>2714</v>
      </c>
      <c r="G189" s="5" t="n">
        <v>4820</v>
      </c>
      <c r="H189" s="5" t="n">
        <v>5247</v>
      </c>
      <c r="I189" s="5" t="n">
        <v>0</v>
      </c>
      <c r="J189" s="5" t="n">
        <v>56</v>
      </c>
      <c r="K189" s="5" t="n">
        <v>7147</v>
      </c>
      <c r="L189" s="5" t="n">
        <v>153828</v>
      </c>
      <c r="M189" s="11" t="n">
        <f aca="false">IF(L189=0,0,C189/L189)</f>
        <v>0.275944561458252</v>
      </c>
      <c r="N189" s="11" t="n">
        <f aca="false">IF(L189=0,0,D189/L189)</f>
        <v>0.46754166991705</v>
      </c>
      <c r="O189" s="11" t="n">
        <f aca="false">IF(L189=0,0,E189/L189)</f>
        <v>0.126602439087812</v>
      </c>
      <c r="P189" s="11" t="n">
        <f aca="false">IF(L189=0,0,K189/L189)</f>
        <v>0.0464609823959227</v>
      </c>
      <c r="Q189" s="4" t="str">
        <f aca="false">INDEX($C$3:$I$3,MATCH(MAX(C189:I189),C189:I189,0))</f>
        <v>Juntos Hacemos Historia (Morena-PT-PVEM)</v>
      </c>
      <c r="R189" s="17" t="n">
        <f aca="false">IF(L189=0,0,(MAX(C189:I189)-LARGE(C189:I189,2))/L189*100)</f>
        <v>19.1597108458798</v>
      </c>
      <c r="S189" s="4" t="s">
        <v>23</v>
      </c>
      <c r="T189" s="4" t="s">
        <v>25</v>
      </c>
    </row>
    <row r="190" customFormat="false" ht="15" hidden="false" customHeight="false" outlineLevel="0" collapsed="false">
      <c r="A190" s="4" t="s">
        <v>73</v>
      </c>
      <c r="B190" s="4" t="n">
        <v>1</v>
      </c>
      <c r="C190" s="5" t="n">
        <v>124296</v>
      </c>
      <c r="D190" s="5" t="n">
        <v>21998</v>
      </c>
      <c r="E190" s="5" t="n">
        <v>25629</v>
      </c>
      <c r="F190" s="5" t="n">
        <v>934</v>
      </c>
      <c r="G190" s="5" t="n">
        <v>958</v>
      </c>
      <c r="H190" s="5" t="n">
        <v>2077</v>
      </c>
      <c r="I190" s="5" t="n">
        <v>0</v>
      </c>
      <c r="J190" s="5" t="n">
        <v>159</v>
      </c>
      <c r="K190" s="5" t="n">
        <v>3792</v>
      </c>
      <c r="L190" s="5" t="n">
        <v>179843</v>
      </c>
      <c r="M190" s="11" t="n">
        <f aca="false">IF(L190=0,0,C190/L190)</f>
        <v>0.691136157648616</v>
      </c>
      <c r="N190" s="11" t="n">
        <f aca="false">IF(L190=0,0,D190/L190)</f>
        <v>0.122317799413933</v>
      </c>
      <c r="O190" s="11" t="n">
        <f aca="false">IF(L190=0,0,E190/L190)</f>
        <v>0.1425076316565</v>
      </c>
      <c r="P190" s="11" t="n">
        <f aca="false">IF(L190=0,0,K190/L190)</f>
        <v>0.0210850575223945</v>
      </c>
      <c r="Q190" s="4" t="str">
        <f aca="false">INDEX($C$3:$I$3,MATCH(MAX(C190:I190),C190:I190,0))</f>
        <v>Va por México (PAN-PRI-PRD)</v>
      </c>
      <c r="R190" s="17" t="n">
        <f aca="false">IF(L190=0,0,(MAX(C190:I190)-LARGE(C190:I190,2))/L190*100)</f>
        <v>54.8628525992115</v>
      </c>
      <c r="S190" s="4" t="s">
        <v>26</v>
      </c>
      <c r="T190" s="4" t="s">
        <v>10</v>
      </c>
    </row>
    <row r="191" customFormat="false" ht="15" hidden="false" customHeight="false" outlineLevel="0" collapsed="false">
      <c r="A191" s="4" t="s">
        <v>73</v>
      </c>
      <c r="B191" s="4" t="n">
        <v>2</v>
      </c>
      <c r="C191" s="5" t="n">
        <v>100218</v>
      </c>
      <c r="D191" s="5" t="n">
        <v>35363</v>
      </c>
      <c r="E191" s="5" t="n">
        <v>35216</v>
      </c>
      <c r="F191" s="5" t="n">
        <v>1701</v>
      </c>
      <c r="G191" s="5" t="n">
        <v>782</v>
      </c>
      <c r="H191" s="5" t="n">
        <v>1774</v>
      </c>
      <c r="I191" s="5" t="n">
        <v>0</v>
      </c>
      <c r="J191" s="5" t="n">
        <v>63</v>
      </c>
      <c r="K191" s="5" t="n">
        <v>3538</v>
      </c>
      <c r="L191" s="5" t="n">
        <v>178655</v>
      </c>
      <c r="M191" s="11" t="n">
        <f aca="false">IF(L191=0,0,C191/L191)</f>
        <v>0.560958271528924</v>
      </c>
      <c r="N191" s="11" t="n">
        <f aca="false">IF(L191=0,0,D191/L191)</f>
        <v>0.197940164003247</v>
      </c>
      <c r="O191" s="11" t="n">
        <f aca="false">IF(L191=0,0,E191/L191)</f>
        <v>0.19711734908063</v>
      </c>
      <c r="P191" s="11" t="n">
        <f aca="false">IF(L191=0,0,K191/L191)</f>
        <v>0.0198035319470488</v>
      </c>
      <c r="Q191" s="4" t="str">
        <f aca="false">INDEX($C$3:$I$3,MATCH(MAX(C191:I191),C191:I191,0))</f>
        <v>Va por México (PAN-PRI-PRD)</v>
      </c>
      <c r="R191" s="17" t="n">
        <f aca="false">IF(L191=0,0,(MAX(C191:I191)-LARGE(C191:I191,2))/L191*100)</f>
        <v>36.3018107525678</v>
      </c>
      <c r="S191" s="4" t="s">
        <v>27</v>
      </c>
      <c r="T191" s="4" t="s">
        <v>23</v>
      </c>
    </row>
    <row r="192" customFormat="false" ht="15" hidden="false" customHeight="false" outlineLevel="0" collapsed="false">
      <c r="A192" s="4" t="s">
        <v>73</v>
      </c>
      <c r="B192" s="4" t="n">
        <v>3</v>
      </c>
      <c r="C192" s="5" t="n">
        <v>59570</v>
      </c>
      <c r="D192" s="5" t="n">
        <v>35433</v>
      </c>
      <c r="E192" s="5" t="n">
        <v>35327</v>
      </c>
      <c r="F192" s="5" t="n">
        <v>1273</v>
      </c>
      <c r="G192" s="5" t="n">
        <v>1122</v>
      </c>
      <c r="H192" s="5" t="n">
        <v>1833</v>
      </c>
      <c r="I192" s="5" t="n">
        <v>0</v>
      </c>
      <c r="J192" s="5" t="n">
        <v>47</v>
      </c>
      <c r="K192" s="5" t="n">
        <v>3318</v>
      </c>
      <c r="L192" s="5" t="n">
        <v>137923</v>
      </c>
      <c r="M192" s="11" t="n">
        <f aca="false">IF(L192=0,0,C192/L192)</f>
        <v>0.431907658621115</v>
      </c>
      <c r="N192" s="11" t="n">
        <f aca="false">IF(L192=0,0,D192/L192)</f>
        <v>0.256904214670505</v>
      </c>
      <c r="O192" s="11" t="n">
        <f aca="false">IF(L192=0,0,E192/L192)</f>
        <v>0.256135669902772</v>
      </c>
      <c r="P192" s="11" t="n">
        <f aca="false">IF(L192=0,0,K192/L192)</f>
        <v>0.0240569013145016</v>
      </c>
      <c r="Q192" s="4" t="str">
        <f aca="false">INDEX($C$3:$I$3,MATCH(MAX(C192:I192),C192:I192,0))</f>
        <v>Va por México (PAN-PRI-PRD)</v>
      </c>
      <c r="R192" s="17" t="n">
        <f aca="false">IF(L192=0,0,(MAX(C192:I192)-LARGE(C192:I192,2))/L192*100)</f>
        <v>17.500344395061</v>
      </c>
      <c r="S192" s="4" t="s">
        <v>23</v>
      </c>
      <c r="T192" s="4" t="s">
        <v>10</v>
      </c>
    </row>
    <row r="193" customFormat="false" ht="15" hidden="false" customHeight="false" outlineLevel="0" collapsed="false">
      <c r="A193" s="4" t="s">
        <v>73</v>
      </c>
      <c r="B193" s="4" t="n">
        <v>4</v>
      </c>
      <c r="C193" s="5" t="n">
        <v>127508</v>
      </c>
      <c r="D193" s="5" t="n">
        <v>35283</v>
      </c>
      <c r="E193" s="5" t="n">
        <v>37210</v>
      </c>
      <c r="F193" s="5" t="n">
        <v>1174</v>
      </c>
      <c r="G193" s="5" t="n">
        <v>838</v>
      </c>
      <c r="H193" s="5" t="n">
        <v>1576</v>
      </c>
      <c r="I193" s="5" t="n">
        <v>0</v>
      </c>
      <c r="J193" s="5" t="n">
        <v>69</v>
      </c>
      <c r="K193" s="5" t="n">
        <v>4225</v>
      </c>
      <c r="L193" s="5" t="n">
        <v>207883</v>
      </c>
      <c r="M193" s="11" t="n">
        <f aca="false">IF(L193=0,0,C193/L193)</f>
        <v>0.61336424815882</v>
      </c>
      <c r="N193" s="11" t="n">
        <f aca="false">IF(L193=0,0,D193/L193)</f>
        <v>0.169725278161273</v>
      </c>
      <c r="O193" s="11" t="n">
        <f aca="false">IF(L193=0,0,E193/L193)</f>
        <v>0.178994915409148</v>
      </c>
      <c r="P193" s="11" t="n">
        <f aca="false">IF(L193=0,0,K193/L193)</f>
        <v>0.0203239322118692</v>
      </c>
      <c r="Q193" s="4" t="str">
        <f aca="false">INDEX($C$3:$I$3,MATCH(MAX(C193:I193),C193:I193,0))</f>
        <v>Va por México (PAN-PRI-PRD)</v>
      </c>
      <c r="R193" s="17" t="n">
        <f aca="false">IF(L193=0,0,(MAX(C193:I193)-LARGE(C193:I193,2))/L193*100)</f>
        <v>43.4369332749672</v>
      </c>
      <c r="S193" s="4" t="s">
        <v>26</v>
      </c>
      <c r="T193" s="4" t="s">
        <v>10</v>
      </c>
    </row>
    <row r="194" customFormat="false" ht="15" hidden="false" customHeight="false" outlineLevel="0" collapsed="false">
      <c r="A194" s="4" t="s">
        <v>73</v>
      </c>
      <c r="B194" s="4" t="n">
        <v>5</v>
      </c>
      <c r="C194" s="5" t="n">
        <v>67157</v>
      </c>
      <c r="D194" s="5" t="n">
        <v>24719</v>
      </c>
      <c r="E194" s="5" t="n">
        <v>22807</v>
      </c>
      <c r="F194" s="5" t="n">
        <v>747</v>
      </c>
      <c r="G194" s="5" t="n">
        <v>908</v>
      </c>
      <c r="H194" s="5" t="n">
        <v>1088</v>
      </c>
      <c r="I194" s="5" t="n">
        <v>0</v>
      </c>
      <c r="J194" s="5" t="n">
        <v>47</v>
      </c>
      <c r="K194" s="5" t="n">
        <v>3840</v>
      </c>
      <c r="L194" s="5" t="n">
        <v>121313</v>
      </c>
      <c r="M194" s="11" t="n">
        <f aca="false">IF(L194=0,0,C194/L194)</f>
        <v>0.553584529275511</v>
      </c>
      <c r="N194" s="11" t="n">
        <f aca="false">IF(L194=0,0,D194/L194)</f>
        <v>0.203762168934904</v>
      </c>
      <c r="O194" s="11" t="n">
        <f aca="false">IF(L194=0,0,E194/L194)</f>
        <v>0.188001285929785</v>
      </c>
      <c r="P194" s="11" t="n">
        <f aca="false">IF(L194=0,0,K194/L194)</f>
        <v>0.0316536562445904</v>
      </c>
      <c r="Q194" s="4" t="str">
        <f aca="false">INDEX($C$3:$I$3,MATCH(MAX(C194:I194),C194:I194,0))</f>
        <v>Va por México (PAN-PRI-PRD)</v>
      </c>
      <c r="R194" s="17" t="n">
        <f aca="false">IF(L194=0,0,(MAX(C194:I194)-LARGE(C194:I194,2))/L194*100)</f>
        <v>34.9822360340607</v>
      </c>
      <c r="S194" s="4" t="s">
        <v>27</v>
      </c>
      <c r="T194" s="4" t="s">
        <v>23</v>
      </c>
    </row>
    <row r="195" customFormat="false" ht="15" hidden="false" customHeight="false" outlineLevel="0" collapsed="false">
      <c r="A195" s="4" t="s">
        <v>73</v>
      </c>
      <c r="B195" s="4" t="n">
        <v>6</v>
      </c>
      <c r="C195" s="5" t="n">
        <v>134113</v>
      </c>
      <c r="D195" s="5" t="n">
        <v>31000</v>
      </c>
      <c r="E195" s="5" t="n">
        <v>49974</v>
      </c>
      <c r="F195" s="5" t="n">
        <v>1851</v>
      </c>
      <c r="G195" s="5" t="n">
        <v>785</v>
      </c>
      <c r="H195" s="5" t="n">
        <v>1453</v>
      </c>
      <c r="I195" s="5" t="n">
        <v>0</v>
      </c>
      <c r="J195" s="5" t="n">
        <v>114</v>
      </c>
      <c r="K195" s="5" t="n">
        <v>4796</v>
      </c>
      <c r="L195" s="5" t="n">
        <v>224086</v>
      </c>
      <c r="M195" s="11" t="n">
        <f aca="false">IF(L195=0,0,C195/L195)</f>
        <v>0.598488972983587</v>
      </c>
      <c r="N195" s="11" t="n">
        <f aca="false">IF(L195=0,0,D195/L195)</f>
        <v>0.138339744562356</v>
      </c>
      <c r="O195" s="11" t="n">
        <f aca="false">IF(L195=0,0,E195/L195)</f>
        <v>0.223012593379328</v>
      </c>
      <c r="P195" s="11" t="n">
        <f aca="false">IF(L195=0,0,K195/L195)</f>
        <v>0.021402497255518</v>
      </c>
      <c r="Q195" s="4" t="str">
        <f aca="false">INDEX($C$3:$I$3,MATCH(MAX(C195:I195),C195:I195,0))</f>
        <v>Va por México (PAN-PRI-PRD)</v>
      </c>
      <c r="R195" s="17" t="n">
        <f aca="false">IF(L195=0,0,(MAX(C195:I195)-LARGE(C195:I195,2))/L195*100)</f>
        <v>37.5476379604259</v>
      </c>
      <c r="S195" s="4" t="s">
        <v>26</v>
      </c>
      <c r="T195" s="4" t="s">
        <v>27</v>
      </c>
    </row>
    <row r="196" customFormat="false" ht="15" hidden="false" customHeight="false" outlineLevel="0" collapsed="false">
      <c r="A196" s="4" t="s">
        <v>73</v>
      </c>
      <c r="B196" s="4" t="n">
        <v>7</v>
      </c>
      <c r="C196" s="5" t="n">
        <v>82800</v>
      </c>
      <c r="D196" s="5" t="n">
        <v>49228</v>
      </c>
      <c r="E196" s="5" t="n">
        <v>47323</v>
      </c>
      <c r="F196" s="5" t="n">
        <v>2796</v>
      </c>
      <c r="G196" s="5" t="n">
        <v>3997</v>
      </c>
      <c r="H196" s="5" t="n">
        <v>4707</v>
      </c>
      <c r="I196" s="5" t="n">
        <v>0</v>
      </c>
      <c r="J196" s="5" t="n">
        <v>387</v>
      </c>
      <c r="K196" s="5" t="n">
        <v>5828</v>
      </c>
      <c r="L196" s="5" t="n">
        <v>197066</v>
      </c>
      <c r="M196" s="11" t="n">
        <f aca="false">IF(L196=0,0,C196/L196)</f>
        <v>0.420163802989861</v>
      </c>
      <c r="N196" s="11" t="n">
        <f aca="false">IF(L196=0,0,D196/L196)</f>
        <v>0.249804633980494</v>
      </c>
      <c r="O196" s="11" t="n">
        <f aca="false">IF(L196=0,0,E196/L196)</f>
        <v>0.240137821846488</v>
      </c>
      <c r="P196" s="11" t="n">
        <f aca="false">IF(L196=0,0,K196/L196)</f>
        <v>0.0295738483553733</v>
      </c>
      <c r="Q196" s="4" t="str">
        <f aca="false">INDEX($C$3:$I$3,MATCH(MAX(C196:I196),C196:I196,0))</f>
        <v>Va por México (PAN-PRI-PRD)</v>
      </c>
      <c r="R196" s="17" t="n">
        <f aca="false">IF(L196=0,0,(MAX(C196:I196)-LARGE(C196:I196,2))/L196*100)</f>
        <v>17.0359169009367</v>
      </c>
      <c r="S196" s="4" t="s">
        <v>23</v>
      </c>
      <c r="T196" s="4" t="s">
        <v>26</v>
      </c>
    </row>
    <row r="197" customFormat="false" ht="15" hidden="false" customHeight="false" outlineLevel="0" collapsed="false">
      <c r="A197" s="4" t="s">
        <v>73</v>
      </c>
      <c r="B197" s="4" t="n">
        <v>8</v>
      </c>
      <c r="C197" s="5" t="n">
        <v>82092</v>
      </c>
      <c r="D197" s="5" t="n">
        <v>34920</v>
      </c>
      <c r="E197" s="5" t="n">
        <v>33545</v>
      </c>
      <c r="F197" s="5" t="n">
        <v>1720</v>
      </c>
      <c r="G197" s="5" t="n">
        <v>903</v>
      </c>
      <c r="H197" s="5" t="n">
        <v>1648</v>
      </c>
      <c r="I197" s="5" t="n">
        <v>0</v>
      </c>
      <c r="J197" s="5" t="n">
        <v>55</v>
      </c>
      <c r="K197" s="5" t="n">
        <v>3794</v>
      </c>
      <c r="L197" s="5" t="n">
        <v>158677</v>
      </c>
      <c r="M197" s="11" t="n">
        <f aca="false">IF(L197=0,0,C197/L197)</f>
        <v>0.517352861473307</v>
      </c>
      <c r="N197" s="11" t="n">
        <f aca="false">IF(L197=0,0,D197/L197)</f>
        <v>0.22006970134298</v>
      </c>
      <c r="O197" s="11" t="n">
        <f aca="false">IF(L197=0,0,E197/L197)</f>
        <v>0.211404299299836</v>
      </c>
      <c r="P197" s="11" t="n">
        <f aca="false">IF(L197=0,0,K197/L197)</f>
        <v>0.0239102075285013</v>
      </c>
      <c r="Q197" s="4" t="str">
        <f aca="false">INDEX($C$3:$I$3,MATCH(MAX(C197:I197),C197:I197,0))</f>
        <v>Va por México (PAN-PRI-PRD)</v>
      </c>
      <c r="R197" s="17" t="n">
        <f aca="false">IF(L197=0,0,(MAX(C197:I197)-LARGE(C197:I197,2))/L197*100)</f>
        <v>29.7283160130328</v>
      </c>
      <c r="S197" s="4" t="s">
        <v>27</v>
      </c>
      <c r="T197" s="4" t="s">
        <v>26</v>
      </c>
    </row>
    <row r="198" customFormat="false" ht="15" hidden="false" customHeight="false" outlineLevel="0" collapsed="false">
      <c r="A198" s="4" t="s">
        <v>73</v>
      </c>
      <c r="B198" s="4" t="n">
        <v>9</v>
      </c>
      <c r="C198" s="5" t="n">
        <v>124311</v>
      </c>
      <c r="D198" s="5" t="n">
        <v>43399</v>
      </c>
      <c r="E198" s="5" t="n">
        <v>22015</v>
      </c>
      <c r="F198" s="5" t="n">
        <v>1089</v>
      </c>
      <c r="G198" s="5" t="n">
        <v>2169</v>
      </c>
      <c r="H198" s="5" t="n">
        <v>1092</v>
      </c>
      <c r="I198" s="5" t="n">
        <v>0</v>
      </c>
      <c r="J198" s="5" t="n">
        <v>77</v>
      </c>
      <c r="K198" s="5" t="n">
        <v>7654</v>
      </c>
      <c r="L198" s="5" t="n">
        <v>201806</v>
      </c>
      <c r="M198" s="11" t="n">
        <f aca="false">IF(L198=0,0,C198/L198)</f>
        <v>0.615992586939932</v>
      </c>
      <c r="N198" s="11" t="n">
        <f aca="false">IF(L198=0,0,D198/L198)</f>
        <v>0.215053070770938</v>
      </c>
      <c r="O198" s="11" t="n">
        <f aca="false">IF(L198=0,0,E198/L198)</f>
        <v>0.109089918040098</v>
      </c>
      <c r="P198" s="11" t="n">
        <f aca="false">IF(L198=0,0,K198/L198)</f>
        <v>0.0379275145436707</v>
      </c>
      <c r="Q198" s="4" t="str">
        <f aca="false">INDEX($C$3:$I$3,MATCH(MAX(C198:I198),C198:I198,0))</f>
        <v>Va por México (PAN-PRI-PRD)</v>
      </c>
      <c r="R198" s="17" t="n">
        <f aca="false">IF(L198=0,0,(MAX(C198:I198)-LARGE(C198:I198,2))/L198*100)</f>
        <v>40.0939516168994</v>
      </c>
      <c r="S198" s="4" t="s">
        <v>27</v>
      </c>
      <c r="T198" s="4" t="s">
        <v>26</v>
      </c>
    </row>
    <row r="199" customFormat="false" ht="15" hidden="false" customHeight="false" outlineLevel="0" collapsed="false">
      <c r="A199" s="4" t="s">
        <v>73</v>
      </c>
      <c r="B199" s="4" t="n">
        <v>10</v>
      </c>
      <c r="C199" s="5" t="n">
        <v>122832</v>
      </c>
      <c r="D199" s="5" t="n">
        <v>24161</v>
      </c>
      <c r="E199" s="5" t="n">
        <v>42035</v>
      </c>
      <c r="F199" s="5" t="n">
        <v>1050</v>
      </c>
      <c r="G199" s="5" t="n">
        <v>739</v>
      </c>
      <c r="H199" s="5" t="n">
        <v>1298</v>
      </c>
      <c r="I199" s="5" t="n">
        <v>0</v>
      </c>
      <c r="J199" s="5" t="n">
        <v>78</v>
      </c>
      <c r="K199" s="5" t="n">
        <v>4043</v>
      </c>
      <c r="L199" s="5" t="n">
        <v>196236</v>
      </c>
      <c r="M199" s="11" t="n">
        <f aca="false">IF(L199=0,0,C199/L199)</f>
        <v>0.625940194459732</v>
      </c>
      <c r="N199" s="11" t="n">
        <f aca="false">IF(L199=0,0,D199/L199)</f>
        <v>0.123122159033001</v>
      </c>
      <c r="O199" s="11" t="n">
        <f aca="false">IF(L199=0,0,E199/L199)</f>
        <v>0.214206363766078</v>
      </c>
      <c r="P199" s="11" t="n">
        <f aca="false">IF(L199=0,0,K199/L199)</f>
        <v>0.0206027436352147</v>
      </c>
      <c r="Q199" s="4" t="str">
        <f aca="false">INDEX($C$3:$I$3,MATCH(MAX(C199:I199),C199:I199,0))</f>
        <v>Va por México (PAN-PRI-PRD)</v>
      </c>
      <c r="R199" s="17" t="n">
        <f aca="false">IF(L199=0,0,(MAX(C199:I199)-LARGE(C199:I199,2))/L199*100)</f>
        <v>41.1733830693655</v>
      </c>
      <c r="S199" s="4" t="s">
        <v>27</v>
      </c>
      <c r="T199" s="4" t="s">
        <v>26</v>
      </c>
    </row>
    <row r="200" customFormat="false" ht="15" hidden="false" customHeight="false" outlineLevel="0" collapsed="false">
      <c r="A200" s="4" t="s">
        <v>73</v>
      </c>
      <c r="B200" s="4" t="n">
        <v>11</v>
      </c>
      <c r="C200" s="5" t="n">
        <v>104996</v>
      </c>
      <c r="D200" s="5" t="n">
        <v>33772</v>
      </c>
      <c r="E200" s="5" t="n">
        <v>31293</v>
      </c>
      <c r="F200" s="5" t="n">
        <v>2416</v>
      </c>
      <c r="G200" s="5" t="n">
        <v>1121</v>
      </c>
      <c r="H200" s="5" t="n">
        <v>1167</v>
      </c>
      <c r="I200" s="5" t="n">
        <v>0</v>
      </c>
      <c r="J200" s="5" t="n">
        <v>68</v>
      </c>
      <c r="K200" s="5" t="n">
        <v>4207</v>
      </c>
      <c r="L200" s="5" t="n">
        <v>179040</v>
      </c>
      <c r="M200" s="11" t="n">
        <f aca="false">IF(L200=0,0,C200/L200)</f>
        <v>0.586438784629133</v>
      </c>
      <c r="N200" s="11" t="n">
        <f aca="false">IF(L200=0,0,D200/L200)</f>
        <v>0.188628239499553</v>
      </c>
      <c r="O200" s="11" t="n">
        <f aca="false">IF(L200=0,0,E200/L200)</f>
        <v>0.174782171581769</v>
      </c>
      <c r="P200" s="11" t="n">
        <f aca="false">IF(L200=0,0,K200/L200)</f>
        <v>0.0234975424486148</v>
      </c>
      <c r="Q200" s="4" t="str">
        <f aca="false">INDEX($C$3:$I$3,MATCH(MAX(C200:I200),C200:I200,0))</f>
        <v>Va por México (PAN-PRI-PRD)</v>
      </c>
      <c r="R200" s="17" t="n">
        <f aca="false">IF(L200=0,0,(MAX(C200:I200)-LARGE(C200:I200,2))/L200*100)</f>
        <v>39.781054512958</v>
      </c>
      <c r="S200" s="4" t="s">
        <v>26</v>
      </c>
      <c r="T200" s="4" t="s">
        <v>27</v>
      </c>
    </row>
    <row r="201" customFormat="false" ht="15" hidden="false" customHeight="false" outlineLevel="0" collapsed="false">
      <c r="A201" s="4" t="s">
        <v>73</v>
      </c>
      <c r="B201" s="4" t="n">
        <v>12</v>
      </c>
      <c r="C201" s="5" t="n">
        <v>80069</v>
      </c>
      <c r="D201" s="5" t="n">
        <v>39661</v>
      </c>
      <c r="E201" s="5" t="n">
        <v>32199</v>
      </c>
      <c r="F201" s="5" t="n">
        <v>1517</v>
      </c>
      <c r="G201" s="5" t="n">
        <v>1068</v>
      </c>
      <c r="H201" s="5" t="n">
        <v>2971</v>
      </c>
      <c r="I201" s="5" t="n">
        <v>0</v>
      </c>
      <c r="J201" s="5" t="n">
        <v>47</v>
      </c>
      <c r="K201" s="5" t="n">
        <v>4349</v>
      </c>
      <c r="L201" s="5" t="n">
        <v>161881</v>
      </c>
      <c r="M201" s="11" t="n">
        <f aca="false">IF(L201=0,0,C201/L201)</f>
        <v>0.494616415762196</v>
      </c>
      <c r="N201" s="11" t="n">
        <f aca="false">IF(L201=0,0,D201/L201)</f>
        <v>0.245000957493467</v>
      </c>
      <c r="O201" s="11" t="n">
        <f aca="false">IF(L201=0,0,E201/L201)</f>
        <v>0.198905368758533</v>
      </c>
      <c r="P201" s="11" t="n">
        <f aca="false">IF(L201=0,0,K201/L201)</f>
        <v>0.0268654134827435</v>
      </c>
      <c r="Q201" s="4" t="str">
        <f aca="false">INDEX($C$3:$I$3,MATCH(MAX(C201:I201),C201:I201,0))</f>
        <v>Va por México (PAN-PRI-PRD)</v>
      </c>
      <c r="R201" s="17" t="n">
        <f aca="false">IF(L201=0,0,(MAX(C201:I201)-LARGE(C201:I201,2))/L201*100)</f>
        <v>24.9615458268728</v>
      </c>
      <c r="S201" s="4" t="s">
        <v>27</v>
      </c>
      <c r="T201" s="4" t="s">
        <v>23</v>
      </c>
    </row>
    <row r="202" customFormat="false" ht="15" hidden="false" customHeight="false" outlineLevel="0" collapsed="false">
      <c r="A202" s="4" t="s">
        <v>74</v>
      </c>
      <c r="B202" s="4" t="n">
        <v>1</v>
      </c>
      <c r="C202" s="5" t="n">
        <v>58336</v>
      </c>
      <c r="D202" s="5" t="n">
        <v>100759</v>
      </c>
      <c r="E202" s="5" t="n">
        <v>8797</v>
      </c>
      <c r="F202" s="5" t="n">
        <v>4748</v>
      </c>
      <c r="G202" s="5" t="n">
        <v>4291</v>
      </c>
      <c r="H202" s="5" t="n">
        <v>5636</v>
      </c>
      <c r="I202" s="5" t="n">
        <v>0</v>
      </c>
      <c r="J202" s="5" t="n">
        <v>311</v>
      </c>
      <c r="K202" s="5" t="n">
        <v>6462</v>
      </c>
      <c r="L202" s="5" t="n">
        <v>189340</v>
      </c>
      <c r="M202" s="11" t="n">
        <f aca="false">IF(L202=0,0,C202/L202)</f>
        <v>0.308101827400444</v>
      </c>
      <c r="N202" s="11" t="n">
        <f aca="false">IF(L202=0,0,D202/L202)</f>
        <v>0.532159078905672</v>
      </c>
      <c r="O202" s="11" t="n">
        <f aca="false">IF(L202=0,0,E202/L202)</f>
        <v>0.0464613922044998</v>
      </c>
      <c r="P202" s="11" t="n">
        <f aca="false">IF(L202=0,0,K202/L202)</f>
        <v>0.0341290799619732</v>
      </c>
      <c r="Q202" s="4" t="str">
        <f aca="false">INDEX($C$3:$I$3,MATCH(MAX(C202:I202),C202:I202,0))</f>
        <v>Juntos Hacemos Historia (Morena-PT-PVEM)</v>
      </c>
      <c r="R202" s="17" t="n">
        <f aca="false">IF(L202=0,0,(MAX(C202:I202)-LARGE(C202:I202,2))/L202*100)</f>
        <v>22.4057251505229</v>
      </c>
      <c r="S202" s="4" t="s">
        <v>23</v>
      </c>
      <c r="T202" s="4" t="s">
        <v>25</v>
      </c>
    </row>
    <row r="203" customFormat="false" ht="15" hidden="false" customHeight="false" outlineLevel="0" collapsed="false">
      <c r="A203" s="4" t="s">
        <v>74</v>
      </c>
      <c r="B203" s="4" t="n">
        <v>2</v>
      </c>
      <c r="C203" s="5" t="n">
        <v>62767</v>
      </c>
      <c r="D203" s="5" t="n">
        <v>92929</v>
      </c>
      <c r="E203" s="5" t="n">
        <v>4244</v>
      </c>
      <c r="F203" s="5" t="n">
        <v>3419</v>
      </c>
      <c r="G203" s="5" t="n">
        <v>4547</v>
      </c>
      <c r="H203" s="5" t="n">
        <v>3654</v>
      </c>
      <c r="I203" s="5" t="n">
        <v>0</v>
      </c>
      <c r="J203" s="5" t="n">
        <v>24</v>
      </c>
      <c r="K203" s="5" t="n">
        <v>7418</v>
      </c>
      <c r="L203" s="5" t="n">
        <v>179002</v>
      </c>
      <c r="M203" s="11" t="n">
        <f aca="false">IF(L203=0,0,C203/L203)</f>
        <v>0.350649713411023</v>
      </c>
      <c r="N203" s="11" t="n">
        <f aca="false">IF(L203=0,0,D203/L203)</f>
        <v>0.519150624015374</v>
      </c>
      <c r="O203" s="11" t="n">
        <f aca="false">IF(L203=0,0,E203/L203)</f>
        <v>0.0237092322990805</v>
      </c>
      <c r="P203" s="11" t="n">
        <f aca="false">IF(L203=0,0,K203/L203)</f>
        <v>0.0414408777555558</v>
      </c>
      <c r="Q203" s="4" t="str">
        <f aca="false">INDEX($C$3:$I$3,MATCH(MAX(C203:I203),C203:I203,0))</f>
        <v>Juntos Hacemos Historia (Morena-PT-PVEM)</v>
      </c>
      <c r="R203" s="17" t="n">
        <f aca="false">IF(L203=0,0,(MAX(C203:I203)-LARGE(C203:I203,2))/L203*100)</f>
        <v>16.8500910604351</v>
      </c>
      <c r="S203" s="4" t="s">
        <v>24</v>
      </c>
      <c r="T203" s="4" t="s">
        <v>25</v>
      </c>
    </row>
    <row r="204" customFormat="false" ht="15" hidden="false" customHeight="false" outlineLevel="0" collapsed="false">
      <c r="A204" s="4" t="s">
        <v>74</v>
      </c>
      <c r="B204" s="4" t="n">
        <v>3</v>
      </c>
      <c r="C204" s="5" t="n">
        <v>43023</v>
      </c>
      <c r="D204" s="5" t="n">
        <v>94183</v>
      </c>
      <c r="E204" s="5" t="n">
        <v>4739</v>
      </c>
      <c r="F204" s="5" t="n">
        <v>3898</v>
      </c>
      <c r="G204" s="5" t="n">
        <v>3261</v>
      </c>
      <c r="H204" s="5" t="n">
        <v>10444</v>
      </c>
      <c r="I204" s="5" t="n">
        <v>0</v>
      </c>
      <c r="J204" s="5" t="n">
        <v>73</v>
      </c>
      <c r="K204" s="5" t="n">
        <v>6163</v>
      </c>
      <c r="L204" s="5" t="n">
        <v>165784</v>
      </c>
      <c r="M204" s="11" t="n">
        <f aca="false">IF(L204=0,0,C204/L204)</f>
        <v>0.259512377551513</v>
      </c>
      <c r="N204" s="11" t="n">
        <f aca="false">IF(L204=0,0,D204/L204)</f>
        <v>0.568106693046374</v>
      </c>
      <c r="O204" s="11" t="n">
        <f aca="false">IF(L204=0,0,E204/L204)</f>
        <v>0.0285853882159919</v>
      </c>
      <c r="P204" s="11" t="n">
        <f aca="false">IF(L204=0,0,K204/L204)</f>
        <v>0.0371748781547073</v>
      </c>
      <c r="Q204" s="4" t="str">
        <f aca="false">INDEX($C$3:$I$3,MATCH(MAX(C204:I204),C204:I204,0))</f>
        <v>Juntos Hacemos Historia (Morena-PT-PVEM)</v>
      </c>
      <c r="R204" s="17" t="n">
        <f aca="false">IF(L204=0,0,(MAX(C204:I204)-LARGE(C204:I204,2))/L204*100)</f>
        <v>30.8594315494861</v>
      </c>
      <c r="S204" s="4" t="s">
        <v>23</v>
      </c>
      <c r="T204" s="4" t="s">
        <v>25</v>
      </c>
    </row>
    <row r="205" customFormat="false" ht="15" hidden="false" customHeight="false" outlineLevel="0" collapsed="false">
      <c r="A205" s="4" t="s">
        <v>74</v>
      </c>
      <c r="B205" s="4" t="n">
        <v>4</v>
      </c>
      <c r="C205" s="5" t="n">
        <v>36017</v>
      </c>
      <c r="D205" s="5" t="n">
        <v>90211</v>
      </c>
      <c r="E205" s="5" t="n">
        <v>3685</v>
      </c>
      <c r="F205" s="5" t="n">
        <v>3028</v>
      </c>
      <c r="G205" s="5" t="n">
        <v>2172</v>
      </c>
      <c r="H205" s="5" t="n">
        <v>4169</v>
      </c>
      <c r="I205" s="5" t="n">
        <v>0</v>
      </c>
      <c r="J205" s="5" t="n">
        <v>58</v>
      </c>
      <c r="K205" s="5" t="n">
        <v>6450</v>
      </c>
      <c r="L205" s="5" t="n">
        <v>145790</v>
      </c>
      <c r="M205" s="11" t="n">
        <f aca="false">IF(L205=0,0,C205/L205)</f>
        <v>0.247047122573565</v>
      </c>
      <c r="N205" s="11" t="n">
        <f aca="false">IF(L205=0,0,D205/L205)</f>
        <v>0.618773578434735</v>
      </c>
      <c r="O205" s="11" t="n">
        <f aca="false">IF(L205=0,0,E205/L205)</f>
        <v>0.0252760820358049</v>
      </c>
      <c r="P205" s="11" t="n">
        <f aca="false">IF(L205=0,0,K205/L205)</f>
        <v>0.0442417175389259</v>
      </c>
      <c r="Q205" s="4" t="str">
        <f aca="false">INDEX($C$3:$I$3,MATCH(MAX(C205:I205),C205:I205,0))</f>
        <v>Juntos Hacemos Historia (Morena-PT-PVEM)</v>
      </c>
      <c r="R205" s="17" t="n">
        <f aca="false">IF(L205=0,0,(MAX(C205:I205)-LARGE(C205:I205,2))/L205*100)</f>
        <v>37.172645586117</v>
      </c>
      <c r="S205" s="4" t="s">
        <v>23</v>
      </c>
      <c r="T205" s="4" t="s">
        <v>25</v>
      </c>
    </row>
    <row r="206" customFormat="false" ht="15" hidden="false" customHeight="false" outlineLevel="0" collapsed="false">
      <c r="A206" s="4" t="s">
        <v>74</v>
      </c>
      <c r="B206" s="4" t="n">
        <v>5</v>
      </c>
      <c r="C206" s="5" t="n">
        <v>33183</v>
      </c>
      <c r="D206" s="5" t="n">
        <v>106845</v>
      </c>
      <c r="E206" s="5" t="n">
        <v>3058</v>
      </c>
      <c r="F206" s="5" t="n">
        <v>3131</v>
      </c>
      <c r="G206" s="5" t="n">
        <v>2887</v>
      </c>
      <c r="H206" s="5" t="n">
        <v>4017</v>
      </c>
      <c r="I206" s="5" t="n">
        <v>0</v>
      </c>
      <c r="J206" s="5" t="n">
        <v>49</v>
      </c>
      <c r="K206" s="5" t="n">
        <v>5132</v>
      </c>
      <c r="L206" s="5" t="n">
        <v>158302</v>
      </c>
      <c r="M206" s="11" t="n">
        <f aca="false">IF(L206=0,0,C206/L206)</f>
        <v>0.209618324468421</v>
      </c>
      <c r="N206" s="11" t="n">
        <f aca="false">IF(L206=0,0,D206/L206)</f>
        <v>0.674944094199694</v>
      </c>
      <c r="O206" s="11" t="n">
        <f aca="false">IF(L206=0,0,E206/L206)</f>
        <v>0.0193175070434991</v>
      </c>
      <c r="P206" s="11" t="n">
        <f aca="false">IF(L206=0,0,K206/L206)</f>
        <v>0.0324190471377494</v>
      </c>
      <c r="Q206" s="4" t="str">
        <f aca="false">INDEX($C$3:$I$3,MATCH(MAX(C206:I206),C206:I206,0))</f>
        <v>Juntos Hacemos Historia (Morena-PT-PVEM)</v>
      </c>
      <c r="R206" s="17" t="n">
        <f aca="false">IF(L206=0,0,(MAX(C206:I206)-LARGE(C206:I206,2))/L206*100)</f>
        <v>46.5325769731273</v>
      </c>
      <c r="S206" s="4" t="s">
        <v>23</v>
      </c>
      <c r="T206" s="4" t="s">
        <v>25</v>
      </c>
    </row>
    <row r="207" customFormat="false" ht="15" hidden="false" customHeight="false" outlineLevel="0" collapsed="false">
      <c r="A207" s="4" t="s">
        <v>74</v>
      </c>
      <c r="B207" s="4" t="n">
        <v>6</v>
      </c>
      <c r="C207" s="5" t="n">
        <v>37628</v>
      </c>
      <c r="D207" s="5" t="n">
        <v>89865</v>
      </c>
      <c r="E207" s="5" t="n">
        <v>3156</v>
      </c>
      <c r="F207" s="5" t="n">
        <v>4644</v>
      </c>
      <c r="G207" s="5" t="n">
        <v>2869</v>
      </c>
      <c r="H207" s="5" t="n">
        <v>5605</v>
      </c>
      <c r="I207" s="5" t="n">
        <v>0</v>
      </c>
      <c r="J207" s="5" t="n">
        <v>55</v>
      </c>
      <c r="K207" s="5" t="n">
        <v>7949</v>
      </c>
      <c r="L207" s="5" t="n">
        <v>151771</v>
      </c>
      <c r="M207" s="11" t="n">
        <f aca="false">IF(L207=0,0,C207/L207)</f>
        <v>0.247926151899902</v>
      </c>
      <c r="N207" s="11" t="n">
        <f aca="false">IF(L207=0,0,D207/L207)</f>
        <v>0.592109164464885</v>
      </c>
      <c r="O207" s="11" t="n">
        <f aca="false">IF(L207=0,0,E207/L207)</f>
        <v>0.0207944864302139</v>
      </c>
      <c r="P207" s="11" t="n">
        <f aca="false">IF(L207=0,0,K207/L207)</f>
        <v>0.0523749596431466</v>
      </c>
      <c r="Q207" s="4" t="str">
        <f aca="false">INDEX($C$3:$I$3,MATCH(MAX(C207:I207),C207:I207,0))</f>
        <v>Juntos Hacemos Historia (Morena-PT-PVEM)</v>
      </c>
      <c r="R207" s="17" t="n">
        <f aca="false">IF(L207=0,0,(MAX(C207:I207)-LARGE(C207:I207,2))/L207*100)</f>
        <v>34.4183012564983</v>
      </c>
      <c r="S207" s="4" t="s">
        <v>24</v>
      </c>
      <c r="T207" s="4" t="s">
        <v>25</v>
      </c>
    </row>
    <row r="208" customFormat="false" ht="15" hidden="false" customHeight="false" outlineLevel="0" collapsed="false">
      <c r="A208" s="4" t="s">
        <v>74</v>
      </c>
      <c r="B208" s="4" t="n">
        <v>7</v>
      </c>
      <c r="C208" s="5" t="n">
        <v>59685</v>
      </c>
      <c r="D208" s="5" t="n">
        <v>108328</v>
      </c>
      <c r="E208" s="5" t="n">
        <v>4153</v>
      </c>
      <c r="F208" s="5" t="n">
        <v>5492</v>
      </c>
      <c r="G208" s="5" t="n">
        <v>3745</v>
      </c>
      <c r="H208" s="5" t="n">
        <v>4209</v>
      </c>
      <c r="I208" s="5" t="n">
        <v>0</v>
      </c>
      <c r="J208" s="5" t="n">
        <v>55</v>
      </c>
      <c r="K208" s="5" t="n">
        <v>5028</v>
      </c>
      <c r="L208" s="5" t="n">
        <v>190695</v>
      </c>
      <c r="M208" s="11" t="n">
        <f aca="false">IF(L208=0,0,C208/L208)</f>
        <v>0.312986706520884</v>
      </c>
      <c r="N208" s="11" t="n">
        <f aca="false">IF(L208=0,0,D208/L208)</f>
        <v>0.56806943024201</v>
      </c>
      <c r="O208" s="11" t="n">
        <f aca="false">IF(L208=0,0,E208/L208)</f>
        <v>0.0217782322556963</v>
      </c>
      <c r="P208" s="11" t="n">
        <f aca="false">IF(L208=0,0,K208/L208)</f>
        <v>0.0263667112404625</v>
      </c>
      <c r="Q208" s="4" t="str">
        <f aca="false">INDEX($C$3:$I$3,MATCH(MAX(C208:I208),C208:I208,0))</f>
        <v>Juntos Hacemos Historia (Morena-PT-PVEM)</v>
      </c>
      <c r="R208" s="17" t="n">
        <f aca="false">IF(L208=0,0,(MAX(C208:I208)-LARGE(C208:I208,2))/L208*100)</f>
        <v>25.5082723721125</v>
      </c>
      <c r="S208" s="4" t="s">
        <v>23</v>
      </c>
      <c r="T208" s="4" t="s">
        <v>25</v>
      </c>
    </row>
    <row r="209" customFormat="false" ht="15" hidden="false" customHeight="false" outlineLevel="0" collapsed="false">
      <c r="A209" s="4" t="s">
        <v>74</v>
      </c>
      <c r="B209" s="4" t="n">
        <v>8</v>
      </c>
      <c r="C209" s="5" t="n">
        <v>50541</v>
      </c>
      <c r="D209" s="5" t="n">
        <v>87866</v>
      </c>
      <c r="E209" s="5" t="n">
        <v>6329</v>
      </c>
      <c r="F209" s="5" t="n">
        <v>7174</v>
      </c>
      <c r="G209" s="5" t="n">
        <v>2790</v>
      </c>
      <c r="H209" s="5" t="n">
        <v>6785</v>
      </c>
      <c r="I209" s="5" t="n">
        <v>0</v>
      </c>
      <c r="J209" s="5" t="n">
        <v>102</v>
      </c>
      <c r="K209" s="5" t="n">
        <v>4873</v>
      </c>
      <c r="L209" s="5" t="n">
        <v>166460</v>
      </c>
      <c r="M209" s="11" t="n">
        <f aca="false">IF(L209=0,0,C209/L209)</f>
        <v>0.303622491889944</v>
      </c>
      <c r="N209" s="11" t="n">
        <f aca="false">IF(L209=0,0,D209/L209)</f>
        <v>0.527850534662982</v>
      </c>
      <c r="O209" s="11" t="n">
        <f aca="false">IF(L209=0,0,E209/L209)</f>
        <v>0.0380211462213144</v>
      </c>
      <c r="P209" s="11" t="n">
        <f aca="false">IF(L209=0,0,K209/L209)</f>
        <v>0.0292743001321639</v>
      </c>
      <c r="Q209" s="4" t="str">
        <f aca="false">INDEX($C$3:$I$3,MATCH(MAX(C209:I209),C209:I209,0))</f>
        <v>Juntos Hacemos Historia (Morena-PT-PVEM)</v>
      </c>
      <c r="R209" s="17" t="n">
        <f aca="false">IF(L209=0,0,(MAX(C209:I209)-LARGE(C209:I209,2))/L209*100)</f>
        <v>22.4228042773039</v>
      </c>
      <c r="S209" s="4" t="s">
        <v>23</v>
      </c>
      <c r="T209" s="4" t="s">
        <v>25</v>
      </c>
    </row>
    <row r="210" customFormat="false" ht="15" hidden="false" customHeight="false" outlineLevel="0" collapsed="false">
      <c r="A210" s="4" t="s">
        <v>74</v>
      </c>
      <c r="B210" s="4" t="n">
        <v>9</v>
      </c>
      <c r="C210" s="5" t="n">
        <v>73865</v>
      </c>
      <c r="D210" s="5" t="n">
        <v>81516</v>
      </c>
      <c r="E210" s="5" t="n">
        <v>3055</v>
      </c>
      <c r="F210" s="5" t="n">
        <v>2914</v>
      </c>
      <c r="G210" s="5" t="n">
        <v>4954</v>
      </c>
      <c r="H210" s="5" t="n">
        <v>4033</v>
      </c>
      <c r="I210" s="5" t="n">
        <v>0</v>
      </c>
      <c r="J210" s="5" t="n">
        <v>57</v>
      </c>
      <c r="K210" s="5" t="n">
        <v>7625</v>
      </c>
      <c r="L210" s="5" t="n">
        <v>178019</v>
      </c>
      <c r="M210" s="11" t="n">
        <f aca="false">IF(L210=0,0,C210/L210)</f>
        <v>0.414927620085497</v>
      </c>
      <c r="N210" s="11" t="n">
        <f aca="false">IF(L210=0,0,D210/L210)</f>
        <v>0.457906178553975</v>
      </c>
      <c r="O210" s="11" t="n">
        <f aca="false">IF(L210=0,0,E210/L210)</f>
        <v>0.0171610895466214</v>
      </c>
      <c r="P210" s="11" t="n">
        <f aca="false">IF(L210=0,0,K210/L210)</f>
        <v>0.0428325066425494</v>
      </c>
      <c r="Q210" s="4" t="str">
        <f aca="false">INDEX($C$3:$I$3,MATCH(MAX(C210:I210),C210:I210,0))</f>
        <v>Juntos Hacemos Historia (Morena-PT-PVEM)</v>
      </c>
      <c r="R210" s="17" t="n">
        <f aca="false">IF(L210=0,0,(MAX(C210:I210)-LARGE(C210:I210,2))/L210*100)</f>
        <v>4.29785584684781</v>
      </c>
      <c r="S210" s="4" t="s">
        <v>23</v>
      </c>
      <c r="T210" s="4" t="s">
        <v>25</v>
      </c>
    </row>
    <row r="211" customFormat="false" ht="15" hidden="false" customHeight="false" outlineLevel="0" collapsed="false">
      <c r="A211" s="4" t="s">
        <v>74</v>
      </c>
      <c r="B211" s="4" t="n">
        <v>10</v>
      </c>
      <c r="C211" s="5" t="n">
        <v>53781</v>
      </c>
      <c r="D211" s="5" t="n">
        <v>93295</v>
      </c>
      <c r="E211" s="5" t="n">
        <v>3657</v>
      </c>
      <c r="F211" s="5" t="n">
        <v>3673</v>
      </c>
      <c r="G211" s="5" t="n">
        <v>2642</v>
      </c>
      <c r="H211" s="5" t="n">
        <v>5813</v>
      </c>
      <c r="I211" s="5" t="n">
        <v>0</v>
      </c>
      <c r="J211" s="5" t="n">
        <v>95</v>
      </c>
      <c r="K211" s="5" t="n">
        <v>9520</v>
      </c>
      <c r="L211" s="5" t="n">
        <v>172476</v>
      </c>
      <c r="M211" s="11" t="n">
        <f aca="false">IF(L211=0,0,C211/L211)</f>
        <v>0.311817296319488</v>
      </c>
      <c r="N211" s="11" t="n">
        <f aca="false">IF(L211=0,0,D211/L211)</f>
        <v>0.540915837565806</v>
      </c>
      <c r="O211" s="11" t="n">
        <f aca="false">IF(L211=0,0,E211/L211)</f>
        <v>0.0212029499756488</v>
      </c>
      <c r="P211" s="11" t="n">
        <f aca="false">IF(L211=0,0,K211/L211)</f>
        <v>0.0551960852524409</v>
      </c>
      <c r="Q211" s="4" t="str">
        <f aca="false">INDEX($C$3:$I$3,MATCH(MAX(C211:I211),C211:I211,0))</f>
        <v>Juntos Hacemos Historia (Morena-PT-PVEM)</v>
      </c>
      <c r="R211" s="17" t="n">
        <f aca="false">IF(L211=0,0,(MAX(C211:I211)-LARGE(C211:I211,2))/L211*100)</f>
        <v>22.9098541246318</v>
      </c>
      <c r="S211" s="4" t="s">
        <v>24</v>
      </c>
      <c r="T211" s="4" t="s">
        <v>25</v>
      </c>
    </row>
    <row r="212" customFormat="false" ht="15" hidden="false" customHeight="false" outlineLevel="0" collapsed="false">
      <c r="A212" s="4" t="s">
        <v>75</v>
      </c>
      <c r="B212" s="4" t="n">
        <v>1</v>
      </c>
      <c r="C212" s="5" t="n">
        <v>74658</v>
      </c>
      <c r="D212" s="5" t="n">
        <v>80586</v>
      </c>
      <c r="E212" s="5" t="n">
        <v>20645</v>
      </c>
      <c r="F212" s="5" t="n">
        <v>7699</v>
      </c>
      <c r="G212" s="5" t="n">
        <v>3645</v>
      </c>
      <c r="H212" s="5" t="n">
        <v>4528</v>
      </c>
      <c r="I212" s="5" t="n">
        <v>0</v>
      </c>
      <c r="J212" s="5" t="n">
        <v>109</v>
      </c>
      <c r="K212" s="5" t="n">
        <v>10233</v>
      </c>
      <c r="L212" s="5" t="n">
        <v>202103</v>
      </c>
      <c r="M212" s="11" t="n">
        <f aca="false">IF(L212=0,0,C212/L212)</f>
        <v>0.369405699074234</v>
      </c>
      <c r="N212" s="11" t="n">
        <f aca="false">IF(L212=0,0,D212/L212)</f>
        <v>0.398737277526806</v>
      </c>
      <c r="O212" s="11" t="n">
        <f aca="false">IF(L212=0,0,E212/L212)</f>
        <v>0.102150883460414</v>
      </c>
      <c r="P212" s="11" t="n">
        <f aca="false">IF(L212=0,0,K212/L212)</f>
        <v>0.0506325982296156</v>
      </c>
      <c r="Q212" s="4" t="str">
        <f aca="false">INDEX($C$3:$I$3,MATCH(MAX(C212:I212),C212:I212,0))</f>
        <v>Juntos Hacemos Historia (Morena-PT-PVEM)</v>
      </c>
      <c r="R212" s="17" t="n">
        <f aca="false">IF(L212=0,0,(MAX(C212:I212)-LARGE(C212:I212,2))/L212*100)</f>
        <v>2.93315784525712</v>
      </c>
      <c r="S212" s="4" t="s">
        <v>23</v>
      </c>
      <c r="T212" s="4" t="s">
        <v>25</v>
      </c>
    </row>
    <row r="213" customFormat="false" ht="15" hidden="false" customHeight="false" outlineLevel="0" collapsed="false">
      <c r="A213" s="4" t="s">
        <v>75</v>
      </c>
      <c r="B213" s="4" t="n">
        <v>2</v>
      </c>
      <c r="C213" s="5" t="n">
        <v>81846</v>
      </c>
      <c r="D213" s="5" t="n">
        <v>91073</v>
      </c>
      <c r="E213" s="5" t="n">
        <v>6443</v>
      </c>
      <c r="F213" s="5" t="n">
        <v>3674</v>
      </c>
      <c r="G213" s="5" t="n">
        <v>5369</v>
      </c>
      <c r="H213" s="5" t="n">
        <v>8611</v>
      </c>
      <c r="I213" s="5" t="n">
        <v>0</v>
      </c>
      <c r="J213" s="5" t="n">
        <v>139</v>
      </c>
      <c r="K213" s="5" t="n">
        <v>9359</v>
      </c>
      <c r="L213" s="5" t="n">
        <v>206514</v>
      </c>
      <c r="M213" s="11" t="n">
        <f aca="false">IF(L213=0,0,C213/L213)</f>
        <v>0.396321799006363</v>
      </c>
      <c r="N213" s="11" t="n">
        <f aca="false">IF(L213=0,0,D213/L213)</f>
        <v>0.441001578585471</v>
      </c>
      <c r="O213" s="11" t="n">
        <f aca="false">IF(L213=0,0,E213/L213)</f>
        <v>0.0311988533465044</v>
      </c>
      <c r="P213" s="11" t="n">
        <f aca="false">IF(L213=0,0,K213/L213)</f>
        <v>0.045318961426344</v>
      </c>
      <c r="Q213" s="4" t="str">
        <f aca="false">INDEX($C$3:$I$3,MATCH(MAX(C213:I213),C213:I213,0))</f>
        <v>Juntos Hacemos Historia (Morena-PT-PVEM)</v>
      </c>
      <c r="R213" s="17" t="n">
        <f aca="false">IF(L213=0,0,(MAX(C213:I213)-LARGE(C213:I213,2))/L213*100)</f>
        <v>4.46797795791084</v>
      </c>
      <c r="S213" s="4" t="s">
        <v>23</v>
      </c>
      <c r="T213" s="4" t="s">
        <v>25</v>
      </c>
    </row>
    <row r="214" customFormat="false" ht="15" hidden="false" customHeight="false" outlineLevel="0" collapsed="false">
      <c r="A214" s="4" t="s">
        <v>75</v>
      </c>
      <c r="B214" s="4" t="n">
        <v>3</v>
      </c>
      <c r="C214" s="5" t="n">
        <v>64854</v>
      </c>
      <c r="D214" s="5" t="n">
        <v>78607</v>
      </c>
      <c r="E214" s="5" t="n">
        <v>19506</v>
      </c>
      <c r="F214" s="5" t="n">
        <v>8237</v>
      </c>
      <c r="G214" s="5" t="n">
        <v>4087</v>
      </c>
      <c r="H214" s="5" t="n">
        <v>9831</v>
      </c>
      <c r="I214" s="5" t="n">
        <v>0</v>
      </c>
      <c r="J214" s="5" t="n">
        <v>85</v>
      </c>
      <c r="K214" s="5" t="n">
        <v>9291</v>
      </c>
      <c r="L214" s="5" t="n">
        <v>194498</v>
      </c>
      <c r="M214" s="11" t="n">
        <f aca="false">IF(L214=0,0,C214/L214)</f>
        <v>0.333443017408919</v>
      </c>
      <c r="N214" s="11" t="n">
        <f aca="false">IF(L214=0,0,D214/L214)</f>
        <v>0.404153256074613</v>
      </c>
      <c r="O214" s="11" t="n">
        <f aca="false">IF(L214=0,0,E214/L214)</f>
        <v>0.100288948986622</v>
      </c>
      <c r="P214" s="11" t="n">
        <f aca="false">IF(L214=0,0,K214/L214)</f>
        <v>0.0477691287314008</v>
      </c>
      <c r="Q214" s="4" t="str">
        <f aca="false">INDEX($C$3:$I$3,MATCH(MAX(C214:I214),C214:I214,0))</f>
        <v>Juntos Hacemos Historia (Morena-PT-PVEM)</v>
      </c>
      <c r="R214" s="17" t="n">
        <f aca="false">IF(L214=0,0,(MAX(C214:I214)-LARGE(C214:I214,2))/L214*100)</f>
        <v>7.07102386656932</v>
      </c>
      <c r="S214" s="4" t="s">
        <v>23</v>
      </c>
      <c r="T214" s="4" t="s">
        <v>25</v>
      </c>
    </row>
    <row r="215" customFormat="false" ht="15" hidden="false" customHeight="false" outlineLevel="0" collapsed="false">
      <c r="A215" s="4" t="s">
        <v>75</v>
      </c>
      <c r="B215" s="4" t="n">
        <v>4</v>
      </c>
      <c r="C215" s="5" t="n">
        <v>69610</v>
      </c>
      <c r="D215" s="5" t="n">
        <v>79623</v>
      </c>
      <c r="E215" s="5" t="n">
        <v>10119</v>
      </c>
      <c r="F215" s="5" t="n">
        <v>9220</v>
      </c>
      <c r="G215" s="5" t="n">
        <v>6413</v>
      </c>
      <c r="H215" s="5" t="n">
        <v>5270</v>
      </c>
      <c r="I215" s="5" t="n">
        <v>0</v>
      </c>
      <c r="J215" s="5" t="n">
        <v>54</v>
      </c>
      <c r="K215" s="5" t="n">
        <v>11312</v>
      </c>
      <c r="L215" s="5" t="n">
        <v>191621</v>
      </c>
      <c r="M215" s="11" t="n">
        <f aca="false">IF(L215=0,0,C215/L215)</f>
        <v>0.363269161521963</v>
      </c>
      <c r="N215" s="11" t="n">
        <f aca="false">IF(L215=0,0,D215/L215)</f>
        <v>0.415523350780969</v>
      </c>
      <c r="O215" s="11" t="n">
        <f aca="false">IF(L215=0,0,E215/L215)</f>
        <v>0.0528073645372898</v>
      </c>
      <c r="P215" s="11" t="n">
        <f aca="false">IF(L215=0,0,K215/L215)</f>
        <v>0.0590331957353317</v>
      </c>
      <c r="Q215" s="4" t="str">
        <f aca="false">INDEX($C$3:$I$3,MATCH(MAX(C215:I215),C215:I215,0))</f>
        <v>Juntos Hacemos Historia (Morena-PT-PVEM)</v>
      </c>
      <c r="R215" s="17" t="n">
        <f aca="false">IF(L215=0,0,(MAX(C215:I215)-LARGE(C215:I215,2))/L215*100)</f>
        <v>5.22541892590061</v>
      </c>
      <c r="S215" s="4" t="s">
        <v>23</v>
      </c>
      <c r="T215" s="4" t="s">
        <v>25</v>
      </c>
    </row>
    <row r="216" customFormat="false" ht="15" hidden="false" customHeight="false" outlineLevel="0" collapsed="false">
      <c r="A216" s="4" t="s">
        <v>75</v>
      </c>
      <c r="B216" s="4" t="n">
        <v>5</v>
      </c>
      <c r="C216" s="5" t="n">
        <v>49565</v>
      </c>
      <c r="D216" s="5" t="n">
        <v>75034</v>
      </c>
      <c r="E216" s="5" t="n">
        <v>12646</v>
      </c>
      <c r="F216" s="5" t="n">
        <v>8392</v>
      </c>
      <c r="G216" s="5" t="n">
        <v>6099</v>
      </c>
      <c r="H216" s="5" t="n">
        <v>8339</v>
      </c>
      <c r="I216" s="5" t="n">
        <v>0</v>
      </c>
      <c r="J216" s="5" t="n">
        <v>177</v>
      </c>
      <c r="K216" s="5" t="n">
        <v>7491</v>
      </c>
      <c r="L216" s="5" t="n">
        <v>167743</v>
      </c>
      <c r="M216" s="11" t="n">
        <f aca="false">IF(L216=0,0,C216/L216)</f>
        <v>0.295481778673328</v>
      </c>
      <c r="N216" s="11" t="n">
        <f aca="false">IF(L216=0,0,D216/L216)</f>
        <v>0.447315238191758</v>
      </c>
      <c r="O216" s="11" t="n">
        <f aca="false">IF(L216=0,0,E216/L216)</f>
        <v>0.075389136953554</v>
      </c>
      <c r="P216" s="11" t="n">
        <f aca="false">IF(L216=0,0,K216/L216)</f>
        <v>0.0446576012113769</v>
      </c>
      <c r="Q216" s="4" t="str">
        <f aca="false">INDEX($C$3:$I$3,MATCH(MAX(C216:I216),C216:I216,0))</f>
        <v>Juntos Hacemos Historia (Morena-PT-PVEM)</v>
      </c>
      <c r="R216" s="17" t="n">
        <f aca="false">IF(L216=0,0,(MAX(C216:I216)-LARGE(C216:I216,2))/L216*100)</f>
        <v>15.183345951843</v>
      </c>
      <c r="S216" s="4" t="s">
        <v>23</v>
      </c>
      <c r="T216" s="4" t="s">
        <v>25</v>
      </c>
    </row>
    <row r="217" customFormat="false" ht="15" hidden="false" customHeight="false" outlineLevel="0" collapsed="false">
      <c r="A217" s="4" t="s">
        <v>75</v>
      </c>
      <c r="B217" s="4" t="n">
        <v>6</v>
      </c>
      <c r="C217" s="5" t="n">
        <v>49673</v>
      </c>
      <c r="D217" s="5" t="n">
        <v>61972</v>
      </c>
      <c r="E217" s="5" t="n">
        <v>4217</v>
      </c>
      <c r="F217" s="5" t="n">
        <v>1930</v>
      </c>
      <c r="G217" s="5" t="n">
        <v>1472</v>
      </c>
      <c r="H217" s="5" t="n">
        <v>3064</v>
      </c>
      <c r="I217" s="5" t="n">
        <v>0</v>
      </c>
      <c r="J217" s="5" t="n">
        <v>94</v>
      </c>
      <c r="K217" s="5" t="n">
        <v>4608</v>
      </c>
      <c r="L217" s="5" t="n">
        <v>127030</v>
      </c>
      <c r="M217" s="11" t="n">
        <f aca="false">IF(L217=0,0,C217/L217)</f>
        <v>0.391033614106904</v>
      </c>
      <c r="N217" s="11" t="n">
        <f aca="false">IF(L217=0,0,D217/L217)</f>
        <v>0.487853263008738</v>
      </c>
      <c r="O217" s="11" t="n">
        <f aca="false">IF(L217=0,0,E217/L217)</f>
        <v>0.0331968826261513</v>
      </c>
      <c r="P217" s="11" t="n">
        <f aca="false">IF(L217=0,0,K217/L217)</f>
        <v>0.0362748956939306</v>
      </c>
      <c r="Q217" s="4" t="str">
        <f aca="false">INDEX($C$3:$I$3,MATCH(MAX(C217:I217),C217:I217,0))</f>
        <v>Juntos Hacemos Historia (Morena-PT-PVEM)</v>
      </c>
      <c r="R217" s="17" t="n">
        <f aca="false">IF(L217=0,0,(MAX(C217:I217)-LARGE(C217:I217,2))/L217*100)</f>
        <v>9.68196489018342</v>
      </c>
      <c r="S217" s="4" t="s">
        <v>23</v>
      </c>
      <c r="T217" s="4" t="s">
        <v>25</v>
      </c>
    </row>
    <row r="218" customFormat="false" ht="15" hidden="false" customHeight="false" outlineLevel="0" collapsed="false">
      <c r="A218" s="4" t="s">
        <v>75</v>
      </c>
      <c r="B218" s="4" t="n">
        <v>7</v>
      </c>
      <c r="C218" s="5" t="n">
        <v>52470</v>
      </c>
      <c r="D218" s="5" t="n">
        <v>84163</v>
      </c>
      <c r="E218" s="5" t="n">
        <v>10425</v>
      </c>
      <c r="F218" s="5" t="n">
        <v>5515</v>
      </c>
      <c r="G218" s="5" t="n">
        <v>7991</v>
      </c>
      <c r="H218" s="5" t="n">
        <v>8169</v>
      </c>
      <c r="I218" s="5" t="n">
        <v>0</v>
      </c>
      <c r="J218" s="5" t="n">
        <v>188</v>
      </c>
      <c r="K218" s="5" t="n">
        <v>8598</v>
      </c>
      <c r="L218" s="5" t="n">
        <v>177519</v>
      </c>
      <c r="M218" s="11" t="n">
        <f aca="false">IF(L218=0,0,C218/L218)</f>
        <v>0.295573994896321</v>
      </c>
      <c r="N218" s="11" t="n">
        <f aca="false">IF(L218=0,0,D218/L218)</f>
        <v>0.474106996997504</v>
      </c>
      <c r="O218" s="11" t="n">
        <f aca="false">IF(L218=0,0,E218/L218)</f>
        <v>0.0587261081912359</v>
      </c>
      <c r="P218" s="11" t="n">
        <f aca="false">IF(L218=0,0,K218/L218)</f>
        <v>0.048434252108225</v>
      </c>
      <c r="Q218" s="4" t="str">
        <f aca="false">INDEX($C$3:$I$3,MATCH(MAX(C218:I218),C218:I218,0))</f>
        <v>Juntos Hacemos Historia (Morena-PT-PVEM)</v>
      </c>
      <c r="R218" s="17" t="n">
        <f aca="false">IF(L218=0,0,(MAX(C218:I218)-LARGE(C218:I218,2))/L218*100)</f>
        <v>17.8533002101184</v>
      </c>
      <c r="S218" s="4" t="s">
        <v>23</v>
      </c>
      <c r="T218" s="4" t="s">
        <v>25</v>
      </c>
    </row>
    <row r="219" customFormat="false" ht="15" hidden="false" customHeight="false" outlineLevel="0" collapsed="false">
      <c r="A219" s="4" t="s">
        <v>75</v>
      </c>
      <c r="B219" s="4" t="n">
        <v>8</v>
      </c>
      <c r="C219" s="5" t="n">
        <v>73550</v>
      </c>
      <c r="D219" s="5" t="n">
        <v>81612</v>
      </c>
      <c r="E219" s="5" t="n">
        <v>23793</v>
      </c>
      <c r="F219" s="5" t="n">
        <v>4523</v>
      </c>
      <c r="G219" s="5" t="n">
        <v>2592</v>
      </c>
      <c r="H219" s="5" t="n">
        <v>6956</v>
      </c>
      <c r="I219" s="5" t="n">
        <v>0</v>
      </c>
      <c r="J219" s="5" t="n">
        <v>65</v>
      </c>
      <c r="K219" s="5" t="n">
        <v>9337</v>
      </c>
      <c r="L219" s="5" t="n">
        <v>202428</v>
      </c>
      <c r="M219" s="11" t="n">
        <f aca="false">IF(L219=0,0,C219/L219)</f>
        <v>0.363339063765882</v>
      </c>
      <c r="N219" s="11" t="n">
        <f aca="false">IF(L219=0,0,D219/L219)</f>
        <v>0.403165569980438</v>
      </c>
      <c r="O219" s="11" t="n">
        <f aca="false">IF(L219=0,0,E219/L219)</f>
        <v>0.117538087616338</v>
      </c>
      <c r="P219" s="11" t="n">
        <f aca="false">IF(L219=0,0,K219/L219)</f>
        <v>0.0461250419902385</v>
      </c>
      <c r="Q219" s="4" t="str">
        <f aca="false">INDEX($C$3:$I$3,MATCH(MAX(C219:I219),C219:I219,0))</f>
        <v>Juntos Hacemos Historia (Morena-PT-PVEM)</v>
      </c>
      <c r="R219" s="17" t="n">
        <f aca="false">IF(L219=0,0,(MAX(C219:I219)-LARGE(C219:I219,2))/L219*100)</f>
        <v>3.98265062145553</v>
      </c>
      <c r="S219" s="4" t="s">
        <v>23</v>
      </c>
      <c r="T219" s="4" t="s">
        <v>25</v>
      </c>
    </row>
    <row r="220" customFormat="false" ht="15" hidden="false" customHeight="false" outlineLevel="0" collapsed="false">
      <c r="A220" s="4" t="s">
        <v>75</v>
      </c>
      <c r="B220" s="4" t="n">
        <v>9</v>
      </c>
      <c r="C220" s="5" t="n">
        <v>74831</v>
      </c>
      <c r="D220" s="5" t="n">
        <v>65674</v>
      </c>
      <c r="E220" s="5" t="n">
        <v>3796</v>
      </c>
      <c r="F220" s="5" t="n">
        <v>1796</v>
      </c>
      <c r="G220" s="5" t="n">
        <v>1416</v>
      </c>
      <c r="H220" s="5" t="n">
        <v>2887</v>
      </c>
      <c r="I220" s="5" t="n">
        <v>0</v>
      </c>
      <c r="J220" s="5" t="n">
        <v>128</v>
      </c>
      <c r="K220" s="5" t="n">
        <v>4978</v>
      </c>
      <c r="L220" s="5" t="n">
        <v>155506</v>
      </c>
      <c r="M220" s="11" t="n">
        <f aca="false">IF(L220=0,0,C220/L220)</f>
        <v>0.481209728241997</v>
      </c>
      <c r="N220" s="11" t="n">
        <f aca="false">IF(L220=0,0,D220/L220)</f>
        <v>0.422324540532198</v>
      </c>
      <c r="O220" s="11" t="n">
        <f aca="false">IF(L220=0,0,E220/L220)</f>
        <v>0.0244106336732988</v>
      </c>
      <c r="P220" s="11" t="n">
        <f aca="false">IF(L220=0,0,K220/L220)</f>
        <v>0.032011626561033</v>
      </c>
      <c r="Q220" s="4" t="str">
        <f aca="false">INDEX($C$3:$I$3,MATCH(MAX(C220:I220),C220:I220,0))</f>
        <v>Va por México (PAN-PRI-PRD)</v>
      </c>
      <c r="R220" s="17" t="n">
        <f aca="false">IF(L220=0,0,(MAX(C220:I220)-LARGE(C220:I220,2))/L220*100)</f>
        <v>5.8885187709799</v>
      </c>
      <c r="S220" s="4" t="s">
        <v>25</v>
      </c>
      <c r="T220" s="4" t="s">
        <v>23</v>
      </c>
    </row>
    <row r="221" customFormat="false" ht="15" hidden="false" customHeight="false" outlineLevel="0" collapsed="false">
      <c r="A221" s="4" t="s">
        <v>75</v>
      </c>
      <c r="B221" s="4" t="n">
        <v>10</v>
      </c>
      <c r="C221" s="5" t="n">
        <v>81367</v>
      </c>
      <c r="D221" s="5" t="n">
        <v>70626</v>
      </c>
      <c r="E221" s="5" t="n">
        <v>7730</v>
      </c>
      <c r="F221" s="5" t="n">
        <v>9973</v>
      </c>
      <c r="G221" s="5" t="n">
        <v>4387</v>
      </c>
      <c r="H221" s="5" t="n">
        <v>6959</v>
      </c>
      <c r="I221" s="5" t="n">
        <v>0</v>
      </c>
      <c r="J221" s="5" t="n">
        <v>325</v>
      </c>
      <c r="K221" s="5" t="n">
        <v>7210</v>
      </c>
      <c r="L221" s="5" t="n">
        <v>188577</v>
      </c>
      <c r="M221" s="11" t="n">
        <f aca="false">IF(L221=0,0,C221/L221)</f>
        <v>0.431478918425895</v>
      </c>
      <c r="N221" s="11" t="n">
        <f aca="false">IF(L221=0,0,D221/L221)</f>
        <v>0.37452075279594</v>
      </c>
      <c r="O221" s="11" t="n">
        <f aca="false">IF(L221=0,0,E221/L221)</f>
        <v>0.0409912131383997</v>
      </c>
      <c r="P221" s="11" t="n">
        <f aca="false">IF(L221=0,0,K221/L221)</f>
        <v>0.038233718852246</v>
      </c>
      <c r="Q221" s="4" t="str">
        <f aca="false">INDEX($C$3:$I$3,MATCH(MAX(C221:I221),C221:I221,0))</f>
        <v>Va por México (PAN-PRI-PRD)</v>
      </c>
      <c r="R221" s="17" t="n">
        <f aca="false">IF(L221=0,0,(MAX(C221:I221)-LARGE(C221:I221,2))/L221*100)</f>
        <v>5.69581656299549</v>
      </c>
      <c r="S221" s="4" t="s">
        <v>25</v>
      </c>
      <c r="T221" s="4" t="s">
        <v>23</v>
      </c>
    </row>
    <row r="222" customFormat="false" ht="15" hidden="false" customHeight="false" outlineLevel="0" collapsed="false">
      <c r="A222" s="4" t="s">
        <v>75</v>
      </c>
      <c r="B222" s="4" t="n">
        <v>11</v>
      </c>
      <c r="C222" s="5" t="n">
        <v>62013</v>
      </c>
      <c r="D222" s="5" t="n">
        <v>58750</v>
      </c>
      <c r="E222" s="5" t="n">
        <v>4092</v>
      </c>
      <c r="F222" s="5" t="n">
        <v>2498</v>
      </c>
      <c r="G222" s="5" t="n">
        <v>2152</v>
      </c>
      <c r="H222" s="5" t="n">
        <v>3102</v>
      </c>
      <c r="I222" s="5" t="n">
        <v>0</v>
      </c>
      <c r="J222" s="5" t="n">
        <v>132</v>
      </c>
      <c r="K222" s="5" t="n">
        <v>5659</v>
      </c>
      <c r="L222" s="5" t="n">
        <v>138398</v>
      </c>
      <c r="M222" s="11" t="n">
        <f aca="false">IF(L222=0,0,C222/L222)</f>
        <v>0.44807728435382</v>
      </c>
      <c r="N222" s="11" t="n">
        <f aca="false">IF(L222=0,0,D222/L222)</f>
        <v>0.424500354051359</v>
      </c>
      <c r="O222" s="11" t="n">
        <f aca="false">IF(L222=0,0,E222/L222)</f>
        <v>0.0295669012557985</v>
      </c>
      <c r="P222" s="11" t="n">
        <f aca="false">IF(L222=0,0,K222/L222)</f>
        <v>0.0408893192098152</v>
      </c>
      <c r="Q222" s="4" t="str">
        <f aca="false">INDEX($C$3:$I$3,MATCH(MAX(C222:I222),C222:I222,0))</f>
        <v>Va por México (PAN-PRI-PRD)</v>
      </c>
      <c r="R222" s="17" t="n">
        <f aca="false">IF(L222=0,0,(MAX(C222:I222)-LARGE(C222:I222,2))/L222*100)</f>
        <v>2.3576930302461</v>
      </c>
      <c r="S222" s="4" t="s">
        <v>25</v>
      </c>
      <c r="T222" s="4" t="s">
        <v>23</v>
      </c>
    </row>
    <row r="223" customFormat="false" ht="15" hidden="false" customHeight="false" outlineLevel="0" collapsed="false">
      <c r="A223" s="4" t="s">
        <v>75</v>
      </c>
      <c r="B223" s="4" t="n">
        <v>12</v>
      </c>
      <c r="C223" s="5" t="n">
        <v>90692</v>
      </c>
      <c r="D223" s="5" t="n">
        <v>65924</v>
      </c>
      <c r="E223" s="5" t="n">
        <v>4815</v>
      </c>
      <c r="F223" s="5" t="n">
        <v>2211</v>
      </c>
      <c r="G223" s="5" t="n">
        <v>1231</v>
      </c>
      <c r="H223" s="5" t="n">
        <v>3257</v>
      </c>
      <c r="I223" s="5" t="n">
        <v>0</v>
      </c>
      <c r="J223" s="5" t="n">
        <v>154</v>
      </c>
      <c r="K223" s="5" t="n">
        <v>5404</v>
      </c>
      <c r="L223" s="5" t="n">
        <v>173688</v>
      </c>
      <c r="M223" s="11" t="n">
        <f aca="false">IF(L223=0,0,C223/L223)</f>
        <v>0.522154668140574</v>
      </c>
      <c r="N223" s="11" t="n">
        <f aca="false">IF(L223=0,0,D223/L223)</f>
        <v>0.379554143061121</v>
      </c>
      <c r="O223" s="11" t="n">
        <f aca="false">IF(L223=0,0,E223/L223)</f>
        <v>0.0277221224264198</v>
      </c>
      <c r="P223" s="11" t="n">
        <f aca="false">IF(L223=0,0,K223/L223)</f>
        <v>0.0311132605591636</v>
      </c>
      <c r="Q223" s="4" t="str">
        <f aca="false">INDEX($C$3:$I$3,MATCH(MAX(C223:I223),C223:I223,0))</f>
        <v>Va por México (PAN-PRI-PRD)</v>
      </c>
      <c r="R223" s="17" t="n">
        <f aca="false">IF(L223=0,0,(MAX(C223:I223)-LARGE(C223:I223,2))/L223*100)</f>
        <v>14.2600525079453</v>
      </c>
      <c r="S223" s="4" t="s">
        <v>25</v>
      </c>
      <c r="T223" s="4" t="s">
        <v>23</v>
      </c>
    </row>
    <row r="224" customFormat="false" ht="15" hidden="false" customHeight="false" outlineLevel="0" collapsed="false">
      <c r="A224" s="4" t="s">
        <v>75</v>
      </c>
      <c r="B224" s="4" t="n">
        <v>13</v>
      </c>
      <c r="C224" s="5" t="n">
        <v>60706</v>
      </c>
      <c r="D224" s="5" t="n">
        <v>83616</v>
      </c>
      <c r="E224" s="5" t="n">
        <v>7678</v>
      </c>
      <c r="F224" s="5" t="n">
        <v>5164</v>
      </c>
      <c r="G224" s="5" t="n">
        <v>6560</v>
      </c>
      <c r="H224" s="5" t="n">
        <v>7939</v>
      </c>
      <c r="I224" s="5" t="n">
        <v>0</v>
      </c>
      <c r="J224" s="5" t="n">
        <v>149</v>
      </c>
      <c r="K224" s="5" t="n">
        <v>8486</v>
      </c>
      <c r="L224" s="5" t="n">
        <v>180298</v>
      </c>
      <c r="M224" s="11" t="n">
        <f aca="false">IF(L224=0,0,C224/L224)</f>
        <v>0.336698133090772</v>
      </c>
      <c r="N224" s="11" t="n">
        <f aca="false">IF(L224=0,0,D224/L224)</f>
        <v>0.463765543710967</v>
      </c>
      <c r="O224" s="11" t="n">
        <f aca="false">IF(L224=0,0,E224/L224)</f>
        <v>0.0425850536334291</v>
      </c>
      <c r="P224" s="11" t="n">
        <f aca="false">IF(L224=0,0,K224/L224)</f>
        <v>0.0470665232004792</v>
      </c>
      <c r="Q224" s="4" t="str">
        <f aca="false">INDEX($C$3:$I$3,MATCH(MAX(C224:I224),C224:I224,0))</f>
        <v>Juntos Hacemos Historia (Morena-PT-PVEM)</v>
      </c>
      <c r="R224" s="17" t="n">
        <f aca="false">IF(L224=0,0,(MAX(C224:I224)-LARGE(C224:I224,2))/L224*100)</f>
        <v>12.7067410620195</v>
      </c>
      <c r="S224" s="4" t="s">
        <v>23</v>
      </c>
      <c r="T224" s="4" t="s">
        <v>25</v>
      </c>
    </row>
    <row r="225" customFormat="false" ht="15" hidden="false" customHeight="false" outlineLevel="0" collapsed="false">
      <c r="A225" s="4" t="s">
        <v>75</v>
      </c>
      <c r="B225" s="4" t="n">
        <v>14</v>
      </c>
      <c r="C225" s="5" t="n">
        <v>72250</v>
      </c>
      <c r="D225" s="5" t="n">
        <v>95692</v>
      </c>
      <c r="E225" s="5" t="n">
        <v>6340</v>
      </c>
      <c r="F225" s="5" t="n">
        <v>5772</v>
      </c>
      <c r="G225" s="5" t="n">
        <v>5056</v>
      </c>
      <c r="H225" s="5" t="n">
        <v>5911</v>
      </c>
      <c r="I225" s="5" t="n">
        <v>0</v>
      </c>
      <c r="J225" s="5" t="n">
        <v>190</v>
      </c>
      <c r="K225" s="5" t="n">
        <v>8749</v>
      </c>
      <c r="L225" s="5" t="n">
        <v>199960</v>
      </c>
      <c r="M225" s="11" t="n">
        <f aca="false">IF(L225=0,0,C225/L225)</f>
        <v>0.361322264452891</v>
      </c>
      <c r="N225" s="11" t="n">
        <f aca="false">IF(L225=0,0,D225/L225)</f>
        <v>0.478555711142228</v>
      </c>
      <c r="O225" s="11" t="n">
        <f aca="false">IF(L225=0,0,E225/L225)</f>
        <v>0.0317063412682537</v>
      </c>
      <c r="P225" s="11" t="n">
        <f aca="false">IF(L225=0,0,K225/L225)</f>
        <v>0.04375375075015</v>
      </c>
      <c r="Q225" s="4" t="str">
        <f aca="false">INDEX($C$3:$I$3,MATCH(MAX(C225:I225),C225:I225,0))</f>
        <v>Juntos Hacemos Historia (Morena-PT-PVEM)</v>
      </c>
      <c r="R225" s="17" t="n">
        <f aca="false">IF(L225=0,0,(MAX(C225:I225)-LARGE(C225:I225,2))/L225*100)</f>
        <v>11.7233446689338</v>
      </c>
      <c r="S225" s="4" t="s">
        <v>23</v>
      </c>
      <c r="T225" s="4" t="s">
        <v>25</v>
      </c>
    </row>
    <row r="226" customFormat="false" ht="15" hidden="false" customHeight="false" outlineLevel="0" collapsed="false">
      <c r="A226" s="4" t="s">
        <v>75</v>
      </c>
      <c r="B226" s="4" t="n">
        <v>15</v>
      </c>
      <c r="C226" s="5" t="n">
        <v>41131</v>
      </c>
      <c r="D226" s="5" t="n">
        <v>86030</v>
      </c>
      <c r="E226" s="5" t="n">
        <v>6384</v>
      </c>
      <c r="F226" s="5" t="n">
        <v>7116</v>
      </c>
      <c r="G226" s="5" t="n">
        <v>1898</v>
      </c>
      <c r="H226" s="5" t="n">
        <v>8847</v>
      </c>
      <c r="I226" s="5" t="n">
        <v>0</v>
      </c>
      <c r="J226" s="5" t="n">
        <v>402</v>
      </c>
      <c r="K226" s="5" t="n">
        <v>7598</v>
      </c>
      <c r="L226" s="5" t="n">
        <v>159406</v>
      </c>
      <c r="M226" s="11" t="n">
        <f aca="false">IF(L226=0,0,C226/L226)</f>
        <v>0.258026674027326</v>
      </c>
      <c r="N226" s="11" t="n">
        <f aca="false">IF(L226=0,0,D226/L226)</f>
        <v>0.539691103220707</v>
      </c>
      <c r="O226" s="11" t="n">
        <f aca="false">IF(L226=0,0,E226/L226)</f>
        <v>0.0400486807271997</v>
      </c>
      <c r="P226" s="11" t="n">
        <f aca="false">IF(L226=0,0,K226/L226)</f>
        <v>0.0476644542865388</v>
      </c>
      <c r="Q226" s="4" t="str">
        <f aca="false">INDEX($C$3:$I$3,MATCH(MAX(C226:I226),C226:I226,0))</f>
        <v>Juntos Hacemos Historia (Morena-PT-PVEM)</v>
      </c>
      <c r="R226" s="17" t="n">
        <f aca="false">IF(L226=0,0,(MAX(C226:I226)-LARGE(C226:I226,2))/L226*100)</f>
        <v>28.166442919338</v>
      </c>
      <c r="S226" s="4" t="s">
        <v>23</v>
      </c>
      <c r="T226" s="4" t="s">
        <v>25</v>
      </c>
    </row>
    <row r="227" customFormat="false" ht="15" hidden="false" customHeight="false" outlineLevel="0" collapsed="false">
      <c r="A227" s="4" t="s">
        <v>76</v>
      </c>
      <c r="B227" s="4" t="n">
        <v>1</v>
      </c>
      <c r="C227" s="5" t="n">
        <v>94948</v>
      </c>
      <c r="D227" s="5" t="n">
        <v>42824</v>
      </c>
      <c r="E227" s="5" t="n">
        <v>2482</v>
      </c>
      <c r="F227" s="5" t="n">
        <v>2355</v>
      </c>
      <c r="G227" s="5" t="n">
        <v>3427</v>
      </c>
      <c r="H227" s="5" t="n">
        <v>5884</v>
      </c>
      <c r="I227" s="5" t="n">
        <v>0</v>
      </c>
      <c r="J227" s="5" t="n">
        <v>54</v>
      </c>
      <c r="K227" s="5" t="n">
        <v>6994</v>
      </c>
      <c r="L227" s="5" t="n">
        <v>158968</v>
      </c>
      <c r="M227" s="11" t="n">
        <f aca="false">IF(L227=0,0,C227/L227)</f>
        <v>0.597277439484676</v>
      </c>
      <c r="N227" s="11" t="n">
        <f aca="false">IF(L227=0,0,D227/L227)</f>
        <v>0.269387549695536</v>
      </c>
      <c r="O227" s="11" t="n">
        <f aca="false">IF(L227=0,0,E227/L227)</f>
        <v>0.0156132051733682</v>
      </c>
      <c r="P227" s="11" t="n">
        <f aca="false">IF(L227=0,0,K227/L227)</f>
        <v>0.0439962759800715</v>
      </c>
      <c r="Q227" s="4" t="str">
        <f aca="false">INDEX($C$3:$I$3,MATCH(MAX(C227:I227),C227:I227,0))</f>
        <v>Va por México (PAN-PRI-PRD)</v>
      </c>
      <c r="R227" s="17" t="n">
        <f aca="false">IF(L227=0,0,(MAX(C227:I227)-LARGE(C227:I227,2))/L227*100)</f>
        <v>32.788988978914</v>
      </c>
      <c r="S227" s="4" t="s">
        <v>26</v>
      </c>
      <c r="T227" s="4" t="s">
        <v>27</v>
      </c>
    </row>
    <row r="228" customFormat="false" ht="15" hidden="false" customHeight="false" outlineLevel="0" collapsed="false">
      <c r="A228" s="4" t="s">
        <v>76</v>
      </c>
      <c r="B228" s="4" t="n">
        <v>2</v>
      </c>
      <c r="C228" s="5" t="n">
        <v>89005</v>
      </c>
      <c r="D228" s="5" t="n">
        <v>48353</v>
      </c>
      <c r="E228" s="5" t="n">
        <v>2989</v>
      </c>
      <c r="F228" s="5" t="n">
        <v>3514</v>
      </c>
      <c r="G228" s="5" t="n">
        <v>3977</v>
      </c>
      <c r="H228" s="5" t="n">
        <v>4008</v>
      </c>
      <c r="I228" s="5" t="n">
        <v>0</v>
      </c>
      <c r="J228" s="5" t="n">
        <v>112</v>
      </c>
      <c r="K228" s="5" t="n">
        <v>5147</v>
      </c>
      <c r="L228" s="5" t="n">
        <v>157105</v>
      </c>
      <c r="M228" s="11" t="n">
        <f aca="false">IF(L228=0,0,C228/L228)</f>
        <v>0.566531937239426</v>
      </c>
      <c r="N228" s="11" t="n">
        <f aca="false">IF(L228=0,0,D228/L228)</f>
        <v>0.307775054899589</v>
      </c>
      <c r="O228" s="11" t="n">
        <f aca="false">IF(L228=0,0,E228/L228)</f>
        <v>0.0190254925050126</v>
      </c>
      <c r="P228" s="11" t="n">
        <f aca="false">IF(L228=0,0,K228/L228)</f>
        <v>0.0327615289137838</v>
      </c>
      <c r="Q228" s="4" t="str">
        <f aca="false">INDEX($C$3:$I$3,MATCH(MAX(C228:I228),C228:I228,0))</f>
        <v>Va por México (PAN-PRI-PRD)</v>
      </c>
      <c r="R228" s="17" t="n">
        <f aca="false">IF(L228=0,0,(MAX(C228:I228)-LARGE(C228:I228,2))/L228*100)</f>
        <v>25.8756882339836</v>
      </c>
      <c r="S228" s="4" t="s">
        <v>26</v>
      </c>
      <c r="T228" s="4" t="s">
        <v>23</v>
      </c>
    </row>
    <row r="229" customFormat="false" ht="15" hidden="false" customHeight="false" outlineLevel="0" collapsed="false">
      <c r="A229" s="4" t="s">
        <v>76</v>
      </c>
      <c r="B229" s="4" t="n">
        <v>3</v>
      </c>
      <c r="C229" s="5" t="n">
        <v>105339</v>
      </c>
      <c r="D229" s="5" t="n">
        <v>63318</v>
      </c>
      <c r="E229" s="5" t="n">
        <v>4151</v>
      </c>
      <c r="F229" s="5" t="n">
        <v>2468</v>
      </c>
      <c r="G229" s="5" t="n">
        <v>1824</v>
      </c>
      <c r="H229" s="5" t="n">
        <v>2968</v>
      </c>
      <c r="I229" s="5" t="n">
        <v>0</v>
      </c>
      <c r="J229" s="5" t="n">
        <v>103</v>
      </c>
      <c r="K229" s="5" t="n">
        <v>4559</v>
      </c>
      <c r="L229" s="5" t="n">
        <v>184730</v>
      </c>
      <c r="M229" s="11" t="n">
        <f aca="false">IF(L229=0,0,C229/L229)</f>
        <v>0.570232230823364</v>
      </c>
      <c r="N229" s="11" t="n">
        <f aca="false">IF(L229=0,0,D229/L229)</f>
        <v>0.342759703350836</v>
      </c>
      <c r="O229" s="11" t="n">
        <f aca="false">IF(L229=0,0,E229/L229)</f>
        <v>0.0224706328154604</v>
      </c>
      <c r="P229" s="11" t="n">
        <f aca="false">IF(L229=0,0,K229/L229)</f>
        <v>0.0246792616250744</v>
      </c>
      <c r="Q229" s="4" t="str">
        <f aca="false">INDEX($C$3:$I$3,MATCH(MAX(C229:I229),C229:I229,0))</f>
        <v>Va por México (PAN-PRI-PRD)</v>
      </c>
      <c r="R229" s="17" t="n">
        <f aca="false">IF(L229=0,0,(MAX(C229:I229)-LARGE(C229:I229,2))/L229*100)</f>
        <v>22.7472527472527</v>
      </c>
      <c r="S229" s="4" t="s">
        <v>26</v>
      </c>
      <c r="T229" s="4" t="s">
        <v>23</v>
      </c>
    </row>
    <row r="230" customFormat="false" ht="15" hidden="false" customHeight="false" outlineLevel="0" collapsed="false">
      <c r="A230" s="4" t="s">
        <v>76</v>
      </c>
      <c r="B230" s="4" t="n">
        <v>4</v>
      </c>
      <c r="C230" s="5" t="n">
        <v>128914</v>
      </c>
      <c r="D230" s="5" t="n">
        <v>58466</v>
      </c>
      <c r="E230" s="5" t="n">
        <v>3537</v>
      </c>
      <c r="F230" s="5" t="n">
        <v>2143</v>
      </c>
      <c r="G230" s="5" t="n">
        <v>1772</v>
      </c>
      <c r="H230" s="5" t="n">
        <v>2698</v>
      </c>
      <c r="I230" s="5" t="n">
        <v>0</v>
      </c>
      <c r="J230" s="5" t="n">
        <v>158</v>
      </c>
      <c r="K230" s="5" t="n">
        <v>4971</v>
      </c>
      <c r="L230" s="5" t="n">
        <v>202659</v>
      </c>
      <c r="M230" s="11" t="n">
        <f aca="false">IF(L230=0,0,C230/L230)</f>
        <v>0.636112879270104</v>
      </c>
      <c r="N230" s="11" t="n">
        <f aca="false">IF(L230=0,0,D230/L230)</f>
        <v>0.288494466073552</v>
      </c>
      <c r="O230" s="11" t="n">
        <f aca="false">IF(L230=0,0,E230/L230)</f>
        <v>0.0174529628587924</v>
      </c>
      <c r="P230" s="11" t="n">
        <f aca="false">IF(L230=0,0,K230/L230)</f>
        <v>0.0245288884283452</v>
      </c>
      <c r="Q230" s="4" t="str">
        <f aca="false">INDEX($C$3:$I$3,MATCH(MAX(C230:I230),C230:I230,0))</f>
        <v>Va por México (PAN-PRI-PRD)</v>
      </c>
      <c r="R230" s="17" t="n">
        <f aca="false">IF(L230=0,0,(MAX(C230:I230)-LARGE(C230:I230,2))/L230*100)</f>
        <v>34.7618413196552</v>
      </c>
      <c r="S230" s="4" t="s">
        <v>26</v>
      </c>
      <c r="T230" s="4" t="s">
        <v>24</v>
      </c>
    </row>
    <row r="231" customFormat="false" ht="15" hidden="false" customHeight="false" outlineLevel="0" collapsed="false">
      <c r="A231" s="4" t="s">
        <v>76</v>
      </c>
      <c r="B231" s="4" t="n">
        <v>5</v>
      </c>
      <c r="C231" s="5" t="n">
        <v>131662</v>
      </c>
      <c r="D231" s="5" t="n">
        <v>52111</v>
      </c>
      <c r="E231" s="5" t="n">
        <v>3435</v>
      </c>
      <c r="F231" s="5" t="n">
        <v>2605</v>
      </c>
      <c r="G231" s="5" t="n">
        <v>2595</v>
      </c>
      <c r="H231" s="5" t="n">
        <v>3579</v>
      </c>
      <c r="I231" s="5" t="n">
        <v>0</v>
      </c>
      <c r="J231" s="5" t="n">
        <v>85</v>
      </c>
      <c r="K231" s="5" t="n">
        <v>5697</v>
      </c>
      <c r="L231" s="5" t="n">
        <v>201769</v>
      </c>
      <c r="M231" s="11" t="n">
        <f aca="false">IF(L231=0,0,C231/L231)</f>
        <v>0.652538298747578</v>
      </c>
      <c r="N231" s="11" t="n">
        <f aca="false">IF(L231=0,0,D231/L231)</f>
        <v>0.258270596573309</v>
      </c>
      <c r="O231" s="11" t="n">
        <f aca="false">IF(L231=0,0,E231/L231)</f>
        <v>0.0170244190138227</v>
      </c>
      <c r="P231" s="11" t="n">
        <f aca="false">IF(L231=0,0,K231/L231)</f>
        <v>0.0282352591329689</v>
      </c>
      <c r="Q231" s="4" t="str">
        <f aca="false">INDEX($C$3:$I$3,MATCH(MAX(C231:I231),C231:I231,0))</f>
        <v>Va por México (PAN-PRI-PRD)</v>
      </c>
      <c r="R231" s="17" t="n">
        <f aca="false">IF(L231=0,0,(MAX(C231:I231)-LARGE(C231:I231,2))/L231*100)</f>
        <v>39.4267702174269</v>
      </c>
      <c r="S231" s="4" t="s">
        <v>26</v>
      </c>
      <c r="T231" s="4" t="s">
        <v>24</v>
      </c>
    </row>
    <row r="232" customFormat="false" ht="15" hidden="false" customHeight="false" outlineLevel="0" collapsed="false">
      <c r="A232" s="4" t="s">
        <v>77</v>
      </c>
      <c r="B232" s="4" t="n">
        <v>1</v>
      </c>
      <c r="C232" s="5" t="n">
        <v>59203</v>
      </c>
      <c r="D232" s="5" t="n">
        <v>81558</v>
      </c>
      <c r="E232" s="5" t="n">
        <v>6246</v>
      </c>
      <c r="F232" s="5" t="n">
        <v>4320</v>
      </c>
      <c r="G232" s="5" t="n">
        <v>2570</v>
      </c>
      <c r="H232" s="5" t="n">
        <v>10859</v>
      </c>
      <c r="I232" s="5" t="n">
        <v>0</v>
      </c>
      <c r="J232" s="5" t="n">
        <v>279</v>
      </c>
      <c r="K232" s="5" t="n">
        <v>6930</v>
      </c>
      <c r="L232" s="5" t="n">
        <v>171965</v>
      </c>
      <c r="M232" s="11" t="n">
        <f aca="false">IF(L232=0,0,C232/L232)</f>
        <v>0.344273544035123</v>
      </c>
      <c r="N232" s="11" t="n">
        <f aca="false">IF(L232=0,0,D232/L232)</f>
        <v>0.474270927223563</v>
      </c>
      <c r="O232" s="11" t="n">
        <f aca="false">IF(L232=0,0,E232/L232)</f>
        <v>0.0363213444596284</v>
      </c>
      <c r="P232" s="11" t="n">
        <f aca="false">IF(L232=0,0,K232/L232)</f>
        <v>0.0402988980315762</v>
      </c>
      <c r="Q232" s="4" t="str">
        <f aca="false">INDEX($C$3:$I$3,MATCH(MAX(C232:I232),C232:I232,0))</f>
        <v>Juntos Hacemos Historia (Morena-PT-PVEM)</v>
      </c>
      <c r="R232" s="17" t="n">
        <f aca="false">IF(L232=0,0,(MAX(C232:I232)-LARGE(C232:I232,2))/L232*100)</f>
        <v>12.999738318844</v>
      </c>
      <c r="S232" s="4" t="s">
        <v>23</v>
      </c>
      <c r="T232" s="4" t="s">
        <v>25</v>
      </c>
    </row>
    <row r="233" customFormat="false" ht="15" hidden="false" customHeight="false" outlineLevel="0" collapsed="false">
      <c r="A233" s="4" t="s">
        <v>77</v>
      </c>
      <c r="B233" s="4" t="n">
        <v>2</v>
      </c>
      <c r="C233" s="5" t="n">
        <v>44676</v>
      </c>
      <c r="D233" s="5" t="n">
        <v>83259</v>
      </c>
      <c r="E233" s="5" t="n">
        <v>7966</v>
      </c>
      <c r="F233" s="5" t="n">
        <v>3268</v>
      </c>
      <c r="G233" s="5" t="n">
        <v>5414</v>
      </c>
      <c r="H233" s="5" t="n">
        <v>8013</v>
      </c>
      <c r="I233" s="5" t="n">
        <v>0</v>
      </c>
      <c r="J233" s="5" t="n">
        <v>343</v>
      </c>
      <c r="K233" s="5" t="n">
        <v>5682</v>
      </c>
      <c r="L233" s="5" t="n">
        <v>158621</v>
      </c>
      <c r="M233" s="11" t="n">
        <f aca="false">IF(L233=0,0,C233/L233)</f>
        <v>0.281652492419037</v>
      </c>
      <c r="N233" s="11" t="n">
        <f aca="false">IF(L233=0,0,D233/L233)</f>
        <v>0.524892668688257</v>
      </c>
      <c r="O233" s="11" t="n">
        <f aca="false">IF(L233=0,0,E233/L233)</f>
        <v>0.0502203365254285</v>
      </c>
      <c r="P233" s="11" t="n">
        <f aca="false">IF(L233=0,0,K233/L233)</f>
        <v>0.0358212342628025</v>
      </c>
      <c r="Q233" s="4" t="str">
        <f aca="false">INDEX($C$3:$I$3,MATCH(MAX(C233:I233),C233:I233,0))</f>
        <v>Juntos Hacemos Historia (Morena-PT-PVEM)</v>
      </c>
      <c r="R233" s="17" t="n">
        <f aca="false">IF(L233=0,0,(MAX(C233:I233)-LARGE(C233:I233,2))/L233*100)</f>
        <v>24.324017626922</v>
      </c>
      <c r="S233" s="4" t="s">
        <v>23</v>
      </c>
      <c r="T233" s="4" t="s">
        <v>25</v>
      </c>
    </row>
    <row r="234" customFormat="false" ht="15" hidden="false" customHeight="false" outlineLevel="0" collapsed="false">
      <c r="A234" s="4" t="s">
        <v>77</v>
      </c>
      <c r="B234" s="4" t="n">
        <v>3</v>
      </c>
      <c r="C234" s="5" t="n">
        <v>17868</v>
      </c>
      <c r="D234" s="5" t="n">
        <v>57489</v>
      </c>
      <c r="E234" s="5" t="n">
        <v>2962</v>
      </c>
      <c r="F234" s="5" t="n">
        <v>7885</v>
      </c>
      <c r="G234" s="5" t="n">
        <v>1439</v>
      </c>
      <c r="H234" s="5" t="n">
        <v>11594</v>
      </c>
      <c r="I234" s="5" t="n">
        <v>0</v>
      </c>
      <c r="J234" s="5" t="n">
        <v>156</v>
      </c>
      <c r="K234" s="5" t="n">
        <v>4894</v>
      </c>
      <c r="L234" s="5" t="n">
        <v>104287</v>
      </c>
      <c r="M234" s="11" t="n">
        <f aca="false">IF(L234=0,0,C234/L234)</f>
        <v>0.171334873953609</v>
      </c>
      <c r="N234" s="11" t="n">
        <f aca="false">IF(L234=0,0,D234/L234)</f>
        <v>0.551257587235226</v>
      </c>
      <c r="O234" s="11" t="n">
        <f aca="false">IF(L234=0,0,E234/L234)</f>
        <v>0.0284023895595808</v>
      </c>
      <c r="P234" s="11" t="n">
        <f aca="false">IF(L234=0,0,K234/L234)</f>
        <v>0.0469281885565794</v>
      </c>
      <c r="Q234" s="4" t="str">
        <f aca="false">INDEX($C$3:$I$3,MATCH(MAX(C234:I234),C234:I234,0))</f>
        <v>Juntos Hacemos Historia (Morena-PT-PVEM)</v>
      </c>
      <c r="R234" s="17" t="n">
        <f aca="false">IF(L234=0,0,(MAX(C234:I234)-LARGE(C234:I234,2))/L234*100)</f>
        <v>37.9922713281617</v>
      </c>
      <c r="S234" s="4" t="s">
        <v>23</v>
      </c>
      <c r="T234" s="4" t="s">
        <v>25</v>
      </c>
    </row>
    <row r="235" customFormat="false" ht="15" hidden="false" customHeight="false" outlineLevel="0" collapsed="false">
      <c r="A235" s="4" t="s">
        <v>77</v>
      </c>
      <c r="B235" s="4" t="n">
        <v>4</v>
      </c>
      <c r="C235" s="5" t="n">
        <v>51502</v>
      </c>
      <c r="D235" s="5" t="n">
        <v>66764</v>
      </c>
      <c r="E235" s="5" t="n">
        <v>5160</v>
      </c>
      <c r="F235" s="5" t="n">
        <v>5868</v>
      </c>
      <c r="G235" s="5" t="n">
        <v>1836</v>
      </c>
      <c r="H235" s="5" t="n">
        <v>15802</v>
      </c>
      <c r="I235" s="5" t="n">
        <v>0</v>
      </c>
      <c r="J235" s="5" t="n">
        <v>258</v>
      </c>
      <c r="K235" s="5" t="n">
        <v>5750</v>
      </c>
      <c r="L235" s="5" t="n">
        <v>152940</v>
      </c>
      <c r="M235" s="11" t="n">
        <f aca="false">IF(L235=0,0,C235/L235)</f>
        <v>0.33674643651105</v>
      </c>
      <c r="N235" s="11" t="n">
        <f aca="false">IF(L235=0,0,D235/L235)</f>
        <v>0.43653720413234</v>
      </c>
      <c r="O235" s="11" t="n">
        <f aca="false">IF(L235=0,0,E235/L235)</f>
        <v>0.0337387210670851</v>
      </c>
      <c r="P235" s="11" t="n">
        <f aca="false">IF(L235=0,0,K235/L235)</f>
        <v>0.0375964430495619</v>
      </c>
      <c r="Q235" s="4" t="str">
        <f aca="false">INDEX($C$3:$I$3,MATCH(MAX(C235:I235),C235:I235,0))</f>
        <v>Juntos Hacemos Historia (Morena-PT-PVEM)</v>
      </c>
      <c r="R235" s="17" t="n">
        <f aca="false">IF(L235=0,0,(MAX(C235:I235)-LARGE(C235:I235,2))/L235*100)</f>
        <v>9.97907676212894</v>
      </c>
      <c r="S235" s="4" t="s">
        <v>23</v>
      </c>
      <c r="T235" s="4" t="s">
        <v>25</v>
      </c>
    </row>
    <row r="236" customFormat="false" ht="15" hidden="false" customHeight="false" outlineLevel="0" collapsed="false">
      <c r="A236" s="4" t="s">
        <v>78</v>
      </c>
      <c r="B236" s="4" t="n">
        <v>1</v>
      </c>
      <c r="C236" s="5" t="n">
        <v>56518</v>
      </c>
      <c r="D236" s="5" t="n">
        <v>74007</v>
      </c>
      <c r="E236" s="5" t="n">
        <v>14230</v>
      </c>
      <c r="F236" s="5" t="n">
        <v>5204</v>
      </c>
      <c r="G236" s="5" t="n">
        <v>2267</v>
      </c>
      <c r="H236" s="5" t="n">
        <v>2397</v>
      </c>
      <c r="I236" s="5" t="n">
        <v>0</v>
      </c>
      <c r="J236" s="5" t="n">
        <v>117</v>
      </c>
      <c r="K236" s="5" t="n">
        <v>9732</v>
      </c>
      <c r="L236" s="5" t="n">
        <v>164472</v>
      </c>
      <c r="M236" s="11" t="n">
        <f aca="false">IF(L236=0,0,C236/L236)</f>
        <v>0.343632958801498</v>
      </c>
      <c r="N236" s="11" t="n">
        <f aca="false">IF(L236=0,0,D236/L236)</f>
        <v>0.449967167663797</v>
      </c>
      <c r="O236" s="11" t="n">
        <f aca="false">IF(L236=0,0,E236/L236)</f>
        <v>0.0865192859574882</v>
      </c>
      <c r="P236" s="11" t="n">
        <f aca="false">IF(L236=0,0,K236/L236)</f>
        <v>0.0591711659127389</v>
      </c>
      <c r="Q236" s="4" t="str">
        <f aca="false">INDEX($C$3:$I$3,MATCH(MAX(C236:I236),C236:I236,0))</f>
        <v>Juntos Hacemos Historia (Morena-PT-PVEM)</v>
      </c>
      <c r="R236" s="17" t="n">
        <f aca="false">IF(L236=0,0,(MAX(C236:I236)-LARGE(C236:I236,2))/L236*100)</f>
        <v>10.6334208862299</v>
      </c>
      <c r="S236" s="4" t="s">
        <v>23</v>
      </c>
      <c r="T236" s="4" t="s">
        <v>25</v>
      </c>
    </row>
    <row r="237" customFormat="false" ht="15" hidden="false" customHeight="false" outlineLevel="0" collapsed="false">
      <c r="A237" s="4" t="s">
        <v>78</v>
      </c>
      <c r="B237" s="4" t="n">
        <v>2</v>
      </c>
      <c r="C237" s="5" t="n">
        <v>65606</v>
      </c>
      <c r="D237" s="5" t="n">
        <v>101509</v>
      </c>
      <c r="E237" s="5" t="n">
        <v>8777</v>
      </c>
      <c r="F237" s="5" t="n">
        <v>2550</v>
      </c>
      <c r="G237" s="5" t="n">
        <v>3864</v>
      </c>
      <c r="H237" s="5" t="n">
        <v>1916</v>
      </c>
      <c r="I237" s="5" t="n">
        <v>0</v>
      </c>
      <c r="J237" s="5" t="n">
        <v>143</v>
      </c>
      <c r="K237" s="5" t="n">
        <v>12339</v>
      </c>
      <c r="L237" s="5" t="n">
        <v>196704</v>
      </c>
      <c r="M237" s="11" t="n">
        <f aca="false">IF(L237=0,0,C237/L237)</f>
        <v>0.333526517000163</v>
      </c>
      <c r="N237" s="11" t="n">
        <f aca="false">IF(L237=0,0,D237/L237)</f>
        <v>0.516049495688954</v>
      </c>
      <c r="O237" s="11" t="n">
        <f aca="false">IF(L237=0,0,E237/L237)</f>
        <v>0.0446203432568733</v>
      </c>
      <c r="P237" s="11" t="n">
        <f aca="false">IF(L237=0,0,K237/L237)</f>
        <v>0.0627287701317716</v>
      </c>
      <c r="Q237" s="4" t="str">
        <f aca="false">INDEX($C$3:$I$3,MATCH(MAX(C237:I237),C237:I237,0))</f>
        <v>Juntos Hacemos Historia (Morena-PT-PVEM)</v>
      </c>
      <c r="R237" s="17" t="n">
        <f aca="false">IF(L237=0,0,(MAX(C237:I237)-LARGE(C237:I237,2))/L237*100)</f>
        <v>18.2522978688791</v>
      </c>
      <c r="S237" s="4" t="s">
        <v>28</v>
      </c>
      <c r="T237" s="4" t="s">
        <v>25</v>
      </c>
    </row>
    <row r="238" customFormat="false" ht="15" hidden="false" customHeight="false" outlineLevel="0" collapsed="false">
      <c r="A238" s="4" t="s">
        <v>78</v>
      </c>
      <c r="B238" s="4" t="n">
        <v>3</v>
      </c>
      <c r="C238" s="5" t="n">
        <v>66790</v>
      </c>
      <c r="D238" s="5" t="n">
        <v>67467</v>
      </c>
      <c r="E238" s="5" t="n">
        <v>7536</v>
      </c>
      <c r="F238" s="5" t="n">
        <v>4415</v>
      </c>
      <c r="G238" s="5" t="n">
        <v>2566</v>
      </c>
      <c r="H238" s="5" t="n">
        <v>1960</v>
      </c>
      <c r="I238" s="5" t="n">
        <v>0</v>
      </c>
      <c r="J238" s="5" t="n">
        <v>51</v>
      </c>
      <c r="K238" s="5" t="n">
        <v>9621</v>
      </c>
      <c r="L238" s="5" t="n">
        <v>160406</v>
      </c>
      <c r="M238" s="11" t="n">
        <f aca="false">IF(L238=0,0,C238/L238)</f>
        <v>0.416380933381544</v>
      </c>
      <c r="N238" s="11" t="n">
        <f aca="false">IF(L238=0,0,D238/L238)</f>
        <v>0.420601473760333</v>
      </c>
      <c r="O238" s="11" t="n">
        <f aca="false">IF(L238=0,0,E238/L238)</f>
        <v>0.0469807862548783</v>
      </c>
      <c r="P238" s="11" t="n">
        <f aca="false">IF(L238=0,0,K238/L238)</f>
        <v>0.0599790531526252</v>
      </c>
      <c r="Q238" s="4" t="str">
        <f aca="false">INDEX($C$3:$I$3,MATCH(MAX(C238:I238),C238:I238,0))</f>
        <v>Juntos Hacemos Historia (Morena-PT-PVEM)</v>
      </c>
      <c r="R238" s="17" t="n">
        <f aca="false">IF(L238=0,0,(MAX(C238:I238)-LARGE(C238:I238,2))/L238*100)</f>
        <v>0.422054037878882</v>
      </c>
      <c r="S238" s="4" t="s">
        <v>23</v>
      </c>
      <c r="T238" s="4" t="s">
        <v>25</v>
      </c>
    </row>
    <row r="239" customFormat="false" ht="15" hidden="false" customHeight="false" outlineLevel="0" collapsed="false">
      <c r="A239" s="4" t="s">
        <v>78</v>
      </c>
      <c r="B239" s="4" t="n">
        <v>4</v>
      </c>
      <c r="C239" s="5" t="n">
        <v>37021</v>
      </c>
      <c r="D239" s="5" t="n">
        <v>68114</v>
      </c>
      <c r="E239" s="5" t="n">
        <v>4754</v>
      </c>
      <c r="F239" s="5" t="n">
        <v>6302</v>
      </c>
      <c r="G239" s="5" t="n">
        <v>20278</v>
      </c>
      <c r="H239" s="5" t="n">
        <v>5208</v>
      </c>
      <c r="I239" s="5" t="n">
        <v>0</v>
      </c>
      <c r="J239" s="5" t="n">
        <v>127</v>
      </c>
      <c r="K239" s="5" t="n">
        <v>7757</v>
      </c>
      <c r="L239" s="5" t="n">
        <v>149561</v>
      </c>
      <c r="M239" s="11" t="n">
        <f aca="false">IF(L239=0,0,C239/L239)</f>
        <v>0.24753110770856</v>
      </c>
      <c r="N239" s="11" t="n">
        <f aca="false">IF(L239=0,0,D239/L239)</f>
        <v>0.455426214053129</v>
      </c>
      <c r="O239" s="11" t="n">
        <f aca="false">IF(L239=0,0,E239/L239)</f>
        <v>0.0317863614177493</v>
      </c>
      <c r="P239" s="11" t="n">
        <f aca="false">IF(L239=0,0,K239/L239)</f>
        <v>0.0518651252666136</v>
      </c>
      <c r="Q239" s="4" t="str">
        <f aca="false">INDEX($C$3:$I$3,MATCH(MAX(C239:I239),C239:I239,0))</f>
        <v>Juntos Hacemos Historia (Morena-PT-PVEM)</v>
      </c>
      <c r="R239" s="17" t="n">
        <f aca="false">IF(L239=0,0,(MAX(C239:I239)-LARGE(C239:I239,2))/L239*100)</f>
        <v>20.7895106344568</v>
      </c>
      <c r="S239" s="4" t="s">
        <v>23</v>
      </c>
      <c r="T239" s="4" t="s">
        <v>25</v>
      </c>
    </row>
    <row r="240" customFormat="false" ht="15" hidden="false" customHeight="false" outlineLevel="0" collapsed="false">
      <c r="A240" s="4" t="s">
        <v>78</v>
      </c>
      <c r="B240" s="4" t="n">
        <v>5</v>
      </c>
      <c r="C240" s="5" t="n">
        <v>90088</v>
      </c>
      <c r="D240" s="5" t="n">
        <v>74485</v>
      </c>
      <c r="E240" s="5" t="n">
        <v>5368</v>
      </c>
      <c r="F240" s="5" t="n">
        <v>2104</v>
      </c>
      <c r="G240" s="5" t="n">
        <v>1962</v>
      </c>
      <c r="H240" s="5" t="n">
        <v>2304</v>
      </c>
      <c r="I240" s="5" t="n">
        <v>0</v>
      </c>
      <c r="J240" s="5" t="n">
        <v>279</v>
      </c>
      <c r="K240" s="5" t="n">
        <v>5888</v>
      </c>
      <c r="L240" s="5" t="n">
        <v>182478</v>
      </c>
      <c r="M240" s="11" t="n">
        <f aca="false">IF(L240=0,0,C240/L240)</f>
        <v>0.493692390315545</v>
      </c>
      <c r="N240" s="11" t="n">
        <f aca="false">IF(L240=0,0,D240/L240)</f>
        <v>0.408186192308114</v>
      </c>
      <c r="O240" s="11" t="n">
        <f aca="false">IF(L240=0,0,E240/L240)</f>
        <v>0.0294172448185535</v>
      </c>
      <c r="P240" s="11" t="n">
        <f aca="false">IF(L240=0,0,K240/L240)</f>
        <v>0.0322669034075341</v>
      </c>
      <c r="Q240" s="4" t="str">
        <f aca="false">INDEX($C$3:$I$3,MATCH(MAX(C240:I240),C240:I240,0))</f>
        <v>Va por México (PAN-PRI-PRD)</v>
      </c>
      <c r="R240" s="17" t="n">
        <f aca="false">IF(L240=0,0,(MAX(C240:I240)-LARGE(C240:I240,2))/L240*100)</f>
        <v>8.5506198007431</v>
      </c>
      <c r="S240" s="4" t="s">
        <v>25</v>
      </c>
      <c r="T240" s="4" t="s">
        <v>23</v>
      </c>
    </row>
    <row r="241" customFormat="false" ht="15" hidden="false" customHeight="false" outlineLevel="0" collapsed="false">
      <c r="A241" s="4" t="s">
        <v>78</v>
      </c>
      <c r="B241" s="4" t="n">
        <v>6</v>
      </c>
      <c r="C241" s="5" t="n">
        <v>51629</v>
      </c>
      <c r="D241" s="5" t="n">
        <v>94716</v>
      </c>
      <c r="E241" s="5" t="n">
        <v>5843</v>
      </c>
      <c r="F241" s="5" t="n">
        <v>2656</v>
      </c>
      <c r="G241" s="5" t="n">
        <v>3115</v>
      </c>
      <c r="H241" s="5" t="n">
        <v>3500</v>
      </c>
      <c r="I241" s="5" t="n">
        <v>0</v>
      </c>
      <c r="J241" s="5" t="n">
        <v>296</v>
      </c>
      <c r="K241" s="5" t="n">
        <v>6742</v>
      </c>
      <c r="L241" s="5" t="n">
        <v>168497</v>
      </c>
      <c r="M241" s="11" t="n">
        <f aca="false">IF(L241=0,0,C241/L241)</f>
        <v>0.306409016184264</v>
      </c>
      <c r="N241" s="11" t="n">
        <f aca="false">IF(L241=0,0,D241/L241)</f>
        <v>0.562122767764411</v>
      </c>
      <c r="O241" s="11" t="n">
        <f aca="false">IF(L241=0,0,E241/L241)</f>
        <v>0.0346771752612806</v>
      </c>
      <c r="P241" s="11" t="n">
        <f aca="false">IF(L241=0,0,K241/L241)</f>
        <v>0.0400125818263827</v>
      </c>
      <c r="Q241" s="4" t="str">
        <f aca="false">INDEX($C$3:$I$3,MATCH(MAX(C241:I241),C241:I241,0))</f>
        <v>Juntos Hacemos Historia (Morena-PT-PVEM)</v>
      </c>
      <c r="R241" s="17" t="n">
        <f aca="false">IF(L241=0,0,(MAX(C241:I241)-LARGE(C241:I241,2))/L241*100)</f>
        <v>25.5713751580147</v>
      </c>
      <c r="S241" s="4" t="s">
        <v>23</v>
      </c>
      <c r="T241" s="4" t="s">
        <v>25</v>
      </c>
    </row>
    <row r="242" customFormat="false" ht="15" hidden="false" customHeight="false" outlineLevel="0" collapsed="false">
      <c r="A242" s="4" t="s">
        <v>78</v>
      </c>
      <c r="B242" s="4" t="n">
        <v>7</v>
      </c>
      <c r="C242" s="5" t="n">
        <v>59757</v>
      </c>
      <c r="D242" s="5" t="n">
        <v>88224</v>
      </c>
      <c r="E242" s="5" t="n">
        <v>5172</v>
      </c>
      <c r="F242" s="5" t="n">
        <v>5612</v>
      </c>
      <c r="G242" s="5" t="n">
        <v>22335</v>
      </c>
      <c r="H242" s="5" t="n">
        <v>1947</v>
      </c>
      <c r="I242" s="5" t="n">
        <v>0</v>
      </c>
      <c r="J242" s="5" t="n">
        <v>52</v>
      </c>
      <c r="K242" s="5" t="n">
        <v>14712</v>
      </c>
      <c r="L242" s="5" t="n">
        <v>197811</v>
      </c>
      <c r="M242" s="11" t="n">
        <f aca="false">IF(L242=0,0,C242/L242)</f>
        <v>0.302091390266467</v>
      </c>
      <c r="N242" s="11" t="n">
        <f aca="false">IF(L242=0,0,D242/L242)</f>
        <v>0.446001486267194</v>
      </c>
      <c r="O242" s="11" t="n">
        <f aca="false">IF(L242=0,0,E242/L242)</f>
        <v>0.026146169828776</v>
      </c>
      <c r="P242" s="11" t="n">
        <f aca="false">IF(L242=0,0,K242/L242)</f>
        <v>0.0743740236892792</v>
      </c>
      <c r="Q242" s="4" t="str">
        <f aca="false">INDEX($C$3:$I$3,MATCH(MAX(C242:I242),C242:I242,0))</f>
        <v>Juntos Hacemos Historia (Morena-PT-PVEM)</v>
      </c>
      <c r="R242" s="17" t="n">
        <f aca="false">IF(L242=0,0,(MAX(C242:I242)-LARGE(C242:I242,2))/L242*100)</f>
        <v>14.3910096000728</v>
      </c>
      <c r="S242" s="4" t="s">
        <v>23</v>
      </c>
      <c r="T242" s="4" t="s">
        <v>25</v>
      </c>
    </row>
    <row r="243" customFormat="false" ht="15" hidden="false" customHeight="false" outlineLevel="0" collapsed="false">
      <c r="A243" s="4" t="s">
        <v>79</v>
      </c>
      <c r="B243" s="4" t="n">
        <v>1</v>
      </c>
      <c r="C243" s="5" t="n">
        <v>42463</v>
      </c>
      <c r="D243" s="5" t="n">
        <v>78085</v>
      </c>
      <c r="E243" s="5" t="n">
        <v>8674</v>
      </c>
      <c r="F243" s="5" t="n">
        <v>3218</v>
      </c>
      <c r="G243" s="5" t="n">
        <v>1657</v>
      </c>
      <c r="H243" s="5" t="n">
        <v>3400</v>
      </c>
      <c r="I243" s="5" t="n">
        <v>0</v>
      </c>
      <c r="J243" s="5" t="n">
        <v>41</v>
      </c>
      <c r="K243" s="5" t="n">
        <v>4645</v>
      </c>
      <c r="L243" s="5" t="n">
        <v>142183</v>
      </c>
      <c r="M243" s="11" t="n">
        <f aca="false">IF(L243=0,0,C243/L243)</f>
        <v>0.298650330911572</v>
      </c>
      <c r="N243" s="11" t="n">
        <f aca="false">IF(L243=0,0,D243/L243)</f>
        <v>0.549186611620236</v>
      </c>
      <c r="O243" s="11" t="n">
        <f aca="false">IF(L243=0,0,E243/L243)</f>
        <v>0.0610058867797135</v>
      </c>
      <c r="P243" s="11" t="n">
        <f aca="false">IF(L243=0,0,K243/L243)</f>
        <v>0.032669165793379</v>
      </c>
      <c r="Q243" s="4" t="str">
        <f aca="false">INDEX($C$3:$I$3,MATCH(MAX(C243:I243),C243:I243,0))</f>
        <v>Juntos Hacemos Historia (Morena-PT-PVEM)</v>
      </c>
      <c r="R243" s="17" t="n">
        <f aca="false">IF(L243=0,0,(MAX(C243:I243)-LARGE(C243:I243,2))/L243*100)</f>
        <v>25.0536280708664</v>
      </c>
      <c r="S243" s="4" t="s">
        <v>23</v>
      </c>
      <c r="T243" s="4" t="s">
        <v>25</v>
      </c>
    </row>
    <row r="244" customFormat="false" ht="15" hidden="false" customHeight="false" outlineLevel="0" collapsed="false">
      <c r="A244" s="4" t="s">
        <v>79</v>
      </c>
      <c r="B244" s="4" t="n">
        <v>2</v>
      </c>
      <c r="C244" s="5" t="n">
        <v>52131</v>
      </c>
      <c r="D244" s="5" t="n">
        <v>91829</v>
      </c>
      <c r="E244" s="5" t="n">
        <v>7780</v>
      </c>
      <c r="F244" s="5" t="n">
        <v>2295</v>
      </c>
      <c r="G244" s="5" t="n">
        <v>2462</v>
      </c>
      <c r="H244" s="5" t="n">
        <v>3908</v>
      </c>
      <c r="I244" s="5" t="n">
        <v>0</v>
      </c>
      <c r="J244" s="5" t="n">
        <v>60</v>
      </c>
      <c r="K244" s="5" t="n">
        <v>4466</v>
      </c>
      <c r="L244" s="5" t="n">
        <v>164931</v>
      </c>
      <c r="M244" s="11" t="n">
        <f aca="false">IF(L244=0,0,C244/L244)</f>
        <v>0.316077632464485</v>
      </c>
      <c r="N244" s="11" t="n">
        <f aca="false">IF(L244=0,0,D244/L244)</f>
        <v>0.55677222596116</v>
      </c>
      <c r="O244" s="11" t="n">
        <f aca="false">IF(L244=0,0,E244/L244)</f>
        <v>0.0471712413069708</v>
      </c>
      <c r="P244" s="11" t="n">
        <f aca="false">IF(L244=0,0,K244/L244)</f>
        <v>0.027077990189837</v>
      </c>
      <c r="Q244" s="4" t="str">
        <f aca="false">INDEX($C$3:$I$3,MATCH(MAX(C244:I244),C244:I244,0))</f>
        <v>Juntos Hacemos Historia (Morena-PT-PVEM)</v>
      </c>
      <c r="R244" s="17" t="n">
        <f aca="false">IF(L244=0,0,(MAX(C244:I244)-LARGE(C244:I244,2))/L244*100)</f>
        <v>24.0694593496674</v>
      </c>
      <c r="S244" s="4" t="s">
        <v>23</v>
      </c>
      <c r="T244" s="4" t="s">
        <v>25</v>
      </c>
    </row>
    <row r="245" customFormat="false" ht="15" hidden="false" customHeight="false" outlineLevel="0" collapsed="false">
      <c r="A245" s="4" t="s">
        <v>79</v>
      </c>
      <c r="B245" s="4" t="n">
        <v>3</v>
      </c>
      <c r="C245" s="5" t="n">
        <v>63600</v>
      </c>
      <c r="D245" s="5" t="n">
        <v>92063</v>
      </c>
      <c r="E245" s="5" t="n">
        <v>6905</v>
      </c>
      <c r="F245" s="5" t="n">
        <v>4008</v>
      </c>
      <c r="G245" s="5" t="n">
        <v>3728</v>
      </c>
      <c r="H245" s="5" t="n">
        <v>2004</v>
      </c>
      <c r="I245" s="5" t="n">
        <v>0</v>
      </c>
      <c r="J245" s="5" t="n">
        <v>24</v>
      </c>
      <c r="K245" s="5" t="n">
        <v>5801</v>
      </c>
      <c r="L245" s="5" t="n">
        <v>178133</v>
      </c>
      <c r="M245" s="11" t="n">
        <f aca="false">IF(L245=0,0,C245/L245)</f>
        <v>0.357036596251116</v>
      </c>
      <c r="N245" s="11" t="n">
        <f aca="false">IF(L245=0,0,D245/L245)</f>
        <v>0.51682170063941</v>
      </c>
      <c r="O245" s="11" t="n">
        <f aca="false">IF(L245=0,0,E245/L245)</f>
        <v>0.0387631713382697</v>
      </c>
      <c r="P245" s="11" t="n">
        <f aca="false">IF(L245=0,0,K245/L245)</f>
        <v>0.0325655549505145</v>
      </c>
      <c r="Q245" s="4" t="str">
        <f aca="false">INDEX($C$3:$I$3,MATCH(MAX(C245:I245),C245:I245,0))</f>
        <v>Juntos Hacemos Historia (Morena-PT-PVEM)</v>
      </c>
      <c r="R245" s="17" t="n">
        <f aca="false">IF(L245=0,0,(MAX(C245:I245)-LARGE(C245:I245,2))/L245*100)</f>
        <v>15.9785104388294</v>
      </c>
      <c r="S245" s="4" t="s">
        <v>23</v>
      </c>
      <c r="T245" s="4" t="s">
        <v>25</v>
      </c>
    </row>
    <row r="246" customFormat="false" ht="15" hidden="false" customHeight="false" outlineLevel="0" collapsed="false">
      <c r="A246" s="4" t="s">
        <v>79</v>
      </c>
      <c r="B246" s="4" t="n">
        <v>4</v>
      </c>
      <c r="C246" s="5" t="n">
        <v>59795</v>
      </c>
      <c r="D246" s="5" t="n">
        <v>87139</v>
      </c>
      <c r="E246" s="5" t="n">
        <v>4097</v>
      </c>
      <c r="F246" s="5" t="n">
        <v>2734</v>
      </c>
      <c r="G246" s="5" t="n">
        <v>1990</v>
      </c>
      <c r="H246" s="5" t="n">
        <v>1404</v>
      </c>
      <c r="I246" s="5" t="n">
        <v>0</v>
      </c>
      <c r="J246" s="5" t="n">
        <v>40</v>
      </c>
      <c r="K246" s="5" t="n">
        <v>4693</v>
      </c>
      <c r="L246" s="5" t="n">
        <v>161892</v>
      </c>
      <c r="M246" s="11" t="n">
        <f aca="false">IF(L246=0,0,C246/L246)</f>
        <v>0.369351172386529</v>
      </c>
      <c r="N246" s="11" t="n">
        <f aca="false">IF(L246=0,0,D246/L246)</f>
        <v>0.538253897660169</v>
      </c>
      <c r="O246" s="11" t="n">
        <f aca="false">IF(L246=0,0,E246/L246)</f>
        <v>0.0253069947866479</v>
      </c>
      <c r="P246" s="11" t="n">
        <f aca="false">IF(L246=0,0,K246/L246)</f>
        <v>0.0289884614434314</v>
      </c>
      <c r="Q246" s="4" t="str">
        <f aca="false">INDEX($C$3:$I$3,MATCH(MAX(C246:I246),C246:I246,0))</f>
        <v>Juntos Hacemos Historia (Morena-PT-PVEM)</v>
      </c>
      <c r="R246" s="17" t="n">
        <f aca="false">IF(L246=0,0,(MAX(C246:I246)-LARGE(C246:I246,2))/L246*100)</f>
        <v>16.8902725273639</v>
      </c>
      <c r="S246" s="4" t="s">
        <v>24</v>
      </c>
      <c r="T246" s="4" t="s">
        <v>25</v>
      </c>
    </row>
    <row r="247" customFormat="false" ht="15" hidden="false" customHeight="false" outlineLevel="0" collapsed="false">
      <c r="A247" s="4" t="s">
        <v>79</v>
      </c>
      <c r="B247" s="4" t="n">
        <v>5</v>
      </c>
      <c r="C247" s="5" t="n">
        <v>55989</v>
      </c>
      <c r="D247" s="5" t="n">
        <v>80843</v>
      </c>
      <c r="E247" s="5" t="n">
        <v>6915</v>
      </c>
      <c r="F247" s="5" t="n">
        <v>3469</v>
      </c>
      <c r="G247" s="5" t="n">
        <v>1502</v>
      </c>
      <c r="H247" s="5" t="n">
        <v>3832</v>
      </c>
      <c r="I247" s="5" t="n">
        <v>0</v>
      </c>
      <c r="J247" s="5" t="n">
        <v>119</v>
      </c>
      <c r="K247" s="5" t="n">
        <v>3685</v>
      </c>
      <c r="L247" s="5" t="n">
        <v>156354</v>
      </c>
      <c r="M247" s="11" t="n">
        <f aca="false">IF(L247=0,0,C247/L247)</f>
        <v>0.358091254461031</v>
      </c>
      <c r="N247" s="11" t="n">
        <f aca="false">IF(L247=0,0,D247/L247)</f>
        <v>0.517051050820574</v>
      </c>
      <c r="O247" s="11" t="n">
        <f aca="false">IF(L247=0,0,E247/L247)</f>
        <v>0.0442265627998005</v>
      </c>
      <c r="P247" s="11" t="n">
        <f aca="false">IF(L247=0,0,K247/L247)</f>
        <v>0.0235683129309132</v>
      </c>
      <c r="Q247" s="4" t="str">
        <f aca="false">INDEX($C$3:$I$3,MATCH(MAX(C247:I247),C247:I247,0))</f>
        <v>Juntos Hacemos Historia (Morena-PT-PVEM)</v>
      </c>
      <c r="R247" s="17" t="n">
        <f aca="false">IF(L247=0,0,(MAX(C247:I247)-LARGE(C247:I247,2))/L247*100)</f>
        <v>15.8959796359543</v>
      </c>
      <c r="S247" s="4" t="s">
        <v>23</v>
      </c>
      <c r="T247" s="4" t="s">
        <v>25</v>
      </c>
    </row>
    <row r="248" customFormat="false" ht="15" hidden="false" customHeight="false" outlineLevel="0" collapsed="false">
      <c r="A248" s="4" t="s">
        <v>79</v>
      </c>
      <c r="B248" s="4" t="n">
        <v>6</v>
      </c>
      <c r="C248" s="5" t="n">
        <v>53656</v>
      </c>
      <c r="D248" s="5" t="n">
        <v>84487</v>
      </c>
      <c r="E248" s="5" t="n">
        <v>5603</v>
      </c>
      <c r="F248" s="5" t="n">
        <v>6968</v>
      </c>
      <c r="G248" s="5" t="n">
        <v>1431</v>
      </c>
      <c r="H248" s="5" t="n">
        <v>3309</v>
      </c>
      <c r="I248" s="5" t="n">
        <v>0</v>
      </c>
      <c r="J248" s="5" t="n">
        <v>67</v>
      </c>
      <c r="K248" s="5" t="n">
        <v>5735</v>
      </c>
      <c r="L248" s="5" t="n">
        <v>161256</v>
      </c>
      <c r="M248" s="11" t="n">
        <f aca="false">IF(L248=0,0,C248/L248)</f>
        <v>0.332738006647815</v>
      </c>
      <c r="N248" s="11" t="n">
        <f aca="false">IF(L248=0,0,D248/L248)</f>
        <v>0.523930892493923</v>
      </c>
      <c r="O248" s="11" t="n">
        <f aca="false">IF(L248=0,0,E248/L248)</f>
        <v>0.034745993947512</v>
      </c>
      <c r="P248" s="11" t="n">
        <f aca="false">IF(L248=0,0,K248/L248)</f>
        <v>0.0355645681401002</v>
      </c>
      <c r="Q248" s="4" t="str">
        <f aca="false">INDEX($C$3:$I$3,MATCH(MAX(C248:I248),C248:I248,0))</f>
        <v>Juntos Hacemos Historia (Morena-PT-PVEM)</v>
      </c>
      <c r="R248" s="17" t="n">
        <f aca="false">IF(L248=0,0,(MAX(C248:I248)-LARGE(C248:I248,2))/L248*100)</f>
        <v>19.1192885846108</v>
      </c>
      <c r="S248" s="4" t="s">
        <v>24</v>
      </c>
      <c r="T248" s="4" t="s">
        <v>25</v>
      </c>
    </row>
    <row r="249" customFormat="false" ht="15" hidden="false" customHeight="false" outlineLevel="0" collapsed="false">
      <c r="A249" s="4" t="s">
        <v>79</v>
      </c>
      <c r="B249" s="4" t="n">
        <v>7</v>
      </c>
      <c r="C249" s="5" t="n">
        <v>50509</v>
      </c>
      <c r="D249" s="5" t="n">
        <v>73314</v>
      </c>
      <c r="E249" s="5" t="n">
        <v>6495</v>
      </c>
      <c r="F249" s="5" t="n">
        <v>3049</v>
      </c>
      <c r="G249" s="5" t="n">
        <v>1729</v>
      </c>
      <c r="H249" s="5" t="n">
        <v>2129</v>
      </c>
      <c r="I249" s="5" t="n">
        <v>0</v>
      </c>
      <c r="J249" s="5" t="n">
        <v>166</v>
      </c>
      <c r="K249" s="5" t="n">
        <v>4084</v>
      </c>
      <c r="L249" s="5" t="n">
        <v>141475</v>
      </c>
      <c r="M249" s="11" t="n">
        <f aca="false">IF(L249=0,0,C249/L249)</f>
        <v>0.357017140837604</v>
      </c>
      <c r="N249" s="11" t="n">
        <f aca="false">IF(L249=0,0,D249/L249)</f>
        <v>0.51821169817989</v>
      </c>
      <c r="O249" s="11" t="n">
        <f aca="false">IF(L249=0,0,E249/L249)</f>
        <v>0.0459091712316664</v>
      </c>
      <c r="P249" s="11" t="n">
        <f aca="false">IF(L249=0,0,K249/L249)</f>
        <v>0.0288672910408199</v>
      </c>
      <c r="Q249" s="4" t="str">
        <f aca="false">INDEX($C$3:$I$3,MATCH(MAX(C249:I249),C249:I249,0))</f>
        <v>Juntos Hacemos Historia (Morena-PT-PVEM)</v>
      </c>
      <c r="R249" s="17" t="n">
        <f aca="false">IF(L249=0,0,(MAX(C249:I249)-LARGE(C249:I249,2))/L249*100)</f>
        <v>16.1194557342287</v>
      </c>
      <c r="S249" s="4" t="s">
        <v>23</v>
      </c>
      <c r="T249" s="4" t="s">
        <v>25</v>
      </c>
    </row>
    <row r="250" customFormat="false" ht="15" hidden="false" customHeight="false" outlineLevel="0" collapsed="false">
      <c r="A250" s="4" t="s">
        <v>80</v>
      </c>
      <c r="B250" s="4" t="n">
        <v>1</v>
      </c>
      <c r="C250" s="5" t="n">
        <v>37355</v>
      </c>
      <c r="D250" s="5" t="n">
        <v>58077</v>
      </c>
      <c r="E250" s="5" t="n">
        <v>6267</v>
      </c>
      <c r="F250" s="5" t="n">
        <v>4247</v>
      </c>
      <c r="G250" s="5" t="n">
        <v>955</v>
      </c>
      <c r="H250" s="5" t="n">
        <v>3847</v>
      </c>
      <c r="I250" s="5" t="n">
        <v>0</v>
      </c>
      <c r="J250" s="5" t="n">
        <v>150</v>
      </c>
      <c r="K250" s="5" t="n">
        <v>3619</v>
      </c>
      <c r="L250" s="5" t="n">
        <v>114517</v>
      </c>
      <c r="M250" s="11" t="n">
        <f aca="false">IF(L250=0,0,C250/L250)</f>
        <v>0.32619611062113</v>
      </c>
      <c r="N250" s="11" t="n">
        <f aca="false">IF(L250=0,0,D250/L250)</f>
        <v>0.507147410428146</v>
      </c>
      <c r="O250" s="11" t="n">
        <f aca="false">IF(L250=0,0,E250/L250)</f>
        <v>0.0547254992708506</v>
      </c>
      <c r="P250" s="11" t="n">
        <f aca="false">IF(L250=0,0,K250/L250)</f>
        <v>0.0316022948557856</v>
      </c>
      <c r="Q250" s="4" t="str">
        <f aca="false">INDEX($C$3:$I$3,MATCH(MAX(C250:I250),C250:I250,0))</f>
        <v>Juntos Hacemos Historia (Morena-PT-PVEM)</v>
      </c>
      <c r="R250" s="17" t="n">
        <f aca="false">IF(L250=0,0,(MAX(C250:I250)-LARGE(C250:I250,2))/L250*100)</f>
        <v>18.0951299807016</v>
      </c>
      <c r="S250" s="4" t="s">
        <v>24</v>
      </c>
      <c r="T250" s="4" t="s">
        <v>25</v>
      </c>
    </row>
    <row r="251" customFormat="false" ht="15" hidden="false" customHeight="false" outlineLevel="0" collapsed="false">
      <c r="A251" s="4" t="s">
        <v>80</v>
      </c>
      <c r="B251" s="4" t="n">
        <v>2</v>
      </c>
      <c r="C251" s="5" t="n">
        <v>48059</v>
      </c>
      <c r="D251" s="5" t="n">
        <v>61359</v>
      </c>
      <c r="E251" s="5" t="n">
        <v>9047</v>
      </c>
      <c r="F251" s="5" t="n">
        <v>10032</v>
      </c>
      <c r="G251" s="5" t="n">
        <v>1905</v>
      </c>
      <c r="H251" s="5" t="n">
        <v>2514</v>
      </c>
      <c r="I251" s="5" t="n">
        <v>0</v>
      </c>
      <c r="J251" s="5" t="n">
        <v>102</v>
      </c>
      <c r="K251" s="5" t="n">
        <v>4763</v>
      </c>
      <c r="L251" s="5" t="n">
        <v>137781</v>
      </c>
      <c r="M251" s="11" t="n">
        <f aca="false">IF(L251=0,0,C251/L251)</f>
        <v>0.348807164993722</v>
      </c>
      <c r="N251" s="11" t="n">
        <f aca="false">IF(L251=0,0,D251/L251)</f>
        <v>0.445337165501775</v>
      </c>
      <c r="O251" s="11" t="n">
        <f aca="false">IF(L251=0,0,E251/L251)</f>
        <v>0.0656621740298009</v>
      </c>
      <c r="P251" s="11" t="n">
        <f aca="false">IF(L251=0,0,K251/L251)</f>
        <v>0.0345693528135229</v>
      </c>
      <c r="Q251" s="4" t="str">
        <f aca="false">INDEX($C$3:$I$3,MATCH(MAX(C251:I251),C251:I251,0))</f>
        <v>Juntos Hacemos Historia (Morena-PT-PVEM)</v>
      </c>
      <c r="R251" s="17" t="n">
        <f aca="false">IF(L251=0,0,(MAX(C251:I251)-LARGE(C251:I251,2))/L251*100)</f>
        <v>9.65300005080526</v>
      </c>
      <c r="S251" s="4" t="s">
        <v>23</v>
      </c>
      <c r="T251" s="4" t="s">
        <v>25</v>
      </c>
    </row>
    <row r="252" customFormat="false" ht="15" hidden="false" customHeight="false" outlineLevel="0" collapsed="false">
      <c r="A252" s="4" t="s">
        <v>80</v>
      </c>
      <c r="B252" s="4" t="n">
        <v>3</v>
      </c>
      <c r="C252" s="5" t="n">
        <v>44890</v>
      </c>
      <c r="D252" s="5" t="n">
        <v>65710</v>
      </c>
      <c r="E252" s="5" t="n">
        <v>16508</v>
      </c>
      <c r="F252" s="5" t="n">
        <v>1494</v>
      </c>
      <c r="G252" s="5" t="n">
        <v>1229</v>
      </c>
      <c r="H252" s="5" t="n">
        <v>2429</v>
      </c>
      <c r="I252" s="5" t="n">
        <v>0</v>
      </c>
      <c r="J252" s="5" t="n">
        <v>141</v>
      </c>
      <c r="K252" s="5" t="n">
        <v>3450</v>
      </c>
      <c r="L252" s="5" t="n">
        <v>135851</v>
      </c>
      <c r="M252" s="11" t="n">
        <f aca="false">IF(L252=0,0,C252/L252)</f>
        <v>0.33043555071365</v>
      </c>
      <c r="N252" s="11" t="n">
        <f aca="false">IF(L252=0,0,D252/L252)</f>
        <v>0.483691691632745</v>
      </c>
      <c r="O252" s="11" t="n">
        <f aca="false">IF(L252=0,0,E252/L252)</f>
        <v>0.121515483875717</v>
      </c>
      <c r="P252" s="11" t="n">
        <f aca="false">IF(L252=0,0,K252/L252)</f>
        <v>0.0253954700370259</v>
      </c>
      <c r="Q252" s="4" t="str">
        <f aca="false">INDEX($C$3:$I$3,MATCH(MAX(C252:I252),C252:I252,0))</f>
        <v>Juntos Hacemos Historia (Morena-PT-PVEM)</v>
      </c>
      <c r="R252" s="17" t="n">
        <f aca="false">IF(L252=0,0,(MAX(C252:I252)-LARGE(C252:I252,2))/L252*100)</f>
        <v>15.3256140919095</v>
      </c>
      <c r="S252" s="4" t="s">
        <v>23</v>
      </c>
      <c r="T252" s="4" t="s">
        <v>25</v>
      </c>
    </row>
    <row r="253" customFormat="false" ht="15" hidden="false" customHeight="false" outlineLevel="0" collapsed="false">
      <c r="A253" s="4" t="s">
        <v>80</v>
      </c>
      <c r="B253" s="4" t="n">
        <v>4</v>
      </c>
      <c r="C253" s="5" t="n">
        <v>42460</v>
      </c>
      <c r="D253" s="5" t="n">
        <v>84060</v>
      </c>
      <c r="E253" s="5" t="n">
        <v>10802</v>
      </c>
      <c r="F253" s="5" t="n">
        <v>2190</v>
      </c>
      <c r="G253" s="5" t="n">
        <v>2462</v>
      </c>
      <c r="H253" s="5" t="n">
        <v>4118</v>
      </c>
      <c r="I253" s="5" t="n">
        <v>0</v>
      </c>
      <c r="J253" s="5" t="n">
        <v>91</v>
      </c>
      <c r="K253" s="5" t="n">
        <v>5276</v>
      </c>
      <c r="L253" s="5" t="n">
        <v>151459</v>
      </c>
      <c r="M253" s="11" t="n">
        <f aca="false">IF(L253=0,0,C253/L253)</f>
        <v>0.280339893964703</v>
      </c>
      <c r="N253" s="11" t="n">
        <f aca="false">IF(L253=0,0,D253/L253)</f>
        <v>0.555001683623951</v>
      </c>
      <c r="O253" s="11" t="n">
        <f aca="false">IF(L253=0,0,E253/L253)</f>
        <v>0.0713196310552691</v>
      </c>
      <c r="P253" s="11" t="n">
        <f aca="false">IF(L253=0,0,K253/L253)</f>
        <v>0.0348345096692834</v>
      </c>
      <c r="Q253" s="4" t="str">
        <f aca="false">INDEX($C$3:$I$3,MATCH(MAX(C253:I253),C253:I253,0))</f>
        <v>Juntos Hacemos Historia (Morena-PT-PVEM)</v>
      </c>
      <c r="R253" s="17" t="n">
        <f aca="false">IF(L253=0,0,(MAX(C253:I253)-LARGE(C253:I253,2))/L253*100)</f>
        <v>27.4661789659248</v>
      </c>
      <c r="S253" s="4" t="s">
        <v>24</v>
      </c>
      <c r="T253" s="4" t="s">
        <v>25</v>
      </c>
    </row>
    <row r="254" customFormat="false" ht="15" hidden="false" customHeight="false" outlineLevel="0" collapsed="false">
      <c r="A254" s="4" t="s">
        <v>80</v>
      </c>
      <c r="B254" s="4" t="n">
        <v>5</v>
      </c>
      <c r="C254" s="5" t="n">
        <v>62682</v>
      </c>
      <c r="D254" s="5" t="n">
        <v>64919</v>
      </c>
      <c r="E254" s="5" t="n">
        <v>10305</v>
      </c>
      <c r="F254" s="5" t="n">
        <v>1757</v>
      </c>
      <c r="G254" s="5" t="n">
        <v>715</v>
      </c>
      <c r="H254" s="5" t="n">
        <v>2087</v>
      </c>
      <c r="I254" s="5" t="n">
        <v>0</v>
      </c>
      <c r="J254" s="5" t="n">
        <v>132</v>
      </c>
      <c r="K254" s="5" t="n">
        <v>3611</v>
      </c>
      <c r="L254" s="5" t="n">
        <v>146208</v>
      </c>
      <c r="M254" s="11" t="n">
        <f aca="false">IF(L254=0,0,C254/L254)</f>
        <v>0.428717990807617</v>
      </c>
      <c r="N254" s="11" t="n">
        <f aca="false">IF(L254=0,0,D254/L254)</f>
        <v>0.444018111184067</v>
      </c>
      <c r="O254" s="11" t="n">
        <f aca="false">IF(L254=0,0,E254/L254)</f>
        <v>0.0704817793827971</v>
      </c>
      <c r="P254" s="11" t="n">
        <f aca="false">IF(L254=0,0,K254/L254)</f>
        <v>0.0246976909608229</v>
      </c>
      <c r="Q254" s="4" t="str">
        <f aca="false">INDEX($C$3:$I$3,MATCH(MAX(C254:I254),C254:I254,0))</f>
        <v>Juntos Hacemos Historia (Morena-PT-PVEM)</v>
      </c>
      <c r="R254" s="17" t="n">
        <f aca="false">IF(L254=0,0,(MAX(C254:I254)-LARGE(C254:I254,2))/L254*100)</f>
        <v>1.530012037645</v>
      </c>
      <c r="S254" s="4" t="s">
        <v>23</v>
      </c>
      <c r="T254" s="4" t="s">
        <v>25</v>
      </c>
    </row>
    <row r="255" customFormat="false" ht="15" hidden="false" customHeight="false" outlineLevel="0" collapsed="false">
      <c r="A255" s="4" t="s">
        <v>80</v>
      </c>
      <c r="B255" s="4" t="n">
        <v>6</v>
      </c>
      <c r="C255" s="5" t="n">
        <v>40720</v>
      </c>
      <c r="D255" s="5" t="n">
        <v>67587</v>
      </c>
      <c r="E255" s="5" t="n">
        <v>16486</v>
      </c>
      <c r="F255" s="5" t="n">
        <v>2551</v>
      </c>
      <c r="G255" s="5" t="n">
        <v>1265</v>
      </c>
      <c r="H255" s="5" t="n">
        <v>3362</v>
      </c>
      <c r="I255" s="5" t="n">
        <v>0</v>
      </c>
      <c r="J255" s="5" t="n">
        <v>120</v>
      </c>
      <c r="K255" s="5" t="n">
        <v>3631</v>
      </c>
      <c r="L255" s="5" t="n">
        <v>135722</v>
      </c>
      <c r="M255" s="11" t="n">
        <f aca="false">IF(L255=0,0,C255/L255)</f>
        <v>0.300025051207616</v>
      </c>
      <c r="N255" s="11" t="n">
        <f aca="false">IF(L255=0,0,D255/L255)</f>
        <v>0.497981167386275</v>
      </c>
      <c r="O255" s="11" t="n">
        <f aca="false">IF(L255=0,0,E255/L255)</f>
        <v>0.121468884926541</v>
      </c>
      <c r="P255" s="11" t="n">
        <f aca="false">IF(L255=0,0,K255/L255)</f>
        <v>0.0267532161329777</v>
      </c>
      <c r="Q255" s="4" t="str">
        <f aca="false">INDEX($C$3:$I$3,MATCH(MAX(C255:I255),C255:I255,0))</f>
        <v>Juntos Hacemos Historia (Morena-PT-PVEM)</v>
      </c>
      <c r="R255" s="17" t="n">
        <f aca="false">IF(L255=0,0,(MAX(C255:I255)-LARGE(C255:I255,2))/L255*100)</f>
        <v>19.7956116178659</v>
      </c>
      <c r="S255" s="4" t="s">
        <v>24</v>
      </c>
      <c r="T255" s="4" t="s">
        <v>25</v>
      </c>
    </row>
    <row r="256" customFormat="false" ht="15" hidden="false" customHeight="false" outlineLevel="0" collapsed="false">
      <c r="A256" s="4" t="s">
        <v>80</v>
      </c>
      <c r="B256" s="4" t="n">
        <v>7</v>
      </c>
      <c r="C256" s="5" t="n">
        <v>43706</v>
      </c>
      <c r="D256" s="5" t="n">
        <v>74457</v>
      </c>
      <c r="E256" s="5" t="n">
        <v>7182</v>
      </c>
      <c r="F256" s="5" t="n">
        <v>2585</v>
      </c>
      <c r="G256" s="5" t="n">
        <v>2995</v>
      </c>
      <c r="H256" s="5" t="n">
        <v>1933</v>
      </c>
      <c r="I256" s="5" t="n">
        <v>0</v>
      </c>
      <c r="J256" s="5" t="n">
        <v>312</v>
      </c>
      <c r="K256" s="5" t="n">
        <v>3931</v>
      </c>
      <c r="L256" s="5" t="n">
        <v>137101</v>
      </c>
      <c r="M256" s="11" t="n">
        <f aca="false">IF(L256=0,0,C256/L256)</f>
        <v>0.318786879745589</v>
      </c>
      <c r="N256" s="11" t="n">
        <f aca="false">IF(L256=0,0,D256/L256)</f>
        <v>0.543081377962232</v>
      </c>
      <c r="O256" s="11" t="n">
        <f aca="false">IF(L256=0,0,E256/L256)</f>
        <v>0.052384738258656</v>
      </c>
      <c r="P256" s="11" t="n">
        <f aca="false">IF(L256=0,0,K256/L256)</f>
        <v>0.0286722926893312</v>
      </c>
      <c r="Q256" s="4" t="str">
        <f aca="false">INDEX($C$3:$I$3,MATCH(MAX(C256:I256),C256:I256,0))</f>
        <v>Juntos Hacemos Historia (Morena-PT-PVEM)</v>
      </c>
      <c r="R256" s="17" t="n">
        <f aca="false">IF(L256=0,0,(MAX(C256:I256)-LARGE(C256:I256,2))/L256*100)</f>
        <v>22.4294498216643</v>
      </c>
      <c r="S256" s="4" t="s">
        <v>23</v>
      </c>
      <c r="T256" s="4" t="s">
        <v>25</v>
      </c>
    </row>
    <row r="257" customFormat="false" ht="15" hidden="false" customHeight="false" outlineLevel="0" collapsed="false">
      <c r="A257" s="4" t="s">
        <v>81</v>
      </c>
      <c r="B257" s="4" t="n">
        <v>1</v>
      </c>
      <c r="C257" s="5" t="n">
        <v>22155</v>
      </c>
      <c r="D257" s="5" t="n">
        <v>107810</v>
      </c>
      <c r="E257" s="5" t="n">
        <v>2147</v>
      </c>
      <c r="F257" s="5" t="n">
        <v>7037</v>
      </c>
      <c r="G257" s="5" t="n">
        <v>2727</v>
      </c>
      <c r="H257" s="5" t="n">
        <v>1121</v>
      </c>
      <c r="I257" s="5" t="n">
        <v>0</v>
      </c>
      <c r="J257" s="5" t="n">
        <v>63</v>
      </c>
      <c r="K257" s="5" t="n">
        <v>4009</v>
      </c>
      <c r="L257" s="5" t="n">
        <v>147069</v>
      </c>
      <c r="M257" s="11" t="n">
        <f aca="false">IF(L257=0,0,C257/L257)</f>
        <v>0.150643575464578</v>
      </c>
      <c r="N257" s="11" t="n">
        <f aca="false">IF(L257=0,0,D257/L257)</f>
        <v>0.733057272436747</v>
      </c>
      <c r="O257" s="11" t="n">
        <f aca="false">IF(L257=0,0,E257/L257)</f>
        <v>0.0145985897775874</v>
      </c>
      <c r="P257" s="11" t="n">
        <f aca="false">IF(L257=0,0,K257/L257)</f>
        <v>0.027259313655495</v>
      </c>
      <c r="Q257" s="4" t="str">
        <f aca="false">INDEX($C$3:$I$3,MATCH(MAX(C257:I257),C257:I257,0))</f>
        <v>Juntos Hacemos Historia (Morena-PT-PVEM)</v>
      </c>
      <c r="R257" s="17" t="n">
        <f aca="false">IF(L257=0,0,(MAX(C257:I257)-LARGE(C257:I257,2))/L257*100)</f>
        <v>58.2413696972169</v>
      </c>
      <c r="S257" s="4" t="s">
        <v>24</v>
      </c>
      <c r="T257" s="4" t="s">
        <v>25</v>
      </c>
    </row>
    <row r="258" customFormat="false" ht="15" hidden="false" customHeight="false" outlineLevel="0" collapsed="false">
      <c r="A258" s="4" t="s">
        <v>81</v>
      </c>
      <c r="B258" s="4" t="n">
        <v>2</v>
      </c>
      <c r="C258" s="5" t="n">
        <v>47011</v>
      </c>
      <c r="D258" s="5" t="n">
        <v>105019</v>
      </c>
      <c r="E258" s="5" t="n">
        <v>2131</v>
      </c>
      <c r="F258" s="5" t="n">
        <v>2717</v>
      </c>
      <c r="G258" s="5" t="n">
        <v>2772</v>
      </c>
      <c r="H258" s="5" t="n">
        <v>1349</v>
      </c>
      <c r="I258" s="5" t="n">
        <v>0</v>
      </c>
      <c r="J258" s="5" t="n">
        <v>307</v>
      </c>
      <c r="K258" s="5" t="n">
        <v>4320</v>
      </c>
      <c r="L258" s="5" t="n">
        <v>165626</v>
      </c>
      <c r="M258" s="11" t="n">
        <f aca="false">IF(L258=0,0,C258/L258)</f>
        <v>0.283838286259404</v>
      </c>
      <c r="N258" s="11" t="n">
        <f aca="false">IF(L258=0,0,D258/L258)</f>
        <v>0.63407315276587</v>
      </c>
      <c r="O258" s="11" t="n">
        <f aca="false">IF(L258=0,0,E258/L258)</f>
        <v>0.012866337410793</v>
      </c>
      <c r="P258" s="11" t="n">
        <f aca="false">IF(L258=0,0,K258/L258)</f>
        <v>0.0260828613864973</v>
      </c>
      <c r="Q258" s="4" t="str">
        <f aca="false">INDEX($C$3:$I$3,MATCH(MAX(C258:I258),C258:I258,0))</f>
        <v>Juntos Hacemos Historia (Morena-PT-PVEM)</v>
      </c>
      <c r="R258" s="17" t="n">
        <f aca="false">IF(L258=0,0,(MAX(C258:I258)-LARGE(C258:I258,2))/L258*100)</f>
        <v>35.0234866506466</v>
      </c>
      <c r="S258" s="4" t="s">
        <v>24</v>
      </c>
      <c r="T258" s="4" t="s">
        <v>25</v>
      </c>
    </row>
    <row r="259" customFormat="false" ht="15" hidden="false" customHeight="false" outlineLevel="0" collapsed="false">
      <c r="A259" s="4" t="s">
        <v>81</v>
      </c>
      <c r="B259" s="4" t="n">
        <v>3</v>
      </c>
      <c r="C259" s="5" t="n">
        <v>41382</v>
      </c>
      <c r="D259" s="5" t="n">
        <v>88251</v>
      </c>
      <c r="E259" s="5" t="n">
        <v>4191</v>
      </c>
      <c r="F259" s="5" t="n">
        <v>3004</v>
      </c>
      <c r="G259" s="5" t="n">
        <v>1940</v>
      </c>
      <c r="H259" s="5" t="n">
        <v>2370</v>
      </c>
      <c r="I259" s="5" t="n">
        <v>0</v>
      </c>
      <c r="J259" s="5" t="n">
        <v>43</v>
      </c>
      <c r="K259" s="5" t="n">
        <v>4117</v>
      </c>
      <c r="L259" s="5" t="n">
        <v>145298</v>
      </c>
      <c r="M259" s="11" t="n">
        <f aca="false">IF(L259=0,0,C259/L259)</f>
        <v>0.284807774367163</v>
      </c>
      <c r="N259" s="11" t="n">
        <f aca="false">IF(L259=0,0,D259/L259)</f>
        <v>0.60737931698991</v>
      </c>
      <c r="O259" s="11" t="n">
        <f aca="false">IF(L259=0,0,E259/L259)</f>
        <v>0.0288441685363873</v>
      </c>
      <c r="P259" s="11" t="n">
        <f aca="false">IF(L259=0,0,K259/L259)</f>
        <v>0.0283348704042726</v>
      </c>
      <c r="Q259" s="4" t="str">
        <f aca="false">INDEX($C$3:$I$3,MATCH(MAX(C259:I259),C259:I259,0))</f>
        <v>Juntos Hacemos Historia (Morena-PT-PVEM)</v>
      </c>
      <c r="R259" s="17" t="n">
        <f aca="false">IF(L259=0,0,(MAX(C259:I259)-LARGE(C259:I259,2))/L259*100)</f>
        <v>32.2571542622748</v>
      </c>
      <c r="S259" s="4" t="s">
        <v>24</v>
      </c>
      <c r="T259" s="4" t="s">
        <v>25</v>
      </c>
    </row>
    <row r="260" customFormat="false" ht="15" hidden="false" customHeight="false" outlineLevel="0" collapsed="false">
      <c r="A260" s="4" t="s">
        <v>81</v>
      </c>
      <c r="B260" s="4" t="n">
        <v>4</v>
      </c>
      <c r="C260" s="5" t="n">
        <v>32002</v>
      </c>
      <c r="D260" s="5" t="n">
        <v>98847</v>
      </c>
      <c r="E260" s="5" t="n">
        <v>3187</v>
      </c>
      <c r="F260" s="5" t="n">
        <v>2108</v>
      </c>
      <c r="G260" s="5" t="n">
        <v>1916</v>
      </c>
      <c r="H260" s="5" t="n">
        <v>3300</v>
      </c>
      <c r="I260" s="5" t="n">
        <v>0</v>
      </c>
      <c r="J260" s="5" t="n">
        <v>102</v>
      </c>
      <c r="K260" s="5" t="n">
        <v>4445</v>
      </c>
      <c r="L260" s="5" t="n">
        <v>145907</v>
      </c>
      <c r="M260" s="11" t="n">
        <f aca="false">IF(L260=0,0,C260/L260)</f>
        <v>0.219331491977767</v>
      </c>
      <c r="N260" s="11" t="n">
        <f aca="false">IF(L260=0,0,D260/L260)</f>
        <v>0.67746578299876</v>
      </c>
      <c r="O260" s="11" t="n">
        <f aca="false">IF(L260=0,0,E260/L260)</f>
        <v>0.0218426806116225</v>
      </c>
      <c r="P260" s="11" t="n">
        <f aca="false">IF(L260=0,0,K260/L260)</f>
        <v>0.0304646110193479</v>
      </c>
      <c r="Q260" s="4" t="str">
        <f aca="false">INDEX($C$3:$I$3,MATCH(MAX(C260:I260),C260:I260,0))</f>
        <v>Juntos Hacemos Historia (Morena-PT-PVEM)</v>
      </c>
      <c r="R260" s="17" t="n">
        <f aca="false">IF(L260=0,0,(MAX(C260:I260)-LARGE(C260:I260,2))/L260*100)</f>
        <v>45.8134291020993</v>
      </c>
      <c r="S260" s="4" t="s">
        <v>24</v>
      </c>
      <c r="T260" s="4" t="s">
        <v>25</v>
      </c>
    </row>
    <row r="261" customFormat="false" ht="15" hidden="false" customHeight="false" outlineLevel="0" collapsed="false">
      <c r="A261" s="4" t="s">
        <v>81</v>
      </c>
      <c r="B261" s="4" t="n">
        <v>5</v>
      </c>
      <c r="C261" s="5" t="n">
        <v>25119</v>
      </c>
      <c r="D261" s="5" t="n">
        <v>121475</v>
      </c>
      <c r="E261" s="5" t="n">
        <v>7368</v>
      </c>
      <c r="F261" s="5" t="n">
        <v>4606</v>
      </c>
      <c r="G261" s="5" t="n">
        <v>9400</v>
      </c>
      <c r="H261" s="5" t="n">
        <v>10698</v>
      </c>
      <c r="I261" s="5" t="n">
        <v>0</v>
      </c>
      <c r="J261" s="5" t="n">
        <v>55</v>
      </c>
      <c r="K261" s="5" t="n">
        <v>6224</v>
      </c>
      <c r="L261" s="5" t="n">
        <v>184945</v>
      </c>
      <c r="M261" s="11" t="n">
        <f aca="false">IF(L261=0,0,C261/L261)</f>
        <v>0.135818756927735</v>
      </c>
      <c r="N261" s="11" t="n">
        <f aca="false">IF(L261=0,0,D261/L261)</f>
        <v>0.656816891508286</v>
      </c>
      <c r="O261" s="11" t="n">
        <f aca="false">IF(L261=0,0,E261/L261)</f>
        <v>0.0398388710157074</v>
      </c>
      <c r="P261" s="11" t="n">
        <f aca="false">IF(L261=0,0,K261/L261)</f>
        <v>0.0336532482629971</v>
      </c>
      <c r="Q261" s="4" t="str">
        <f aca="false">INDEX($C$3:$I$3,MATCH(MAX(C261:I261),C261:I261,0))</f>
        <v>Juntos Hacemos Historia (Morena-PT-PVEM)</v>
      </c>
      <c r="R261" s="17" t="n">
        <f aca="false">IF(L261=0,0,(MAX(C261:I261)-LARGE(C261:I261,2))/L261*100)</f>
        <v>52.0998134580551</v>
      </c>
      <c r="S261" s="4" t="s">
        <v>24</v>
      </c>
      <c r="T261" s="4" t="s">
        <v>25</v>
      </c>
    </row>
    <row r="262" customFormat="false" ht="15" hidden="false" customHeight="false" outlineLevel="0" collapsed="false">
      <c r="A262" s="4" t="s">
        <v>81</v>
      </c>
      <c r="B262" s="4" t="n">
        <v>6</v>
      </c>
      <c r="C262" s="5" t="n">
        <v>26430</v>
      </c>
      <c r="D262" s="5" t="n">
        <v>97447</v>
      </c>
      <c r="E262" s="5" t="n">
        <v>11935</v>
      </c>
      <c r="F262" s="5" t="n">
        <v>2423</v>
      </c>
      <c r="G262" s="5" t="n">
        <v>1908</v>
      </c>
      <c r="H262" s="5" t="n">
        <v>3381</v>
      </c>
      <c r="I262" s="5" t="n">
        <v>0</v>
      </c>
      <c r="J262" s="5" t="n">
        <v>79</v>
      </c>
      <c r="K262" s="5" t="n">
        <v>4579</v>
      </c>
      <c r="L262" s="5" t="n">
        <v>148182</v>
      </c>
      <c r="M262" s="11" t="n">
        <f aca="false">IF(L262=0,0,C262/L262)</f>
        <v>0.178361744341418</v>
      </c>
      <c r="N262" s="11" t="n">
        <f aca="false">IF(L262=0,0,D262/L262)</f>
        <v>0.657616984519037</v>
      </c>
      <c r="O262" s="11" t="n">
        <f aca="false">IF(L262=0,0,E262/L262)</f>
        <v>0.0805428459596982</v>
      </c>
      <c r="P262" s="11" t="n">
        <f aca="false">IF(L262=0,0,K262/L262)</f>
        <v>0.0309011890782956</v>
      </c>
      <c r="Q262" s="4" t="str">
        <f aca="false">INDEX($C$3:$I$3,MATCH(MAX(C262:I262),C262:I262,0))</f>
        <v>Juntos Hacemos Historia (Morena-PT-PVEM)</v>
      </c>
      <c r="R262" s="17" t="n">
        <f aca="false">IF(L262=0,0,(MAX(C262:I262)-LARGE(C262:I262,2))/L262*100)</f>
        <v>47.9255240177619</v>
      </c>
      <c r="S262" s="4" t="s">
        <v>24</v>
      </c>
      <c r="T262" s="4" t="s">
        <v>25</v>
      </c>
    </row>
    <row r="263" customFormat="false" ht="15" hidden="false" customHeight="false" outlineLevel="0" collapsed="false">
      <c r="A263" s="4" t="s">
        <v>82</v>
      </c>
      <c r="B263" s="4" t="n">
        <v>1</v>
      </c>
      <c r="C263" s="5" t="n">
        <v>72343</v>
      </c>
      <c r="D263" s="5" t="n">
        <v>66422</v>
      </c>
      <c r="E263" s="5" t="n">
        <v>3267</v>
      </c>
      <c r="F263" s="5" t="n">
        <v>1958</v>
      </c>
      <c r="G263" s="5" t="n">
        <v>1478</v>
      </c>
      <c r="H263" s="5" t="n">
        <v>2249</v>
      </c>
      <c r="I263" s="5" t="n">
        <v>0</v>
      </c>
      <c r="J263" s="5" t="n">
        <v>108</v>
      </c>
      <c r="K263" s="5" t="n">
        <v>3209</v>
      </c>
      <c r="L263" s="5" t="n">
        <v>151034</v>
      </c>
      <c r="M263" s="11" t="n">
        <f aca="false">IF(L263=0,0,C263/L263)</f>
        <v>0.478984864335183</v>
      </c>
      <c r="N263" s="11" t="n">
        <f aca="false">IF(L263=0,0,D263/L263)</f>
        <v>0.439781770991962</v>
      </c>
      <c r="O263" s="11" t="n">
        <f aca="false">IF(L263=0,0,E263/L263)</f>
        <v>0.0216308910576427</v>
      </c>
      <c r="P263" s="11" t="n">
        <f aca="false">IF(L263=0,0,K263/L263)</f>
        <v>0.0212468715653429</v>
      </c>
      <c r="Q263" s="4" t="str">
        <f aca="false">INDEX($C$3:$I$3,MATCH(MAX(C263:I263),C263:I263,0))</f>
        <v>Va por México (PAN-PRI-PRD)</v>
      </c>
      <c r="R263" s="17" t="n">
        <f aca="false">IF(L263=0,0,(MAX(C263:I263)-LARGE(C263:I263,2))/L263*100)</f>
        <v>3.92030933432207</v>
      </c>
      <c r="S263" s="4" t="s">
        <v>23</v>
      </c>
      <c r="T263" s="4" t="s">
        <v>26</v>
      </c>
    </row>
    <row r="264" customFormat="false" ht="15" hidden="false" customHeight="false" outlineLevel="0" collapsed="false">
      <c r="A264" s="4" t="s">
        <v>82</v>
      </c>
      <c r="B264" s="4" t="n">
        <v>2</v>
      </c>
      <c r="C264" s="5" t="n">
        <v>63263</v>
      </c>
      <c r="D264" s="5" t="n">
        <v>56755</v>
      </c>
      <c r="E264" s="5" t="n">
        <v>4230</v>
      </c>
      <c r="F264" s="5" t="n">
        <v>5578</v>
      </c>
      <c r="G264" s="5" t="n">
        <v>1316</v>
      </c>
      <c r="H264" s="5" t="n">
        <v>2299</v>
      </c>
      <c r="I264" s="5" t="n">
        <v>0</v>
      </c>
      <c r="J264" s="5" t="n">
        <v>51</v>
      </c>
      <c r="K264" s="5" t="n">
        <v>3184</v>
      </c>
      <c r="L264" s="5" t="n">
        <v>136676</v>
      </c>
      <c r="M264" s="11" t="n">
        <f aca="false">IF(L264=0,0,C264/L264)</f>
        <v>0.462868389475841</v>
      </c>
      <c r="N264" s="11" t="n">
        <f aca="false">IF(L264=0,0,D264/L264)</f>
        <v>0.415252129122889</v>
      </c>
      <c r="O264" s="11" t="n">
        <f aca="false">IF(L264=0,0,E264/L264)</f>
        <v>0.030949105914718</v>
      </c>
      <c r="P264" s="11" t="n">
        <f aca="false">IF(L264=0,0,K264/L264)</f>
        <v>0.0232959700313149</v>
      </c>
      <c r="Q264" s="4" t="str">
        <f aca="false">INDEX($C$3:$I$3,MATCH(MAX(C264:I264),C264:I264,0))</f>
        <v>Va por México (PAN-PRI-PRD)</v>
      </c>
      <c r="R264" s="17" t="n">
        <f aca="false">IF(L264=0,0,(MAX(C264:I264)-LARGE(C264:I264,2))/L264*100)</f>
        <v>4.76162603529515</v>
      </c>
      <c r="S264" s="4" t="s">
        <v>23</v>
      </c>
      <c r="T264" s="4" t="s">
        <v>26</v>
      </c>
    </row>
    <row r="265" customFormat="false" ht="15" hidden="false" customHeight="false" outlineLevel="0" collapsed="false">
      <c r="A265" s="4" t="s">
        <v>82</v>
      </c>
      <c r="B265" s="4" t="n">
        <v>3</v>
      </c>
      <c r="C265" s="5" t="n">
        <v>73639</v>
      </c>
      <c r="D265" s="5" t="n">
        <v>68951</v>
      </c>
      <c r="E265" s="5" t="n">
        <v>3881</v>
      </c>
      <c r="F265" s="5" t="n">
        <v>2516</v>
      </c>
      <c r="G265" s="5" t="n">
        <v>1684</v>
      </c>
      <c r="H265" s="5" t="n">
        <v>1702</v>
      </c>
      <c r="I265" s="5" t="n">
        <v>0</v>
      </c>
      <c r="J265" s="5" t="n">
        <v>70</v>
      </c>
      <c r="K265" s="5" t="n">
        <v>3733</v>
      </c>
      <c r="L265" s="5" t="n">
        <v>156176</v>
      </c>
      <c r="M265" s="11" t="n">
        <f aca="false">IF(L265=0,0,C265/L265)</f>
        <v>0.471512908513472</v>
      </c>
      <c r="N265" s="11" t="n">
        <f aca="false">IF(L265=0,0,D265/L265)</f>
        <v>0.441495492265137</v>
      </c>
      <c r="O265" s="11" t="n">
        <f aca="false">IF(L265=0,0,E265/L265)</f>
        <v>0.0248501690400574</v>
      </c>
      <c r="P265" s="11" t="n">
        <f aca="false">IF(L265=0,0,K265/L265)</f>
        <v>0.0239025202335826</v>
      </c>
      <c r="Q265" s="4" t="str">
        <f aca="false">INDEX($C$3:$I$3,MATCH(MAX(C265:I265),C265:I265,0))</f>
        <v>Va por México (PAN-PRI-PRD)</v>
      </c>
      <c r="R265" s="17" t="n">
        <f aca="false">IF(L265=0,0,(MAX(C265:I265)-LARGE(C265:I265,2))/L265*100)</f>
        <v>3.00174162483352</v>
      </c>
      <c r="S265" s="4" t="s">
        <v>23</v>
      </c>
      <c r="T265" s="4" t="s">
        <v>26</v>
      </c>
    </row>
    <row r="266" customFormat="false" ht="15" hidden="false" customHeight="false" outlineLevel="0" collapsed="false">
      <c r="A266" s="4" t="s">
        <v>82</v>
      </c>
      <c r="B266" s="4" t="n">
        <v>4</v>
      </c>
      <c r="C266" s="5" t="n">
        <v>50098</v>
      </c>
      <c r="D266" s="5" t="n">
        <v>86414</v>
      </c>
      <c r="E266" s="5" t="n">
        <v>3142</v>
      </c>
      <c r="F266" s="5" t="n">
        <v>1838</v>
      </c>
      <c r="G266" s="5" t="n">
        <v>1048</v>
      </c>
      <c r="H266" s="5" t="n">
        <v>1332</v>
      </c>
      <c r="I266" s="5" t="n">
        <v>0</v>
      </c>
      <c r="J266" s="5" t="n">
        <v>93</v>
      </c>
      <c r="K266" s="5" t="n">
        <v>2793</v>
      </c>
      <c r="L266" s="5" t="n">
        <v>146758</v>
      </c>
      <c r="M266" s="11" t="n">
        <f aca="false">IF(L266=0,0,C266/L266)</f>
        <v>0.341364695621363</v>
      </c>
      <c r="N266" s="11" t="n">
        <f aca="false">IF(L266=0,0,D266/L266)</f>
        <v>0.588819689556958</v>
      </c>
      <c r="O266" s="11" t="n">
        <f aca="false">IF(L266=0,0,E266/L266)</f>
        <v>0.0214093950585317</v>
      </c>
      <c r="P266" s="11" t="n">
        <f aca="false">IF(L266=0,0,K266/L266)</f>
        <v>0.0190313304896496</v>
      </c>
      <c r="Q266" s="4" t="str">
        <f aca="false">INDEX($C$3:$I$3,MATCH(MAX(C266:I266),C266:I266,0))</f>
        <v>Juntos Hacemos Historia (Morena-PT-PVEM)</v>
      </c>
      <c r="R266" s="17" t="n">
        <f aca="false">IF(L266=0,0,(MAX(C266:I266)-LARGE(C266:I266,2))/L266*100)</f>
        <v>24.7454993935595</v>
      </c>
      <c r="S266" s="4" t="s">
        <v>23</v>
      </c>
      <c r="T266" s="4" t="s">
        <v>26</v>
      </c>
    </row>
    <row r="267" customFormat="false" ht="15" hidden="false" customHeight="false" outlineLevel="0" collapsed="false">
      <c r="A267" s="4" t="s">
        <v>82</v>
      </c>
      <c r="B267" s="4" t="n">
        <v>5</v>
      </c>
      <c r="C267" s="5" t="n">
        <v>105196</v>
      </c>
      <c r="D267" s="5" t="n">
        <v>63793</v>
      </c>
      <c r="E267" s="5" t="n">
        <v>8891</v>
      </c>
      <c r="F267" s="5" t="n">
        <v>2558</v>
      </c>
      <c r="G267" s="5" t="n">
        <v>2966</v>
      </c>
      <c r="H267" s="5" t="n">
        <v>1836</v>
      </c>
      <c r="I267" s="5" t="n">
        <v>0</v>
      </c>
      <c r="J267" s="5" t="n">
        <v>81</v>
      </c>
      <c r="K267" s="5" t="n">
        <v>3726</v>
      </c>
      <c r="L267" s="5" t="n">
        <v>189047</v>
      </c>
      <c r="M267" s="11" t="n">
        <f aca="false">IF(L267=0,0,C267/L267)</f>
        <v>0.556454215089369</v>
      </c>
      <c r="N267" s="11" t="n">
        <f aca="false">IF(L267=0,0,D267/L267)</f>
        <v>0.337445185588769</v>
      </c>
      <c r="O267" s="11" t="n">
        <f aca="false">IF(L267=0,0,E267/L267)</f>
        <v>0.047030632594011</v>
      </c>
      <c r="P267" s="11" t="n">
        <f aca="false">IF(L267=0,0,K267/L267)</f>
        <v>0.0197093844387904</v>
      </c>
      <c r="Q267" s="4" t="str">
        <f aca="false">INDEX($C$3:$I$3,MATCH(MAX(C267:I267),C267:I267,0))</f>
        <v>Va por México (PAN-PRI-PRD)</v>
      </c>
      <c r="R267" s="17" t="n">
        <f aca="false">IF(L267=0,0,(MAX(C267:I267)-LARGE(C267:I267,2))/L267*100)</f>
        <v>21.90090295006</v>
      </c>
      <c r="S267" s="4" t="s">
        <v>26</v>
      </c>
      <c r="T267" s="4" t="s">
        <v>23</v>
      </c>
    </row>
    <row r="268" customFormat="false" ht="15" hidden="false" customHeight="false" outlineLevel="0" collapsed="false">
      <c r="A268" s="4" t="s">
        <v>82</v>
      </c>
      <c r="B268" s="4" t="n">
        <v>6</v>
      </c>
      <c r="C268" s="5" t="n">
        <v>101737</v>
      </c>
      <c r="D268" s="5" t="n">
        <v>74863</v>
      </c>
      <c r="E268" s="5" t="n">
        <v>6465</v>
      </c>
      <c r="F268" s="5" t="n">
        <v>2576</v>
      </c>
      <c r="G268" s="5" t="n">
        <v>2108</v>
      </c>
      <c r="H268" s="5" t="n">
        <v>1616</v>
      </c>
      <c r="I268" s="5" t="n">
        <v>0</v>
      </c>
      <c r="J268" s="5" t="n">
        <v>52</v>
      </c>
      <c r="K268" s="5" t="n">
        <v>5981</v>
      </c>
      <c r="L268" s="5" t="n">
        <v>195398</v>
      </c>
      <c r="M268" s="11" t="n">
        <f aca="false">IF(L268=0,0,C268/L268)</f>
        <v>0.520665513464826</v>
      </c>
      <c r="N268" s="11" t="n">
        <f aca="false">IF(L268=0,0,D268/L268)</f>
        <v>0.3831308406432</v>
      </c>
      <c r="O268" s="11" t="n">
        <f aca="false">IF(L268=0,0,E268/L268)</f>
        <v>0.0330863161342491</v>
      </c>
      <c r="P268" s="11" t="n">
        <f aca="false">IF(L268=0,0,K268/L268)</f>
        <v>0.0306093204638737</v>
      </c>
      <c r="Q268" s="4" t="str">
        <f aca="false">INDEX($C$3:$I$3,MATCH(MAX(C268:I268),C268:I268,0))</f>
        <v>Va por México (PAN-PRI-PRD)</v>
      </c>
      <c r="R268" s="17" t="n">
        <f aca="false">IF(L268=0,0,(MAX(C268:I268)-LARGE(C268:I268,2))/L268*100)</f>
        <v>13.7534672821626</v>
      </c>
      <c r="S268" s="4" t="s">
        <v>26</v>
      </c>
      <c r="T268" s="4" t="s">
        <v>24</v>
      </c>
    </row>
    <row r="269" customFormat="false" ht="15" hidden="false" customHeight="false" outlineLevel="0" collapsed="false">
      <c r="A269" s="4" t="s">
        <v>82</v>
      </c>
      <c r="B269" s="4" t="n">
        <v>7</v>
      </c>
      <c r="C269" s="5" t="n">
        <v>64297</v>
      </c>
      <c r="D269" s="5" t="n">
        <v>82118</v>
      </c>
      <c r="E269" s="5" t="n">
        <v>5027</v>
      </c>
      <c r="F269" s="5" t="n">
        <v>4944</v>
      </c>
      <c r="G269" s="5" t="n">
        <v>1698</v>
      </c>
      <c r="H269" s="5" t="n">
        <v>1684</v>
      </c>
      <c r="I269" s="5" t="n">
        <v>0</v>
      </c>
      <c r="J269" s="5" t="n">
        <v>91</v>
      </c>
      <c r="K269" s="5" t="n">
        <v>3278</v>
      </c>
      <c r="L269" s="5" t="n">
        <v>163137</v>
      </c>
      <c r="M269" s="11" t="n">
        <f aca="false">IF(L269=0,0,C269/L269)</f>
        <v>0.394128861018653</v>
      </c>
      <c r="N269" s="11" t="n">
        <f aca="false">IF(L269=0,0,D269/L269)</f>
        <v>0.503368334589946</v>
      </c>
      <c r="O269" s="11" t="n">
        <f aca="false">IF(L269=0,0,E269/L269)</f>
        <v>0.0308145914170299</v>
      </c>
      <c r="P269" s="11" t="n">
        <f aca="false">IF(L269=0,0,K269/L269)</f>
        <v>0.0200935410115424</v>
      </c>
      <c r="Q269" s="4" t="str">
        <f aca="false">INDEX($C$3:$I$3,MATCH(MAX(C269:I269),C269:I269,0))</f>
        <v>Juntos Hacemos Historia (Morena-PT-PVEM)</v>
      </c>
      <c r="R269" s="17" t="n">
        <f aca="false">IF(L269=0,0,(MAX(C269:I269)-LARGE(C269:I269,2))/L269*100)</f>
        <v>10.9239473571293</v>
      </c>
      <c r="S269" s="4" t="s">
        <v>23</v>
      </c>
      <c r="T269" s="4" t="s">
        <v>26</v>
      </c>
    </row>
    <row r="270" customFormat="false" ht="15" hidden="false" customHeight="false" outlineLevel="0" collapsed="false">
      <c r="A270" s="4" t="s">
        <v>82</v>
      </c>
      <c r="B270" s="4" t="n">
        <v>8</v>
      </c>
      <c r="C270" s="5" t="n">
        <v>85344</v>
      </c>
      <c r="D270" s="5" t="n">
        <v>76557</v>
      </c>
      <c r="E270" s="5" t="n">
        <v>5883</v>
      </c>
      <c r="F270" s="5" t="n">
        <v>2456</v>
      </c>
      <c r="G270" s="5" t="n">
        <v>2170</v>
      </c>
      <c r="H270" s="5" t="n">
        <v>1102</v>
      </c>
      <c r="I270" s="5" t="n">
        <v>0</v>
      </c>
      <c r="J270" s="5" t="n">
        <v>120</v>
      </c>
      <c r="K270" s="5" t="n">
        <v>2773</v>
      </c>
      <c r="L270" s="5" t="n">
        <v>176405</v>
      </c>
      <c r="M270" s="11" t="n">
        <f aca="false">IF(L270=0,0,C270/L270)</f>
        <v>0.483795810776339</v>
      </c>
      <c r="N270" s="11" t="n">
        <f aca="false">IF(L270=0,0,D270/L270)</f>
        <v>0.433984297497237</v>
      </c>
      <c r="O270" s="11" t="n">
        <f aca="false">IF(L270=0,0,E270/L270)</f>
        <v>0.0333493948584224</v>
      </c>
      <c r="P270" s="11" t="n">
        <f aca="false">IF(L270=0,0,K270/L270)</f>
        <v>0.0157195090842096</v>
      </c>
      <c r="Q270" s="4" t="str">
        <f aca="false">INDEX($C$3:$I$3,MATCH(MAX(C270:I270),C270:I270,0))</f>
        <v>Va por México (PAN-PRI-PRD)</v>
      </c>
      <c r="R270" s="17" t="n">
        <f aca="false">IF(L270=0,0,(MAX(C270:I270)-LARGE(C270:I270,2))/L270*100)</f>
        <v>4.98115132791021</v>
      </c>
      <c r="S270" s="4" t="s">
        <v>26</v>
      </c>
      <c r="T270" s="4" t="s">
        <v>23</v>
      </c>
    </row>
    <row r="271" customFormat="false" ht="15" hidden="false" customHeight="false" outlineLevel="0" collapsed="false">
      <c r="A271" s="4" t="s">
        <v>82</v>
      </c>
      <c r="B271" s="4" t="n">
        <v>9</v>
      </c>
      <c r="C271" s="5" t="n">
        <v>45564</v>
      </c>
      <c r="D271" s="5" t="n">
        <v>66722</v>
      </c>
      <c r="E271" s="5" t="n">
        <v>3871</v>
      </c>
      <c r="F271" s="5" t="n">
        <v>4633</v>
      </c>
      <c r="G271" s="5" t="n">
        <v>1685</v>
      </c>
      <c r="H271" s="5" t="n">
        <v>1229</v>
      </c>
      <c r="I271" s="5" t="n">
        <v>0</v>
      </c>
      <c r="J271" s="5" t="n">
        <v>37</v>
      </c>
      <c r="K271" s="5" t="n">
        <v>3000</v>
      </c>
      <c r="L271" s="5" t="n">
        <v>126741</v>
      </c>
      <c r="M271" s="11" t="n">
        <f aca="false">IF(L271=0,0,C271/L271)</f>
        <v>0.359504816910076</v>
      </c>
      <c r="N271" s="11" t="n">
        <f aca="false">IF(L271=0,0,D271/L271)</f>
        <v>0.526443692254282</v>
      </c>
      <c r="O271" s="11" t="n">
        <f aca="false">IF(L271=0,0,E271/L271)</f>
        <v>0.0305426026305615</v>
      </c>
      <c r="P271" s="11" t="n">
        <f aca="false">IF(L271=0,0,K271/L271)</f>
        <v>0.0236703197860203</v>
      </c>
      <c r="Q271" s="4" t="str">
        <f aca="false">INDEX($C$3:$I$3,MATCH(MAX(C271:I271),C271:I271,0))</f>
        <v>Juntos Hacemos Historia (Morena-PT-PVEM)</v>
      </c>
      <c r="R271" s="17" t="n">
        <f aca="false">IF(L271=0,0,(MAX(C271:I271)-LARGE(C271:I271,2))/L271*100)</f>
        <v>16.6938875344206</v>
      </c>
      <c r="S271" s="4" t="s">
        <v>23</v>
      </c>
      <c r="T271" s="4" t="s">
        <v>26</v>
      </c>
    </row>
    <row r="272" customFormat="false" ht="15" hidden="false" customHeight="false" outlineLevel="0" collapsed="false">
      <c r="A272" s="4" t="s">
        <v>83</v>
      </c>
      <c r="B272" s="4" t="n">
        <v>1</v>
      </c>
      <c r="C272" s="5" t="n">
        <v>65859</v>
      </c>
      <c r="D272" s="5" t="n">
        <v>75684</v>
      </c>
      <c r="E272" s="5" t="n">
        <v>5538</v>
      </c>
      <c r="F272" s="5" t="n">
        <v>4806</v>
      </c>
      <c r="G272" s="5" t="n">
        <v>9522</v>
      </c>
      <c r="H272" s="5" t="n">
        <v>7057</v>
      </c>
      <c r="I272" s="5" t="n">
        <v>30928</v>
      </c>
      <c r="J272" s="5" t="n">
        <v>120</v>
      </c>
      <c r="K272" s="5" t="n">
        <v>10574</v>
      </c>
      <c r="L272" s="5" t="n">
        <v>210088</v>
      </c>
      <c r="M272" s="11" t="n">
        <f aca="false">IF(L272=0,0,C272/L272)</f>
        <v>0.313482921442443</v>
      </c>
      <c r="N272" s="11" t="n">
        <f aca="false">IF(L272=0,0,D272/L272)</f>
        <v>0.360249038498153</v>
      </c>
      <c r="O272" s="11" t="n">
        <f aca="false">IF(L272=0,0,E272/L272)</f>
        <v>0.0263603823159819</v>
      </c>
      <c r="P272" s="11" t="n">
        <f aca="false">IF(L272=0,0,K272/L272)</f>
        <v>0.0503312897452496</v>
      </c>
      <c r="Q272" s="4" t="str">
        <f aca="false">INDEX($C$3:$I$3,MATCH(MAX(C272:I272),C272:I272,0))</f>
        <v>Juntos Hacemos Historia (Morena-PT-PVEM)</v>
      </c>
      <c r="R272" s="17" t="n">
        <f aca="false">IF(L272=0,0,(MAX(C272:I272)-LARGE(C272:I272,2))/L272*100)</f>
        <v>4.676611705571</v>
      </c>
      <c r="S272" s="4" t="s">
        <v>23</v>
      </c>
      <c r="T272" s="4" t="s">
        <v>25</v>
      </c>
    </row>
    <row r="273" customFormat="false" ht="15" hidden="false" customHeight="false" outlineLevel="0" collapsed="false">
      <c r="A273" s="4" t="s">
        <v>83</v>
      </c>
      <c r="B273" s="4" t="n">
        <v>2</v>
      </c>
      <c r="C273" s="5" t="n">
        <v>57171</v>
      </c>
      <c r="D273" s="5" t="n">
        <v>111663</v>
      </c>
      <c r="E273" s="5" t="n">
        <v>11809</v>
      </c>
      <c r="F273" s="5" t="n">
        <v>5436</v>
      </c>
      <c r="G273" s="5" t="n">
        <v>9520</v>
      </c>
      <c r="H273" s="5" t="n">
        <v>12054</v>
      </c>
      <c r="I273" s="5" t="n">
        <v>0</v>
      </c>
      <c r="J273" s="5" t="n">
        <v>137</v>
      </c>
      <c r="K273" s="5" t="n">
        <v>10828</v>
      </c>
      <c r="L273" s="5" t="n">
        <v>218618</v>
      </c>
      <c r="M273" s="11" t="n">
        <f aca="false">IF(L273=0,0,C273/L273)</f>
        <v>0.261510946033721</v>
      </c>
      <c r="N273" s="11" t="n">
        <f aca="false">IF(L273=0,0,D273/L273)</f>
        <v>0.510767640358982</v>
      </c>
      <c r="O273" s="11" t="n">
        <f aca="false">IF(L273=0,0,E273/L273)</f>
        <v>0.0540165951568489</v>
      </c>
      <c r="P273" s="11" t="n">
        <f aca="false">IF(L273=0,0,K273/L273)</f>
        <v>0.0495293159758117</v>
      </c>
      <c r="Q273" s="4" t="str">
        <f aca="false">INDEX($C$3:$I$3,MATCH(MAX(C273:I273),C273:I273,0))</f>
        <v>Juntos Hacemos Historia (Morena-PT-PVEM)</v>
      </c>
      <c r="R273" s="17" t="n">
        <f aca="false">IF(L273=0,0,(MAX(C273:I273)-LARGE(C273:I273,2))/L273*100)</f>
        <v>24.9256694325261</v>
      </c>
      <c r="S273" s="4" t="s">
        <v>23</v>
      </c>
      <c r="T273" s="4" t="s">
        <v>25</v>
      </c>
    </row>
    <row r="274" customFormat="false" ht="15" hidden="false" customHeight="false" outlineLevel="0" collapsed="false">
      <c r="A274" s="4" t="s">
        <v>83</v>
      </c>
      <c r="B274" s="4" t="n">
        <v>3</v>
      </c>
      <c r="C274" s="5" t="n">
        <v>65678</v>
      </c>
      <c r="D274" s="5" t="n">
        <v>107455</v>
      </c>
      <c r="E274" s="5" t="n">
        <v>6834</v>
      </c>
      <c r="F274" s="5" t="n">
        <v>5873</v>
      </c>
      <c r="G274" s="5" t="n">
        <v>11861</v>
      </c>
      <c r="H274" s="5" t="n">
        <v>8588</v>
      </c>
      <c r="I274" s="5" t="n">
        <v>0</v>
      </c>
      <c r="J274" s="5" t="n">
        <v>83</v>
      </c>
      <c r="K274" s="5" t="n">
        <v>12088</v>
      </c>
      <c r="L274" s="5" t="n">
        <v>218460</v>
      </c>
      <c r="M274" s="11" t="n">
        <f aca="false">IF(L274=0,0,C274/L274)</f>
        <v>0.300640849583448</v>
      </c>
      <c r="N274" s="11" t="n">
        <f aca="false">IF(L274=0,0,D274/L274)</f>
        <v>0.491874942781287</v>
      </c>
      <c r="O274" s="11" t="n">
        <f aca="false">IF(L274=0,0,E274/L274)</f>
        <v>0.0312826146663005</v>
      </c>
      <c r="P274" s="11" t="n">
        <f aca="false">IF(L274=0,0,K274/L274)</f>
        <v>0.0553327840336904</v>
      </c>
      <c r="Q274" s="4" t="str">
        <f aca="false">INDEX($C$3:$I$3,MATCH(MAX(C274:I274),C274:I274,0))</f>
        <v>Juntos Hacemos Historia (Morena-PT-PVEM)</v>
      </c>
      <c r="R274" s="17" t="n">
        <f aca="false">IF(L274=0,0,(MAX(C274:I274)-LARGE(C274:I274,2))/L274*100)</f>
        <v>19.1234093197839</v>
      </c>
      <c r="S274" s="4" t="s">
        <v>24</v>
      </c>
      <c r="T274" s="4" t="s">
        <v>25</v>
      </c>
    </row>
    <row r="275" customFormat="false" ht="15" hidden="false" customHeight="false" outlineLevel="0" collapsed="false">
      <c r="A275" s="4" t="s">
        <v>84</v>
      </c>
      <c r="B275" s="4" t="n">
        <v>1</v>
      </c>
      <c r="C275" s="5" t="n">
        <v>50708</v>
      </c>
      <c r="D275" s="5" t="n">
        <v>94160</v>
      </c>
      <c r="E275" s="5" t="n">
        <v>3455</v>
      </c>
      <c r="F275" s="5" t="n">
        <v>8005</v>
      </c>
      <c r="G275" s="5" t="n">
        <v>3655</v>
      </c>
      <c r="H275" s="5" t="n">
        <v>5344</v>
      </c>
      <c r="I275" s="5" t="n">
        <v>0</v>
      </c>
      <c r="J275" s="5" t="n">
        <v>316</v>
      </c>
      <c r="K275" s="5" t="n">
        <v>4592</v>
      </c>
      <c r="L275" s="5" t="n">
        <v>170235</v>
      </c>
      <c r="M275" s="11" t="n">
        <f aca="false">IF(L275=0,0,C275/L275)</f>
        <v>0.297870590654096</v>
      </c>
      <c r="N275" s="11" t="n">
        <f aca="false">IF(L275=0,0,D275/L275)</f>
        <v>0.553117748994038</v>
      </c>
      <c r="O275" s="11" t="n">
        <f aca="false">IF(L275=0,0,E275/L275)</f>
        <v>0.0202954739037213</v>
      </c>
      <c r="P275" s="11" t="n">
        <f aca="false">IF(L275=0,0,K275/L275)</f>
        <v>0.0269744764590125</v>
      </c>
      <c r="Q275" s="4" t="str">
        <f aca="false">INDEX($C$3:$I$3,MATCH(MAX(C275:I275),C275:I275,0))</f>
        <v>Juntos Hacemos Historia (Morena-PT-PVEM)</v>
      </c>
      <c r="R275" s="17" t="n">
        <f aca="false">IF(L275=0,0,(MAX(C275:I275)-LARGE(C275:I275,2))/L275*100)</f>
        <v>25.5247158339942</v>
      </c>
      <c r="S275" s="4" t="s">
        <v>23</v>
      </c>
      <c r="T275" s="4" t="s">
        <v>25</v>
      </c>
    </row>
    <row r="276" customFormat="false" ht="15" hidden="false" customHeight="false" outlineLevel="0" collapsed="false">
      <c r="A276" s="4" t="s">
        <v>84</v>
      </c>
      <c r="B276" s="4" t="n">
        <v>2</v>
      </c>
      <c r="C276" s="5" t="n">
        <v>81585</v>
      </c>
      <c r="D276" s="5" t="n">
        <v>82192</v>
      </c>
      <c r="E276" s="5" t="n">
        <v>7069</v>
      </c>
      <c r="F276" s="5" t="n">
        <v>3786</v>
      </c>
      <c r="G276" s="5" t="n">
        <v>3190</v>
      </c>
      <c r="H276" s="5" t="n">
        <v>2596</v>
      </c>
      <c r="I276" s="5" t="n">
        <v>0</v>
      </c>
      <c r="J276" s="5" t="n">
        <v>156</v>
      </c>
      <c r="K276" s="5" t="n">
        <v>6985</v>
      </c>
      <c r="L276" s="5" t="n">
        <v>187559</v>
      </c>
      <c r="M276" s="11" t="n">
        <f aca="false">IF(L276=0,0,C276/L276)</f>
        <v>0.434983125309902</v>
      </c>
      <c r="N276" s="11" t="n">
        <f aca="false">IF(L276=0,0,D276/L276)</f>
        <v>0.438219440282791</v>
      </c>
      <c r="O276" s="11" t="n">
        <f aca="false">IF(L276=0,0,E276/L276)</f>
        <v>0.0376894737122719</v>
      </c>
      <c r="P276" s="11" t="n">
        <f aca="false">IF(L276=0,0,K276/L276)</f>
        <v>0.0372416146385937</v>
      </c>
      <c r="Q276" s="4" t="str">
        <f aca="false">INDEX($C$3:$I$3,MATCH(MAX(C276:I276),C276:I276,0))</f>
        <v>Juntos Hacemos Historia (Morena-PT-PVEM)</v>
      </c>
      <c r="R276" s="17" t="n">
        <f aca="false">IF(L276=0,0,(MAX(C276:I276)-LARGE(C276:I276,2))/L276*100)</f>
        <v>0.323631497288853</v>
      </c>
      <c r="S276" s="4" t="s">
        <v>23</v>
      </c>
      <c r="T276" s="4" t="s">
        <v>25</v>
      </c>
    </row>
    <row r="277" customFormat="false" ht="15" hidden="false" customHeight="false" outlineLevel="0" collapsed="false">
      <c r="A277" s="4" t="s">
        <v>84</v>
      </c>
      <c r="B277" s="4" t="n">
        <v>3</v>
      </c>
      <c r="C277" s="5" t="n">
        <v>43162</v>
      </c>
      <c r="D277" s="5" t="n">
        <v>73368</v>
      </c>
      <c r="E277" s="5" t="n">
        <v>13604</v>
      </c>
      <c r="F277" s="5" t="n">
        <v>3571</v>
      </c>
      <c r="G277" s="5" t="n">
        <v>2726</v>
      </c>
      <c r="H277" s="5" t="n">
        <v>10617</v>
      </c>
      <c r="I277" s="5" t="n">
        <v>0</v>
      </c>
      <c r="J277" s="5" t="n">
        <v>91</v>
      </c>
      <c r="K277" s="5" t="n">
        <v>4183</v>
      </c>
      <c r="L277" s="5" t="n">
        <v>151322</v>
      </c>
      <c r="M277" s="11" t="n">
        <f aca="false">IF(L277=0,0,C277/L277)</f>
        <v>0.285232814792297</v>
      </c>
      <c r="N277" s="11" t="n">
        <f aca="false">IF(L277=0,0,D277/L277)</f>
        <v>0.484846882806201</v>
      </c>
      <c r="O277" s="11" t="n">
        <f aca="false">IF(L277=0,0,E277/L277)</f>
        <v>0.0899010058021966</v>
      </c>
      <c r="P277" s="11" t="n">
        <f aca="false">IF(L277=0,0,K277/L277)</f>
        <v>0.027643039346559</v>
      </c>
      <c r="Q277" s="4" t="str">
        <f aca="false">INDEX($C$3:$I$3,MATCH(MAX(C277:I277),C277:I277,0))</f>
        <v>Juntos Hacemos Historia (Morena-PT-PVEM)</v>
      </c>
      <c r="R277" s="17" t="n">
        <f aca="false">IF(L277=0,0,(MAX(C277:I277)-LARGE(C277:I277,2))/L277*100)</f>
        <v>19.9614068013904</v>
      </c>
      <c r="S277" s="4" t="s">
        <v>23</v>
      </c>
      <c r="T277" s="4" t="s">
        <v>25</v>
      </c>
    </row>
    <row r="278" customFormat="false" ht="15" hidden="false" customHeight="false" outlineLevel="0" collapsed="false">
      <c r="A278" s="4" t="s">
        <v>84</v>
      </c>
      <c r="B278" s="4" t="n">
        <v>4</v>
      </c>
      <c r="C278" s="5" t="n">
        <v>66572</v>
      </c>
      <c r="D278" s="5" t="n">
        <v>75857</v>
      </c>
      <c r="E278" s="5" t="n">
        <v>4899</v>
      </c>
      <c r="F278" s="5" t="n">
        <v>1758</v>
      </c>
      <c r="G278" s="5" t="n">
        <v>1696</v>
      </c>
      <c r="H278" s="5" t="n">
        <v>1961</v>
      </c>
      <c r="I278" s="5" t="n">
        <v>0</v>
      </c>
      <c r="J278" s="5" t="n">
        <v>70</v>
      </c>
      <c r="K278" s="5" t="n">
        <v>3314</v>
      </c>
      <c r="L278" s="5" t="n">
        <v>156127</v>
      </c>
      <c r="M278" s="11" t="n">
        <f aca="false">IF(L278=0,0,C278/L278)</f>
        <v>0.426396459292755</v>
      </c>
      <c r="N278" s="11" t="n">
        <f aca="false">IF(L278=0,0,D278/L278)</f>
        <v>0.485867274718659</v>
      </c>
      <c r="O278" s="11" t="n">
        <f aca="false">IF(L278=0,0,E278/L278)</f>
        <v>0.0313783009985461</v>
      </c>
      <c r="P278" s="11" t="n">
        <f aca="false">IF(L278=0,0,K278/L278)</f>
        <v>0.0212263093507209</v>
      </c>
      <c r="Q278" s="4" t="str">
        <f aca="false">INDEX($C$3:$I$3,MATCH(MAX(C278:I278),C278:I278,0))</f>
        <v>Juntos Hacemos Historia (Morena-PT-PVEM)</v>
      </c>
      <c r="R278" s="17" t="n">
        <f aca="false">IF(L278=0,0,(MAX(C278:I278)-LARGE(C278:I278,2))/L278*100)</f>
        <v>5.94708154259033</v>
      </c>
      <c r="S278" s="4" t="s">
        <v>23</v>
      </c>
      <c r="T278" s="4" t="s">
        <v>25</v>
      </c>
    </row>
    <row r="279" customFormat="false" ht="15" hidden="false" customHeight="false" outlineLevel="0" collapsed="false">
      <c r="A279" s="4" t="s">
        <v>84</v>
      </c>
      <c r="B279" s="4" t="n">
        <v>5</v>
      </c>
      <c r="C279" s="5" t="n">
        <v>41953</v>
      </c>
      <c r="D279" s="5" t="n">
        <v>67528</v>
      </c>
      <c r="E279" s="5" t="n">
        <v>7055</v>
      </c>
      <c r="F279" s="5" t="n">
        <v>5500</v>
      </c>
      <c r="G279" s="5" t="n">
        <v>3593</v>
      </c>
      <c r="H279" s="5" t="n">
        <v>6423</v>
      </c>
      <c r="I279" s="5" t="n">
        <v>0</v>
      </c>
      <c r="J279" s="5" t="n">
        <v>204</v>
      </c>
      <c r="K279" s="5" t="n">
        <v>3717</v>
      </c>
      <c r="L279" s="5" t="n">
        <v>135973</v>
      </c>
      <c r="M279" s="11" t="n">
        <f aca="false">IF(L279=0,0,C279/L279)</f>
        <v>0.308539195281416</v>
      </c>
      <c r="N279" s="11" t="n">
        <f aca="false">IF(L279=0,0,D279/L279)</f>
        <v>0.496628007030808</v>
      </c>
      <c r="O279" s="11" t="n">
        <f aca="false">IF(L279=0,0,E279/L279)</f>
        <v>0.0518853007582388</v>
      </c>
      <c r="P279" s="11" t="n">
        <f aca="false">IF(L279=0,0,K279/L279)</f>
        <v>0.027336309414369</v>
      </c>
      <c r="Q279" s="4" t="str">
        <f aca="false">INDEX($C$3:$I$3,MATCH(MAX(C279:I279),C279:I279,0))</f>
        <v>Juntos Hacemos Historia (Morena-PT-PVEM)</v>
      </c>
      <c r="R279" s="17" t="n">
        <f aca="false">IF(L279=0,0,(MAX(C279:I279)-LARGE(C279:I279,2))/L279*100)</f>
        <v>18.8088811749391</v>
      </c>
      <c r="S279" s="4" t="s">
        <v>23</v>
      </c>
      <c r="T279" s="4" t="s">
        <v>25</v>
      </c>
    </row>
    <row r="280" customFormat="false" ht="15" hidden="false" customHeight="false" outlineLevel="0" collapsed="false">
      <c r="A280" s="4" t="s">
        <v>84</v>
      </c>
      <c r="B280" s="4" t="n">
        <v>6</v>
      </c>
      <c r="C280" s="5" t="n">
        <v>63904</v>
      </c>
      <c r="D280" s="5" t="n">
        <v>88717</v>
      </c>
      <c r="E280" s="5" t="n">
        <v>19208</v>
      </c>
      <c r="F280" s="5" t="n">
        <v>5127</v>
      </c>
      <c r="G280" s="5" t="n">
        <v>4066</v>
      </c>
      <c r="H280" s="5" t="n">
        <v>3045</v>
      </c>
      <c r="I280" s="5" t="n">
        <v>0</v>
      </c>
      <c r="J280" s="5" t="n">
        <v>35</v>
      </c>
      <c r="K280" s="5" t="n">
        <v>5194</v>
      </c>
      <c r="L280" s="5" t="n">
        <v>189296</v>
      </c>
      <c r="M280" s="11" t="n">
        <f aca="false">IF(L280=0,0,C280/L280)</f>
        <v>0.337587693347984</v>
      </c>
      <c r="N280" s="11" t="n">
        <f aca="false">IF(L280=0,0,D280/L280)</f>
        <v>0.468668117657003</v>
      </c>
      <c r="O280" s="11" t="n">
        <f aca="false">IF(L280=0,0,E280/L280)</f>
        <v>0.101470712534866</v>
      </c>
      <c r="P280" s="11" t="n">
        <f aca="false">IF(L280=0,0,K280/L280)</f>
        <v>0.027438509001775</v>
      </c>
      <c r="Q280" s="4" t="str">
        <f aca="false">INDEX($C$3:$I$3,MATCH(MAX(C280:I280),C280:I280,0))</f>
        <v>Juntos Hacemos Historia (Morena-PT-PVEM)</v>
      </c>
      <c r="R280" s="17" t="n">
        <f aca="false">IF(L280=0,0,(MAX(C280:I280)-LARGE(C280:I280,2))/L280*100)</f>
        <v>13.1080424309019</v>
      </c>
      <c r="S280" s="4" t="s">
        <v>24</v>
      </c>
      <c r="T280" s="4" t="s">
        <v>25</v>
      </c>
    </row>
    <row r="281" customFormat="false" ht="15" hidden="false" customHeight="false" outlineLevel="0" collapsed="false">
      <c r="A281" s="4" t="s">
        <v>84</v>
      </c>
      <c r="B281" s="4" t="n">
        <v>7</v>
      </c>
      <c r="C281" s="5" t="n">
        <v>46332</v>
      </c>
      <c r="D281" s="5" t="n">
        <v>81585</v>
      </c>
      <c r="E281" s="5" t="n">
        <v>12108</v>
      </c>
      <c r="F281" s="5" t="n">
        <v>8873</v>
      </c>
      <c r="G281" s="5" t="n">
        <v>9138</v>
      </c>
      <c r="H281" s="5" t="n">
        <v>5715</v>
      </c>
      <c r="I281" s="5" t="n">
        <v>0</v>
      </c>
      <c r="J281" s="5" t="n">
        <v>64</v>
      </c>
      <c r="K281" s="5" t="n">
        <v>7874</v>
      </c>
      <c r="L281" s="5" t="n">
        <v>171689</v>
      </c>
      <c r="M281" s="11" t="n">
        <f aca="false">IF(L281=0,0,C281/L281)</f>
        <v>0.269860037626173</v>
      </c>
      <c r="N281" s="11" t="n">
        <f aca="false">IF(L281=0,0,D281/L281)</f>
        <v>0.475190606270641</v>
      </c>
      <c r="O281" s="11" t="n">
        <f aca="false">IF(L281=0,0,E281/L281)</f>
        <v>0.0705228640157494</v>
      </c>
      <c r="P281" s="11" t="n">
        <f aca="false">IF(L281=0,0,K281/L281)</f>
        <v>0.0458619946531228</v>
      </c>
      <c r="Q281" s="4" t="str">
        <f aca="false">INDEX($C$3:$I$3,MATCH(MAX(C281:I281),C281:I281,0))</f>
        <v>Juntos Hacemos Historia (Morena-PT-PVEM)</v>
      </c>
      <c r="R281" s="17" t="n">
        <f aca="false">IF(L281=0,0,(MAX(C281:I281)-LARGE(C281:I281,2))/L281*100)</f>
        <v>20.5330568644468</v>
      </c>
      <c r="S281" s="4" t="s">
        <v>24</v>
      </c>
      <c r="T281" s="4" t="s">
        <v>25</v>
      </c>
    </row>
    <row r="282" customFormat="false" ht="15" hidden="false" customHeight="false" outlineLevel="0" collapsed="false">
      <c r="A282" s="4" t="s">
        <v>84</v>
      </c>
      <c r="B282" s="4" t="n">
        <v>8</v>
      </c>
      <c r="C282" s="5" t="n">
        <v>58256</v>
      </c>
      <c r="D282" s="5" t="n">
        <v>97242</v>
      </c>
      <c r="E282" s="5" t="n">
        <v>27188</v>
      </c>
      <c r="F282" s="5" t="n">
        <v>5101</v>
      </c>
      <c r="G282" s="5" t="n">
        <v>8449</v>
      </c>
      <c r="H282" s="5" t="n">
        <v>16474</v>
      </c>
      <c r="I282" s="5" t="n">
        <v>0</v>
      </c>
      <c r="J282" s="5" t="n">
        <v>84</v>
      </c>
      <c r="K282" s="5" t="n">
        <v>8490</v>
      </c>
      <c r="L282" s="5" t="n">
        <v>221284</v>
      </c>
      <c r="M282" s="11" t="n">
        <f aca="false">IF(L282=0,0,C282/L282)</f>
        <v>0.263263498490627</v>
      </c>
      <c r="N282" s="11" t="n">
        <f aca="false">IF(L282=0,0,D282/L282)</f>
        <v>0.439444333978055</v>
      </c>
      <c r="O282" s="11" t="n">
        <f aca="false">IF(L282=0,0,E282/L282)</f>
        <v>0.122864734910793</v>
      </c>
      <c r="P282" s="11" t="n">
        <f aca="false">IF(L282=0,0,K282/L282)</f>
        <v>0.0383669854124112</v>
      </c>
      <c r="Q282" s="4" t="str">
        <f aca="false">INDEX($C$3:$I$3,MATCH(MAX(C282:I282),C282:I282,0))</f>
        <v>Juntos Hacemos Historia (Morena-PT-PVEM)</v>
      </c>
      <c r="R282" s="17" t="n">
        <f aca="false">IF(L282=0,0,(MAX(C282:I282)-LARGE(C282:I282,2))/L282*100)</f>
        <v>17.6180835487428</v>
      </c>
      <c r="S282" s="4" t="s">
        <v>23</v>
      </c>
      <c r="T282" s="4" t="s">
        <v>25</v>
      </c>
    </row>
    <row r="283" customFormat="false" ht="15" hidden="false" customHeight="false" outlineLevel="0" collapsed="false">
      <c r="A283" s="4" t="s">
        <v>84</v>
      </c>
      <c r="B283" s="4" t="n">
        <v>9</v>
      </c>
      <c r="C283" s="5" t="n">
        <v>70561</v>
      </c>
      <c r="D283" s="5" t="n">
        <v>76429</v>
      </c>
      <c r="E283" s="5" t="n">
        <v>15091</v>
      </c>
      <c r="F283" s="5" t="n">
        <v>3983</v>
      </c>
      <c r="G283" s="5" t="n">
        <v>8023</v>
      </c>
      <c r="H283" s="5" t="n">
        <v>4410</v>
      </c>
      <c r="I283" s="5" t="n">
        <v>0</v>
      </c>
      <c r="J283" s="5" t="n">
        <v>89</v>
      </c>
      <c r="K283" s="5" t="n">
        <v>8122</v>
      </c>
      <c r="L283" s="5" t="n">
        <v>186708</v>
      </c>
      <c r="M283" s="11" t="n">
        <f aca="false">IF(L283=0,0,C283/L283)</f>
        <v>0.377921674486364</v>
      </c>
      <c r="N283" s="11" t="n">
        <f aca="false">IF(L283=0,0,D283/L283)</f>
        <v>0.409350429547743</v>
      </c>
      <c r="O283" s="11" t="n">
        <f aca="false">IF(L283=0,0,E283/L283)</f>
        <v>0.0808267455063522</v>
      </c>
      <c r="P283" s="11" t="n">
        <f aca="false">IF(L283=0,0,K283/L283)</f>
        <v>0.0435010819032928</v>
      </c>
      <c r="Q283" s="4" t="str">
        <f aca="false">INDEX($C$3:$I$3,MATCH(MAX(C283:I283),C283:I283,0))</f>
        <v>Juntos Hacemos Historia (Morena-PT-PVEM)</v>
      </c>
      <c r="R283" s="17" t="n">
        <f aca="false">IF(L283=0,0,(MAX(C283:I283)-LARGE(C283:I283,2))/L283*100)</f>
        <v>3.14287550613793</v>
      </c>
      <c r="S283" s="4" t="s">
        <v>25</v>
      </c>
      <c r="T283" s="4" t="s">
        <v>24</v>
      </c>
    </row>
    <row r="284" customFormat="false" ht="15" hidden="false" customHeight="false" outlineLevel="0" collapsed="false">
      <c r="A284" s="4" t="s">
        <v>84</v>
      </c>
      <c r="B284" s="4" t="n">
        <v>10</v>
      </c>
      <c r="C284" s="5" t="n">
        <v>66117</v>
      </c>
      <c r="D284" s="5" t="n">
        <v>80479</v>
      </c>
      <c r="E284" s="5" t="n">
        <v>12127</v>
      </c>
      <c r="F284" s="5" t="n">
        <v>4265</v>
      </c>
      <c r="G284" s="5" t="n">
        <v>2612</v>
      </c>
      <c r="H284" s="5" t="n">
        <v>3798</v>
      </c>
      <c r="I284" s="5" t="n">
        <v>0</v>
      </c>
      <c r="J284" s="5" t="n">
        <v>174</v>
      </c>
      <c r="K284" s="5" t="n">
        <v>6330</v>
      </c>
      <c r="L284" s="5" t="n">
        <v>175902</v>
      </c>
      <c r="M284" s="11" t="n">
        <f aca="false">IF(L284=0,0,C284/L284)</f>
        <v>0.37587406624143</v>
      </c>
      <c r="N284" s="11" t="n">
        <f aca="false">IF(L284=0,0,D284/L284)</f>
        <v>0.457521801912429</v>
      </c>
      <c r="O284" s="11" t="n">
        <f aca="false">IF(L284=0,0,E284/L284)</f>
        <v>0.0689417971370422</v>
      </c>
      <c r="P284" s="11" t="n">
        <f aca="false">IF(L284=0,0,K284/L284)</f>
        <v>0.0359859467203329</v>
      </c>
      <c r="Q284" s="4" t="str">
        <f aca="false">INDEX($C$3:$I$3,MATCH(MAX(C284:I284),C284:I284,0))</f>
        <v>Juntos Hacemos Historia (Morena-PT-PVEM)</v>
      </c>
      <c r="R284" s="17" t="n">
        <f aca="false">IF(L284=0,0,(MAX(C284:I284)-LARGE(C284:I284,2))/L284*100)</f>
        <v>8.16477356709986</v>
      </c>
      <c r="S284" s="4" t="s">
        <v>24</v>
      </c>
      <c r="T284" s="4" t="s">
        <v>25</v>
      </c>
    </row>
    <row r="285" customFormat="false" ht="15" hidden="false" customHeight="false" outlineLevel="0" collapsed="false">
      <c r="A285" s="4" t="s">
        <v>84</v>
      </c>
      <c r="B285" s="4" t="n">
        <v>11</v>
      </c>
      <c r="C285" s="5" t="n">
        <v>37587</v>
      </c>
      <c r="D285" s="5" t="n">
        <v>101116</v>
      </c>
      <c r="E285" s="5" t="n">
        <v>9386</v>
      </c>
      <c r="F285" s="5" t="n">
        <v>4130</v>
      </c>
      <c r="G285" s="5" t="n">
        <v>1530</v>
      </c>
      <c r="H285" s="5" t="n">
        <v>5443</v>
      </c>
      <c r="I285" s="5" t="n">
        <v>0</v>
      </c>
      <c r="J285" s="5" t="n">
        <v>106</v>
      </c>
      <c r="K285" s="5" t="n">
        <v>4697</v>
      </c>
      <c r="L285" s="5" t="n">
        <v>163995</v>
      </c>
      <c r="M285" s="11" t="n">
        <f aca="false">IF(L285=0,0,C285/L285)</f>
        <v>0.229196012073539</v>
      </c>
      <c r="N285" s="11" t="n">
        <f aca="false">IF(L285=0,0,D285/L285)</f>
        <v>0.616579773773591</v>
      </c>
      <c r="O285" s="11" t="n">
        <f aca="false">IF(L285=0,0,E285/L285)</f>
        <v>0.0572334522393975</v>
      </c>
      <c r="P285" s="11" t="n">
        <f aca="false">IF(L285=0,0,K285/L285)</f>
        <v>0.0286411171072289</v>
      </c>
      <c r="Q285" s="4" t="str">
        <f aca="false">INDEX($C$3:$I$3,MATCH(MAX(C285:I285),C285:I285,0))</f>
        <v>Juntos Hacemos Historia (Morena-PT-PVEM)</v>
      </c>
      <c r="R285" s="17" t="n">
        <f aca="false">IF(L285=0,0,(MAX(C285:I285)-LARGE(C285:I285,2))/L285*100)</f>
        <v>38.7383761700052</v>
      </c>
      <c r="S285" s="4" t="s">
        <v>24</v>
      </c>
      <c r="T285" s="4" t="s">
        <v>25</v>
      </c>
    </row>
    <row r="286" customFormat="false" ht="15" hidden="false" customHeight="false" outlineLevel="0" collapsed="false">
      <c r="A286" s="4" t="s">
        <v>84</v>
      </c>
      <c r="B286" s="4" t="n">
        <v>12</v>
      </c>
      <c r="C286" s="5" t="n">
        <v>92189</v>
      </c>
      <c r="D286" s="5" t="n">
        <v>73930</v>
      </c>
      <c r="E286" s="5" t="n">
        <v>11013</v>
      </c>
      <c r="F286" s="5" t="n">
        <v>2771</v>
      </c>
      <c r="G286" s="5" t="n">
        <v>2966</v>
      </c>
      <c r="H286" s="5" t="n">
        <v>3178</v>
      </c>
      <c r="I286" s="5" t="n">
        <v>0</v>
      </c>
      <c r="J286" s="5" t="n">
        <v>101</v>
      </c>
      <c r="K286" s="5" t="n">
        <v>4244</v>
      </c>
      <c r="L286" s="5" t="n">
        <v>190392</v>
      </c>
      <c r="M286" s="11" t="n">
        <f aca="false">IF(L286=0,0,C286/L286)</f>
        <v>0.484206269170974</v>
      </c>
      <c r="N286" s="11" t="n">
        <f aca="false">IF(L286=0,0,D286/L286)</f>
        <v>0.388304130425648</v>
      </c>
      <c r="O286" s="11" t="n">
        <f aca="false">IF(L286=0,0,E286/L286)</f>
        <v>0.0578438169670995</v>
      </c>
      <c r="P286" s="11" t="n">
        <f aca="false">IF(L286=0,0,K286/L286)</f>
        <v>0.0222908525568301</v>
      </c>
      <c r="Q286" s="4" t="str">
        <f aca="false">INDEX($C$3:$I$3,MATCH(MAX(C286:I286),C286:I286,0))</f>
        <v>Va por México (PAN-PRI-PRD)</v>
      </c>
      <c r="R286" s="17" t="n">
        <f aca="false">IF(L286=0,0,(MAX(C286:I286)-LARGE(C286:I286,2))/L286*100)</f>
        <v>9.59021387453254</v>
      </c>
      <c r="S286" s="4" t="s">
        <v>25</v>
      </c>
      <c r="T286" s="4" t="s">
        <v>23</v>
      </c>
    </row>
    <row r="287" customFormat="false" ht="15" hidden="false" customHeight="false" outlineLevel="0" collapsed="false">
      <c r="A287" s="4" t="s">
        <v>84</v>
      </c>
      <c r="B287" s="4" t="n">
        <v>13</v>
      </c>
      <c r="C287" s="5" t="n">
        <v>77115</v>
      </c>
      <c r="D287" s="5" t="n">
        <v>88226</v>
      </c>
      <c r="E287" s="5" t="n">
        <v>20464</v>
      </c>
      <c r="F287" s="5" t="n">
        <v>3637</v>
      </c>
      <c r="G287" s="5" t="n">
        <v>2425</v>
      </c>
      <c r="H287" s="5" t="n">
        <v>5122</v>
      </c>
      <c r="I287" s="5" t="n">
        <v>0</v>
      </c>
      <c r="J287" s="5" t="n">
        <v>81</v>
      </c>
      <c r="K287" s="5" t="n">
        <v>6510</v>
      </c>
      <c r="L287" s="5" t="n">
        <v>203580</v>
      </c>
      <c r="M287" s="11" t="n">
        <f aca="false">IF(L287=0,0,C287/L287)</f>
        <v>0.378794577070439</v>
      </c>
      <c r="N287" s="11" t="n">
        <f aca="false">IF(L287=0,0,D287/L287)</f>
        <v>0.433372629924354</v>
      </c>
      <c r="O287" s="11" t="n">
        <f aca="false">IF(L287=0,0,E287/L287)</f>
        <v>0.100520679831025</v>
      </c>
      <c r="P287" s="11" t="n">
        <f aca="false">IF(L287=0,0,K287/L287)</f>
        <v>0.0319776009431182</v>
      </c>
      <c r="Q287" s="4" t="str">
        <f aca="false">INDEX($C$3:$I$3,MATCH(MAX(C287:I287),C287:I287,0))</f>
        <v>Juntos Hacemos Historia (Morena-PT-PVEM)</v>
      </c>
      <c r="R287" s="17" t="n">
        <f aca="false">IF(L287=0,0,(MAX(C287:I287)-LARGE(C287:I287,2))/L287*100)</f>
        <v>5.45780528539149</v>
      </c>
      <c r="S287" s="4" t="s">
        <v>23</v>
      </c>
      <c r="T287" s="4" t="s">
        <v>25</v>
      </c>
    </row>
    <row r="288" customFormat="false" ht="15" hidden="false" customHeight="false" outlineLevel="0" collapsed="false">
      <c r="A288" s="4" t="s">
        <v>84</v>
      </c>
      <c r="B288" s="4" t="n">
        <v>14</v>
      </c>
      <c r="C288" s="5" t="n">
        <v>39868</v>
      </c>
      <c r="D288" s="5" t="n">
        <v>97933</v>
      </c>
      <c r="E288" s="5" t="n">
        <v>3827</v>
      </c>
      <c r="F288" s="5" t="n">
        <v>5472</v>
      </c>
      <c r="G288" s="5" t="n">
        <v>3279</v>
      </c>
      <c r="H288" s="5" t="n">
        <v>6110</v>
      </c>
      <c r="I288" s="5" t="n">
        <v>0</v>
      </c>
      <c r="J288" s="5" t="n">
        <v>48</v>
      </c>
      <c r="K288" s="5" t="n">
        <v>4905</v>
      </c>
      <c r="L288" s="5" t="n">
        <v>161442</v>
      </c>
      <c r="M288" s="11" t="n">
        <f aca="false">IF(L288=0,0,C288/L288)</f>
        <v>0.246949368813568</v>
      </c>
      <c r="N288" s="11" t="n">
        <f aca="false">IF(L288=0,0,D288/L288)</f>
        <v>0.606614140062685</v>
      </c>
      <c r="O288" s="11" t="n">
        <f aca="false">IF(L288=0,0,E288/L288)</f>
        <v>0.0237051077167032</v>
      </c>
      <c r="P288" s="11" t="n">
        <f aca="false">IF(L288=0,0,K288/L288)</f>
        <v>0.0303824283643662</v>
      </c>
      <c r="Q288" s="4" t="str">
        <f aca="false">INDEX($C$3:$I$3,MATCH(MAX(C288:I288),C288:I288,0))</f>
        <v>Juntos Hacemos Historia (Morena-PT-PVEM)</v>
      </c>
      <c r="R288" s="17" t="n">
        <f aca="false">IF(L288=0,0,(MAX(C288:I288)-LARGE(C288:I288,2))/L288*100)</f>
        <v>35.9664771249117</v>
      </c>
      <c r="S288" s="4" t="s">
        <v>23</v>
      </c>
      <c r="T288" s="4" t="s">
        <v>25</v>
      </c>
    </row>
    <row r="289" customFormat="false" ht="15" hidden="false" customHeight="false" outlineLevel="0" collapsed="false">
      <c r="A289" s="4" t="s">
        <v>84</v>
      </c>
      <c r="B289" s="4" t="n">
        <v>15</v>
      </c>
      <c r="C289" s="5" t="n">
        <v>78837</v>
      </c>
      <c r="D289" s="5" t="n">
        <v>79989</v>
      </c>
      <c r="E289" s="5" t="n">
        <v>15399</v>
      </c>
      <c r="F289" s="5" t="n">
        <v>5355</v>
      </c>
      <c r="G289" s="5" t="n">
        <v>4104</v>
      </c>
      <c r="H289" s="5" t="n">
        <v>3092</v>
      </c>
      <c r="I289" s="5" t="n">
        <v>0</v>
      </c>
      <c r="J289" s="5" t="n">
        <v>98</v>
      </c>
      <c r="K289" s="5" t="n">
        <v>5759</v>
      </c>
      <c r="L289" s="5" t="n">
        <v>192633</v>
      </c>
      <c r="M289" s="11" t="n">
        <f aca="false">IF(L289=0,0,C289/L289)</f>
        <v>0.409260095622245</v>
      </c>
      <c r="N289" s="11" t="n">
        <f aca="false">IF(L289=0,0,D289/L289)</f>
        <v>0.415240379374251</v>
      </c>
      <c r="O289" s="11" t="n">
        <f aca="false">IF(L289=0,0,E289/L289)</f>
        <v>0.0799395742162558</v>
      </c>
      <c r="P289" s="11" t="n">
        <f aca="false">IF(L289=0,0,K289/L289)</f>
        <v>0.0298962275414908</v>
      </c>
      <c r="Q289" s="4" t="str">
        <f aca="false">INDEX($C$3:$I$3,MATCH(MAX(C289:I289),C289:I289,0))</f>
        <v>Juntos Hacemos Historia (Morena-PT-PVEM)</v>
      </c>
      <c r="R289" s="17" t="n">
        <f aca="false">IF(L289=0,0,(MAX(C289:I289)-LARGE(C289:I289,2))/L289*100)</f>
        <v>0.598028375200511</v>
      </c>
      <c r="S289" s="4" t="s">
        <v>23</v>
      </c>
      <c r="T289" s="4" t="s">
        <v>25</v>
      </c>
    </row>
    <row r="290" customFormat="false" ht="15" hidden="false" customHeight="false" outlineLevel="0" collapsed="false">
      <c r="A290" s="4" t="s">
        <v>84</v>
      </c>
      <c r="B290" s="4" t="n">
        <v>16</v>
      </c>
      <c r="C290" s="5" t="n">
        <v>60293</v>
      </c>
      <c r="D290" s="5" t="n">
        <v>94208</v>
      </c>
      <c r="E290" s="5" t="n">
        <v>11575</v>
      </c>
      <c r="F290" s="5" t="n">
        <v>3926</v>
      </c>
      <c r="G290" s="5" t="n">
        <v>4609</v>
      </c>
      <c r="H290" s="5" t="n">
        <v>7524</v>
      </c>
      <c r="I290" s="5" t="n">
        <v>0</v>
      </c>
      <c r="J290" s="5" t="n">
        <v>239</v>
      </c>
      <c r="K290" s="5" t="n">
        <v>5850</v>
      </c>
      <c r="L290" s="5" t="n">
        <v>188224</v>
      </c>
      <c r="M290" s="11" t="n">
        <f aca="false">IF(L290=0,0,C290/L290)</f>
        <v>0.320325782046923</v>
      </c>
      <c r="N290" s="11" t="n">
        <f aca="false">IF(L290=0,0,D290/L290)</f>
        <v>0.500510030601836</v>
      </c>
      <c r="O290" s="11" t="n">
        <f aca="false">IF(L290=0,0,E290/L290)</f>
        <v>0.0614958772526352</v>
      </c>
      <c r="P290" s="11" t="n">
        <f aca="false">IF(L290=0,0,K290/L290)</f>
        <v>0.031079989799388</v>
      </c>
      <c r="Q290" s="4" t="str">
        <f aca="false">INDEX($C$3:$I$3,MATCH(MAX(C290:I290),C290:I290,0))</f>
        <v>Juntos Hacemos Historia (Morena-PT-PVEM)</v>
      </c>
      <c r="R290" s="17" t="n">
        <f aca="false">IF(L290=0,0,(MAX(C290:I290)-LARGE(C290:I290,2))/L290*100)</f>
        <v>18.0184248554913</v>
      </c>
      <c r="S290" s="4" t="s">
        <v>23</v>
      </c>
      <c r="T290" s="4" t="s">
        <v>25</v>
      </c>
    </row>
    <row r="291" customFormat="false" ht="15" hidden="false" customHeight="false" outlineLevel="0" collapsed="false">
      <c r="A291" s="4" t="s">
        <v>84</v>
      </c>
      <c r="B291" s="4" t="n">
        <v>17</v>
      </c>
      <c r="C291" s="5" t="n">
        <v>44151</v>
      </c>
      <c r="D291" s="5" t="n">
        <v>95803</v>
      </c>
      <c r="E291" s="5" t="n">
        <v>15174</v>
      </c>
      <c r="F291" s="5" t="n">
        <v>4788</v>
      </c>
      <c r="G291" s="5" t="n">
        <v>5872</v>
      </c>
      <c r="H291" s="5" t="n">
        <v>8434</v>
      </c>
      <c r="I291" s="5" t="n">
        <v>0</v>
      </c>
      <c r="J291" s="5" t="n">
        <v>72</v>
      </c>
      <c r="K291" s="5" t="n">
        <v>7860</v>
      </c>
      <c r="L291" s="5" t="n">
        <v>182154</v>
      </c>
      <c r="M291" s="11" t="n">
        <f aca="false">IF(L291=0,0,C291/L291)</f>
        <v>0.24238281893343</v>
      </c>
      <c r="N291" s="11" t="n">
        <f aca="false">IF(L291=0,0,D291/L291)</f>
        <v>0.525945079438278</v>
      </c>
      <c r="O291" s="11" t="n">
        <f aca="false">IF(L291=0,0,E291/L291)</f>
        <v>0.0833031391020785</v>
      </c>
      <c r="P291" s="11" t="n">
        <f aca="false">IF(L291=0,0,K291/L291)</f>
        <v>0.0431503013933265</v>
      </c>
      <c r="Q291" s="4" t="str">
        <f aca="false">INDEX($C$3:$I$3,MATCH(MAX(C291:I291),C291:I291,0))</f>
        <v>Juntos Hacemos Historia (Morena-PT-PVEM)</v>
      </c>
      <c r="R291" s="17" t="n">
        <f aca="false">IF(L291=0,0,(MAX(C291:I291)-LARGE(C291:I291,2))/L291*100)</f>
        <v>28.3562260504848</v>
      </c>
      <c r="S291" s="4" t="s">
        <v>23</v>
      </c>
      <c r="T291" s="4" t="s">
        <v>25</v>
      </c>
    </row>
    <row r="292" customFormat="false" ht="15" hidden="false" customHeight="false" outlineLevel="0" collapsed="false">
      <c r="A292" s="4" t="s">
        <v>84</v>
      </c>
      <c r="B292" s="4" t="n">
        <v>18</v>
      </c>
      <c r="C292" s="5" t="n">
        <v>64458</v>
      </c>
      <c r="D292" s="5" t="n">
        <v>95547</v>
      </c>
      <c r="E292" s="5" t="n">
        <v>9421</v>
      </c>
      <c r="F292" s="5" t="n">
        <v>8810</v>
      </c>
      <c r="G292" s="5" t="n">
        <v>8000</v>
      </c>
      <c r="H292" s="5" t="n">
        <v>9079</v>
      </c>
      <c r="I292" s="5" t="n">
        <v>0</v>
      </c>
      <c r="J292" s="5" t="n">
        <v>84</v>
      </c>
      <c r="K292" s="5" t="n">
        <v>9732</v>
      </c>
      <c r="L292" s="5" t="n">
        <v>205131</v>
      </c>
      <c r="M292" s="11" t="n">
        <f aca="false">IF(L292=0,0,C292/L292)</f>
        <v>0.314228468637115</v>
      </c>
      <c r="N292" s="11" t="n">
        <f aca="false">IF(L292=0,0,D292/L292)</f>
        <v>0.465785278675578</v>
      </c>
      <c r="O292" s="11" t="n">
        <f aca="false">IF(L292=0,0,E292/L292)</f>
        <v>0.0459267492480415</v>
      </c>
      <c r="P292" s="11" t="n">
        <f aca="false">IF(L292=0,0,K292/L292)</f>
        <v>0.0474428535911198</v>
      </c>
      <c r="Q292" s="4" t="str">
        <f aca="false">INDEX($C$3:$I$3,MATCH(MAX(C292:I292),C292:I292,0))</f>
        <v>Juntos Hacemos Historia (Morena-PT-PVEM)</v>
      </c>
      <c r="R292" s="17" t="n">
        <f aca="false">IF(L292=0,0,(MAX(C292:I292)-LARGE(C292:I292,2))/L292*100)</f>
        <v>15.1556810038463</v>
      </c>
      <c r="S292" s="4" t="s">
        <v>23</v>
      </c>
      <c r="T292" s="4" t="s">
        <v>25</v>
      </c>
    </row>
    <row r="293" customFormat="false" ht="15" hidden="false" customHeight="false" outlineLevel="0" collapsed="false">
      <c r="A293" s="4" t="s">
        <v>84</v>
      </c>
      <c r="B293" s="4" t="n">
        <v>19</v>
      </c>
      <c r="C293" s="5" t="n">
        <v>38755</v>
      </c>
      <c r="D293" s="5" t="n">
        <v>89380</v>
      </c>
      <c r="E293" s="5" t="n">
        <v>28956</v>
      </c>
      <c r="F293" s="5" t="n">
        <v>6116</v>
      </c>
      <c r="G293" s="5" t="n">
        <v>8177</v>
      </c>
      <c r="H293" s="5" t="n">
        <v>5477</v>
      </c>
      <c r="I293" s="5" t="n">
        <v>0</v>
      </c>
      <c r="J293" s="5" t="n">
        <v>59</v>
      </c>
      <c r="K293" s="5" t="n">
        <v>6897</v>
      </c>
      <c r="L293" s="5" t="n">
        <v>183817</v>
      </c>
      <c r="M293" s="11" t="n">
        <f aca="false">IF(L293=0,0,C293/L293)</f>
        <v>0.210834688848148</v>
      </c>
      <c r="N293" s="11" t="n">
        <f aca="false">IF(L293=0,0,D293/L293)</f>
        <v>0.486244471403624</v>
      </c>
      <c r="O293" s="11" t="n">
        <f aca="false">IF(L293=0,0,E293/L293)</f>
        <v>0.157526235331879</v>
      </c>
      <c r="P293" s="11" t="n">
        <f aca="false">IF(L293=0,0,K293/L293)</f>
        <v>0.0375210127463728</v>
      </c>
      <c r="Q293" s="4" t="str">
        <f aca="false">INDEX($C$3:$I$3,MATCH(MAX(C293:I293),C293:I293,0))</f>
        <v>Juntos Hacemos Historia (Morena-PT-PVEM)</v>
      </c>
      <c r="R293" s="17" t="n">
        <f aca="false">IF(L293=0,0,(MAX(C293:I293)-LARGE(C293:I293,2))/L293*100)</f>
        <v>27.5409782555476</v>
      </c>
      <c r="S293" s="4" t="s">
        <v>23</v>
      </c>
      <c r="T293" s="4" t="s">
        <v>25</v>
      </c>
    </row>
    <row r="294" customFormat="false" ht="15" hidden="false" customHeight="false" outlineLevel="0" collapsed="false">
      <c r="A294" s="4" t="s">
        <v>84</v>
      </c>
      <c r="B294" s="4" t="n">
        <v>20</v>
      </c>
      <c r="C294" s="5" t="n">
        <v>50342</v>
      </c>
      <c r="D294" s="5" t="n">
        <v>103792</v>
      </c>
      <c r="E294" s="5" t="n">
        <v>11110</v>
      </c>
      <c r="F294" s="5" t="n">
        <v>6342</v>
      </c>
      <c r="G294" s="5" t="n">
        <v>7045</v>
      </c>
      <c r="H294" s="5" t="n">
        <v>7982</v>
      </c>
      <c r="I294" s="5" t="n">
        <v>0</v>
      </c>
      <c r="J294" s="5" t="n">
        <v>71</v>
      </c>
      <c r="K294" s="5" t="n">
        <v>7074</v>
      </c>
      <c r="L294" s="5" t="n">
        <v>193758</v>
      </c>
      <c r="M294" s="11" t="n">
        <f aca="false">IF(L294=0,0,C294/L294)</f>
        <v>0.259818949411121</v>
      </c>
      <c r="N294" s="11" t="n">
        <f aca="false">IF(L294=0,0,D294/L294)</f>
        <v>0.535678526822118</v>
      </c>
      <c r="O294" s="11" t="n">
        <f aca="false">IF(L294=0,0,E294/L294)</f>
        <v>0.0573395679146151</v>
      </c>
      <c r="P294" s="11" t="n">
        <f aca="false">IF(L294=0,0,K294/L294)</f>
        <v>0.0365094602545443</v>
      </c>
      <c r="Q294" s="4" t="str">
        <f aca="false">INDEX($C$3:$I$3,MATCH(MAX(C294:I294),C294:I294,0))</f>
        <v>Juntos Hacemos Historia (Morena-PT-PVEM)</v>
      </c>
      <c r="R294" s="17" t="n">
        <f aca="false">IF(L294=0,0,(MAX(C294:I294)-LARGE(C294:I294,2))/L294*100)</f>
        <v>27.5859577410997</v>
      </c>
      <c r="S294" s="4" t="s">
        <v>24</v>
      </c>
      <c r="T294" s="4" t="s">
        <v>25</v>
      </c>
    </row>
    <row r="295" customFormat="false" ht="15" hidden="false" customHeight="false" outlineLevel="0" collapsed="false">
      <c r="A295" s="4" t="s">
        <v>85</v>
      </c>
      <c r="B295" s="4" t="n">
        <v>1</v>
      </c>
      <c r="C295" s="5" t="n">
        <v>155778</v>
      </c>
      <c r="D295" s="5" t="n">
        <v>59811</v>
      </c>
      <c r="E295" s="5" t="n">
        <v>3474</v>
      </c>
      <c r="F295" s="5" t="n">
        <v>2129</v>
      </c>
      <c r="G295" s="5" t="n">
        <v>1176</v>
      </c>
      <c r="H295" s="5" t="n">
        <v>2407</v>
      </c>
      <c r="I295" s="5" t="n">
        <v>0</v>
      </c>
      <c r="J295" s="5" t="n">
        <v>71</v>
      </c>
      <c r="K295" s="5" t="n">
        <v>5053</v>
      </c>
      <c r="L295" s="5" t="n">
        <v>229899</v>
      </c>
      <c r="M295" s="11" t="n">
        <f aca="false">IF(L295=0,0,C295/L295)</f>
        <v>0.677593203972179</v>
      </c>
      <c r="N295" s="11" t="n">
        <f aca="false">IF(L295=0,0,D295/L295)</f>
        <v>0.260162071170384</v>
      </c>
      <c r="O295" s="11" t="n">
        <f aca="false">IF(L295=0,0,E295/L295)</f>
        <v>0.0151109835188496</v>
      </c>
      <c r="P295" s="11" t="n">
        <f aca="false">IF(L295=0,0,K295/L295)</f>
        <v>0.0219792169604913</v>
      </c>
      <c r="Q295" s="4" t="str">
        <f aca="false">INDEX($C$3:$I$3,MATCH(MAX(C295:I295),C295:I295,0))</f>
        <v>Va por México (PAN-PRI-PRD)</v>
      </c>
      <c r="R295" s="17" t="n">
        <f aca="false">IF(L295=0,0,(MAX(C295:I295)-LARGE(C295:I295,2))/L295*100)</f>
        <v>41.7431132801796</v>
      </c>
      <c r="S295" s="4" t="s">
        <v>26</v>
      </c>
      <c r="T295" s="4" t="s">
        <v>27</v>
      </c>
    </row>
    <row r="296" customFormat="false" ht="15" hidden="false" customHeight="false" outlineLevel="0" collapsed="false">
      <c r="A296" s="4" t="s">
        <v>85</v>
      </c>
      <c r="B296" s="4" t="n">
        <v>2</v>
      </c>
      <c r="C296" s="5" t="n">
        <v>115104</v>
      </c>
      <c r="D296" s="5" t="n">
        <v>79357</v>
      </c>
      <c r="E296" s="5" t="n">
        <v>10620</v>
      </c>
      <c r="F296" s="5" t="n">
        <v>6657</v>
      </c>
      <c r="G296" s="5" t="n">
        <v>1389</v>
      </c>
      <c r="H296" s="5" t="n">
        <v>3929</v>
      </c>
      <c r="I296" s="5" t="n">
        <v>0</v>
      </c>
      <c r="J296" s="5" t="n">
        <v>44</v>
      </c>
      <c r="K296" s="5" t="n">
        <v>6510</v>
      </c>
      <c r="L296" s="5" t="n">
        <v>223610</v>
      </c>
      <c r="M296" s="11" t="n">
        <f aca="false">IF(L296=0,0,C296/L296)</f>
        <v>0.514753365234113</v>
      </c>
      <c r="N296" s="11" t="n">
        <f aca="false">IF(L296=0,0,D296/L296)</f>
        <v>0.354890210634587</v>
      </c>
      <c r="O296" s="11" t="n">
        <f aca="false">IF(L296=0,0,E296/L296)</f>
        <v>0.0474934036939314</v>
      </c>
      <c r="P296" s="11" t="n">
        <f aca="false">IF(L296=0,0,K296/L296)</f>
        <v>0.0291131881400653</v>
      </c>
      <c r="Q296" s="4" t="str">
        <f aca="false">INDEX($C$3:$I$3,MATCH(MAX(C296:I296),C296:I296,0))</f>
        <v>Va por México (PAN-PRI-PRD)</v>
      </c>
      <c r="R296" s="17" t="n">
        <f aca="false">IF(L296=0,0,(MAX(C296:I296)-LARGE(C296:I296,2))/L296*100)</f>
        <v>15.9863154599526</v>
      </c>
      <c r="S296" s="4" t="s">
        <v>23</v>
      </c>
      <c r="T296" s="4" t="s">
        <v>26</v>
      </c>
    </row>
    <row r="297" customFormat="false" ht="15" hidden="false" customHeight="false" outlineLevel="0" collapsed="false">
      <c r="A297" s="4" t="s">
        <v>85</v>
      </c>
      <c r="B297" s="4" t="n">
        <v>3</v>
      </c>
      <c r="C297" s="5" t="n">
        <v>102837</v>
      </c>
      <c r="D297" s="5" t="n">
        <v>56947</v>
      </c>
      <c r="E297" s="5" t="n">
        <v>3190</v>
      </c>
      <c r="F297" s="5" t="n">
        <v>1545</v>
      </c>
      <c r="G297" s="5" t="n">
        <v>698</v>
      </c>
      <c r="H297" s="5" t="n">
        <v>2043</v>
      </c>
      <c r="I297" s="5" t="n">
        <v>0</v>
      </c>
      <c r="J297" s="5" t="n">
        <v>89</v>
      </c>
      <c r="K297" s="5" t="n">
        <v>5001</v>
      </c>
      <c r="L297" s="5" t="n">
        <v>172350</v>
      </c>
      <c r="M297" s="11" t="n">
        <f aca="false">IF(L297=0,0,C297/L297)</f>
        <v>0.596675369886858</v>
      </c>
      <c r="N297" s="11" t="n">
        <f aca="false">IF(L297=0,0,D297/L297)</f>
        <v>0.330414853495793</v>
      </c>
      <c r="O297" s="11" t="n">
        <f aca="false">IF(L297=0,0,E297/L297)</f>
        <v>0.0185088482738613</v>
      </c>
      <c r="P297" s="11" t="n">
        <f aca="false">IF(L297=0,0,K297/L297)</f>
        <v>0.0290165361183638</v>
      </c>
      <c r="Q297" s="4" t="str">
        <f aca="false">INDEX($C$3:$I$3,MATCH(MAX(C297:I297),C297:I297,0))</f>
        <v>Va por México (PAN-PRI-PRD)</v>
      </c>
      <c r="R297" s="17" t="n">
        <f aca="false">IF(L297=0,0,(MAX(C297:I297)-LARGE(C297:I297,2))/L297*100)</f>
        <v>26.6260516391065</v>
      </c>
      <c r="S297" s="4" t="s">
        <v>26</v>
      </c>
      <c r="T297" s="4" t="s">
        <v>24</v>
      </c>
    </row>
    <row r="298" customFormat="false" ht="15" hidden="false" customHeight="false" outlineLevel="0" collapsed="false">
      <c r="A298" s="4" t="s">
        <v>85</v>
      </c>
      <c r="B298" s="4" t="n">
        <v>4</v>
      </c>
      <c r="C298" s="5" t="n">
        <v>131130</v>
      </c>
      <c r="D298" s="5" t="n">
        <v>52689</v>
      </c>
      <c r="E298" s="5" t="n">
        <v>4821</v>
      </c>
      <c r="F298" s="5" t="n">
        <v>1797</v>
      </c>
      <c r="G298" s="5" t="n">
        <v>671</v>
      </c>
      <c r="H298" s="5" t="n">
        <v>2549</v>
      </c>
      <c r="I298" s="5" t="n">
        <v>0</v>
      </c>
      <c r="J298" s="5" t="n">
        <v>109</v>
      </c>
      <c r="K298" s="5" t="n">
        <v>4714</v>
      </c>
      <c r="L298" s="5" t="n">
        <v>198480</v>
      </c>
      <c r="M298" s="11" t="n">
        <f aca="false">IF(L298=0,0,C298/L298)</f>
        <v>0.660671100362757</v>
      </c>
      <c r="N298" s="11" t="n">
        <f aca="false">IF(L298=0,0,D298/L298)</f>
        <v>0.265462515114873</v>
      </c>
      <c r="O298" s="11" t="n">
        <f aca="false">IF(L298=0,0,E298/L298)</f>
        <v>0.0242896009673519</v>
      </c>
      <c r="P298" s="11" t="n">
        <f aca="false">IF(L298=0,0,K298/L298)</f>
        <v>0.0237505038291012</v>
      </c>
      <c r="Q298" s="4" t="str">
        <f aca="false">INDEX($C$3:$I$3,MATCH(MAX(C298:I298),C298:I298,0))</f>
        <v>Va por México (PAN-PRI-PRD)</v>
      </c>
      <c r="R298" s="17" t="n">
        <f aca="false">IF(L298=0,0,(MAX(C298:I298)-LARGE(C298:I298,2))/L298*100)</f>
        <v>39.5208585247884</v>
      </c>
      <c r="S298" s="4" t="s">
        <v>26</v>
      </c>
      <c r="T298" s="4" t="s">
        <v>24</v>
      </c>
    </row>
    <row r="299" customFormat="false" ht="15" hidden="false" customHeight="false" outlineLevel="0" collapsed="false">
      <c r="A299" s="4" t="s">
        <v>85</v>
      </c>
      <c r="B299" s="4" t="n">
        <v>5</v>
      </c>
      <c r="C299" s="5" t="n">
        <v>133293</v>
      </c>
      <c r="D299" s="5" t="n">
        <v>76779</v>
      </c>
      <c r="E299" s="5" t="n">
        <v>9722</v>
      </c>
      <c r="F299" s="5" t="n">
        <v>2948</v>
      </c>
      <c r="G299" s="5" t="n">
        <v>1385</v>
      </c>
      <c r="H299" s="5" t="n">
        <v>4404</v>
      </c>
      <c r="I299" s="5" t="n">
        <v>0</v>
      </c>
      <c r="J299" s="5" t="n">
        <v>49</v>
      </c>
      <c r="K299" s="5" t="n">
        <v>6561</v>
      </c>
      <c r="L299" s="5" t="n">
        <v>235141</v>
      </c>
      <c r="M299" s="11" t="n">
        <f aca="false">IF(L299=0,0,C299/L299)</f>
        <v>0.566864136837047</v>
      </c>
      <c r="N299" s="11" t="n">
        <f aca="false">IF(L299=0,0,D299/L299)</f>
        <v>0.326523234995173</v>
      </c>
      <c r="O299" s="11" t="n">
        <f aca="false">IF(L299=0,0,E299/L299)</f>
        <v>0.0413454055226439</v>
      </c>
      <c r="P299" s="11" t="n">
        <f aca="false">IF(L299=0,0,K299/L299)</f>
        <v>0.0279024074916752</v>
      </c>
      <c r="Q299" s="4" t="str">
        <f aca="false">INDEX($C$3:$I$3,MATCH(MAX(C299:I299),C299:I299,0))</f>
        <v>Va por México (PAN-PRI-PRD)</v>
      </c>
      <c r="R299" s="17" t="n">
        <f aca="false">IF(L299=0,0,(MAX(C299:I299)-LARGE(C299:I299,2))/L299*100)</f>
        <v>24.0340901841874</v>
      </c>
      <c r="S299" s="4" t="s">
        <v>23</v>
      </c>
      <c r="T299" s="4" t="s">
        <v>26</v>
      </c>
    </row>
    <row r="300" customFormat="false" ht="15" hidden="false" customHeight="false" outlineLevel="0" collapsed="false">
      <c r="A300" s="4" t="s">
        <v>86</v>
      </c>
      <c r="B300" s="4" t="n">
        <v>1</v>
      </c>
      <c r="C300" s="5" t="n">
        <v>62247</v>
      </c>
      <c r="D300" s="5" t="n">
        <v>69222</v>
      </c>
      <c r="E300" s="5" t="n">
        <v>3841</v>
      </c>
      <c r="F300" s="5" t="n">
        <v>5290</v>
      </c>
      <c r="G300" s="5" t="n">
        <v>992</v>
      </c>
      <c r="H300" s="5" t="n">
        <v>6414</v>
      </c>
      <c r="I300" s="5" t="n">
        <v>0</v>
      </c>
      <c r="J300" s="5" t="n">
        <v>51</v>
      </c>
      <c r="K300" s="5" t="n">
        <v>4962</v>
      </c>
      <c r="L300" s="5" t="n">
        <v>153019</v>
      </c>
      <c r="M300" s="11" t="n">
        <f aca="false">IF(L300=0,0,C300/L300)</f>
        <v>0.406792620524249</v>
      </c>
      <c r="N300" s="11" t="n">
        <f aca="false">IF(L300=0,0,D300/L300)</f>
        <v>0.452375195237193</v>
      </c>
      <c r="O300" s="11" t="n">
        <f aca="false">IF(L300=0,0,E300/L300)</f>
        <v>0.0251014579888772</v>
      </c>
      <c r="P300" s="11" t="n">
        <f aca="false">IF(L300=0,0,K300/L300)</f>
        <v>0.0324273456237461</v>
      </c>
      <c r="Q300" s="4" t="str">
        <f aca="false">INDEX($C$3:$I$3,MATCH(MAX(C300:I300),C300:I300,0))</f>
        <v>Juntos Hacemos Historia (Morena-PT-PVEM)</v>
      </c>
      <c r="R300" s="17" t="n">
        <f aca="false">IF(L300=0,0,(MAX(C300:I300)-LARGE(C300:I300,2))/L300*100)</f>
        <v>4.55825747129441</v>
      </c>
      <c r="S300" s="4" t="s">
        <v>23</v>
      </c>
      <c r="T300" s="4" t="s">
        <v>25</v>
      </c>
    </row>
    <row r="301" customFormat="false" ht="15" hidden="false" customHeight="false" outlineLevel="0" collapsed="false">
      <c r="A301" s="4" t="s">
        <v>86</v>
      </c>
      <c r="B301" s="4" t="n">
        <v>2</v>
      </c>
      <c r="C301" s="5" t="n">
        <v>80012</v>
      </c>
      <c r="D301" s="5" t="n">
        <v>76233</v>
      </c>
      <c r="E301" s="5" t="n">
        <v>7157</v>
      </c>
      <c r="F301" s="5" t="n">
        <v>5007</v>
      </c>
      <c r="G301" s="5" t="n">
        <v>1055</v>
      </c>
      <c r="H301" s="5" t="n">
        <v>4380</v>
      </c>
      <c r="I301" s="5" t="n">
        <v>0</v>
      </c>
      <c r="J301" s="5" t="n">
        <v>68</v>
      </c>
      <c r="K301" s="5" t="n">
        <v>6306</v>
      </c>
      <c r="L301" s="5" t="n">
        <v>180218</v>
      </c>
      <c r="M301" s="11" t="n">
        <f aca="false">IF(L301=0,0,C301/L301)</f>
        <v>0.443973409981245</v>
      </c>
      <c r="N301" s="11" t="n">
        <f aca="false">IF(L301=0,0,D301/L301)</f>
        <v>0.423004361384545</v>
      </c>
      <c r="O301" s="11" t="n">
        <f aca="false">IF(L301=0,0,E301/L301)</f>
        <v>0.0397130142383114</v>
      </c>
      <c r="P301" s="11" t="n">
        <f aca="false">IF(L301=0,0,K301/L301)</f>
        <v>0.0349909553984619</v>
      </c>
      <c r="Q301" s="4" t="str">
        <f aca="false">INDEX($C$3:$I$3,MATCH(MAX(C301:I301),C301:I301,0))</f>
        <v>Va por México (PAN-PRI-PRD)</v>
      </c>
      <c r="R301" s="17" t="n">
        <f aca="false">IF(L301=0,0,(MAX(C301:I301)-LARGE(C301:I301,2))/L301*100)</f>
        <v>2.09690485966996</v>
      </c>
      <c r="S301" s="4" t="s">
        <v>25</v>
      </c>
      <c r="T301" s="4" t="s">
        <v>23</v>
      </c>
    </row>
    <row r="302" customFormat="false" ht="15" hidden="false" customHeight="false" outlineLevel="0" collapsed="false">
      <c r="A302" s="4" t="s">
        <v>86</v>
      </c>
      <c r="B302" s="4" t="n">
        <v>3</v>
      </c>
      <c r="C302" s="5" t="n">
        <v>67761</v>
      </c>
      <c r="D302" s="5" t="n">
        <v>81360</v>
      </c>
      <c r="E302" s="5" t="n">
        <v>6815</v>
      </c>
      <c r="F302" s="5" t="n">
        <v>9284</v>
      </c>
      <c r="G302" s="5" t="n">
        <v>1605</v>
      </c>
      <c r="H302" s="5" t="n">
        <v>5742</v>
      </c>
      <c r="I302" s="5" t="n">
        <v>0</v>
      </c>
      <c r="J302" s="5" t="n">
        <v>97</v>
      </c>
      <c r="K302" s="5" t="n">
        <v>7442</v>
      </c>
      <c r="L302" s="5" t="n">
        <v>180106</v>
      </c>
      <c r="M302" s="11" t="n">
        <f aca="false">IF(L302=0,0,C302/L302)</f>
        <v>0.376228443250086</v>
      </c>
      <c r="N302" s="11" t="n">
        <f aca="false">IF(L302=0,0,D302/L302)</f>
        <v>0.451733978879105</v>
      </c>
      <c r="O302" s="11" t="n">
        <f aca="false">IF(L302=0,0,E302/L302)</f>
        <v>0.0378388282455887</v>
      </c>
      <c r="P302" s="11" t="n">
        <f aca="false">IF(L302=0,0,K302/L302)</f>
        <v>0.0413201114899004</v>
      </c>
      <c r="Q302" s="4" t="str">
        <f aca="false">INDEX($C$3:$I$3,MATCH(MAX(C302:I302),C302:I302,0))</f>
        <v>Juntos Hacemos Historia (Morena-PT-PVEM)</v>
      </c>
      <c r="R302" s="17" t="n">
        <f aca="false">IF(L302=0,0,(MAX(C302:I302)-LARGE(C302:I302,2))/L302*100)</f>
        <v>7.55055356290185</v>
      </c>
      <c r="S302" s="4" t="s">
        <v>23</v>
      </c>
      <c r="T302" s="4" t="s">
        <v>25</v>
      </c>
    </row>
    <row r="303" customFormat="false" ht="15" hidden="false" customHeight="false" outlineLevel="0" collapsed="false">
      <c r="A303" s="4" t="s">
        <v>86</v>
      </c>
      <c r="B303" s="4" t="n">
        <v>4</v>
      </c>
      <c r="C303" s="5" t="n">
        <v>65345</v>
      </c>
      <c r="D303" s="5" t="n">
        <v>85692</v>
      </c>
      <c r="E303" s="5" t="n">
        <v>6940</v>
      </c>
      <c r="F303" s="5" t="n">
        <v>4230</v>
      </c>
      <c r="G303" s="5" t="n">
        <v>2003</v>
      </c>
      <c r="H303" s="5" t="n">
        <v>8815</v>
      </c>
      <c r="I303" s="5" t="n">
        <v>0</v>
      </c>
      <c r="J303" s="5" t="n">
        <v>136</v>
      </c>
      <c r="K303" s="5" t="n">
        <v>7119</v>
      </c>
      <c r="L303" s="5" t="n">
        <v>180280</v>
      </c>
      <c r="M303" s="11" t="n">
        <f aca="false">IF(L303=0,0,C303/L303)</f>
        <v>0.362463944974484</v>
      </c>
      <c r="N303" s="11" t="n">
        <f aca="false">IF(L303=0,0,D303/L303)</f>
        <v>0.475327268693144</v>
      </c>
      <c r="O303" s="11" t="n">
        <f aca="false">IF(L303=0,0,E303/L303)</f>
        <v>0.0384956733969381</v>
      </c>
      <c r="P303" s="11" t="n">
        <f aca="false">IF(L303=0,0,K303/L303)</f>
        <v>0.039488573330375</v>
      </c>
      <c r="Q303" s="4" t="str">
        <f aca="false">INDEX($C$3:$I$3,MATCH(MAX(C303:I303),C303:I303,0))</f>
        <v>Juntos Hacemos Historia (Morena-PT-PVEM)</v>
      </c>
      <c r="R303" s="17" t="n">
        <f aca="false">IF(L303=0,0,(MAX(C303:I303)-LARGE(C303:I303,2))/L303*100)</f>
        <v>11.286332371866</v>
      </c>
      <c r="S303" s="4" t="s">
        <v>25</v>
      </c>
      <c r="T303" s="4" t="s">
        <v>24</v>
      </c>
    </row>
  </sheetData>
  <autoFilter ref="A3:T30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5" min="2" style="0" width="13"/>
  </cols>
  <sheetData>
    <row r="1" customFormat="false" ht="16.15" hidden="false" customHeight="false" outlineLevel="0" collapsed="false">
      <c r="A1" s="10" t="s">
        <v>87</v>
      </c>
    </row>
    <row r="3" customFormat="false" ht="31.5" hidden="false" customHeight="true" outlineLevel="0" collapsed="false">
      <c r="A3" s="3" t="s">
        <v>36</v>
      </c>
      <c r="B3" s="3" t="s">
        <v>20</v>
      </c>
      <c r="C3" s="3" t="s">
        <v>26</v>
      </c>
      <c r="D3" s="3" t="s">
        <v>27</v>
      </c>
      <c r="E3" s="3" t="s">
        <v>88</v>
      </c>
      <c r="F3" s="3" t="s">
        <v>28</v>
      </c>
      <c r="G3" s="3" t="s">
        <v>89</v>
      </c>
      <c r="H3" s="3" t="s">
        <v>10</v>
      </c>
      <c r="I3" s="3" t="s">
        <v>24</v>
      </c>
      <c r="J3" s="3" t="s">
        <v>11</v>
      </c>
      <c r="K3" s="3" t="s">
        <v>12</v>
      </c>
      <c r="L3" s="3" t="s">
        <v>13</v>
      </c>
      <c r="M3" s="3" t="s">
        <v>90</v>
      </c>
      <c r="N3" s="3" t="s">
        <v>25</v>
      </c>
      <c r="O3" s="3" t="s">
        <v>91</v>
      </c>
      <c r="P3" s="3" t="s">
        <v>92</v>
      </c>
      <c r="Q3" s="3" t="s">
        <v>93</v>
      </c>
      <c r="R3" s="3" t="s">
        <v>23</v>
      </c>
      <c r="S3" s="3" t="s">
        <v>94</v>
      </c>
      <c r="T3" s="3" t="s">
        <v>95</v>
      </c>
      <c r="U3" s="3" t="s">
        <v>96</v>
      </c>
      <c r="V3" s="3" t="s">
        <v>15</v>
      </c>
      <c r="W3" s="3" t="s">
        <v>97</v>
      </c>
      <c r="X3" s="3" t="s">
        <v>37</v>
      </c>
      <c r="Y3" s="3" t="s">
        <v>18</v>
      </c>
    </row>
    <row r="4" customFormat="false" ht="15" hidden="false" customHeight="false" outlineLevel="0" collapsed="false">
      <c r="A4" s="4" t="s">
        <v>55</v>
      </c>
      <c r="B4" s="5" t="n">
        <v>1723</v>
      </c>
      <c r="C4" s="5" t="n">
        <v>228690</v>
      </c>
      <c r="D4" s="5" t="n">
        <v>46452</v>
      </c>
      <c r="E4" s="5" t="n">
        <v>14022</v>
      </c>
      <c r="F4" s="5" t="n">
        <v>18329</v>
      </c>
      <c r="G4" s="5" t="n">
        <v>11876</v>
      </c>
      <c r="H4" s="5" t="n">
        <v>19961</v>
      </c>
      <c r="I4" s="5" t="n">
        <v>128235</v>
      </c>
      <c r="J4" s="5" t="n">
        <v>7860</v>
      </c>
      <c r="K4" s="5" t="n">
        <v>4232</v>
      </c>
      <c r="L4" s="5" t="n">
        <v>15211</v>
      </c>
      <c r="M4" s="5" t="n">
        <v>0</v>
      </c>
      <c r="N4" s="5" t="n">
        <v>262</v>
      </c>
      <c r="O4" s="5" t="n">
        <v>222</v>
      </c>
      <c r="P4" s="5" t="n">
        <v>452</v>
      </c>
      <c r="Q4" s="5" t="n">
        <v>41</v>
      </c>
      <c r="R4" s="5" t="n">
        <v>165</v>
      </c>
      <c r="S4" s="5" t="n">
        <v>26</v>
      </c>
      <c r="T4" s="5" t="n">
        <v>70</v>
      </c>
      <c r="U4" s="5" t="n">
        <v>441</v>
      </c>
      <c r="V4" s="5" t="n">
        <v>652</v>
      </c>
      <c r="W4" s="5" t="n">
        <v>16889</v>
      </c>
      <c r="X4" s="5" t="n">
        <v>514088</v>
      </c>
      <c r="Y4" s="5" t="n">
        <v>1017411</v>
      </c>
    </row>
    <row r="5" customFormat="false" ht="15" hidden="false" customHeight="false" outlineLevel="0" collapsed="false">
      <c r="A5" s="4" t="s">
        <v>56</v>
      </c>
      <c r="B5" s="5" t="n">
        <v>5010</v>
      </c>
      <c r="C5" s="5" t="n">
        <v>162490</v>
      </c>
      <c r="D5" s="5" t="n">
        <v>62714</v>
      </c>
      <c r="E5" s="5" t="n">
        <v>14936</v>
      </c>
      <c r="F5" s="5" t="n">
        <v>27156</v>
      </c>
      <c r="G5" s="5" t="n">
        <v>25983</v>
      </c>
      <c r="H5" s="5" t="n">
        <v>52050</v>
      </c>
      <c r="I5" s="5" t="n">
        <v>495458</v>
      </c>
      <c r="J5" s="5" t="n">
        <v>180263</v>
      </c>
      <c r="K5" s="5" t="n">
        <v>18272</v>
      </c>
      <c r="L5" s="5" t="n">
        <v>36741</v>
      </c>
      <c r="M5" s="5" t="n">
        <v>0</v>
      </c>
      <c r="N5" s="5" t="n">
        <v>3737</v>
      </c>
      <c r="O5" s="5" t="n">
        <v>922</v>
      </c>
      <c r="P5" s="5" t="n">
        <v>233</v>
      </c>
      <c r="Q5" s="5" t="n">
        <v>98</v>
      </c>
      <c r="R5" s="5" t="n">
        <v>1694</v>
      </c>
      <c r="S5" s="5" t="n">
        <v>300</v>
      </c>
      <c r="T5" s="5" t="n">
        <v>589</v>
      </c>
      <c r="U5" s="5" t="n">
        <v>1552</v>
      </c>
      <c r="V5" s="5" t="n">
        <v>1022</v>
      </c>
      <c r="W5" s="5" t="n">
        <v>36965</v>
      </c>
      <c r="X5" s="5" t="n">
        <v>1123175</v>
      </c>
      <c r="Y5" s="5" t="n">
        <v>2919186</v>
      </c>
    </row>
    <row r="6" customFormat="false" ht="15" hidden="false" customHeight="false" outlineLevel="0" collapsed="false">
      <c r="A6" s="4" t="s">
        <v>57</v>
      </c>
      <c r="B6" s="5" t="n">
        <v>1049</v>
      </c>
      <c r="C6" s="5" t="n">
        <v>94458</v>
      </c>
      <c r="D6" s="5" t="n">
        <v>11370</v>
      </c>
      <c r="E6" s="5" t="n">
        <v>2422</v>
      </c>
      <c r="F6" s="5" t="n">
        <v>8611</v>
      </c>
      <c r="G6" s="5" t="n">
        <v>14456</v>
      </c>
      <c r="H6" s="5" t="n">
        <v>9177</v>
      </c>
      <c r="I6" s="5" t="n">
        <v>98443</v>
      </c>
      <c r="J6" s="5" t="n">
        <v>6399</v>
      </c>
      <c r="K6" s="5" t="n">
        <v>4273</v>
      </c>
      <c r="L6" s="5" t="n">
        <v>9781</v>
      </c>
      <c r="M6" s="5" t="n">
        <v>0</v>
      </c>
      <c r="N6" s="5" t="n">
        <v>2668</v>
      </c>
      <c r="O6" s="5" t="n">
        <v>1510</v>
      </c>
      <c r="P6" s="5" t="n">
        <v>192</v>
      </c>
      <c r="Q6" s="5" t="n">
        <v>33</v>
      </c>
      <c r="R6" s="5" t="n">
        <v>323</v>
      </c>
      <c r="S6" s="5" t="n">
        <v>82</v>
      </c>
      <c r="T6" s="5" t="n">
        <v>187</v>
      </c>
      <c r="U6" s="5" t="n">
        <v>6614</v>
      </c>
      <c r="V6" s="5" t="n">
        <v>232</v>
      </c>
      <c r="W6" s="5" t="n">
        <v>8655</v>
      </c>
      <c r="X6" s="5" t="n">
        <v>279886</v>
      </c>
      <c r="Y6" s="5" t="n">
        <v>561652</v>
      </c>
    </row>
    <row r="7" customFormat="false" ht="15" hidden="false" customHeight="false" outlineLevel="0" collapsed="false">
      <c r="A7" s="4" t="s">
        <v>58</v>
      </c>
      <c r="B7" s="5" t="n">
        <v>1200</v>
      </c>
      <c r="C7" s="5" t="n">
        <v>20864</v>
      </c>
      <c r="D7" s="5" t="n">
        <v>107041</v>
      </c>
      <c r="E7" s="5" t="n">
        <v>3451</v>
      </c>
      <c r="F7" s="5" t="n">
        <v>5623</v>
      </c>
      <c r="G7" s="5" t="n">
        <v>7655</v>
      </c>
      <c r="H7" s="5" t="n">
        <v>79992</v>
      </c>
      <c r="I7" s="5" t="n">
        <v>172717</v>
      </c>
      <c r="J7" s="5" t="n">
        <v>3546</v>
      </c>
      <c r="K7" s="5" t="n">
        <v>4950</v>
      </c>
      <c r="L7" s="5" t="n">
        <v>2350</v>
      </c>
      <c r="M7" s="5" t="n">
        <v>0</v>
      </c>
      <c r="N7" s="5" t="n">
        <v>3569</v>
      </c>
      <c r="O7" s="5" t="n">
        <v>1321</v>
      </c>
      <c r="P7" s="5" t="n">
        <v>71</v>
      </c>
      <c r="Q7" s="5" t="n">
        <v>163</v>
      </c>
      <c r="R7" s="5" t="n">
        <v>0</v>
      </c>
      <c r="S7" s="5" t="n">
        <v>0</v>
      </c>
      <c r="T7" s="5" t="n">
        <v>0</v>
      </c>
      <c r="U7" s="5" t="n">
        <v>0</v>
      </c>
      <c r="V7" s="5" t="n">
        <v>133</v>
      </c>
      <c r="W7" s="5" t="n">
        <v>11008</v>
      </c>
      <c r="X7" s="5" t="n">
        <v>424454</v>
      </c>
      <c r="Y7" s="5" t="n">
        <v>668750</v>
      </c>
    </row>
    <row r="8" customFormat="false" ht="15" hidden="false" customHeight="false" outlineLevel="0" collapsed="false">
      <c r="A8" s="4" t="s">
        <v>59</v>
      </c>
      <c r="B8" s="5" t="n">
        <v>3923</v>
      </c>
      <c r="C8" s="5" t="n">
        <v>190669</v>
      </c>
      <c r="D8" s="5" t="n">
        <v>516245</v>
      </c>
      <c r="E8" s="5" t="n">
        <v>14922</v>
      </c>
      <c r="F8" s="5" t="n">
        <v>38516</v>
      </c>
      <c r="G8" s="5" t="n">
        <v>21101</v>
      </c>
      <c r="H8" s="5" t="n">
        <v>23497</v>
      </c>
      <c r="I8" s="5" t="n">
        <v>431954</v>
      </c>
      <c r="J8" s="5" t="n">
        <v>9012</v>
      </c>
      <c r="K8" s="5" t="n">
        <v>5029</v>
      </c>
      <c r="L8" s="5" t="n">
        <v>27308</v>
      </c>
      <c r="M8" s="5" t="n">
        <v>0</v>
      </c>
      <c r="N8" s="5" t="n">
        <v>0</v>
      </c>
      <c r="O8" s="5" t="n">
        <v>0</v>
      </c>
      <c r="P8" s="5" t="n">
        <v>0</v>
      </c>
      <c r="Q8" s="5" t="n">
        <v>0</v>
      </c>
      <c r="R8" s="5" t="n">
        <v>620</v>
      </c>
      <c r="S8" s="5" t="n">
        <v>109</v>
      </c>
      <c r="T8" s="5" t="n">
        <v>644</v>
      </c>
      <c r="U8" s="5" t="n">
        <v>901</v>
      </c>
      <c r="V8" s="5" t="n">
        <v>504</v>
      </c>
      <c r="W8" s="5" t="n">
        <v>26817</v>
      </c>
      <c r="X8" s="5" t="n">
        <v>1307848</v>
      </c>
      <c r="Y8" s="5" t="n">
        <v>2262060</v>
      </c>
    </row>
    <row r="9" customFormat="false" ht="15" hidden="false" customHeight="false" outlineLevel="0" collapsed="false">
      <c r="A9" s="4" t="s">
        <v>60</v>
      </c>
      <c r="B9" s="5" t="n">
        <v>989</v>
      </c>
      <c r="C9" s="5" t="n">
        <v>31669</v>
      </c>
      <c r="D9" s="5" t="n">
        <v>41776</v>
      </c>
      <c r="E9" s="5" t="n">
        <v>2300</v>
      </c>
      <c r="F9" s="5" t="n">
        <v>50286</v>
      </c>
      <c r="G9" s="5" t="n">
        <v>7273</v>
      </c>
      <c r="H9" s="5" t="n">
        <v>38349</v>
      </c>
      <c r="I9" s="5" t="n">
        <v>91504</v>
      </c>
      <c r="J9" s="5" t="n">
        <v>9167</v>
      </c>
      <c r="K9" s="5" t="n">
        <v>3138</v>
      </c>
      <c r="L9" s="5" t="n">
        <v>9537</v>
      </c>
      <c r="M9" s="5" t="n">
        <v>0</v>
      </c>
      <c r="N9" s="5" t="n">
        <v>3125</v>
      </c>
      <c r="O9" s="5" t="n">
        <v>743</v>
      </c>
      <c r="P9" s="5" t="n">
        <v>64</v>
      </c>
      <c r="Q9" s="5" t="n">
        <v>57</v>
      </c>
      <c r="R9" s="5" t="n">
        <v>0</v>
      </c>
      <c r="S9" s="5" t="n">
        <v>0</v>
      </c>
      <c r="T9" s="5" t="n">
        <v>0</v>
      </c>
      <c r="U9" s="5" t="n">
        <v>0</v>
      </c>
      <c r="V9" s="5" t="n">
        <v>290</v>
      </c>
      <c r="W9" s="5" t="n">
        <v>8418</v>
      </c>
      <c r="X9" s="5" t="n">
        <v>297696</v>
      </c>
      <c r="Y9" s="5" t="n">
        <v>556319</v>
      </c>
    </row>
    <row r="10" customFormat="false" ht="15" hidden="false" customHeight="false" outlineLevel="0" collapsed="false">
      <c r="A10" s="4" t="s">
        <v>61</v>
      </c>
      <c r="B10" s="5" t="n">
        <v>6496</v>
      </c>
      <c r="C10" s="5" t="n">
        <v>71690</v>
      </c>
      <c r="D10" s="5" t="n">
        <v>264636</v>
      </c>
      <c r="E10" s="5" t="n">
        <v>49814</v>
      </c>
      <c r="F10" s="5" t="n">
        <v>435278</v>
      </c>
      <c r="G10" s="5" t="n">
        <v>151528</v>
      </c>
      <c r="H10" s="5" t="n">
        <v>68448</v>
      </c>
      <c r="I10" s="5" t="n">
        <v>786960</v>
      </c>
      <c r="J10" s="5" t="n">
        <v>144833</v>
      </c>
      <c r="K10" s="5" t="n">
        <v>78926</v>
      </c>
      <c r="L10" s="5" t="n">
        <v>33173</v>
      </c>
      <c r="M10" s="5" t="n">
        <v>0</v>
      </c>
      <c r="N10" s="5" t="n">
        <v>7391</v>
      </c>
      <c r="O10" s="5" t="n">
        <v>1732</v>
      </c>
      <c r="P10" s="5" t="n">
        <v>471</v>
      </c>
      <c r="Q10" s="5" t="n">
        <v>721</v>
      </c>
      <c r="R10" s="5" t="n">
        <v>2632</v>
      </c>
      <c r="S10" s="5" t="n">
        <v>730</v>
      </c>
      <c r="T10" s="5" t="n">
        <v>1510</v>
      </c>
      <c r="U10" s="5" t="n">
        <v>1614</v>
      </c>
      <c r="V10" s="5" t="n">
        <v>2108</v>
      </c>
      <c r="W10" s="5" t="n">
        <v>140620</v>
      </c>
      <c r="X10" s="5" t="n">
        <v>2244815</v>
      </c>
      <c r="Y10" s="5" t="n">
        <v>3659796</v>
      </c>
    </row>
    <row r="11" customFormat="false" ht="15" hidden="false" customHeight="false" outlineLevel="0" collapsed="false">
      <c r="A11" s="4" t="s">
        <v>62</v>
      </c>
      <c r="B11" s="5" t="n">
        <v>5543</v>
      </c>
      <c r="C11" s="5" t="n">
        <v>486701</v>
      </c>
      <c r="D11" s="5" t="n">
        <v>163143</v>
      </c>
      <c r="E11" s="5" t="n">
        <v>15367</v>
      </c>
      <c r="F11" s="5" t="n">
        <v>37768</v>
      </c>
      <c r="G11" s="5" t="n">
        <v>23416</v>
      </c>
      <c r="H11" s="5" t="n">
        <v>114600</v>
      </c>
      <c r="I11" s="5" t="n">
        <v>401425</v>
      </c>
      <c r="J11" s="5" t="n">
        <v>30397</v>
      </c>
      <c r="K11" s="5" t="n">
        <v>9731</v>
      </c>
      <c r="L11" s="5" t="n">
        <v>16108</v>
      </c>
      <c r="M11" s="5" t="n">
        <v>0</v>
      </c>
      <c r="N11" s="5" t="n">
        <v>1517</v>
      </c>
      <c r="O11" s="5" t="n">
        <v>2040</v>
      </c>
      <c r="P11" s="5" t="n">
        <v>679</v>
      </c>
      <c r="Q11" s="5" t="n">
        <v>121</v>
      </c>
      <c r="R11" s="5" t="n">
        <v>760</v>
      </c>
      <c r="S11" s="5" t="n">
        <v>162</v>
      </c>
      <c r="T11" s="5" t="n">
        <v>492</v>
      </c>
      <c r="U11" s="5" t="n">
        <v>2952</v>
      </c>
      <c r="V11" s="5" t="n">
        <v>737</v>
      </c>
      <c r="W11" s="5" t="n">
        <v>44523</v>
      </c>
      <c r="X11" s="5" t="n">
        <v>1352639</v>
      </c>
      <c r="Y11" s="5" t="n">
        <v>2894525</v>
      </c>
    </row>
    <row r="12" customFormat="false" ht="15" hidden="false" customHeight="false" outlineLevel="0" collapsed="false">
      <c r="A12" s="4" t="s">
        <v>63</v>
      </c>
      <c r="B12" s="5" t="n">
        <v>13206</v>
      </c>
      <c r="C12" s="5" t="n">
        <v>1026858</v>
      </c>
      <c r="D12" s="5" t="n">
        <v>575170</v>
      </c>
      <c r="E12" s="5" t="n">
        <v>187414</v>
      </c>
      <c r="F12" s="5" t="n">
        <v>120154</v>
      </c>
      <c r="G12" s="5" t="n">
        <v>83562</v>
      </c>
      <c r="H12" s="5" t="n">
        <v>146636</v>
      </c>
      <c r="I12" s="5" t="n">
        <v>1532025</v>
      </c>
      <c r="J12" s="5" t="n">
        <v>71264</v>
      </c>
      <c r="K12" s="5" t="n">
        <v>32427</v>
      </c>
      <c r="L12" s="5" t="n">
        <v>91841</v>
      </c>
      <c r="M12" s="5" t="n">
        <v>0</v>
      </c>
      <c r="N12" s="5" t="n">
        <v>41359</v>
      </c>
      <c r="O12" s="5" t="n">
        <v>7921</v>
      </c>
      <c r="P12" s="5" t="n">
        <v>2038</v>
      </c>
      <c r="Q12" s="5" t="n">
        <v>2158</v>
      </c>
      <c r="R12" s="5" t="n">
        <v>4293</v>
      </c>
      <c r="S12" s="5" t="n">
        <v>463</v>
      </c>
      <c r="T12" s="5" t="n">
        <v>1388</v>
      </c>
      <c r="U12" s="5" t="n">
        <v>9217</v>
      </c>
      <c r="V12" s="5" t="n">
        <v>5004</v>
      </c>
      <c r="W12" s="5" t="n">
        <v>120351</v>
      </c>
      <c r="X12" s="5" t="n">
        <v>4061543</v>
      </c>
      <c r="Y12" s="5" t="n">
        <v>7772434</v>
      </c>
    </row>
    <row r="13" customFormat="false" ht="15" hidden="false" customHeight="false" outlineLevel="0" collapsed="false">
      <c r="A13" s="4" t="s">
        <v>64</v>
      </c>
      <c r="B13" s="5" t="n">
        <v>2557</v>
      </c>
      <c r="C13" s="5" t="n">
        <v>100245</v>
      </c>
      <c r="D13" s="5" t="n">
        <v>132143</v>
      </c>
      <c r="E13" s="5" t="n">
        <v>10155</v>
      </c>
      <c r="F13" s="5" t="n">
        <v>30861</v>
      </c>
      <c r="G13" s="5" t="n">
        <v>16166</v>
      </c>
      <c r="H13" s="5" t="n">
        <v>29462</v>
      </c>
      <c r="I13" s="5" t="n">
        <v>186349</v>
      </c>
      <c r="J13" s="5" t="n">
        <v>9764</v>
      </c>
      <c r="K13" s="5" t="n">
        <v>21705</v>
      </c>
      <c r="L13" s="5" t="n">
        <v>8516</v>
      </c>
      <c r="M13" s="5" t="n">
        <v>0</v>
      </c>
      <c r="N13" s="5" t="n">
        <v>4576</v>
      </c>
      <c r="O13" s="5" t="n">
        <v>2964</v>
      </c>
      <c r="P13" s="5" t="n">
        <v>212</v>
      </c>
      <c r="Q13" s="5" t="n">
        <v>212</v>
      </c>
      <c r="R13" s="5" t="n">
        <v>899</v>
      </c>
      <c r="S13" s="5" t="n">
        <v>203</v>
      </c>
      <c r="T13" s="5" t="n">
        <v>598</v>
      </c>
      <c r="U13" s="5" t="n">
        <v>3233</v>
      </c>
      <c r="V13" s="5" t="n">
        <v>342</v>
      </c>
      <c r="W13" s="5" t="n">
        <v>15356</v>
      </c>
      <c r="X13" s="5" t="n">
        <v>573961</v>
      </c>
      <c r="Y13" s="5" t="n">
        <v>1332814</v>
      </c>
    </row>
    <row r="14" customFormat="false" ht="15" hidden="false" customHeight="false" outlineLevel="0" collapsed="false">
      <c r="A14" s="4" t="s">
        <v>65</v>
      </c>
      <c r="B14" s="5" t="n">
        <v>7791</v>
      </c>
      <c r="C14" s="5" t="n">
        <v>851833</v>
      </c>
      <c r="D14" s="5" t="n">
        <v>244940</v>
      </c>
      <c r="E14" s="5" t="n">
        <v>44094</v>
      </c>
      <c r="F14" s="5" t="n">
        <v>109156</v>
      </c>
      <c r="G14" s="5" t="n">
        <v>37867</v>
      </c>
      <c r="H14" s="5" t="n">
        <v>88093</v>
      </c>
      <c r="I14" s="5" t="n">
        <v>487354</v>
      </c>
      <c r="J14" s="5" t="n">
        <v>33596</v>
      </c>
      <c r="K14" s="5" t="n">
        <v>34390</v>
      </c>
      <c r="L14" s="5" t="n">
        <v>33976</v>
      </c>
      <c r="M14" s="5" t="n">
        <v>0</v>
      </c>
      <c r="N14" s="5" t="n">
        <v>252</v>
      </c>
      <c r="O14" s="5" t="n">
        <v>102</v>
      </c>
      <c r="P14" s="5" t="n">
        <v>63</v>
      </c>
      <c r="Q14" s="5" t="n">
        <v>68</v>
      </c>
      <c r="R14" s="5" t="n">
        <v>27</v>
      </c>
      <c r="S14" s="5" t="n">
        <v>15</v>
      </c>
      <c r="T14" s="5" t="n">
        <v>33</v>
      </c>
      <c r="U14" s="5" t="n">
        <v>60</v>
      </c>
      <c r="V14" s="5" t="n">
        <v>1611</v>
      </c>
      <c r="W14" s="5" t="n">
        <v>59286</v>
      </c>
      <c r="X14" s="5" t="n">
        <v>2026816</v>
      </c>
      <c r="Y14" s="5" t="n">
        <v>4583856</v>
      </c>
    </row>
    <row r="15" customFormat="false" ht="15" hidden="false" customHeight="false" outlineLevel="0" collapsed="false">
      <c r="A15" s="4" t="s">
        <v>66</v>
      </c>
      <c r="B15" s="5" t="n">
        <v>5078</v>
      </c>
      <c r="C15" s="5" t="n">
        <v>46351</v>
      </c>
      <c r="D15" s="5" t="n">
        <v>367461</v>
      </c>
      <c r="E15" s="5" t="n">
        <v>190067</v>
      </c>
      <c r="F15" s="5" t="n">
        <v>51835</v>
      </c>
      <c r="G15" s="5" t="n">
        <v>58998</v>
      </c>
      <c r="H15" s="5" t="n">
        <v>43185</v>
      </c>
      <c r="I15" s="5" t="n">
        <v>585876</v>
      </c>
      <c r="J15" s="5" t="n">
        <v>27604</v>
      </c>
      <c r="K15" s="5" t="n">
        <v>16014</v>
      </c>
      <c r="L15" s="5" t="n">
        <v>21833</v>
      </c>
      <c r="M15" s="5" t="n">
        <v>0</v>
      </c>
      <c r="N15" s="5" t="n">
        <v>2214</v>
      </c>
      <c r="O15" s="5" t="n">
        <v>845</v>
      </c>
      <c r="P15" s="5" t="n">
        <v>359</v>
      </c>
      <c r="Q15" s="5" t="n">
        <v>7375</v>
      </c>
      <c r="R15" s="5" t="n">
        <v>973</v>
      </c>
      <c r="S15" s="5" t="n">
        <v>423</v>
      </c>
      <c r="T15" s="5" t="n">
        <v>688</v>
      </c>
      <c r="U15" s="5" t="n">
        <v>1064</v>
      </c>
      <c r="V15" s="5" t="n">
        <v>4631</v>
      </c>
      <c r="W15" s="5" t="n">
        <v>54489</v>
      </c>
      <c r="X15" s="5" t="n">
        <v>1482285</v>
      </c>
      <c r="Y15" s="5" t="n">
        <v>2563067</v>
      </c>
    </row>
    <row r="16" customFormat="false" ht="15" hidden="false" customHeight="false" outlineLevel="0" collapsed="false">
      <c r="A16" s="4" t="s">
        <v>67</v>
      </c>
      <c r="B16" s="5" t="n">
        <v>3978</v>
      </c>
      <c r="C16" s="5" t="n">
        <v>84606</v>
      </c>
      <c r="D16" s="5" t="n">
        <v>286811</v>
      </c>
      <c r="E16" s="5" t="n">
        <v>32649</v>
      </c>
      <c r="F16" s="5" t="n">
        <v>25236</v>
      </c>
      <c r="G16" s="5" t="n">
        <v>21177</v>
      </c>
      <c r="H16" s="5" t="n">
        <v>22839</v>
      </c>
      <c r="I16" s="5" t="n">
        <v>453582</v>
      </c>
      <c r="J16" s="5" t="n">
        <v>29137</v>
      </c>
      <c r="K16" s="5" t="n">
        <v>18096</v>
      </c>
      <c r="L16" s="5" t="n">
        <v>19830</v>
      </c>
      <c r="M16" s="5" t="n">
        <v>0</v>
      </c>
      <c r="N16" s="5" t="n">
        <v>6056</v>
      </c>
      <c r="O16" s="5" t="n">
        <v>2525</v>
      </c>
      <c r="P16" s="5" t="n">
        <v>582</v>
      </c>
      <c r="Q16" s="5" t="n">
        <v>778</v>
      </c>
      <c r="R16" s="5" t="n">
        <v>2462</v>
      </c>
      <c r="S16" s="5" t="n">
        <v>325</v>
      </c>
      <c r="T16" s="5" t="n">
        <v>987</v>
      </c>
      <c r="U16" s="5" t="n">
        <v>1906</v>
      </c>
      <c r="V16" s="5" t="n">
        <v>560</v>
      </c>
      <c r="W16" s="5" t="n">
        <v>37007</v>
      </c>
      <c r="X16" s="5" t="n">
        <v>1047151</v>
      </c>
      <c r="Y16" s="5" t="n">
        <v>2239916</v>
      </c>
    </row>
    <row r="17" customFormat="false" ht="15" hidden="false" customHeight="false" outlineLevel="0" collapsed="false">
      <c r="A17" s="4" t="s">
        <v>68</v>
      </c>
      <c r="B17" s="5" t="n">
        <v>10262</v>
      </c>
      <c r="C17" s="5" t="n">
        <v>482702</v>
      </c>
      <c r="D17" s="5" t="n">
        <v>415587</v>
      </c>
      <c r="E17" s="5" t="n">
        <v>26845</v>
      </c>
      <c r="F17" s="5" t="n">
        <v>106750</v>
      </c>
      <c r="G17" s="5" t="n">
        <v>46406</v>
      </c>
      <c r="H17" s="5" t="n">
        <v>950006</v>
      </c>
      <c r="I17" s="5" t="n">
        <v>695798</v>
      </c>
      <c r="J17" s="5" t="n">
        <v>72924</v>
      </c>
      <c r="K17" s="5" t="n">
        <v>29586</v>
      </c>
      <c r="L17" s="5" t="n">
        <v>70209</v>
      </c>
      <c r="M17" s="5" t="n">
        <v>4097</v>
      </c>
      <c r="N17" s="5" t="n">
        <v>9218</v>
      </c>
      <c r="O17" s="5" t="n">
        <v>3192</v>
      </c>
      <c r="P17" s="5" t="n">
        <v>347</v>
      </c>
      <c r="Q17" s="5" t="n">
        <v>262</v>
      </c>
      <c r="R17" s="5" t="n">
        <v>1783</v>
      </c>
      <c r="S17" s="5" t="n">
        <v>254</v>
      </c>
      <c r="T17" s="5" t="n">
        <v>935</v>
      </c>
      <c r="U17" s="5" t="n">
        <v>2256</v>
      </c>
      <c r="V17" s="5" t="n">
        <v>2368</v>
      </c>
      <c r="W17" s="5" t="n">
        <v>75537</v>
      </c>
      <c r="X17" s="5" t="n">
        <v>2997062</v>
      </c>
      <c r="Y17" s="5" t="n">
        <v>6204848</v>
      </c>
    </row>
    <row r="18" customFormat="false" ht="15" hidden="false" customHeight="false" outlineLevel="0" collapsed="false">
      <c r="A18" s="4" t="s">
        <v>69</v>
      </c>
      <c r="B18" s="5" t="n">
        <v>20127</v>
      </c>
      <c r="C18" s="5" t="n">
        <v>899395</v>
      </c>
      <c r="D18" s="5" t="n">
        <v>1763528</v>
      </c>
      <c r="E18" s="5" t="n">
        <v>217858</v>
      </c>
      <c r="F18" s="5" t="n">
        <v>335825</v>
      </c>
      <c r="G18" s="5" t="n">
        <v>125725</v>
      </c>
      <c r="H18" s="5" t="n">
        <v>329731</v>
      </c>
      <c r="I18" s="5" t="n">
        <v>2392699</v>
      </c>
      <c r="J18" s="5" t="n">
        <v>139763</v>
      </c>
      <c r="K18" s="5" t="n">
        <v>94493</v>
      </c>
      <c r="L18" s="5" t="n">
        <v>166588</v>
      </c>
      <c r="M18" s="5" t="n">
        <v>0</v>
      </c>
      <c r="N18" s="5" t="n">
        <v>30357</v>
      </c>
      <c r="O18" s="5" t="n">
        <v>8156</v>
      </c>
      <c r="P18" s="5" t="n">
        <v>1055</v>
      </c>
      <c r="Q18" s="5" t="n">
        <v>2349</v>
      </c>
      <c r="R18" s="5" t="n">
        <v>3856</v>
      </c>
      <c r="S18" s="5" t="n">
        <v>595</v>
      </c>
      <c r="T18" s="5" t="n">
        <v>1757</v>
      </c>
      <c r="U18" s="5" t="n">
        <v>9001</v>
      </c>
      <c r="V18" s="5" t="n">
        <v>5993</v>
      </c>
      <c r="W18" s="5" t="n">
        <v>191794</v>
      </c>
      <c r="X18" s="5" t="n">
        <v>6720518</v>
      </c>
      <c r="Y18" s="5" t="n">
        <v>12376578</v>
      </c>
    </row>
    <row r="19" customFormat="false" ht="15" hidden="false" customHeight="false" outlineLevel="0" collapsed="false">
      <c r="A19" s="4" t="s">
        <v>70</v>
      </c>
      <c r="B19" s="5" t="n">
        <v>6225</v>
      </c>
      <c r="C19" s="5" t="n">
        <v>218563</v>
      </c>
      <c r="D19" s="5" t="n">
        <v>244612</v>
      </c>
      <c r="E19" s="5" t="n">
        <v>201257</v>
      </c>
      <c r="F19" s="5" t="n">
        <v>127531</v>
      </c>
      <c r="G19" s="5" t="n">
        <v>97744</v>
      </c>
      <c r="H19" s="5" t="n">
        <v>68833</v>
      </c>
      <c r="I19" s="5" t="n">
        <v>539793</v>
      </c>
      <c r="J19" s="5" t="n">
        <v>58383</v>
      </c>
      <c r="K19" s="5" t="n">
        <v>26608</v>
      </c>
      <c r="L19" s="5" t="n">
        <v>46512</v>
      </c>
      <c r="M19" s="5" t="n">
        <v>9286</v>
      </c>
      <c r="N19" s="5" t="n">
        <v>14976</v>
      </c>
      <c r="O19" s="5" t="n">
        <v>3326</v>
      </c>
      <c r="P19" s="5" t="n">
        <v>2349</v>
      </c>
      <c r="Q19" s="5" t="n">
        <v>2922</v>
      </c>
      <c r="R19" s="5" t="n">
        <v>498</v>
      </c>
      <c r="S19" s="5" t="n">
        <v>165</v>
      </c>
      <c r="T19" s="5" t="n">
        <v>305</v>
      </c>
      <c r="U19" s="5" t="n">
        <v>3822</v>
      </c>
      <c r="V19" s="5" t="n">
        <v>1348</v>
      </c>
      <c r="W19" s="5" t="n">
        <v>80691</v>
      </c>
      <c r="X19" s="5" t="n">
        <v>1749524</v>
      </c>
      <c r="Y19" s="5" t="n">
        <v>3520473</v>
      </c>
    </row>
    <row r="20" customFormat="false" ht="15" hidden="false" customHeight="false" outlineLevel="0" collapsed="false">
      <c r="A20" s="4" t="s">
        <v>71</v>
      </c>
      <c r="B20" s="5" t="n">
        <v>2505</v>
      </c>
      <c r="C20" s="5" t="n">
        <v>109615</v>
      </c>
      <c r="D20" s="5" t="n">
        <v>72429</v>
      </c>
      <c r="E20" s="5" t="n">
        <v>24824</v>
      </c>
      <c r="F20" s="5" t="n">
        <v>31430</v>
      </c>
      <c r="G20" s="5" t="n">
        <v>40717</v>
      </c>
      <c r="H20" s="5" t="n">
        <v>53549</v>
      </c>
      <c r="I20" s="5" t="n">
        <v>251286</v>
      </c>
      <c r="J20" s="5" t="n">
        <v>39794</v>
      </c>
      <c r="K20" s="5" t="n">
        <v>61898</v>
      </c>
      <c r="L20" s="5" t="n">
        <v>70272</v>
      </c>
      <c r="M20" s="5" t="n">
        <v>0</v>
      </c>
      <c r="N20" s="5" t="n">
        <v>0</v>
      </c>
      <c r="O20" s="5" t="n">
        <v>0</v>
      </c>
      <c r="P20" s="5" t="n">
        <v>0</v>
      </c>
      <c r="Q20" s="5" t="n">
        <v>0</v>
      </c>
      <c r="R20" s="5" t="n">
        <v>173</v>
      </c>
      <c r="S20" s="5" t="n">
        <v>78</v>
      </c>
      <c r="T20" s="5" t="n">
        <v>130</v>
      </c>
      <c r="U20" s="5" t="n">
        <v>385</v>
      </c>
      <c r="V20" s="5" t="n">
        <v>851</v>
      </c>
      <c r="W20" s="5" t="n">
        <v>38572</v>
      </c>
      <c r="X20" s="5" t="n">
        <v>796003</v>
      </c>
      <c r="Y20" s="5" t="n">
        <v>1496083</v>
      </c>
    </row>
    <row r="21" customFormat="false" ht="15" hidden="false" customHeight="false" outlineLevel="0" collapsed="false">
      <c r="A21" s="4" t="s">
        <v>72</v>
      </c>
      <c r="B21" s="5" t="n">
        <v>1745</v>
      </c>
      <c r="C21" s="5" t="n">
        <v>48508</v>
      </c>
      <c r="D21" s="5" t="n">
        <v>43358</v>
      </c>
      <c r="E21" s="5" t="n">
        <v>11008</v>
      </c>
      <c r="F21" s="5" t="n">
        <v>22038</v>
      </c>
      <c r="G21" s="5" t="n">
        <v>24564</v>
      </c>
      <c r="H21" s="5" t="n">
        <v>75319</v>
      </c>
      <c r="I21" s="5" t="n">
        <v>175410</v>
      </c>
      <c r="J21" s="5" t="n">
        <v>13593</v>
      </c>
      <c r="K21" s="5" t="n">
        <v>13717</v>
      </c>
      <c r="L21" s="5" t="n">
        <v>14192</v>
      </c>
      <c r="M21" s="5" t="n">
        <v>0</v>
      </c>
      <c r="N21" s="5" t="n">
        <v>5254</v>
      </c>
      <c r="O21" s="5" t="n">
        <v>1000</v>
      </c>
      <c r="P21" s="5" t="n">
        <v>318</v>
      </c>
      <c r="Q21" s="5" t="n">
        <v>179</v>
      </c>
      <c r="R21" s="5" t="n">
        <v>4665</v>
      </c>
      <c r="S21" s="5" t="n">
        <v>739</v>
      </c>
      <c r="T21" s="5" t="n">
        <v>1170</v>
      </c>
      <c r="U21" s="5" t="n">
        <v>1158</v>
      </c>
      <c r="V21" s="5" t="n">
        <v>240</v>
      </c>
      <c r="W21" s="5" t="n">
        <v>20364</v>
      </c>
      <c r="X21" s="5" t="n">
        <v>476794</v>
      </c>
      <c r="Y21" s="5" t="n">
        <v>891508</v>
      </c>
    </row>
    <row r="22" customFormat="false" ht="15" hidden="false" customHeight="false" outlineLevel="0" collapsed="false">
      <c r="A22" s="4" t="s">
        <v>73</v>
      </c>
      <c r="B22" s="5" t="n">
        <v>7034</v>
      </c>
      <c r="C22" s="5" t="n">
        <v>642778</v>
      </c>
      <c r="D22" s="5" t="n">
        <v>554422</v>
      </c>
      <c r="E22" s="5" t="n">
        <v>12762</v>
      </c>
      <c r="F22" s="5" t="n">
        <v>56262</v>
      </c>
      <c r="G22" s="5" t="n">
        <v>39816</v>
      </c>
      <c r="H22" s="5" t="n">
        <v>414573</v>
      </c>
      <c r="I22" s="5" t="n">
        <v>306361</v>
      </c>
      <c r="J22" s="5" t="n">
        <v>18268</v>
      </c>
      <c r="K22" s="5" t="n">
        <v>15390</v>
      </c>
      <c r="L22" s="5" t="n">
        <v>22684</v>
      </c>
      <c r="M22" s="5" t="n">
        <v>0</v>
      </c>
      <c r="N22" s="5" t="n">
        <v>0</v>
      </c>
      <c r="O22" s="5" t="n">
        <v>0</v>
      </c>
      <c r="P22" s="5" t="n">
        <v>0</v>
      </c>
      <c r="Q22" s="5" t="n">
        <v>0</v>
      </c>
      <c r="R22" s="5" t="n">
        <v>3154</v>
      </c>
      <c r="S22" s="5" t="n">
        <v>606</v>
      </c>
      <c r="T22" s="5" t="n">
        <v>1090</v>
      </c>
      <c r="U22" s="5" t="n">
        <v>1648</v>
      </c>
      <c r="V22" s="5" t="n">
        <v>1211</v>
      </c>
      <c r="W22" s="5" t="n">
        <v>53384</v>
      </c>
      <c r="X22" s="5" t="n">
        <v>2144409</v>
      </c>
      <c r="Y22" s="5" t="n">
        <v>4189695</v>
      </c>
    </row>
    <row r="23" customFormat="false" ht="15" hidden="false" customHeight="false" outlineLevel="0" collapsed="false">
      <c r="A23" s="4" t="s">
        <v>74</v>
      </c>
      <c r="B23" s="5" t="n">
        <v>5766</v>
      </c>
      <c r="C23" s="5" t="n">
        <v>80335</v>
      </c>
      <c r="D23" s="5" t="n">
        <v>350797</v>
      </c>
      <c r="E23" s="5" t="n">
        <v>66032</v>
      </c>
      <c r="F23" s="5" t="n">
        <v>63759</v>
      </c>
      <c r="G23" s="5" t="n">
        <v>114790</v>
      </c>
      <c r="H23" s="5" t="n">
        <v>44873</v>
      </c>
      <c r="I23" s="5" t="n">
        <v>762079</v>
      </c>
      <c r="J23" s="5" t="n">
        <v>42121</v>
      </c>
      <c r="K23" s="5" t="n">
        <v>34158</v>
      </c>
      <c r="L23" s="5" t="n">
        <v>54365</v>
      </c>
      <c r="M23" s="5" t="n">
        <v>0</v>
      </c>
      <c r="N23" s="5" t="n">
        <v>7222</v>
      </c>
      <c r="O23" s="5" t="n">
        <v>2823</v>
      </c>
      <c r="P23" s="5" t="n">
        <v>526</v>
      </c>
      <c r="Q23" s="5" t="n">
        <v>1091</v>
      </c>
      <c r="R23" s="5" t="n">
        <v>1389</v>
      </c>
      <c r="S23" s="5" t="n">
        <v>489</v>
      </c>
      <c r="T23" s="5" t="n">
        <v>570</v>
      </c>
      <c r="U23" s="5" t="n">
        <v>2721</v>
      </c>
      <c r="V23" s="5" t="n">
        <v>879</v>
      </c>
      <c r="W23" s="5" t="n">
        <v>66620</v>
      </c>
      <c r="X23" s="5" t="n">
        <v>1697639</v>
      </c>
      <c r="Y23" s="5" t="n">
        <v>2997803</v>
      </c>
    </row>
    <row r="24" customFormat="false" ht="15" hidden="false" customHeight="false" outlineLevel="0" collapsed="false">
      <c r="A24" s="4" t="s">
        <v>75</v>
      </c>
      <c r="B24" s="5" t="n">
        <v>7906</v>
      </c>
      <c r="C24" s="5" t="n">
        <v>490735</v>
      </c>
      <c r="D24" s="5" t="n">
        <v>415061</v>
      </c>
      <c r="E24" s="5" t="n">
        <v>65278</v>
      </c>
      <c r="F24" s="5" t="n">
        <v>141880</v>
      </c>
      <c r="G24" s="5" t="n">
        <v>131906</v>
      </c>
      <c r="H24" s="5" t="n">
        <v>148629</v>
      </c>
      <c r="I24" s="5" t="n">
        <v>863293</v>
      </c>
      <c r="J24" s="5" t="n">
        <v>83720</v>
      </c>
      <c r="K24" s="5" t="n">
        <v>60368</v>
      </c>
      <c r="L24" s="5" t="n">
        <v>93670</v>
      </c>
      <c r="M24" s="5" t="n">
        <v>0</v>
      </c>
      <c r="N24" s="5" t="n">
        <v>14726</v>
      </c>
      <c r="O24" s="5" t="n">
        <v>8901</v>
      </c>
      <c r="P24" s="5" t="n">
        <v>2846</v>
      </c>
      <c r="Q24" s="5" t="n">
        <v>1669</v>
      </c>
      <c r="R24" s="5" t="n">
        <v>3429</v>
      </c>
      <c r="S24" s="5" t="n">
        <v>957</v>
      </c>
      <c r="T24" s="5" t="n">
        <v>1845</v>
      </c>
      <c r="U24" s="5" t="n">
        <v>15672</v>
      </c>
      <c r="V24" s="5" t="n">
        <v>2391</v>
      </c>
      <c r="W24" s="5" t="n">
        <v>118313</v>
      </c>
      <c r="X24" s="5" t="n">
        <v>2665289</v>
      </c>
      <c r="Y24" s="5" t="n">
        <v>4739937</v>
      </c>
    </row>
    <row r="25" customFormat="false" ht="15" hidden="false" customHeight="false" outlineLevel="0" collapsed="false">
      <c r="A25" s="4" t="s">
        <v>76</v>
      </c>
      <c r="B25" s="5" t="n">
        <v>2880</v>
      </c>
      <c r="C25" s="5" t="n">
        <v>410525</v>
      </c>
      <c r="D25" s="5" t="n">
        <v>129396</v>
      </c>
      <c r="E25" s="5" t="n">
        <v>9947</v>
      </c>
      <c r="F25" s="5" t="n">
        <v>33641</v>
      </c>
      <c r="G25" s="5" t="n">
        <v>9504</v>
      </c>
      <c r="H25" s="5" t="n">
        <v>16594</v>
      </c>
      <c r="I25" s="5" t="n">
        <v>221327</v>
      </c>
      <c r="J25" s="5" t="n">
        <v>13085</v>
      </c>
      <c r="K25" s="5" t="n">
        <v>13595</v>
      </c>
      <c r="L25" s="5" t="n">
        <v>19137</v>
      </c>
      <c r="M25" s="5" t="n">
        <v>0</v>
      </c>
      <c r="N25" s="5" t="n">
        <v>0</v>
      </c>
      <c r="O25" s="5" t="n">
        <v>0</v>
      </c>
      <c r="P25" s="5" t="n">
        <v>0</v>
      </c>
      <c r="Q25" s="5" t="n">
        <v>0</v>
      </c>
      <c r="R25" s="5" t="n">
        <v>214</v>
      </c>
      <c r="S25" s="5" t="n">
        <v>33</v>
      </c>
      <c r="T25" s="5" t="n">
        <v>93</v>
      </c>
      <c r="U25" s="5" t="n">
        <v>260</v>
      </c>
      <c r="V25" s="5" t="n">
        <v>512</v>
      </c>
      <c r="W25" s="5" t="n">
        <v>27368</v>
      </c>
      <c r="X25" s="5" t="n">
        <v>905231</v>
      </c>
      <c r="Y25" s="5" t="n">
        <v>1736378</v>
      </c>
    </row>
    <row r="26" customFormat="false" ht="15" hidden="false" customHeight="false" outlineLevel="0" collapsed="false">
      <c r="A26" s="4" t="s">
        <v>77</v>
      </c>
      <c r="B26" s="5" t="n">
        <v>2285</v>
      </c>
      <c r="C26" s="5" t="n">
        <v>89962</v>
      </c>
      <c r="D26" s="5" t="n">
        <v>59884</v>
      </c>
      <c r="E26" s="5" t="n">
        <v>17403</v>
      </c>
      <c r="F26" s="5" t="n">
        <v>30321</v>
      </c>
      <c r="G26" s="5" t="n">
        <v>17534</v>
      </c>
      <c r="H26" s="5" t="n">
        <v>22334</v>
      </c>
      <c r="I26" s="5" t="n">
        <v>234514</v>
      </c>
      <c r="J26" s="5" t="n">
        <v>21341</v>
      </c>
      <c r="K26" s="5" t="n">
        <v>11259</v>
      </c>
      <c r="L26" s="5" t="n">
        <v>46268</v>
      </c>
      <c r="M26" s="5" t="n">
        <v>0</v>
      </c>
      <c r="N26" s="5" t="n">
        <v>3326</v>
      </c>
      <c r="O26" s="5" t="n">
        <v>1532</v>
      </c>
      <c r="P26" s="5" t="n">
        <v>837</v>
      </c>
      <c r="Q26" s="5" t="n">
        <v>305</v>
      </c>
      <c r="R26" s="5" t="n">
        <v>2383</v>
      </c>
      <c r="S26" s="5" t="n">
        <v>383</v>
      </c>
      <c r="T26" s="5" t="n">
        <v>1640</v>
      </c>
      <c r="U26" s="5" t="n">
        <v>2295</v>
      </c>
      <c r="V26" s="5" t="n">
        <v>1036</v>
      </c>
      <c r="W26" s="5" t="n">
        <v>23256</v>
      </c>
      <c r="X26" s="5" t="n">
        <v>587813</v>
      </c>
      <c r="Y26" s="5" t="n">
        <v>1322571</v>
      </c>
    </row>
    <row r="27" customFormat="false" ht="15" hidden="false" customHeight="false" outlineLevel="0" collapsed="false">
      <c r="A27" s="4" t="s">
        <v>78</v>
      </c>
      <c r="B27" s="5" t="n">
        <v>3778</v>
      </c>
      <c r="C27" s="5" t="n">
        <v>216304</v>
      </c>
      <c r="D27" s="5" t="n">
        <v>168249</v>
      </c>
      <c r="E27" s="5" t="n">
        <v>28450</v>
      </c>
      <c r="F27" s="5" t="n">
        <v>298464</v>
      </c>
      <c r="G27" s="5" t="n">
        <v>40185</v>
      </c>
      <c r="H27" s="5" t="n">
        <v>51680</v>
      </c>
      <c r="I27" s="5" t="n">
        <v>214125</v>
      </c>
      <c r="J27" s="5" t="n">
        <v>28843</v>
      </c>
      <c r="K27" s="5" t="n">
        <v>56387</v>
      </c>
      <c r="L27" s="5" t="n">
        <v>19232</v>
      </c>
      <c r="M27" s="5" t="n">
        <v>0</v>
      </c>
      <c r="N27" s="5" t="n">
        <v>7851</v>
      </c>
      <c r="O27" s="5" t="n">
        <v>4646</v>
      </c>
      <c r="P27" s="5" t="n">
        <v>1459</v>
      </c>
      <c r="Q27" s="5" t="n">
        <v>450</v>
      </c>
      <c r="R27" s="5" t="n">
        <v>1591</v>
      </c>
      <c r="S27" s="5" t="n">
        <v>12339</v>
      </c>
      <c r="T27" s="5" t="n">
        <v>1298</v>
      </c>
      <c r="U27" s="5" t="n">
        <v>520</v>
      </c>
      <c r="V27" s="5" t="n">
        <v>1065</v>
      </c>
      <c r="W27" s="5" t="n">
        <v>66791</v>
      </c>
      <c r="X27" s="5" t="n">
        <v>1219929</v>
      </c>
      <c r="Y27" s="5" t="n">
        <v>2068300</v>
      </c>
    </row>
    <row r="28" customFormat="false" ht="15" hidden="false" customHeight="false" outlineLevel="0" collapsed="false">
      <c r="A28" s="4" t="s">
        <v>79</v>
      </c>
      <c r="B28" s="5" t="n">
        <v>5024</v>
      </c>
      <c r="C28" s="5" t="n">
        <v>90766</v>
      </c>
      <c r="D28" s="5" t="n">
        <v>259131</v>
      </c>
      <c r="E28" s="5" t="n">
        <v>16339</v>
      </c>
      <c r="F28" s="5" t="n">
        <v>23030</v>
      </c>
      <c r="G28" s="5" t="n">
        <v>35774</v>
      </c>
      <c r="H28" s="5" t="n">
        <v>46469</v>
      </c>
      <c r="I28" s="5" t="n">
        <v>526367</v>
      </c>
      <c r="J28" s="5" t="n">
        <v>25741</v>
      </c>
      <c r="K28" s="5" t="n">
        <v>14499</v>
      </c>
      <c r="L28" s="5" t="n">
        <v>19986</v>
      </c>
      <c r="M28" s="5" t="n">
        <v>0</v>
      </c>
      <c r="N28" s="5" t="n">
        <v>8716</v>
      </c>
      <c r="O28" s="5" t="n">
        <v>2597</v>
      </c>
      <c r="P28" s="5" t="n">
        <v>226</v>
      </c>
      <c r="Q28" s="5" t="n">
        <v>368</v>
      </c>
      <c r="R28" s="5" t="n">
        <v>520</v>
      </c>
      <c r="S28" s="5" t="n">
        <v>98</v>
      </c>
      <c r="T28" s="5" t="n">
        <v>379</v>
      </c>
      <c r="U28" s="5" t="n">
        <v>1592</v>
      </c>
      <c r="V28" s="5" t="n">
        <v>517</v>
      </c>
      <c r="W28" s="5" t="n">
        <v>33109</v>
      </c>
      <c r="X28" s="5" t="n">
        <v>1106224</v>
      </c>
      <c r="Y28" s="5" t="n">
        <v>2252154</v>
      </c>
    </row>
    <row r="29" customFormat="false" ht="15" hidden="false" customHeight="false" outlineLevel="0" collapsed="false">
      <c r="A29" s="4" t="s">
        <v>80</v>
      </c>
      <c r="B29" s="5" t="n">
        <v>3780</v>
      </c>
      <c r="C29" s="5" t="n">
        <v>98196</v>
      </c>
      <c r="D29" s="5" t="n">
        <v>198654</v>
      </c>
      <c r="E29" s="5" t="n">
        <v>11317</v>
      </c>
      <c r="F29" s="5" t="n">
        <v>26577</v>
      </c>
      <c r="G29" s="5" t="n">
        <v>44862</v>
      </c>
      <c r="H29" s="5" t="n">
        <v>76597</v>
      </c>
      <c r="I29" s="5" t="n">
        <v>402007</v>
      </c>
      <c r="J29" s="5" t="n">
        <v>24856</v>
      </c>
      <c r="K29" s="5" t="n">
        <v>11526</v>
      </c>
      <c r="L29" s="5" t="n">
        <v>20290</v>
      </c>
      <c r="M29" s="5" t="n">
        <v>0</v>
      </c>
      <c r="N29" s="5" t="n">
        <v>7973</v>
      </c>
      <c r="O29" s="5" t="n">
        <v>3098</v>
      </c>
      <c r="P29" s="5" t="n">
        <v>344</v>
      </c>
      <c r="Q29" s="5" t="n">
        <v>290</v>
      </c>
      <c r="R29" s="5" t="n">
        <v>900</v>
      </c>
      <c r="S29" s="5" t="n">
        <v>252</v>
      </c>
      <c r="T29" s="5" t="n">
        <v>506</v>
      </c>
      <c r="U29" s="5" t="n">
        <v>1065</v>
      </c>
      <c r="V29" s="5" t="n">
        <v>1048</v>
      </c>
      <c r="W29" s="5" t="n">
        <v>28281</v>
      </c>
      <c r="X29" s="5" t="n">
        <v>958639</v>
      </c>
      <c r="Y29" s="5" t="n">
        <v>2187744</v>
      </c>
    </row>
    <row r="30" customFormat="false" ht="15" hidden="false" customHeight="false" outlineLevel="0" collapsed="false">
      <c r="A30" s="4" t="s">
        <v>81</v>
      </c>
      <c r="B30" s="5" t="n">
        <v>3036</v>
      </c>
      <c r="C30" s="5" t="n">
        <v>11548</v>
      </c>
      <c r="D30" s="5" t="n">
        <v>69881</v>
      </c>
      <c r="E30" s="5" t="n">
        <v>109884</v>
      </c>
      <c r="F30" s="5" t="n">
        <v>53041</v>
      </c>
      <c r="G30" s="5" t="n">
        <v>20930</v>
      </c>
      <c r="H30" s="5" t="n">
        <v>30959</v>
      </c>
      <c r="I30" s="5" t="n">
        <v>544878</v>
      </c>
      <c r="J30" s="5" t="n">
        <v>21895</v>
      </c>
      <c r="K30" s="5" t="n">
        <v>20663</v>
      </c>
      <c r="L30" s="5" t="n">
        <v>22219</v>
      </c>
      <c r="M30" s="5" t="n">
        <v>0</v>
      </c>
      <c r="N30" s="5" t="n">
        <v>945</v>
      </c>
      <c r="O30" s="5" t="n">
        <v>1316</v>
      </c>
      <c r="P30" s="5" t="n">
        <v>137</v>
      </c>
      <c r="Q30" s="5" t="n">
        <v>388</v>
      </c>
      <c r="R30" s="5" t="n">
        <v>0</v>
      </c>
      <c r="S30" s="5" t="n">
        <v>0</v>
      </c>
      <c r="T30" s="5" t="n">
        <v>0</v>
      </c>
      <c r="U30" s="5" t="n">
        <v>0</v>
      </c>
      <c r="V30" s="5" t="n">
        <v>649</v>
      </c>
      <c r="W30" s="5" t="n">
        <v>27694</v>
      </c>
      <c r="X30" s="5" t="n">
        <v>937027</v>
      </c>
      <c r="Y30" s="5" t="n">
        <v>1752765</v>
      </c>
    </row>
    <row r="31" customFormat="false" ht="15" hidden="false" customHeight="false" outlineLevel="0" collapsed="false">
      <c r="A31" s="4" t="s">
        <v>82</v>
      </c>
      <c r="B31" s="5" t="n">
        <v>4816</v>
      </c>
      <c r="C31" s="5" t="n">
        <v>515984</v>
      </c>
      <c r="D31" s="5" t="n">
        <v>131853</v>
      </c>
      <c r="E31" s="5" t="n">
        <v>13644</v>
      </c>
      <c r="F31" s="5" t="n">
        <v>31586</v>
      </c>
      <c r="G31" s="5" t="n">
        <v>33857</v>
      </c>
      <c r="H31" s="5" t="n">
        <v>44657</v>
      </c>
      <c r="I31" s="5" t="n">
        <v>569987</v>
      </c>
      <c r="J31" s="5" t="n">
        <v>29057</v>
      </c>
      <c r="K31" s="5" t="n">
        <v>16153</v>
      </c>
      <c r="L31" s="5" t="n">
        <v>15049</v>
      </c>
      <c r="M31" s="5" t="n">
        <v>0</v>
      </c>
      <c r="N31" s="5" t="n">
        <v>0</v>
      </c>
      <c r="O31" s="5" t="n">
        <v>0</v>
      </c>
      <c r="P31" s="5" t="n">
        <v>0</v>
      </c>
      <c r="Q31" s="5" t="n">
        <v>0</v>
      </c>
      <c r="R31" s="5" t="n">
        <v>1296</v>
      </c>
      <c r="S31" s="5" t="n">
        <v>177</v>
      </c>
      <c r="T31" s="5" t="n">
        <v>446</v>
      </c>
      <c r="U31" s="5" t="n">
        <v>5246</v>
      </c>
      <c r="V31" s="5" t="n">
        <v>703</v>
      </c>
      <c r="W31" s="5" t="n">
        <v>31677</v>
      </c>
      <c r="X31" s="5" t="n">
        <v>1441372</v>
      </c>
      <c r="Y31" s="5" t="n">
        <v>2735987</v>
      </c>
    </row>
    <row r="32" customFormat="false" ht="15" hidden="false" customHeight="false" outlineLevel="0" collapsed="false">
      <c r="A32" s="4" t="s">
        <v>83</v>
      </c>
      <c r="B32" s="5" t="n">
        <v>1617</v>
      </c>
      <c r="C32" s="5" t="n">
        <v>66822</v>
      </c>
      <c r="D32" s="5" t="n">
        <v>90185</v>
      </c>
      <c r="E32" s="5" t="n">
        <v>29027</v>
      </c>
      <c r="F32" s="5" t="n">
        <v>24537</v>
      </c>
      <c r="G32" s="5" t="n">
        <v>38773</v>
      </c>
      <c r="H32" s="5" t="n">
        <v>24181</v>
      </c>
      <c r="I32" s="5" t="n">
        <v>230178</v>
      </c>
      <c r="J32" s="5" t="n">
        <v>16115</v>
      </c>
      <c r="K32" s="5" t="n">
        <v>30903</v>
      </c>
      <c r="L32" s="5" t="n">
        <v>27699</v>
      </c>
      <c r="M32" s="5" t="n">
        <v>30928</v>
      </c>
      <c r="N32" s="5" t="n">
        <v>1475</v>
      </c>
      <c r="O32" s="5" t="n">
        <v>692</v>
      </c>
      <c r="P32" s="5" t="n">
        <v>265</v>
      </c>
      <c r="Q32" s="5" t="n">
        <v>242</v>
      </c>
      <c r="R32" s="5" t="n">
        <v>475</v>
      </c>
      <c r="S32" s="5" t="n">
        <v>133</v>
      </c>
      <c r="T32" s="5" t="n">
        <v>225</v>
      </c>
      <c r="U32" s="5" t="n">
        <v>481</v>
      </c>
      <c r="V32" s="5" t="n">
        <v>340</v>
      </c>
      <c r="W32" s="5" t="n">
        <v>33490</v>
      </c>
      <c r="X32" s="5" t="n">
        <v>647166</v>
      </c>
      <c r="Y32" s="5" t="n">
        <v>973398</v>
      </c>
    </row>
    <row r="33" customFormat="false" ht="15" hidden="false" customHeight="false" outlineLevel="0" collapsed="false">
      <c r="A33" s="4" t="s">
        <v>84</v>
      </c>
      <c r="B33" s="5" t="n">
        <v>10907</v>
      </c>
      <c r="C33" s="5" t="n">
        <v>547212</v>
      </c>
      <c r="D33" s="5" t="n">
        <v>393207</v>
      </c>
      <c r="E33" s="5" t="n">
        <v>201689</v>
      </c>
      <c r="F33" s="5" t="n">
        <v>205682</v>
      </c>
      <c r="G33" s="5" t="n">
        <v>108942</v>
      </c>
      <c r="H33" s="5" t="n">
        <v>258129</v>
      </c>
      <c r="I33" s="5" t="n">
        <v>1402899</v>
      </c>
      <c r="J33" s="5" t="n">
        <v>101316</v>
      </c>
      <c r="K33" s="5" t="n">
        <v>95155</v>
      </c>
      <c r="L33" s="5" t="n">
        <v>121824</v>
      </c>
      <c r="M33" s="5" t="n">
        <v>0</v>
      </c>
      <c r="N33" s="5" t="n">
        <v>20842</v>
      </c>
      <c r="O33" s="5" t="n">
        <v>5838</v>
      </c>
      <c r="P33" s="5" t="n">
        <v>2406</v>
      </c>
      <c r="Q33" s="5" t="n">
        <v>1551</v>
      </c>
      <c r="R33" s="5" t="n">
        <v>8895</v>
      </c>
      <c r="S33" s="5" t="n">
        <v>1990</v>
      </c>
      <c r="T33" s="5" t="n">
        <v>4755</v>
      </c>
      <c r="U33" s="5" t="n">
        <v>4318</v>
      </c>
      <c r="V33" s="5" t="n">
        <v>2242</v>
      </c>
      <c r="W33" s="5" t="n">
        <v>122329</v>
      </c>
      <c r="X33" s="5" t="n">
        <v>3611221</v>
      </c>
      <c r="Y33" s="5" t="n">
        <v>5979659</v>
      </c>
    </row>
    <row r="34" customFormat="false" ht="15" hidden="false" customHeight="false" outlineLevel="0" collapsed="false">
      <c r="A34" s="4" t="s">
        <v>85</v>
      </c>
      <c r="B34" s="5" t="n">
        <v>2831</v>
      </c>
      <c r="C34" s="5" t="n">
        <v>365491</v>
      </c>
      <c r="D34" s="5" t="n">
        <v>248663</v>
      </c>
      <c r="E34" s="5" t="n">
        <v>23988</v>
      </c>
      <c r="F34" s="5" t="n">
        <v>26928</v>
      </c>
      <c r="G34" s="5" t="n">
        <v>16172</v>
      </c>
      <c r="H34" s="5" t="n">
        <v>31827</v>
      </c>
      <c r="I34" s="5" t="n">
        <v>281753</v>
      </c>
      <c r="J34" s="5" t="n">
        <v>15076</v>
      </c>
      <c r="K34" s="5" t="n">
        <v>5319</v>
      </c>
      <c r="L34" s="5" t="n">
        <v>15332</v>
      </c>
      <c r="M34" s="5" t="n">
        <v>0</v>
      </c>
      <c r="N34" s="5" t="n">
        <v>0</v>
      </c>
      <c r="O34" s="5" t="n">
        <v>0</v>
      </c>
      <c r="P34" s="5" t="n">
        <v>0</v>
      </c>
      <c r="Q34" s="5" t="n">
        <v>0</v>
      </c>
      <c r="R34" s="5" t="n">
        <v>91</v>
      </c>
      <c r="S34" s="5" t="n">
        <v>36</v>
      </c>
      <c r="T34" s="5" t="n">
        <v>285</v>
      </c>
      <c r="U34" s="5" t="n">
        <v>318</v>
      </c>
      <c r="V34" s="5" t="n">
        <v>362</v>
      </c>
      <c r="W34" s="5" t="n">
        <v>27839</v>
      </c>
      <c r="X34" s="5" t="n">
        <v>1059480</v>
      </c>
      <c r="Y34" s="5" t="n">
        <v>1660064</v>
      </c>
    </row>
    <row r="35" customFormat="false" ht="15" hidden="false" customHeight="false" outlineLevel="0" collapsed="false">
      <c r="A35" s="4" t="s">
        <v>86</v>
      </c>
      <c r="B35" s="5" t="n">
        <v>2599</v>
      </c>
      <c r="C35" s="5" t="n">
        <v>69341</v>
      </c>
      <c r="D35" s="5" t="n">
        <v>166842</v>
      </c>
      <c r="E35" s="5" t="n">
        <v>29854</v>
      </c>
      <c r="F35" s="5" t="n">
        <v>32081</v>
      </c>
      <c r="G35" s="5" t="n">
        <v>55565</v>
      </c>
      <c r="H35" s="5" t="n">
        <v>24753</v>
      </c>
      <c r="I35" s="5" t="n">
        <v>221693</v>
      </c>
      <c r="J35" s="5" t="n">
        <v>23811</v>
      </c>
      <c r="K35" s="5" t="n">
        <v>5655</v>
      </c>
      <c r="L35" s="5" t="n">
        <v>25351</v>
      </c>
      <c r="M35" s="5" t="n">
        <v>0</v>
      </c>
      <c r="N35" s="5" t="n">
        <v>6912</v>
      </c>
      <c r="O35" s="5" t="n">
        <v>1536</v>
      </c>
      <c r="P35" s="5" t="n">
        <v>331</v>
      </c>
      <c r="Q35" s="5" t="n">
        <v>549</v>
      </c>
      <c r="R35" s="5" t="n">
        <v>1048</v>
      </c>
      <c r="S35" s="5" t="n">
        <v>310</v>
      </c>
      <c r="T35" s="5" t="n">
        <v>493</v>
      </c>
      <c r="U35" s="5" t="n">
        <v>1317</v>
      </c>
      <c r="V35" s="5" t="n">
        <v>352</v>
      </c>
      <c r="W35" s="5" t="n">
        <v>25829</v>
      </c>
      <c r="X35" s="5" t="n">
        <v>693623</v>
      </c>
      <c r="Y35" s="5" t="n">
        <v>1211040</v>
      </c>
    </row>
    <row r="36" customFormat="false" ht="15" hidden="false" customHeight="false" outlineLevel="0" collapsed="false">
      <c r="A36" s="13" t="s">
        <v>48</v>
      </c>
      <c r="B36" s="14" t="n">
        <f aca="false">SUM(B4:B35)</f>
        <v>163666</v>
      </c>
      <c r="C36" s="14" t="n">
        <f aca="false">SUM(C4:C35)</f>
        <v>8851906</v>
      </c>
      <c r="D36" s="14" t="n">
        <f aca="false">SUM(D4:D35)</f>
        <v>8595641</v>
      </c>
      <c r="E36" s="14" t="n">
        <f aca="false">SUM(E4:E35)</f>
        <v>1699019</v>
      </c>
      <c r="F36" s="14" t="n">
        <f aca="false">SUM(F4:F35)</f>
        <v>2630172</v>
      </c>
      <c r="G36" s="14" t="n">
        <f aca="false">SUM(G4:G35)</f>
        <v>1524824</v>
      </c>
      <c r="H36" s="14" t="n">
        <f aca="false">SUM(H4:H35)</f>
        <v>3449982</v>
      </c>
      <c r="I36" s="14" t="n">
        <f aca="false">SUM(I4:I35)</f>
        <v>16688329</v>
      </c>
      <c r="J36" s="14" t="n">
        <f aca="false">SUM(J4:J35)</f>
        <v>1352544</v>
      </c>
      <c r="K36" s="14" t="n">
        <f aca="false">SUM(K4:K35)</f>
        <v>868515</v>
      </c>
      <c r="L36" s="14" t="n">
        <f aca="false">SUM(L4:L35)</f>
        <v>1217084</v>
      </c>
      <c r="M36" s="14" t="n">
        <f aca="false">SUM(M4:M35)</f>
        <v>44311</v>
      </c>
      <c r="N36" s="14" t="n">
        <f aca="false">SUM(N4:N35)</f>
        <v>216519</v>
      </c>
      <c r="O36" s="14" t="n">
        <f aca="false">SUM(O4:O35)</f>
        <v>71500</v>
      </c>
      <c r="P36" s="14" t="n">
        <f aca="false">SUM(P4:P35)</f>
        <v>18862</v>
      </c>
      <c r="Q36" s="14" t="n">
        <f aca="false">SUM(Q4:Q35)</f>
        <v>24440</v>
      </c>
      <c r="R36" s="14" t="n">
        <f aca="false">SUM(R4:R35)</f>
        <v>51208</v>
      </c>
      <c r="S36" s="14" t="n">
        <f aca="false">SUM(S4:S35)</f>
        <v>22472</v>
      </c>
      <c r="T36" s="14" t="n">
        <f aca="false">SUM(T4:T35)</f>
        <v>25108</v>
      </c>
      <c r="U36" s="14" t="n">
        <f aca="false">SUM(U4:U35)</f>
        <v>83629</v>
      </c>
      <c r="V36" s="14" t="n">
        <f aca="false">SUM(V4:V35)</f>
        <v>41933</v>
      </c>
      <c r="W36" s="14" t="n">
        <f aca="false">SUM(W4:W35)</f>
        <v>1673322</v>
      </c>
      <c r="X36" s="14" t="n">
        <f aca="false">SUM(X4:X35)</f>
        <v>49151320</v>
      </c>
      <c r="Y36" s="14" t="n">
        <f aca="false">SUM(Y4:Y35)</f>
        <v>93328771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2026-10-12T04:16:59Z</dcterms:created>
  <dc:creator>openpyxl</dc:creator>
  <dc:description/>
  <dc:language>en-US</dc:language>
  <cp:lastModifiedBy/>
  <dcterms:modified xsi:type="dcterms:W3CDTF">2026-10-12T04:16:59Z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