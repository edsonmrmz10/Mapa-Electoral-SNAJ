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sumen" sheetId="1" state="visible" r:id="rId3"/>
    <sheet name="Por estado" sheetId="2" state="visible" r:id="rId4"/>
    <sheet name="Por distrito" sheetId="3" state="visible" r:id="rId5"/>
    <sheet name="Votos por partido" sheetId="4" state="visible" r:id="rId6"/>
  </sheets>
  <definedNames>
    <definedName function="false" hidden="true" localSheetId="2" name="_xlnm._FilterDatabase" vbProcedure="false">'Por distrito'!$A$3:$Q$303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<sst xmlns="http://schemas.openxmlformats.org/spreadsheetml/2006/main" count="1029" uniqueCount="94">
  <si>
    <t xml:space="preserve">Diputaciones federales 2024 – Resumen</t>
  </si>
  <si>
    <t xml:space="preserve">Fuente: DIP_FED_2024.csv (PREP)</t>
  </si>
  <si>
    <t xml:space="preserve">Bloque</t>
  </si>
  <si>
    <t xml:space="preserve">Votos</t>
  </si>
  <si>
    <t xml:space="preserve">% del total</t>
  </si>
  <si>
    <t xml:space="preserve">% de votos válidos</t>
  </si>
  <si>
    <t xml:space="preserve">Distritos ganados</t>
  </si>
  <si>
    <t xml:space="preserve">Estados ganados (por votos)</t>
  </si>
  <si>
    <t xml:space="preserve">Sigamos Haciendo Historia (PVEM-PT-Morena)</t>
  </si>
  <si>
    <t xml:space="preserve">Fuerza y Corazón por México (PAN-PRI-PRD)</t>
  </si>
  <si>
    <t xml:space="preserve">MC</t>
  </si>
  <si>
    <t xml:space="preserve">Independientes</t>
  </si>
  <si>
    <t xml:space="preserve">No registrados</t>
  </si>
  <si>
    <t xml:space="preserve">Votos nulos</t>
  </si>
  <si>
    <t xml:space="preserve">Total votos emitidos</t>
  </si>
  <si>
    <t xml:space="preserve">Lista nominal</t>
  </si>
  <si>
    <t xml:space="preserve">Participación</t>
  </si>
  <si>
    <t xml:space="preserve">Actas</t>
  </si>
  <si>
    <t xml:space="preserve">Candidatura ganadora por distrito (según coaliciones reales)</t>
  </si>
  <si>
    <t xml:space="preserve">Distritos</t>
  </si>
  <si>
    <t xml:space="preserve">PVEM-PT-MORENA</t>
  </si>
  <si>
    <t xml:space="preserve">PAN-PRI-PRD</t>
  </si>
  <si>
    <t xml:space="preserve">MORENA</t>
  </si>
  <si>
    <t xml:space="preserve">PAN</t>
  </si>
  <si>
    <t xml:space="preserve">Independiente</t>
  </si>
  <si>
    <t xml:space="preserve">Notas:</t>
  </si>
  <si>
    <t xml:space="preserve">Los nombres de los bloques (Sigamos Haciendo Historia, Fuerza y Corazón por México) son una asignación mía a partir de las coaliciones del archivo (PVEM-PT-Morena; PAN-PRI-PRD). Cada bloque suma el partido solo más sus combinaciones. Las coaliciones no se postularon en todos los distritos (en el archivo, las columnas de combinaciones de PAN-PRI-PRD aparecen en 294 distritos y las de PVEM-PT-Morena en 260); donde no hubo, los partidos compitieron por separado. La tabla de candidatura ganadora lo toma en cuenta, deduciéndolo de qué columnas de coalición tienen votos en cada distrito (p. ej. "MORENA" = Morena sin coalición).</t>
  </si>
  <si>
    <t xml:space="preserve">Se eligen 300 diputaciones por mayoría relativa; el archivo no incluye las 200 de representación proporcional ni valida el cómputo oficial. Las casillas especiales (tipo S, 622,496 votos) tienen dos actas por casilla (tipos 4EMR y 4ERP en el archivo) y no tienen lista nominal; ambas se incluyeron en los totales.</t>
  </si>
  <si>
    <t xml:space="preserve">142 actas sin datos (paquetes no recibidos o casillas no instaladas) se tomaron como cero. Hubo candidaturas independientes en 2 distritos (Chiapas 9 y Michoacán 9); en Michoacán 9 el independiente quedó en primer lugar. La participación calculada (60.55%) coincide con la del encabezado del archivo.</t>
  </si>
  <si>
    <t xml:space="preserve">Los acentos del archivo venían dañados y se corrigieron en los nombres de los estados.</t>
  </si>
  <si>
    <t xml:space="preserve">Resultados por estado y bloque – Diputaciones federales 2024 (fuente: DIP_FED_2024.csv)</t>
  </si>
  <si>
    <t xml:space="preserve">La diputación se decide por distrito; el ganador por estado es solo informativo. Las últimas columnas cuentan los distritos que ganó cada bloque (hoja Por distrito).</t>
  </si>
  <si>
    <t xml:space="preserve">Estado</t>
  </si>
  <si>
    <t xml:space="preserve">Total votos</t>
  </si>
  <si>
    <t xml:space="preserve">Sigamos Haciendo Historia %</t>
  </si>
  <si>
    <t xml:space="preserve">Fuerza y Corazón %</t>
  </si>
  <si>
    <t xml:space="preserve">MC %</t>
  </si>
  <si>
    <t xml:space="preserve">Votos nulos %</t>
  </si>
  <si>
    <t xml:space="preserve">Bloque ganador (votos del estado)</t>
  </si>
  <si>
    <t xml:space="preserve">Margen (pts)</t>
  </si>
  <si>
    <t xml:space="preserve">Distritos: Sigamos Haciendo Historia</t>
  </si>
  <si>
    <t xml:space="preserve">Distritos: Fuerza y Corazón</t>
  </si>
  <si>
    <t xml:space="preserve">Distritos: MC</t>
  </si>
  <si>
    <t xml:space="preserve">Distritos del estado</t>
  </si>
  <si>
    <t xml:space="preserve">Nacional</t>
  </si>
  <si>
    <t xml:space="preserve">Resultados por distrito federal – Diputaciones federales 2024 (fuente: DIP_FED_2024.csv)</t>
  </si>
  <si>
    <t xml:space="preserve">Bloque = partido solo + combinaciones de coalición. Las dos últimas columnas (valores fijos) separan a los partidos coaligados en cada distrito de los que compitieron solos.</t>
  </si>
  <si>
    <t xml:space="preserve">Distrito</t>
  </si>
  <si>
    <t xml:space="preserve">Bloque ganador</t>
  </si>
  <si>
    <t xml:space="preserve">Candidatura ganadora (según coaliciones reales)</t>
  </si>
  <si>
    <t xml:space="preserve">Candidatura en 2º lugar</t>
  </si>
  <si>
    <t xml:space="preserve">Aguascalientes</t>
  </si>
  <si>
    <t xml:space="preserve">Baja California</t>
  </si>
  <si>
    <t xml:space="preserve">PT</t>
  </si>
  <si>
    <t xml:space="preserve">Baja California Sur</t>
  </si>
  <si>
    <t xml:space="preserve">Campeche</t>
  </si>
  <si>
    <t xml:space="preserve">Coahuila</t>
  </si>
  <si>
    <t xml:space="preserve">Colima</t>
  </si>
  <si>
    <t xml:space="preserve">Chiapas</t>
  </si>
  <si>
    <t xml:space="preserve">PVEM</t>
  </si>
  <si>
    <t xml:space="preserve">Chihuahua</t>
  </si>
  <si>
    <t xml:space="preserve">Ciudad de México</t>
  </si>
  <si>
    <t xml:space="preserve">Durango</t>
  </si>
  <si>
    <t xml:space="preserve">Guanajuato</t>
  </si>
  <si>
    <t xml:space="preserve">Guerrero</t>
  </si>
  <si>
    <t xml:space="preserve">Hidalgo</t>
  </si>
  <si>
    <t xml:space="preserve">Jalisco</t>
  </si>
  <si>
    <t xml:space="preserve">México</t>
  </si>
  <si>
    <t xml:space="preserve">PRI</t>
  </si>
  <si>
    <t xml:space="preserve">Michoacán</t>
  </si>
  <si>
    <t xml:space="preserve">Morelos</t>
  </si>
  <si>
    <t xml:space="preserve">Nayarit</t>
  </si>
  <si>
    <t xml:space="preserve">Nuevo León</t>
  </si>
  <si>
    <t xml:space="preserve">Oaxaca</t>
  </si>
  <si>
    <t xml:space="preserve">Puebla</t>
  </si>
  <si>
    <t xml:space="preserve">Querétaro</t>
  </si>
  <si>
    <t xml:space="preserve">Quintana Roo</t>
  </si>
  <si>
    <t xml:space="preserve">San Luis Potosí</t>
  </si>
  <si>
    <t xml:space="preserve">Sinaloa</t>
  </si>
  <si>
    <t xml:space="preserve">Sonora</t>
  </si>
  <si>
    <t xml:space="preserve">Tabasco</t>
  </si>
  <si>
    <t xml:space="preserve">Tamaulipas</t>
  </si>
  <si>
    <t xml:space="preserve">Tlaxcala</t>
  </si>
  <si>
    <t xml:space="preserve">Veracruz</t>
  </si>
  <si>
    <t xml:space="preserve">Yucatán</t>
  </si>
  <si>
    <t xml:space="preserve">Zacatecas</t>
  </si>
  <si>
    <t xml:space="preserve">Votos por partido y combinación de coalición, por estado – Diputaciones federales 2024 (fuente: DIP_FED_2024.csv)</t>
  </si>
  <si>
    <t xml:space="preserve">PRD</t>
  </si>
  <si>
    <t xml:space="preserve">PAN-PRI</t>
  </si>
  <si>
    <t xml:space="preserve">PAN-PRD</t>
  </si>
  <si>
    <t xml:space="preserve">PRI-PRD</t>
  </si>
  <si>
    <t xml:space="preserve">PVEM-PT</t>
  </si>
  <si>
    <t xml:space="preserve">PVEM-MORENA</t>
  </si>
  <si>
    <t xml:space="preserve">PT-MORENA</t>
  </si>
</sst>
</file>

<file path=xl/styles.xml><?xml version="1.0" encoding="utf-8"?>
<styleSheet xmlns="http://schemas.openxmlformats.org/spreadsheetml/2006/main">
  <numFmts count="6">
    <numFmt numFmtId="164" formatCode="General"/>
    <numFmt numFmtId="165" formatCode="#,##0"/>
    <numFmt numFmtId="166" formatCode="0.00%"/>
    <numFmt numFmtId="167" formatCode="0.0%"/>
    <numFmt numFmtId="168" formatCode="0.0"/>
    <numFmt numFmtId="169" formatCode="0.00"/>
  </numFmts>
  <fonts count="9">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i val="true"/>
      <sz val="11"/>
      <color rgb="FF595959"/>
      <name val="Cambria"/>
      <family val="0"/>
      <charset val="1"/>
    </font>
    <font>
      <b val="true"/>
      <sz val="11"/>
      <color rgb="FFFFFFFF"/>
      <name val="Cambria"/>
      <family val="0"/>
      <charset val="1"/>
    </font>
    <font>
      <b val="true"/>
      <sz val="11"/>
      <name val="Cambria"/>
      <family val="0"/>
      <charset val="1"/>
    </font>
    <font>
      <b val="true"/>
      <sz val="13"/>
      <name val="Cambria"/>
      <family val="0"/>
      <charset val="1"/>
    </font>
  </fonts>
  <fills count="4">
    <fill>
      <patternFill patternType="none"/>
    </fill>
    <fill>
      <patternFill patternType="gray125"/>
    </fill>
    <fill>
      <patternFill patternType="solid">
        <fgColor rgb="FF1F3864"/>
        <bgColor rgb="FF333333"/>
      </patternFill>
    </fill>
    <fill>
      <patternFill patternType="solid">
        <fgColor rgb="FFD9E1F2"/>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7" fontId="7" fillId="3" borderId="1" xfId="0" applyFont="true" applyBorder="true" applyAlignment="false" applyProtection="false">
      <alignment horizontal="general" vertical="bottom" textRotation="0" wrapText="false" indent="0" shrinkToFit="false"/>
      <protection locked="true" hidden="false"/>
    </xf>
    <xf numFmtId="168" fontId="7" fillId="3" borderId="1" xfId="0" applyFont="tru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6" min="2" style="0" width="18"/>
  </cols>
  <sheetData>
    <row r="1" customFormat="false" ht="17.35" hidden="false" customHeight="false" outlineLevel="0" collapsed="false">
      <c r="A1" s="1" t="s">
        <v>0</v>
      </c>
    </row>
    <row r="2" customFormat="false" ht="15" hidden="false" customHeight="false" outlineLevel="0" collapsed="false">
      <c r="A2" s="2" t="s">
        <v>1</v>
      </c>
    </row>
    <row r="4" customFormat="false" ht="33.75" hidden="false" customHeight="true" outlineLevel="0" collapsed="false">
      <c r="A4" s="3" t="s">
        <v>2</v>
      </c>
      <c r="B4" s="3" t="s">
        <v>3</v>
      </c>
      <c r="C4" s="3" t="s">
        <v>4</v>
      </c>
      <c r="D4" s="3" t="s">
        <v>5</v>
      </c>
      <c r="E4" s="3" t="s">
        <v>6</v>
      </c>
      <c r="F4" s="3" t="s">
        <v>7</v>
      </c>
    </row>
    <row r="5" customFormat="false" ht="15" hidden="false" customHeight="false" outlineLevel="0" collapsed="false">
      <c r="A5" s="4" t="s">
        <v>8</v>
      </c>
      <c r="B5" s="5" t="n">
        <f aca="false">'Por estado'!B36</f>
        <v>32535023</v>
      </c>
      <c r="C5" s="6" t="n">
        <f aca="false">B5/$B$11</f>
        <v>0.54711544327805</v>
      </c>
      <c r="D5" s="6" t="n">
        <f aca="false">B5/SUM($B$5:$B$8)</f>
        <v>0.568523066013808</v>
      </c>
      <c r="E5" s="4" t="n">
        <f aca="false">COUNTIF('Por distrito'!$N$4:$N$303,A5)</f>
        <v>255</v>
      </c>
      <c r="F5" s="4" t="n">
        <f aca="false">COUNTIF('Por estado'!$O$4:$O$35,A5)</f>
        <v>28</v>
      </c>
    </row>
    <row r="6" customFormat="false" ht="15" hidden="false" customHeight="false" outlineLevel="0" collapsed="false">
      <c r="A6" s="4" t="s">
        <v>9</v>
      </c>
      <c r="B6" s="5" t="n">
        <f aca="false">'Por estado'!C36</f>
        <v>18122831</v>
      </c>
      <c r="C6" s="6" t="n">
        <f aca="false">B6/$B$11</f>
        <v>0.30475714481647</v>
      </c>
      <c r="D6" s="6" t="n">
        <f aca="false">B6/SUM($B$5:$B$8)</f>
        <v>0.316681732327962</v>
      </c>
      <c r="E6" s="4" t="n">
        <f aca="false">COUNTIF('Por distrito'!$N$4:$N$303,A6)</f>
        <v>43</v>
      </c>
      <c r="F6" s="4" t="n">
        <f aca="false">COUNTIF('Por estado'!$O$4:$O$35,A6)</f>
        <v>4</v>
      </c>
    </row>
    <row r="7" customFormat="false" ht="15" hidden="false" customHeight="false" outlineLevel="0" collapsed="false">
      <c r="A7" s="4" t="s">
        <v>10</v>
      </c>
      <c r="B7" s="5" t="n">
        <f aca="false">'Por estado'!D36</f>
        <v>6497404</v>
      </c>
      <c r="C7" s="6" t="n">
        <f aca="false">B7/$B$11</f>
        <v>0.109261643048987</v>
      </c>
      <c r="D7" s="6" t="n">
        <f aca="false">B7/SUM($B$5:$B$8)</f>
        <v>0.113536850525982</v>
      </c>
      <c r="E7" s="4" t="n">
        <f aca="false">COUNTIF('Por distrito'!$N$4:$N$303,A7)</f>
        <v>1</v>
      </c>
      <c r="F7" s="4" t="n">
        <f aca="false">COUNTIF('Por estado'!$O$4:$O$35,A7)</f>
        <v>0</v>
      </c>
    </row>
    <row r="8" customFormat="false" ht="15" hidden="false" customHeight="false" outlineLevel="0" collapsed="false">
      <c r="A8" s="4" t="s">
        <v>11</v>
      </c>
      <c r="B8" s="5" t="n">
        <f aca="false">'Por estado'!E36</f>
        <v>72012</v>
      </c>
      <c r="C8" s="6" t="n">
        <f aca="false">B8/$B$11</f>
        <v>0.00121096817117169</v>
      </c>
      <c r="D8" s="6" t="n">
        <f aca="false">B8/SUM($B$5:$B$8)</f>
        <v>0.00125835113224866</v>
      </c>
      <c r="E8" s="4" t="n">
        <f aca="false">COUNTIF('Por distrito'!$N$4:$N$303,A8)</f>
        <v>1</v>
      </c>
      <c r="F8" s="4" t="n">
        <f aca="false">COUNTIF('Por estado'!$O$4:$O$35,A8)</f>
        <v>0</v>
      </c>
    </row>
    <row r="9" customFormat="false" ht="15" hidden="false" customHeight="false" outlineLevel="0" collapsed="false">
      <c r="A9" s="4" t="s">
        <v>12</v>
      </c>
      <c r="B9" s="5" t="n">
        <f aca="false">'Por estado'!F36</f>
        <v>49329</v>
      </c>
      <c r="C9" s="6" t="n">
        <f aca="false">B9/$B$11</f>
        <v>0.000829526313888358</v>
      </c>
      <c r="D9" s="6"/>
      <c r="E9" s="4"/>
      <c r="F9" s="4"/>
    </row>
    <row r="10" customFormat="false" ht="15" hidden="false" customHeight="false" outlineLevel="0" collapsed="false">
      <c r="A10" s="4" t="s">
        <v>13</v>
      </c>
      <c r="B10" s="5" t="n">
        <f aca="false">'Por estado'!G36</f>
        <v>2189869</v>
      </c>
      <c r="C10" s="6" t="n">
        <f aca="false">B10/$B$11</f>
        <v>0.0368252743714323</v>
      </c>
      <c r="D10" s="6"/>
      <c r="E10" s="4"/>
      <c r="F10" s="4"/>
    </row>
    <row r="11" customFormat="false" ht="15" hidden="false" customHeight="false" outlineLevel="0" collapsed="false">
      <c r="A11" s="7" t="s">
        <v>14</v>
      </c>
      <c r="B11" s="5" t="n">
        <f aca="false">'Por estado'!H36</f>
        <v>59466468</v>
      </c>
      <c r="C11" s="4"/>
      <c r="D11" s="4"/>
      <c r="E11" s="4"/>
      <c r="F11" s="4"/>
    </row>
    <row r="12" customFormat="false" ht="15" hidden="false" customHeight="false" outlineLevel="0" collapsed="false">
      <c r="A12" s="7" t="s">
        <v>15</v>
      </c>
      <c r="B12" s="5" t="n">
        <f aca="false">'Por estado'!I36</f>
        <v>98214289</v>
      </c>
      <c r="C12" s="4"/>
      <c r="D12" s="4"/>
      <c r="E12" s="4"/>
      <c r="F12" s="4"/>
    </row>
    <row r="13" customFormat="false" ht="15" hidden="false" customHeight="false" outlineLevel="0" collapsed="false">
      <c r="A13" s="7" t="s">
        <v>16</v>
      </c>
      <c r="B13" s="6" t="n">
        <f aca="false">B11/B12</f>
        <v>0.60547674483496</v>
      </c>
      <c r="C13" s="4"/>
      <c r="D13" s="4"/>
      <c r="E13" s="4"/>
      <c r="F13" s="4"/>
    </row>
    <row r="14" customFormat="false" ht="15" hidden="false" customHeight="false" outlineLevel="0" collapsed="false">
      <c r="A14" s="7" t="s">
        <v>17</v>
      </c>
      <c r="B14" s="5" t="n">
        <f aca="false">'Votos por partido'!B36</f>
        <v>171643</v>
      </c>
      <c r="C14" s="4"/>
      <c r="D14" s="4"/>
      <c r="E14" s="4"/>
      <c r="F14" s="4"/>
    </row>
    <row r="16" customFormat="false" ht="26.85" hidden="false" customHeight="false" outlineLevel="0" collapsed="false">
      <c r="A16" s="3" t="s">
        <v>18</v>
      </c>
      <c r="B16" s="3" t="s">
        <v>19</v>
      </c>
    </row>
    <row r="17" customFormat="false" ht="15" hidden="false" customHeight="false" outlineLevel="0" collapsed="false">
      <c r="A17" s="4" t="s">
        <v>20</v>
      </c>
      <c r="B17" s="4" t="n">
        <v>219</v>
      </c>
    </row>
    <row r="18" customFormat="false" ht="15" hidden="false" customHeight="false" outlineLevel="0" collapsed="false">
      <c r="A18" s="4" t="s">
        <v>21</v>
      </c>
      <c r="B18" s="4" t="n">
        <v>39</v>
      </c>
    </row>
    <row r="19" customFormat="false" ht="15" hidden="false" customHeight="false" outlineLevel="0" collapsed="false">
      <c r="A19" s="4" t="s">
        <v>22</v>
      </c>
      <c r="B19" s="4" t="n">
        <v>37</v>
      </c>
    </row>
    <row r="20" customFormat="false" ht="15" hidden="false" customHeight="false" outlineLevel="0" collapsed="false">
      <c r="A20" s="4" t="s">
        <v>23</v>
      </c>
      <c r="B20" s="4" t="n">
        <v>3</v>
      </c>
    </row>
    <row r="21" customFormat="false" ht="15" hidden="false" customHeight="false" outlineLevel="0" collapsed="false">
      <c r="A21" s="4" t="s">
        <v>10</v>
      </c>
      <c r="B21" s="4" t="n">
        <v>1</v>
      </c>
    </row>
    <row r="22" customFormat="false" ht="15" hidden="false" customHeight="false" outlineLevel="0" collapsed="false">
      <c r="A22" s="4" t="s">
        <v>24</v>
      </c>
      <c r="B22" s="4" t="n">
        <v>1</v>
      </c>
    </row>
    <row r="24" customFormat="false" ht="15" hidden="false" customHeight="false" outlineLevel="0" collapsed="false">
      <c r="A24" s="8" t="s">
        <v>25</v>
      </c>
    </row>
    <row r="25" customFormat="false" ht="94.5" hidden="false" customHeight="true" outlineLevel="0" collapsed="false">
      <c r="A25" s="9" t="s">
        <v>26</v>
      </c>
      <c r="B25" s="9"/>
      <c r="C25" s="9"/>
      <c r="D25" s="9"/>
      <c r="E25" s="9"/>
      <c r="F25" s="9"/>
    </row>
    <row r="26" customFormat="false" ht="61.5" hidden="false" customHeight="true" outlineLevel="0" collapsed="false">
      <c r="A26" s="9" t="s">
        <v>27</v>
      </c>
      <c r="B26" s="9"/>
      <c r="C26" s="9"/>
      <c r="D26" s="9"/>
      <c r="E26" s="9"/>
      <c r="F26" s="9"/>
    </row>
    <row r="27" customFormat="false" ht="61.5" hidden="false" customHeight="true" outlineLevel="0" collapsed="false">
      <c r="A27" s="9" t="s">
        <v>28</v>
      </c>
      <c r="B27" s="9"/>
      <c r="C27" s="9"/>
      <c r="D27" s="9"/>
      <c r="E27" s="9"/>
      <c r="F27" s="9"/>
    </row>
    <row r="28" customFormat="false" ht="61.5" hidden="false" customHeight="true" outlineLevel="0" collapsed="false">
      <c r="A28" s="9" t="s">
        <v>29</v>
      </c>
      <c r="B28" s="9"/>
      <c r="C28" s="9"/>
      <c r="D28" s="9"/>
      <c r="E28" s="9"/>
      <c r="F28" s="9"/>
    </row>
  </sheetData>
  <mergeCells count="4">
    <mergeCell ref="A25:F25"/>
    <mergeCell ref="A26:F26"/>
    <mergeCell ref="A27:F27"/>
    <mergeCell ref="A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14" min="2" style="0" width="14"/>
    <col collapsed="false" customWidth="true" hidden="false" outlineLevel="0" max="15" min="15" style="0" width="26"/>
    <col collapsed="false" customWidth="true" hidden="false" outlineLevel="0" max="20" min="16" style="0" width="14"/>
  </cols>
  <sheetData>
    <row r="1" customFormat="false" ht="16.15" hidden="false" customHeight="false" outlineLevel="0" collapsed="false">
      <c r="A1" s="10" t="s">
        <v>30</v>
      </c>
    </row>
    <row r="2" customFormat="false" ht="15" hidden="false" customHeight="false" outlineLevel="0" collapsed="false">
      <c r="A2" s="2" t="s">
        <v>31</v>
      </c>
    </row>
    <row r="3" customFormat="false" ht="60" hidden="false" customHeight="true" outlineLevel="0" collapsed="false">
      <c r="A3" s="3" t="s">
        <v>32</v>
      </c>
      <c r="B3" s="3" t="s">
        <v>8</v>
      </c>
      <c r="C3" s="3" t="s">
        <v>9</v>
      </c>
      <c r="D3" s="3" t="s">
        <v>10</v>
      </c>
      <c r="E3" s="3" t="s">
        <v>11</v>
      </c>
      <c r="F3" s="3" t="s">
        <v>12</v>
      </c>
      <c r="G3" s="3" t="s">
        <v>13</v>
      </c>
      <c r="H3" s="3" t="s">
        <v>33</v>
      </c>
      <c r="I3" s="3" t="s">
        <v>15</v>
      </c>
      <c r="J3" s="3" t="s">
        <v>16</v>
      </c>
      <c r="K3" s="3" t="s">
        <v>34</v>
      </c>
      <c r="L3" s="3" t="s">
        <v>35</v>
      </c>
      <c r="M3" s="3" t="s">
        <v>36</v>
      </c>
      <c r="N3" s="3" t="s">
        <v>37</v>
      </c>
      <c r="O3" s="3" t="s">
        <v>38</v>
      </c>
      <c r="P3" s="3" t="s">
        <v>39</v>
      </c>
      <c r="Q3" s="3" t="s">
        <v>40</v>
      </c>
      <c r="R3" s="3" t="s">
        <v>41</v>
      </c>
      <c r="S3" s="3" t="s">
        <v>42</v>
      </c>
      <c r="T3" s="3" t="s">
        <v>43</v>
      </c>
    </row>
    <row r="4" customFormat="false" ht="15" hidden="false" customHeight="false" outlineLevel="0" collapsed="false">
      <c r="A4" s="4" t="str">
        <f aca="false">'Votos por partido'!A4</f>
        <v>Aguascalientes</v>
      </c>
      <c r="B4" s="5" t="n">
        <f aca="false">'Votos por partido'!F4+'Votos por partido'!G4+'Votos por partido'!I4+'Votos por partido'!O4+'Votos por partido'!P4+'Votos por partido'!Q4+'Votos por partido'!R4</f>
        <v>244688</v>
      </c>
      <c r="C4" s="5" t="n">
        <f aca="false">'Votos por partido'!C4+'Votos por partido'!D4+'Votos por partido'!E4+'Votos por partido'!K4+'Votos por partido'!L4+'Votos por partido'!M4+'Votos por partido'!N4</f>
        <v>337646</v>
      </c>
      <c r="D4" s="5" t="n">
        <f aca="false">'Votos por partido'!H4</f>
        <v>52943</v>
      </c>
      <c r="E4" s="5" t="n">
        <f aca="false">'Votos por partido'!J4</f>
        <v>0</v>
      </c>
      <c r="F4" s="5" t="n">
        <f aca="false">'Votos por partido'!S4</f>
        <v>585</v>
      </c>
      <c r="G4" s="5" t="n">
        <f aca="false">'Votos por partido'!T4</f>
        <v>20860</v>
      </c>
      <c r="H4" s="5" t="n">
        <f aca="false">'Votos por partido'!U4</f>
        <v>656722</v>
      </c>
      <c r="I4" s="5" t="n">
        <f aca="false">'Votos por partido'!V4</f>
        <v>1097367</v>
      </c>
      <c r="J4" s="11" t="n">
        <f aca="false">H4/I4</f>
        <v>0.598452477612321</v>
      </c>
      <c r="K4" s="11" t="n">
        <f aca="false">B4/H4</f>
        <v>0.372589923894738</v>
      </c>
      <c r="L4" s="11" t="n">
        <f aca="false">C4/H4</f>
        <v>0.514138402550851</v>
      </c>
      <c r="M4" s="11" t="n">
        <f aca="false">D4/H4</f>
        <v>0.0806170647549496</v>
      </c>
      <c r="N4" s="11" t="n">
        <f aca="false">G4/H4</f>
        <v>0.0317638209166131</v>
      </c>
      <c r="O4" s="4" t="str">
        <f aca="false">INDEX($B$3:$E$3,MATCH(MAX(B4:E4),B4:E4,0))</f>
        <v>Fuerza y Corazón por México (PAN-PRI-PRD)</v>
      </c>
      <c r="P4" s="12" t="n">
        <f aca="false">(MAX(B4:E4)-LARGE(B4:E4,2))/H4*100</f>
        <v>14.1548478656113</v>
      </c>
      <c r="Q4" s="4" t="n">
        <f aca="false">COUNTIFS('Por distrito'!$A$4:$A$303,$A4,'Por distrito'!$N$4:$N$303,B$3)</f>
        <v>0</v>
      </c>
      <c r="R4" s="4" t="n">
        <f aca="false">COUNTIFS('Por distrito'!$A$4:$A$303,$A4,'Por distrito'!$N$4:$N$303,C$3)</f>
        <v>3</v>
      </c>
      <c r="S4" s="4" t="n">
        <f aca="false">COUNTIFS('Por distrito'!$A$4:$A$303,$A4,'Por distrito'!$N$4:$N$303,D$3)</f>
        <v>0</v>
      </c>
      <c r="T4" s="4" t="n">
        <f aca="false">COUNTIF('Por distrito'!$A$4:$A$303,$A4)</f>
        <v>3</v>
      </c>
    </row>
    <row r="5" customFormat="false" ht="15" hidden="false" customHeight="false" outlineLevel="0" collapsed="false">
      <c r="A5" s="4" t="str">
        <f aca="false">'Votos por partido'!A5</f>
        <v>Baja California</v>
      </c>
      <c r="B5" s="5" t="n">
        <f aca="false">'Votos por partido'!F5+'Votos por partido'!G5+'Votos por partido'!I5+'Votos por partido'!O5+'Votos por partido'!P5+'Votos por partido'!Q5+'Votos por partido'!R5</f>
        <v>986040</v>
      </c>
      <c r="C5" s="5" t="n">
        <f aca="false">'Votos por partido'!C5+'Votos por partido'!D5+'Votos por partido'!E5+'Votos por partido'!K5+'Votos por partido'!L5+'Votos por partido'!M5+'Votos por partido'!N5</f>
        <v>334301</v>
      </c>
      <c r="D5" s="5" t="n">
        <f aca="false">'Votos por partido'!H5</f>
        <v>139375</v>
      </c>
      <c r="E5" s="5" t="n">
        <f aca="false">'Votos por partido'!J5</f>
        <v>0</v>
      </c>
      <c r="F5" s="5" t="n">
        <f aca="false">'Votos por partido'!S5</f>
        <v>2073</v>
      </c>
      <c r="G5" s="5" t="n">
        <f aca="false">'Votos por partido'!T5</f>
        <v>80640</v>
      </c>
      <c r="H5" s="5" t="n">
        <f aca="false">'Votos por partido'!U5</f>
        <v>1542429</v>
      </c>
      <c r="I5" s="5" t="n">
        <f aca="false">'Votos por partido'!V5</f>
        <v>3197828</v>
      </c>
      <c r="J5" s="11" t="n">
        <f aca="false">H5/I5</f>
        <v>0.482336448364327</v>
      </c>
      <c r="K5" s="11" t="n">
        <f aca="false">B5/H5</f>
        <v>0.639277399478355</v>
      </c>
      <c r="L5" s="11" t="n">
        <f aca="false">C5/H5</f>
        <v>0.216736718513462</v>
      </c>
      <c r="M5" s="11" t="n">
        <f aca="false">D5/H5</f>
        <v>0.0903607232488497</v>
      </c>
      <c r="N5" s="11" t="n">
        <f aca="false">G5/H5</f>
        <v>0.0522811746926439</v>
      </c>
      <c r="O5" s="4" t="str">
        <f aca="false">INDEX($B$3:$E$3,MATCH(MAX(B5:E5),B5:E5,0))</f>
        <v>Sigamos Haciendo Historia (PVEM-PT-Morena)</v>
      </c>
      <c r="P5" s="12" t="n">
        <f aca="false">(MAX(B5:E5)-LARGE(B5:E5,2))/H5*100</f>
        <v>42.2540680964894</v>
      </c>
      <c r="Q5" s="4" t="n">
        <f aca="false">COUNTIFS('Por distrito'!$A$4:$A$303,$A5,'Por distrito'!$N$4:$N$303,B$3)</f>
        <v>9</v>
      </c>
      <c r="R5" s="4" t="n">
        <f aca="false">COUNTIFS('Por distrito'!$A$4:$A$303,$A5,'Por distrito'!$N$4:$N$303,C$3)</f>
        <v>0</v>
      </c>
      <c r="S5" s="4" t="n">
        <f aca="false">COUNTIFS('Por distrito'!$A$4:$A$303,$A5,'Por distrito'!$N$4:$N$303,D$3)</f>
        <v>0</v>
      </c>
      <c r="T5" s="4" t="n">
        <f aca="false">COUNTIF('Por distrito'!$A$4:$A$303,$A5)</f>
        <v>9</v>
      </c>
    </row>
    <row r="6" customFormat="false" ht="15" hidden="false" customHeight="false" outlineLevel="0" collapsed="false">
      <c r="A6" s="4" t="str">
        <f aca="false">'Votos por partido'!A6</f>
        <v>Baja California Sur</v>
      </c>
      <c r="B6" s="5" t="n">
        <f aca="false">'Votos por partido'!F6+'Votos por partido'!G6+'Votos por partido'!I6+'Votos por partido'!O6+'Votos por partido'!P6+'Votos por partido'!Q6+'Votos por partido'!R6</f>
        <v>190136</v>
      </c>
      <c r="C6" s="5" t="n">
        <f aca="false">'Votos por partido'!C6+'Votos por partido'!D6+'Votos por partido'!E6+'Votos por partido'!K6+'Votos por partido'!L6+'Votos por partido'!M6+'Votos por partido'!N6</f>
        <v>109564</v>
      </c>
      <c r="D6" s="5" t="n">
        <f aca="false">'Votos por partido'!H6</f>
        <v>24420</v>
      </c>
      <c r="E6" s="5" t="n">
        <f aca="false">'Votos por partido'!J6</f>
        <v>0</v>
      </c>
      <c r="F6" s="5" t="n">
        <f aca="false">'Votos por partido'!S6</f>
        <v>323</v>
      </c>
      <c r="G6" s="5" t="n">
        <f aca="false">'Votos por partido'!T6</f>
        <v>10798</v>
      </c>
      <c r="H6" s="5" t="n">
        <f aca="false">'Votos por partido'!U6</f>
        <v>335241</v>
      </c>
      <c r="I6" s="5" t="n">
        <f aca="false">'Votos por partido'!V6</f>
        <v>613630</v>
      </c>
      <c r="J6" s="11" t="n">
        <f aca="false">H6/I6</f>
        <v>0.546324332252335</v>
      </c>
      <c r="K6" s="11" t="n">
        <f aca="false">B6/H6</f>
        <v>0.56716213112358</v>
      </c>
      <c r="L6" s="11" t="n">
        <f aca="false">C6/H6</f>
        <v>0.326821599983296</v>
      </c>
      <c r="M6" s="11" t="n">
        <f aca="false">D6/H6</f>
        <v>0.0728431188309306</v>
      </c>
      <c r="N6" s="11" t="n">
        <f aca="false">G6/H6</f>
        <v>0.0322096640923992</v>
      </c>
      <c r="O6" s="4" t="str">
        <f aca="false">INDEX($B$3:$E$3,MATCH(MAX(B6:E6),B6:E6,0))</f>
        <v>Sigamos Haciendo Historia (PVEM-PT-Morena)</v>
      </c>
      <c r="P6" s="12" t="n">
        <f aca="false">(MAX(B6:E6)-LARGE(B6:E6,2))/H6*100</f>
        <v>24.0340531140284</v>
      </c>
      <c r="Q6" s="4" t="n">
        <f aca="false">COUNTIFS('Por distrito'!$A$4:$A$303,$A6,'Por distrito'!$N$4:$N$303,B$3)</f>
        <v>2</v>
      </c>
      <c r="R6" s="4" t="n">
        <f aca="false">COUNTIFS('Por distrito'!$A$4:$A$303,$A6,'Por distrito'!$N$4:$N$303,C$3)</f>
        <v>0</v>
      </c>
      <c r="S6" s="4" t="n">
        <f aca="false">COUNTIFS('Por distrito'!$A$4:$A$303,$A6,'Por distrito'!$N$4:$N$303,D$3)</f>
        <v>0</v>
      </c>
      <c r="T6" s="4" t="n">
        <f aca="false">COUNTIF('Por distrito'!$A$4:$A$303,$A6)</f>
        <v>2</v>
      </c>
    </row>
    <row r="7" customFormat="false" ht="15" hidden="false" customHeight="false" outlineLevel="0" collapsed="false">
      <c r="A7" s="4" t="str">
        <f aca="false">'Votos por partido'!A7</f>
        <v>Campeche</v>
      </c>
      <c r="B7" s="5" t="n">
        <f aca="false">'Votos por partido'!F7+'Votos por partido'!G7+'Votos por partido'!I7+'Votos por partido'!O7+'Votos por partido'!P7+'Votos por partido'!Q7+'Votos por partido'!R7</f>
        <v>223295</v>
      </c>
      <c r="C7" s="5" t="n">
        <f aca="false">'Votos por partido'!C7+'Votos por partido'!D7+'Votos por partido'!E7+'Votos por partido'!K7+'Votos por partido'!L7+'Votos por partido'!M7+'Votos por partido'!N7</f>
        <v>67914</v>
      </c>
      <c r="D7" s="5" t="n">
        <f aca="false">'Votos por partido'!H7</f>
        <v>141316</v>
      </c>
      <c r="E7" s="5" t="n">
        <f aca="false">'Votos por partido'!J7</f>
        <v>0</v>
      </c>
      <c r="F7" s="5" t="n">
        <f aca="false">'Votos por partido'!S7</f>
        <v>269</v>
      </c>
      <c r="G7" s="5" t="n">
        <f aca="false">'Votos por partido'!T7</f>
        <v>13043</v>
      </c>
      <c r="H7" s="5" t="n">
        <f aca="false">'Votos por partido'!U7</f>
        <v>445837</v>
      </c>
      <c r="I7" s="5" t="n">
        <f aca="false">'Votos por partido'!V7</f>
        <v>694618</v>
      </c>
      <c r="J7" s="11" t="n">
        <f aca="false">H7/I7</f>
        <v>0.641844870130057</v>
      </c>
      <c r="K7" s="11" t="n">
        <f aca="false">B7/H7</f>
        <v>0.50084447903606</v>
      </c>
      <c r="L7" s="11" t="n">
        <f aca="false">C7/H7</f>
        <v>0.152329214488703</v>
      </c>
      <c r="M7" s="11" t="n">
        <f aca="false">D7/H7</f>
        <v>0.316967860451241</v>
      </c>
      <c r="N7" s="11" t="n">
        <f aca="false">G7/H7</f>
        <v>0.0292550865002232</v>
      </c>
      <c r="O7" s="4" t="str">
        <f aca="false">INDEX($B$3:$E$3,MATCH(MAX(B7:E7),B7:E7,0))</f>
        <v>Sigamos Haciendo Historia (PVEM-PT-Morena)</v>
      </c>
      <c r="P7" s="12" t="n">
        <f aca="false">(MAX(B7:E7)-LARGE(B7:E7,2))/H7*100</f>
        <v>18.3876618584819</v>
      </c>
      <c r="Q7" s="4" t="n">
        <f aca="false">COUNTIFS('Por distrito'!$A$4:$A$303,$A7,'Por distrito'!$N$4:$N$303,B$3)</f>
        <v>2</v>
      </c>
      <c r="R7" s="4" t="n">
        <f aca="false">COUNTIFS('Por distrito'!$A$4:$A$303,$A7,'Por distrito'!$N$4:$N$303,C$3)</f>
        <v>0</v>
      </c>
      <c r="S7" s="4" t="n">
        <f aca="false">COUNTIFS('Por distrito'!$A$4:$A$303,$A7,'Por distrito'!$N$4:$N$303,D$3)</f>
        <v>0</v>
      </c>
      <c r="T7" s="4" t="n">
        <f aca="false">COUNTIF('Por distrito'!$A$4:$A$303,$A7)</f>
        <v>2</v>
      </c>
    </row>
    <row r="8" customFormat="false" ht="15" hidden="false" customHeight="false" outlineLevel="0" collapsed="false">
      <c r="A8" s="4" t="str">
        <f aca="false">'Votos por partido'!A8</f>
        <v>Coahuila</v>
      </c>
      <c r="B8" s="5" t="n">
        <f aca="false">'Votos por partido'!F8+'Votos por partido'!G8+'Votos por partido'!I8+'Votos por partido'!O8+'Votos por partido'!P8+'Votos por partido'!Q8+'Votos por partido'!R8</f>
        <v>744504</v>
      </c>
      <c r="C8" s="5" t="n">
        <f aca="false">'Votos por partido'!C8+'Votos por partido'!D8+'Votos por partido'!E8+'Votos por partido'!K8+'Votos por partido'!L8+'Votos por partido'!M8+'Votos por partido'!N8</f>
        <v>735961</v>
      </c>
      <c r="D8" s="5" t="n">
        <f aca="false">'Votos por partido'!H8</f>
        <v>61004</v>
      </c>
      <c r="E8" s="5" t="n">
        <f aca="false">'Votos por partido'!J8</f>
        <v>0</v>
      </c>
      <c r="F8" s="5" t="n">
        <f aca="false">'Votos por partido'!S8</f>
        <v>526</v>
      </c>
      <c r="G8" s="5" t="n">
        <f aca="false">'Votos por partido'!T8</f>
        <v>34620</v>
      </c>
      <c r="H8" s="5" t="n">
        <f aca="false">'Votos por partido'!U8</f>
        <v>1576615</v>
      </c>
      <c r="I8" s="5" t="n">
        <f aca="false">'Votos por partido'!V8</f>
        <v>2410804</v>
      </c>
      <c r="J8" s="11" t="n">
        <f aca="false">H8/I8</f>
        <v>0.653978921554801</v>
      </c>
      <c r="K8" s="11" t="n">
        <f aca="false">B8/H8</f>
        <v>0.472216742831953</v>
      </c>
      <c r="L8" s="11" t="n">
        <f aca="false">C8/H8</f>
        <v>0.466798172033122</v>
      </c>
      <c r="M8" s="11" t="n">
        <f aca="false">D8/H8</f>
        <v>0.0386930227100465</v>
      </c>
      <c r="N8" s="11" t="n">
        <f aca="false">G8/H8</f>
        <v>0.0219584362701103</v>
      </c>
      <c r="O8" s="4" t="str">
        <f aca="false">INDEX($B$3:$E$3,MATCH(MAX(B8:E8),B8:E8,0))</f>
        <v>Sigamos Haciendo Historia (PVEM-PT-Morena)</v>
      </c>
      <c r="P8" s="12" t="n">
        <f aca="false">(MAX(B8:E8)-LARGE(B8:E8,2))/H8*100</f>
        <v>0.541857079883167</v>
      </c>
      <c r="Q8" s="4" t="n">
        <f aca="false">COUNTIFS('Por distrito'!$A$4:$A$303,$A8,'Por distrito'!$N$4:$N$303,B$3)</f>
        <v>5</v>
      </c>
      <c r="R8" s="4" t="n">
        <f aca="false">COUNTIFS('Por distrito'!$A$4:$A$303,$A8,'Por distrito'!$N$4:$N$303,C$3)</f>
        <v>3</v>
      </c>
      <c r="S8" s="4" t="n">
        <f aca="false">COUNTIFS('Por distrito'!$A$4:$A$303,$A8,'Por distrito'!$N$4:$N$303,D$3)</f>
        <v>0</v>
      </c>
      <c r="T8" s="4" t="n">
        <f aca="false">COUNTIF('Por distrito'!$A$4:$A$303,$A8)</f>
        <v>8</v>
      </c>
    </row>
    <row r="9" customFormat="false" ht="15" hidden="false" customHeight="false" outlineLevel="0" collapsed="false">
      <c r="A9" s="4" t="str">
        <f aca="false">'Votos por partido'!A9</f>
        <v>Colima</v>
      </c>
      <c r="B9" s="5" t="n">
        <f aca="false">'Votos por partido'!F9+'Votos por partido'!G9+'Votos por partido'!I9+'Votos por partido'!O9+'Votos por partido'!P9+'Votos por partido'!Q9+'Votos por partido'!R9</f>
        <v>165902</v>
      </c>
      <c r="C9" s="5" t="n">
        <f aca="false">'Votos por partido'!C9+'Votos por partido'!D9+'Votos por partido'!E9+'Votos por partido'!K9+'Votos por partido'!L9+'Votos por partido'!M9+'Votos por partido'!N9</f>
        <v>107528</v>
      </c>
      <c r="D9" s="5" t="n">
        <f aca="false">'Votos por partido'!H9</f>
        <v>54143</v>
      </c>
      <c r="E9" s="5" t="n">
        <f aca="false">'Votos por partido'!J9</f>
        <v>0</v>
      </c>
      <c r="F9" s="5" t="n">
        <f aca="false">'Votos por partido'!S9</f>
        <v>305</v>
      </c>
      <c r="G9" s="5" t="n">
        <f aca="false">'Votos por partido'!T9</f>
        <v>10704</v>
      </c>
      <c r="H9" s="5" t="n">
        <f aca="false">'Votos por partido'!U9</f>
        <v>338582</v>
      </c>
      <c r="I9" s="5" t="n">
        <f aca="false">'Votos por partido'!V9</f>
        <v>584287</v>
      </c>
      <c r="J9" s="11" t="n">
        <f aca="false">H9/I9</f>
        <v>0.579478920462033</v>
      </c>
      <c r="K9" s="11" t="n">
        <f aca="false">B9/H9</f>
        <v>0.489990607888193</v>
      </c>
      <c r="L9" s="11" t="n">
        <f aca="false">C9/H9</f>
        <v>0.317583332841084</v>
      </c>
      <c r="M9" s="11" t="n">
        <f aca="false">D9/H9</f>
        <v>0.159911040752314</v>
      </c>
      <c r="N9" s="11" t="n">
        <f aca="false">G9/H9</f>
        <v>0.0316142027632892</v>
      </c>
      <c r="O9" s="4" t="str">
        <f aca="false">INDEX($B$3:$E$3,MATCH(MAX(B9:E9),B9:E9,0))</f>
        <v>Sigamos Haciendo Historia (PVEM-PT-Morena)</v>
      </c>
      <c r="P9" s="12" t="n">
        <f aca="false">(MAX(B9:E9)-LARGE(B9:E9,2))/H9*100</f>
        <v>17.2407275047108</v>
      </c>
      <c r="Q9" s="4" t="n">
        <f aca="false">COUNTIFS('Por distrito'!$A$4:$A$303,$A9,'Por distrito'!$N$4:$N$303,B$3)</f>
        <v>2</v>
      </c>
      <c r="R9" s="4" t="n">
        <f aca="false">COUNTIFS('Por distrito'!$A$4:$A$303,$A9,'Por distrito'!$N$4:$N$303,C$3)</f>
        <v>0</v>
      </c>
      <c r="S9" s="4" t="n">
        <f aca="false">COUNTIFS('Por distrito'!$A$4:$A$303,$A9,'Por distrito'!$N$4:$N$303,D$3)</f>
        <v>0</v>
      </c>
      <c r="T9" s="4" t="n">
        <f aca="false">COUNTIF('Por distrito'!$A$4:$A$303,$A9)</f>
        <v>2</v>
      </c>
    </row>
    <row r="10" customFormat="false" ht="15" hidden="false" customHeight="false" outlineLevel="0" collapsed="false">
      <c r="A10" s="4" t="str">
        <f aca="false">'Votos por partido'!A10</f>
        <v>Chiapas</v>
      </c>
      <c r="B10" s="5" t="n">
        <f aca="false">'Votos por partido'!F10+'Votos por partido'!G10+'Votos por partido'!I10+'Votos por partido'!O10+'Votos por partido'!P10+'Votos por partido'!Q10+'Votos por partido'!R10</f>
        <v>1744314</v>
      </c>
      <c r="C10" s="5" t="n">
        <f aca="false">'Votos por partido'!C10+'Votos por partido'!D10+'Votos por partido'!E10+'Votos por partido'!K10+'Votos por partido'!L10+'Votos por partido'!M10+'Votos por partido'!N10</f>
        <v>378197</v>
      </c>
      <c r="D10" s="5" t="n">
        <f aca="false">'Votos por partido'!H10</f>
        <v>149057</v>
      </c>
      <c r="E10" s="5" t="n">
        <f aca="false">'Votos por partido'!J10</f>
        <v>10032</v>
      </c>
      <c r="F10" s="5" t="n">
        <f aca="false">'Votos por partido'!S10</f>
        <v>1812</v>
      </c>
      <c r="G10" s="5" t="n">
        <f aca="false">'Votos por partido'!T10</f>
        <v>172347</v>
      </c>
      <c r="H10" s="5" t="n">
        <f aca="false">'Votos por partido'!U10</f>
        <v>2455759</v>
      </c>
      <c r="I10" s="5" t="n">
        <f aca="false">'Votos por partido'!V10</f>
        <v>3944561</v>
      </c>
      <c r="J10" s="11" t="n">
        <f aca="false">H10/I10</f>
        <v>0.622568392274831</v>
      </c>
      <c r="K10" s="11" t="n">
        <f aca="false">B10/H10</f>
        <v>0.710295269201905</v>
      </c>
      <c r="L10" s="11" t="n">
        <f aca="false">C10/H10</f>
        <v>0.15400411848231</v>
      </c>
      <c r="M10" s="11" t="n">
        <f aca="false">D10/H10</f>
        <v>0.0606969169205936</v>
      </c>
      <c r="N10" s="11" t="n">
        <f aca="false">G10/H10</f>
        <v>0.0701807465634861</v>
      </c>
      <c r="O10" s="4" t="str">
        <f aca="false">INDEX($B$3:$E$3,MATCH(MAX(B10:E10),B10:E10,0))</f>
        <v>Sigamos Haciendo Historia (PVEM-PT-Morena)</v>
      </c>
      <c r="P10" s="12" t="n">
        <f aca="false">(MAX(B10:E10)-LARGE(B10:E10,2))/H10*100</f>
        <v>55.6291150719594</v>
      </c>
      <c r="Q10" s="4" t="n">
        <f aca="false">COUNTIFS('Por distrito'!$A$4:$A$303,$A10,'Por distrito'!$N$4:$N$303,B$3)</f>
        <v>13</v>
      </c>
      <c r="R10" s="4" t="n">
        <f aca="false">COUNTIFS('Por distrito'!$A$4:$A$303,$A10,'Por distrito'!$N$4:$N$303,C$3)</f>
        <v>0</v>
      </c>
      <c r="S10" s="4" t="n">
        <f aca="false">COUNTIFS('Por distrito'!$A$4:$A$303,$A10,'Por distrito'!$N$4:$N$303,D$3)</f>
        <v>0</v>
      </c>
      <c r="T10" s="4" t="n">
        <f aca="false">COUNTIF('Por distrito'!$A$4:$A$303,$A10)</f>
        <v>13</v>
      </c>
    </row>
    <row r="11" customFormat="false" ht="15" hidden="false" customHeight="false" outlineLevel="0" collapsed="false">
      <c r="A11" s="4" t="str">
        <f aca="false">'Votos por partido'!A11</f>
        <v>Chihuahua</v>
      </c>
      <c r="B11" s="5" t="n">
        <f aca="false">'Votos por partido'!F11+'Votos por partido'!G11+'Votos por partido'!I11+'Votos por partido'!O11+'Votos por partido'!P11+'Votos por partido'!Q11+'Votos por partido'!R11</f>
        <v>828753</v>
      </c>
      <c r="C11" s="5" t="n">
        <f aca="false">'Votos por partido'!C11+'Votos por partido'!D11+'Votos por partido'!E11+'Votos por partido'!K11+'Votos por partido'!L11+'Votos por partido'!M11+'Votos por partido'!N11</f>
        <v>610215</v>
      </c>
      <c r="D11" s="5" t="n">
        <f aca="false">'Votos por partido'!H11</f>
        <v>138729</v>
      </c>
      <c r="E11" s="5" t="n">
        <f aca="false">'Votos por partido'!J11</f>
        <v>0</v>
      </c>
      <c r="F11" s="5" t="n">
        <f aca="false">'Votos por partido'!S11</f>
        <v>1056</v>
      </c>
      <c r="G11" s="5" t="n">
        <f aca="false">'Votos por partido'!T11</f>
        <v>46866</v>
      </c>
      <c r="H11" s="5" t="n">
        <f aca="false">'Votos por partido'!U11</f>
        <v>1625619</v>
      </c>
      <c r="I11" s="5" t="n">
        <f aca="false">'Votos por partido'!V11</f>
        <v>3082424</v>
      </c>
      <c r="J11" s="11" t="n">
        <f aca="false">H11/I11</f>
        <v>0.527383319102109</v>
      </c>
      <c r="K11" s="11" t="n">
        <f aca="false">B11/H11</f>
        <v>0.509807648655681</v>
      </c>
      <c r="L11" s="11" t="n">
        <f aca="false">C11/H11</f>
        <v>0.375373934482803</v>
      </c>
      <c r="M11" s="11" t="n">
        <f aca="false">D11/H11</f>
        <v>0.085339184642896</v>
      </c>
      <c r="N11" s="11" t="n">
        <f aca="false">G11/H11</f>
        <v>0.0288296335119115</v>
      </c>
      <c r="O11" s="4" t="str">
        <f aca="false">INDEX($B$3:$E$3,MATCH(MAX(B11:E11),B11:E11,0))</f>
        <v>Sigamos Haciendo Historia (PVEM-PT-Morena)</v>
      </c>
      <c r="P11" s="12" t="n">
        <f aca="false">(MAX(B11:E11)-LARGE(B11:E11,2))/H11*100</f>
        <v>13.4433714172878</v>
      </c>
      <c r="Q11" s="4" t="n">
        <f aca="false">COUNTIFS('Por distrito'!$A$4:$A$303,$A11,'Por distrito'!$N$4:$N$303,B$3)</f>
        <v>5</v>
      </c>
      <c r="R11" s="4" t="n">
        <f aca="false">COUNTIFS('Por distrito'!$A$4:$A$303,$A11,'Por distrito'!$N$4:$N$303,C$3)</f>
        <v>4</v>
      </c>
      <c r="S11" s="4" t="n">
        <f aca="false">COUNTIFS('Por distrito'!$A$4:$A$303,$A11,'Por distrito'!$N$4:$N$303,D$3)</f>
        <v>0</v>
      </c>
      <c r="T11" s="4" t="n">
        <f aca="false">COUNTIF('Por distrito'!$A$4:$A$303,$A11)</f>
        <v>9</v>
      </c>
    </row>
    <row r="12" customFormat="false" ht="15" hidden="false" customHeight="false" outlineLevel="0" collapsed="false">
      <c r="A12" s="4" t="str">
        <f aca="false">'Votos por partido'!A12</f>
        <v>Ciudad de México</v>
      </c>
      <c r="B12" s="5" t="n">
        <f aca="false">'Votos por partido'!F12+'Votos por partido'!G12+'Votos por partido'!I12+'Votos por partido'!O12+'Votos por partido'!P12+'Votos por partido'!Q12+'Votos por partido'!R12</f>
        <v>2840381</v>
      </c>
      <c r="C12" s="5" t="n">
        <f aca="false">'Votos por partido'!C12+'Votos por partido'!D12+'Votos por partido'!E12+'Votos por partido'!K12+'Votos por partido'!L12+'Votos por partido'!M12+'Votos por partido'!N12</f>
        <v>2076261</v>
      </c>
      <c r="D12" s="5" t="n">
        <f aca="false">'Votos por partido'!H12</f>
        <v>473754</v>
      </c>
      <c r="E12" s="5" t="n">
        <f aca="false">'Votos por partido'!J12</f>
        <v>0</v>
      </c>
      <c r="F12" s="5" t="n">
        <f aca="false">'Votos por partido'!S12</f>
        <v>6549</v>
      </c>
      <c r="G12" s="5" t="n">
        <f aca="false">'Votos por partido'!T12</f>
        <v>127438</v>
      </c>
      <c r="H12" s="5" t="n">
        <f aca="false">'Votos por partido'!U12</f>
        <v>5524383</v>
      </c>
      <c r="I12" s="5" t="n">
        <f aca="false">'Votos por partido'!V12</f>
        <v>7919037</v>
      </c>
      <c r="J12" s="11" t="n">
        <f aca="false">H12/I12</f>
        <v>0.697607928842863</v>
      </c>
      <c r="K12" s="11" t="n">
        <f aca="false">B12/H12</f>
        <v>0.514153526285198</v>
      </c>
      <c r="L12" s="11" t="n">
        <f aca="false">C12/H12</f>
        <v>0.375835817321138</v>
      </c>
      <c r="M12" s="11" t="n">
        <f aca="false">D12/H12</f>
        <v>0.0857569071514412</v>
      </c>
      <c r="N12" s="11" t="n">
        <f aca="false">G12/H12</f>
        <v>0.0230682774890879</v>
      </c>
      <c r="O12" s="4" t="str">
        <f aca="false">INDEX($B$3:$E$3,MATCH(MAX(B12:E12),B12:E12,0))</f>
        <v>Sigamos Haciendo Historia (PVEM-PT-Morena)</v>
      </c>
      <c r="P12" s="12" t="n">
        <f aca="false">(MAX(B12:E12)-LARGE(B12:E12,2))/H12*100</f>
        <v>13.831770896406</v>
      </c>
      <c r="Q12" s="4" t="n">
        <f aca="false">COUNTIFS('Por distrito'!$A$4:$A$303,$A12,'Por distrito'!$N$4:$N$303,B$3)</f>
        <v>18</v>
      </c>
      <c r="R12" s="4" t="n">
        <f aca="false">COUNTIFS('Por distrito'!$A$4:$A$303,$A12,'Por distrito'!$N$4:$N$303,C$3)</f>
        <v>4</v>
      </c>
      <c r="S12" s="4" t="n">
        <f aca="false">COUNTIFS('Por distrito'!$A$4:$A$303,$A12,'Por distrito'!$N$4:$N$303,D$3)</f>
        <v>0</v>
      </c>
      <c r="T12" s="4" t="n">
        <f aca="false">COUNTIF('Por distrito'!$A$4:$A$303,$A12)</f>
        <v>22</v>
      </c>
    </row>
    <row r="13" customFormat="false" ht="15" hidden="false" customHeight="false" outlineLevel="0" collapsed="false">
      <c r="A13" s="4" t="str">
        <f aca="false">'Votos por partido'!A13</f>
        <v>Durango</v>
      </c>
      <c r="B13" s="5" t="n">
        <f aca="false">'Votos por partido'!F13+'Votos por partido'!G13+'Votos por partido'!I13+'Votos por partido'!O13+'Votos por partido'!P13+'Votos por partido'!Q13+'Votos por partido'!R13</f>
        <v>393389</v>
      </c>
      <c r="C13" s="5" t="n">
        <f aca="false">'Votos por partido'!C13+'Votos por partido'!D13+'Votos por partido'!E13+'Votos por partido'!K13+'Votos por partido'!L13+'Votos por partido'!M13+'Votos por partido'!N13</f>
        <v>302319</v>
      </c>
      <c r="D13" s="5" t="n">
        <f aca="false">'Votos por partido'!H13</f>
        <v>53349</v>
      </c>
      <c r="E13" s="5" t="n">
        <f aca="false">'Votos por partido'!J13</f>
        <v>0</v>
      </c>
      <c r="F13" s="5" t="n">
        <f aca="false">'Votos por partido'!S13</f>
        <v>399</v>
      </c>
      <c r="G13" s="5" t="n">
        <f aca="false">'Votos por partido'!T13</f>
        <v>21183</v>
      </c>
      <c r="H13" s="5" t="n">
        <f aca="false">'Votos por partido'!U13</f>
        <v>770639</v>
      </c>
      <c r="I13" s="5" t="n">
        <f aca="false">'Votos por partido'!V13</f>
        <v>1397618</v>
      </c>
      <c r="J13" s="11" t="n">
        <f aca="false">H13/I13</f>
        <v>0.551394587076011</v>
      </c>
      <c r="K13" s="11" t="n">
        <f aca="false">B13/H13</f>
        <v>0.510471180410023</v>
      </c>
      <c r="L13" s="11" t="n">
        <f aca="false">C13/H13</f>
        <v>0.392296522755791</v>
      </c>
      <c r="M13" s="11" t="n">
        <f aca="false">D13/H13</f>
        <v>0.0692269661929905</v>
      </c>
      <c r="N13" s="11" t="n">
        <f aca="false">G13/H13</f>
        <v>0.0274875784900583</v>
      </c>
      <c r="O13" s="4" t="str">
        <f aca="false">INDEX($B$3:$E$3,MATCH(MAX(B13:E13),B13:E13,0))</f>
        <v>Sigamos Haciendo Historia (PVEM-PT-Morena)</v>
      </c>
      <c r="P13" s="12" t="n">
        <f aca="false">(MAX(B13:E13)-LARGE(B13:E13,2))/H13*100</f>
        <v>11.8174657654232</v>
      </c>
      <c r="Q13" s="4" t="n">
        <f aca="false">COUNTIFS('Por distrito'!$A$4:$A$303,$A13,'Por distrito'!$N$4:$N$303,B$3)</f>
        <v>3</v>
      </c>
      <c r="R13" s="4" t="n">
        <f aca="false">COUNTIFS('Por distrito'!$A$4:$A$303,$A13,'Por distrito'!$N$4:$N$303,C$3)</f>
        <v>1</v>
      </c>
      <c r="S13" s="4" t="n">
        <f aca="false">COUNTIFS('Por distrito'!$A$4:$A$303,$A13,'Por distrito'!$N$4:$N$303,D$3)</f>
        <v>0</v>
      </c>
      <c r="T13" s="4" t="n">
        <f aca="false">COUNTIF('Por distrito'!$A$4:$A$303,$A13)</f>
        <v>4</v>
      </c>
    </row>
    <row r="14" customFormat="false" ht="15" hidden="false" customHeight="false" outlineLevel="0" collapsed="false">
      <c r="A14" s="4" t="str">
        <f aca="false">'Votos por partido'!A14</f>
        <v>Guanajuato</v>
      </c>
      <c r="B14" s="5" t="n">
        <f aca="false">'Votos por partido'!F14+'Votos por partido'!G14+'Votos por partido'!I14+'Votos por partido'!O14+'Votos por partido'!P14+'Votos por partido'!Q14+'Votos por partido'!R14</f>
        <v>1187486</v>
      </c>
      <c r="C14" s="5" t="n">
        <f aca="false">'Votos por partido'!C14+'Votos por partido'!D14+'Votos por partido'!E14+'Votos por partido'!K14+'Votos por partido'!L14+'Votos por partido'!M14+'Votos por partido'!N14</f>
        <v>1253332</v>
      </c>
      <c r="D14" s="5" t="n">
        <f aca="false">'Votos por partido'!H14</f>
        <v>209268</v>
      </c>
      <c r="E14" s="5" t="n">
        <f aca="false">'Votos por partido'!J14</f>
        <v>0</v>
      </c>
      <c r="F14" s="5" t="n">
        <f aca="false">'Votos por partido'!S14</f>
        <v>1845</v>
      </c>
      <c r="G14" s="5" t="n">
        <f aca="false">'Votos por partido'!T14</f>
        <v>72736</v>
      </c>
      <c r="H14" s="5" t="n">
        <f aca="false">'Votos por partido'!U14</f>
        <v>2724667</v>
      </c>
      <c r="I14" s="5" t="n">
        <f aca="false">'Votos por partido'!V14</f>
        <v>4831304</v>
      </c>
      <c r="J14" s="11" t="n">
        <f aca="false">H14/I14</f>
        <v>0.563960992725773</v>
      </c>
      <c r="K14" s="11" t="n">
        <f aca="false">B14/H14</f>
        <v>0.435827937872775</v>
      </c>
      <c r="L14" s="11" t="n">
        <f aca="false">C14/H14</f>
        <v>0.45999456080321</v>
      </c>
      <c r="M14" s="11" t="n">
        <f aca="false">D14/H14</f>
        <v>0.0768049820400071</v>
      </c>
      <c r="N14" s="11" t="n">
        <f aca="false">G14/H14</f>
        <v>0.0266953723152224</v>
      </c>
      <c r="O14" s="4" t="str">
        <f aca="false">INDEX($B$3:$E$3,MATCH(MAX(B14:E14),B14:E14,0))</f>
        <v>Fuerza y Corazón por México (PAN-PRI-PRD)</v>
      </c>
      <c r="P14" s="12" t="n">
        <f aca="false">(MAX(B14:E14)-LARGE(B14:E14,2))/H14*100</f>
        <v>2.41666229304352</v>
      </c>
      <c r="Q14" s="4" t="n">
        <f aca="false">COUNTIFS('Por distrito'!$A$4:$A$303,$A14,'Por distrito'!$N$4:$N$303,B$3)</f>
        <v>7</v>
      </c>
      <c r="R14" s="4" t="n">
        <f aca="false">COUNTIFS('Por distrito'!$A$4:$A$303,$A14,'Por distrito'!$N$4:$N$303,C$3)</f>
        <v>8</v>
      </c>
      <c r="S14" s="4" t="n">
        <f aca="false">COUNTIFS('Por distrito'!$A$4:$A$303,$A14,'Por distrito'!$N$4:$N$303,D$3)</f>
        <v>0</v>
      </c>
      <c r="T14" s="4" t="n">
        <f aca="false">COUNTIF('Por distrito'!$A$4:$A$303,$A14)</f>
        <v>15</v>
      </c>
    </row>
    <row r="15" customFormat="false" ht="15" hidden="false" customHeight="false" outlineLevel="0" collapsed="false">
      <c r="A15" s="4" t="str">
        <f aca="false">'Votos por partido'!A15</f>
        <v>Guerrero</v>
      </c>
      <c r="B15" s="5" t="n">
        <f aca="false">'Votos por partido'!F15+'Votos por partido'!G15+'Votos por partido'!I15+'Votos por partido'!O15+'Votos por partido'!P15+'Votos por partido'!Q15+'Votos por partido'!R15</f>
        <v>999975</v>
      </c>
      <c r="C15" s="5" t="n">
        <f aca="false">'Votos por partido'!C15+'Votos por partido'!D15+'Votos por partido'!E15+'Votos por partido'!K15+'Votos por partido'!L15+'Votos por partido'!M15+'Votos por partido'!N15</f>
        <v>340048</v>
      </c>
      <c r="D15" s="5" t="n">
        <f aca="false">'Votos por partido'!H15</f>
        <v>116383</v>
      </c>
      <c r="E15" s="5" t="n">
        <f aca="false">'Votos por partido'!J15</f>
        <v>0</v>
      </c>
      <c r="F15" s="5" t="n">
        <f aca="false">'Votos por partido'!S15</f>
        <v>1801</v>
      </c>
      <c r="G15" s="5" t="n">
        <f aca="false">'Votos por partido'!T15</f>
        <v>77264</v>
      </c>
      <c r="H15" s="5" t="n">
        <f aca="false">'Votos por partido'!U15</f>
        <v>1535471</v>
      </c>
      <c r="I15" s="5" t="n">
        <f aca="false">'Votos por partido'!V15</f>
        <v>2643422</v>
      </c>
      <c r="J15" s="11" t="n">
        <f aca="false">H15/I15</f>
        <v>0.580864878933443</v>
      </c>
      <c r="K15" s="11" t="n">
        <f aca="false">B15/H15</f>
        <v>0.65124968169376</v>
      </c>
      <c r="L15" s="11" t="n">
        <f aca="false">C15/H15</f>
        <v>0.221461688302807</v>
      </c>
      <c r="M15" s="11" t="n">
        <f aca="false">D15/H15</f>
        <v>0.0757962866117302</v>
      </c>
      <c r="N15" s="11" t="n">
        <f aca="false">G15/H15</f>
        <v>0.0503194133917215</v>
      </c>
      <c r="O15" s="4" t="str">
        <f aca="false">INDEX($B$3:$E$3,MATCH(MAX(B15:E15),B15:E15,0))</f>
        <v>Sigamos Haciendo Historia (PVEM-PT-Morena)</v>
      </c>
      <c r="P15" s="12" t="n">
        <f aca="false">(MAX(B15:E15)-LARGE(B15:E15,2))/H15*100</f>
        <v>42.9787993390953</v>
      </c>
      <c r="Q15" s="4" t="n">
        <f aca="false">COUNTIFS('Por distrito'!$A$4:$A$303,$A15,'Por distrito'!$N$4:$N$303,B$3)</f>
        <v>8</v>
      </c>
      <c r="R15" s="4" t="n">
        <f aca="false">COUNTIFS('Por distrito'!$A$4:$A$303,$A15,'Por distrito'!$N$4:$N$303,C$3)</f>
        <v>0</v>
      </c>
      <c r="S15" s="4" t="n">
        <f aca="false">COUNTIFS('Por distrito'!$A$4:$A$303,$A15,'Por distrito'!$N$4:$N$303,D$3)</f>
        <v>0</v>
      </c>
      <c r="T15" s="4" t="n">
        <f aca="false">COUNTIF('Por distrito'!$A$4:$A$303,$A15)</f>
        <v>8</v>
      </c>
    </row>
    <row r="16" customFormat="false" ht="15" hidden="false" customHeight="false" outlineLevel="0" collapsed="false">
      <c r="A16" s="4" t="str">
        <f aca="false">'Votos por partido'!A16</f>
        <v>Hidalgo</v>
      </c>
      <c r="B16" s="5" t="n">
        <f aca="false">'Votos por partido'!F16+'Votos por partido'!G16+'Votos por partido'!I16+'Votos por partido'!O16+'Votos por partido'!P16+'Votos por partido'!Q16+'Votos por partido'!R16</f>
        <v>1004139</v>
      </c>
      <c r="C16" s="5" t="n">
        <f aca="false">'Votos por partido'!C16+'Votos por partido'!D16+'Votos por partido'!E16+'Votos por partido'!K16+'Votos por partido'!L16+'Votos por partido'!M16+'Votos por partido'!N16</f>
        <v>318470</v>
      </c>
      <c r="D16" s="5" t="n">
        <f aca="false">'Votos por partido'!H16</f>
        <v>135293</v>
      </c>
      <c r="E16" s="5" t="n">
        <f aca="false">'Votos por partido'!J16</f>
        <v>0</v>
      </c>
      <c r="F16" s="5" t="n">
        <f aca="false">'Votos por partido'!S16</f>
        <v>1139</v>
      </c>
      <c r="G16" s="5" t="n">
        <f aca="false">'Votos por partido'!T16</f>
        <v>76440</v>
      </c>
      <c r="H16" s="5" t="n">
        <f aca="false">'Votos por partido'!U16</f>
        <v>1535481</v>
      </c>
      <c r="I16" s="5" t="n">
        <f aca="false">'Votos por partido'!V16</f>
        <v>2386371</v>
      </c>
      <c r="J16" s="11" t="n">
        <f aca="false">H16/I16</f>
        <v>0.643437671678042</v>
      </c>
      <c r="K16" s="11" t="n">
        <f aca="false">B16/H16</f>
        <v>0.653957294163848</v>
      </c>
      <c r="L16" s="11" t="n">
        <f aca="false">C16/H16</f>
        <v>0.207407320572511</v>
      </c>
      <c r="M16" s="11" t="n">
        <f aca="false">D16/H16</f>
        <v>0.0881111521405996</v>
      </c>
      <c r="N16" s="11" t="n">
        <f aca="false">G16/H16</f>
        <v>0.0497824460218003</v>
      </c>
      <c r="O16" s="4" t="str">
        <f aca="false">INDEX($B$3:$E$3,MATCH(MAX(B16:E16),B16:E16,0))</f>
        <v>Sigamos Haciendo Historia (PVEM-PT-Morena)</v>
      </c>
      <c r="P16" s="12" t="n">
        <f aca="false">(MAX(B16:E16)-LARGE(B16:E16,2))/H16*100</f>
        <v>44.6549973591337</v>
      </c>
      <c r="Q16" s="4" t="n">
        <f aca="false">COUNTIFS('Por distrito'!$A$4:$A$303,$A16,'Por distrito'!$N$4:$N$303,B$3)</f>
        <v>7</v>
      </c>
      <c r="R16" s="4" t="n">
        <f aca="false">COUNTIFS('Por distrito'!$A$4:$A$303,$A16,'Por distrito'!$N$4:$N$303,C$3)</f>
        <v>0</v>
      </c>
      <c r="S16" s="4" t="n">
        <f aca="false">COUNTIFS('Por distrito'!$A$4:$A$303,$A16,'Por distrito'!$N$4:$N$303,D$3)</f>
        <v>0</v>
      </c>
      <c r="T16" s="4" t="n">
        <f aca="false">COUNTIF('Por distrito'!$A$4:$A$303,$A16)</f>
        <v>7</v>
      </c>
    </row>
    <row r="17" customFormat="false" ht="15" hidden="false" customHeight="false" outlineLevel="0" collapsed="false">
      <c r="A17" s="4" t="str">
        <f aca="false">'Votos por partido'!A17</f>
        <v>Jalisco</v>
      </c>
      <c r="B17" s="5" t="n">
        <f aca="false">'Votos por partido'!F17+'Votos por partido'!G17+'Votos por partido'!I17+'Votos por partido'!O17+'Votos por partido'!P17+'Votos por partido'!Q17+'Votos por partido'!R17</f>
        <v>1516752</v>
      </c>
      <c r="C17" s="5" t="n">
        <f aca="false">'Votos por partido'!C17+'Votos por partido'!D17+'Votos por partido'!E17+'Votos por partido'!K17+'Votos por partido'!L17+'Votos por partido'!M17+'Votos por partido'!N17</f>
        <v>1090179</v>
      </c>
      <c r="D17" s="5" t="n">
        <f aca="false">'Votos por partido'!H17</f>
        <v>1109336</v>
      </c>
      <c r="E17" s="5" t="n">
        <f aca="false">'Votos por partido'!J17</f>
        <v>0</v>
      </c>
      <c r="F17" s="5" t="n">
        <f aca="false">'Votos por partido'!S17</f>
        <v>3300</v>
      </c>
      <c r="G17" s="5" t="n">
        <f aca="false">'Votos por partido'!T17</f>
        <v>107224</v>
      </c>
      <c r="H17" s="5" t="n">
        <f aca="false">'Votos por partido'!U17</f>
        <v>3826791</v>
      </c>
      <c r="I17" s="5" t="n">
        <f aca="false">'Votos por partido'!V17</f>
        <v>6619608</v>
      </c>
      <c r="J17" s="11" t="n">
        <f aca="false">H17/I17</f>
        <v>0.578099337604281</v>
      </c>
      <c r="K17" s="11" t="n">
        <f aca="false">B17/H17</f>
        <v>0.39635088511497</v>
      </c>
      <c r="L17" s="11" t="n">
        <f aca="false">C17/H17</f>
        <v>0.284880726436327</v>
      </c>
      <c r="M17" s="11" t="n">
        <f aca="false">D17/H17</f>
        <v>0.289886748453208</v>
      </c>
      <c r="N17" s="11" t="n">
        <f aca="false">G17/H17</f>
        <v>0.028019298676097</v>
      </c>
      <c r="O17" s="4" t="str">
        <f aca="false">INDEX($B$3:$E$3,MATCH(MAX(B17:E17),B17:E17,0))</f>
        <v>Sigamos Haciendo Historia (PVEM-PT-Morena)</v>
      </c>
      <c r="P17" s="12" t="n">
        <f aca="false">(MAX(B17:E17)-LARGE(B17:E17,2))/H17*100</f>
        <v>10.6464136661762</v>
      </c>
      <c r="Q17" s="4" t="n">
        <f aca="false">COUNTIFS('Por distrito'!$A$4:$A$303,$A17,'Por distrito'!$N$4:$N$303,B$3)</f>
        <v>15</v>
      </c>
      <c r="R17" s="4" t="n">
        <f aca="false">COUNTIFS('Por distrito'!$A$4:$A$303,$A17,'Por distrito'!$N$4:$N$303,C$3)</f>
        <v>4</v>
      </c>
      <c r="S17" s="4" t="n">
        <f aca="false">COUNTIFS('Por distrito'!$A$4:$A$303,$A17,'Por distrito'!$N$4:$N$303,D$3)</f>
        <v>1</v>
      </c>
      <c r="T17" s="4" t="n">
        <f aca="false">COUNTIF('Por distrito'!$A$4:$A$303,$A17)</f>
        <v>20</v>
      </c>
    </row>
    <row r="18" customFormat="false" ht="15" hidden="false" customHeight="false" outlineLevel="0" collapsed="false">
      <c r="A18" s="4" t="str">
        <f aca="false">'Votos por partido'!A18</f>
        <v>México</v>
      </c>
      <c r="B18" s="5" t="n">
        <f aca="false">'Votos por partido'!F18+'Votos por partido'!G18+'Votos por partido'!I18+'Votos por partido'!O18+'Votos por partido'!P18+'Votos por partido'!Q18+'Votos por partido'!R18</f>
        <v>4656171</v>
      </c>
      <c r="C18" s="5" t="n">
        <f aca="false">'Votos por partido'!C18+'Votos por partido'!D18+'Votos por partido'!E18+'Votos por partido'!K18+'Votos por partido'!L18+'Votos por partido'!M18+'Votos por partido'!N18</f>
        <v>2615459</v>
      </c>
      <c r="D18" s="5" t="n">
        <f aca="false">'Votos por partido'!H18</f>
        <v>844075</v>
      </c>
      <c r="E18" s="5" t="n">
        <f aca="false">'Votos por partido'!J18</f>
        <v>0</v>
      </c>
      <c r="F18" s="5" t="n">
        <f aca="false">'Votos por partido'!S18</f>
        <v>6969</v>
      </c>
      <c r="G18" s="5" t="n">
        <f aca="false">'Votos por partido'!T18</f>
        <v>272496</v>
      </c>
      <c r="H18" s="5" t="n">
        <f aca="false">'Votos por partido'!U18</f>
        <v>8395170</v>
      </c>
      <c r="I18" s="5" t="n">
        <f aca="false">'Votos por partido'!V18</f>
        <v>13026931</v>
      </c>
      <c r="J18" s="11" t="n">
        <f aca="false">H18/I18</f>
        <v>0.644447260832195</v>
      </c>
      <c r="K18" s="11" t="n">
        <f aca="false">B18/H18</f>
        <v>0.554624980792527</v>
      </c>
      <c r="L18" s="11" t="n">
        <f aca="false">C18/H18</f>
        <v>0.311543304066505</v>
      </c>
      <c r="M18" s="11" t="n">
        <f aca="false">D18/H18</f>
        <v>0.100542931233078</v>
      </c>
      <c r="N18" s="11" t="n">
        <f aca="false">G18/H18</f>
        <v>0.0324586637316457</v>
      </c>
      <c r="O18" s="4" t="str">
        <f aca="false">INDEX($B$3:$E$3,MATCH(MAX(B18:E18),B18:E18,0))</f>
        <v>Sigamos Haciendo Historia (PVEM-PT-Morena)</v>
      </c>
      <c r="P18" s="12" t="n">
        <f aca="false">(MAX(B18:E18)-LARGE(B18:E18,2))/H18*100</f>
        <v>24.3081676726022</v>
      </c>
      <c r="Q18" s="4" t="n">
        <f aca="false">COUNTIFS('Por distrito'!$A$4:$A$303,$A18,'Por distrito'!$N$4:$N$303,B$3)</f>
        <v>39</v>
      </c>
      <c r="R18" s="4" t="n">
        <f aca="false">COUNTIFS('Por distrito'!$A$4:$A$303,$A18,'Por distrito'!$N$4:$N$303,C$3)</f>
        <v>1</v>
      </c>
      <c r="S18" s="4" t="n">
        <f aca="false">COUNTIFS('Por distrito'!$A$4:$A$303,$A18,'Por distrito'!$N$4:$N$303,D$3)</f>
        <v>0</v>
      </c>
      <c r="T18" s="4" t="n">
        <f aca="false">COUNTIF('Por distrito'!$A$4:$A$303,$A18)</f>
        <v>40</v>
      </c>
    </row>
    <row r="19" customFormat="false" ht="15" hidden="false" customHeight="false" outlineLevel="0" collapsed="false">
      <c r="A19" s="4" t="str">
        <f aca="false">'Votos por partido'!A19</f>
        <v>Michoacán</v>
      </c>
      <c r="B19" s="5" t="n">
        <f aca="false">'Votos por partido'!F19+'Votos por partido'!G19+'Votos por partido'!I19+'Votos por partido'!O19+'Votos por partido'!P19+'Votos por partido'!Q19+'Votos por partido'!R19</f>
        <v>994687</v>
      </c>
      <c r="C19" s="5" t="n">
        <f aca="false">'Votos por partido'!C19+'Votos por partido'!D19+'Votos por partido'!E19+'Votos por partido'!K19+'Votos por partido'!L19+'Votos por partido'!M19+'Votos por partido'!N19</f>
        <v>664661</v>
      </c>
      <c r="D19" s="5" t="n">
        <f aca="false">'Votos por partido'!H19</f>
        <v>220166</v>
      </c>
      <c r="E19" s="5" t="n">
        <f aca="false">'Votos por partido'!J19</f>
        <v>61980</v>
      </c>
      <c r="F19" s="5" t="n">
        <f aca="false">'Votos por partido'!S19</f>
        <v>2485</v>
      </c>
      <c r="G19" s="5" t="n">
        <f aca="false">'Votos por partido'!T19</f>
        <v>103429</v>
      </c>
      <c r="H19" s="5" t="n">
        <f aca="false">'Votos por partido'!U19</f>
        <v>2047408</v>
      </c>
      <c r="I19" s="5" t="n">
        <f aca="false">'Votos por partido'!V19</f>
        <v>3695978</v>
      </c>
      <c r="J19" s="11" t="n">
        <f aca="false">H19/I19</f>
        <v>0.553955678307609</v>
      </c>
      <c r="K19" s="11" t="n">
        <f aca="false">B19/H19</f>
        <v>0.485827446214922</v>
      </c>
      <c r="L19" s="11" t="n">
        <f aca="false">C19/H19</f>
        <v>0.32463534381032</v>
      </c>
      <c r="M19" s="11" t="n">
        <f aca="false">D19/H19</f>
        <v>0.107534013738346</v>
      </c>
      <c r="N19" s="11" t="n">
        <f aca="false">G19/H19</f>
        <v>0.0505170439892782</v>
      </c>
      <c r="O19" s="4" t="str">
        <f aca="false">INDEX($B$3:$E$3,MATCH(MAX(B19:E19),B19:E19,0))</f>
        <v>Sigamos Haciendo Historia (PVEM-PT-Morena)</v>
      </c>
      <c r="P19" s="12" t="n">
        <f aca="false">(MAX(B19:E19)-LARGE(B19:E19,2))/H19*100</f>
        <v>16.1192102404601</v>
      </c>
      <c r="Q19" s="4" t="n">
        <f aca="false">COUNTIFS('Por distrito'!$A$4:$A$303,$A19,'Por distrito'!$N$4:$N$303,B$3)</f>
        <v>9</v>
      </c>
      <c r="R19" s="4" t="n">
        <f aca="false">COUNTIFS('Por distrito'!$A$4:$A$303,$A19,'Por distrito'!$N$4:$N$303,C$3)</f>
        <v>1</v>
      </c>
      <c r="S19" s="4" t="n">
        <f aca="false">COUNTIFS('Por distrito'!$A$4:$A$303,$A19,'Por distrito'!$N$4:$N$303,D$3)</f>
        <v>0</v>
      </c>
      <c r="T19" s="4" t="n">
        <f aca="false">COUNTIF('Por distrito'!$A$4:$A$303,$A19)</f>
        <v>11</v>
      </c>
    </row>
    <row r="20" customFormat="false" ht="15" hidden="false" customHeight="false" outlineLevel="0" collapsed="false">
      <c r="A20" s="4" t="str">
        <f aca="false">'Votos por partido'!A20</f>
        <v>Morelos</v>
      </c>
      <c r="B20" s="5" t="n">
        <f aca="false">'Votos por partido'!F20+'Votos por partido'!G20+'Votos por partido'!I20+'Votos por partido'!O20+'Votos por partido'!P20+'Votos por partido'!Q20+'Votos por partido'!R20</f>
        <v>573651</v>
      </c>
      <c r="C20" s="5" t="n">
        <f aca="false">'Votos por partido'!C20+'Votos por partido'!D20+'Votos por partido'!E20+'Votos por partido'!K20+'Votos por partido'!L20+'Votos por partido'!M20+'Votos por partido'!N20</f>
        <v>238709</v>
      </c>
      <c r="D20" s="5" t="n">
        <f aca="false">'Votos por partido'!H20</f>
        <v>123489</v>
      </c>
      <c r="E20" s="5" t="n">
        <f aca="false">'Votos por partido'!J20</f>
        <v>0</v>
      </c>
      <c r="F20" s="5" t="n">
        <f aca="false">'Votos por partido'!S20</f>
        <v>850</v>
      </c>
      <c r="G20" s="5" t="n">
        <f aca="false">'Votos por partido'!T20</f>
        <v>39891</v>
      </c>
      <c r="H20" s="5" t="n">
        <f aca="false">'Votos por partido'!U20</f>
        <v>976590</v>
      </c>
      <c r="I20" s="5" t="n">
        <f aca="false">'Votos por partido'!V20</f>
        <v>1549670</v>
      </c>
      <c r="J20" s="11" t="n">
        <f aca="false">H20/I20</f>
        <v>0.630192234475727</v>
      </c>
      <c r="K20" s="11" t="n">
        <f aca="false">B20/H20</f>
        <v>0.58740208275735</v>
      </c>
      <c r="L20" s="11" t="n">
        <f aca="false">C20/H20</f>
        <v>0.2444311328193</v>
      </c>
      <c r="M20" s="11" t="n">
        <f aca="false">D20/H20</f>
        <v>0.126449175191227</v>
      </c>
      <c r="N20" s="11" t="n">
        <f aca="false">G20/H20</f>
        <v>0.0408472337418978</v>
      </c>
      <c r="O20" s="4" t="str">
        <f aca="false">INDEX($B$3:$E$3,MATCH(MAX(B20:E20),B20:E20,0))</f>
        <v>Sigamos Haciendo Historia (PVEM-PT-Morena)</v>
      </c>
      <c r="P20" s="12" t="n">
        <f aca="false">(MAX(B20:E20)-LARGE(B20:E20,2))/H20*100</f>
        <v>34.297094993805</v>
      </c>
      <c r="Q20" s="4" t="n">
        <f aca="false">COUNTIFS('Por distrito'!$A$4:$A$303,$A20,'Por distrito'!$N$4:$N$303,B$3)</f>
        <v>5</v>
      </c>
      <c r="R20" s="4" t="n">
        <f aca="false">COUNTIFS('Por distrito'!$A$4:$A$303,$A20,'Por distrito'!$N$4:$N$303,C$3)</f>
        <v>0</v>
      </c>
      <c r="S20" s="4" t="n">
        <f aca="false">COUNTIFS('Por distrito'!$A$4:$A$303,$A20,'Por distrito'!$N$4:$N$303,D$3)</f>
        <v>0</v>
      </c>
      <c r="T20" s="4" t="n">
        <f aca="false">COUNTIF('Por distrito'!$A$4:$A$303,$A20)</f>
        <v>5</v>
      </c>
    </row>
    <row r="21" customFormat="false" ht="15" hidden="false" customHeight="false" outlineLevel="0" collapsed="false">
      <c r="A21" s="4" t="str">
        <f aca="false">'Votos por partido'!A21</f>
        <v>Nayarit</v>
      </c>
      <c r="B21" s="5" t="n">
        <f aca="false">'Votos por partido'!F21+'Votos por partido'!G21+'Votos por partido'!I21+'Votos por partido'!O21+'Votos por partido'!P21+'Votos por partido'!Q21+'Votos por partido'!R21</f>
        <v>302625</v>
      </c>
      <c r="C21" s="5" t="n">
        <f aca="false">'Votos por partido'!C21+'Votos por partido'!D21+'Votos por partido'!E21+'Votos por partido'!K21+'Votos por partido'!L21+'Votos por partido'!M21+'Votos por partido'!N21</f>
        <v>114219</v>
      </c>
      <c r="D21" s="5" t="n">
        <f aca="false">'Votos por partido'!H21</f>
        <v>92707</v>
      </c>
      <c r="E21" s="5" t="n">
        <f aca="false">'Votos por partido'!J21</f>
        <v>0</v>
      </c>
      <c r="F21" s="5" t="n">
        <f aca="false">'Votos por partido'!S21</f>
        <v>502</v>
      </c>
      <c r="G21" s="5" t="n">
        <f aca="false">'Votos por partido'!T21</f>
        <v>23034</v>
      </c>
      <c r="H21" s="5" t="n">
        <f aca="false">'Votos por partido'!U21</f>
        <v>533087</v>
      </c>
      <c r="I21" s="5" t="n">
        <f aca="false">'Votos por partido'!V21</f>
        <v>950703</v>
      </c>
      <c r="J21" s="11" t="n">
        <f aca="false">H21/I21</f>
        <v>0.560729270865875</v>
      </c>
      <c r="K21" s="11" t="n">
        <f aca="false">B21/H21</f>
        <v>0.567684074081717</v>
      </c>
      <c r="L21" s="11" t="n">
        <f aca="false">C21/H21</f>
        <v>0.214259586146351</v>
      </c>
      <c r="M21" s="11" t="n">
        <f aca="false">D21/H21</f>
        <v>0.173905947809645</v>
      </c>
      <c r="N21" s="11" t="n">
        <f aca="false">G21/H21</f>
        <v>0.0432087070215556</v>
      </c>
      <c r="O21" s="4" t="str">
        <f aca="false">INDEX($B$3:$E$3,MATCH(MAX(B21:E21),B21:E21,0))</f>
        <v>Sigamos Haciendo Historia (PVEM-PT-Morena)</v>
      </c>
      <c r="P21" s="12" t="n">
        <f aca="false">(MAX(B21:E21)-LARGE(B21:E21,2))/H21*100</f>
        <v>35.3424487935365</v>
      </c>
      <c r="Q21" s="4" t="n">
        <f aca="false">COUNTIFS('Por distrito'!$A$4:$A$303,$A21,'Por distrito'!$N$4:$N$303,B$3)</f>
        <v>3</v>
      </c>
      <c r="R21" s="4" t="n">
        <f aca="false">COUNTIFS('Por distrito'!$A$4:$A$303,$A21,'Por distrito'!$N$4:$N$303,C$3)</f>
        <v>0</v>
      </c>
      <c r="S21" s="4" t="n">
        <f aca="false">COUNTIFS('Por distrito'!$A$4:$A$303,$A21,'Por distrito'!$N$4:$N$303,D$3)</f>
        <v>0</v>
      </c>
      <c r="T21" s="4" t="n">
        <f aca="false">COUNTIF('Por distrito'!$A$4:$A$303,$A21)</f>
        <v>3</v>
      </c>
    </row>
    <row r="22" customFormat="false" ht="15" hidden="false" customHeight="false" outlineLevel="0" collapsed="false">
      <c r="A22" s="4" t="str">
        <f aca="false">'Votos por partido'!A22</f>
        <v>Nuevo León</v>
      </c>
      <c r="B22" s="5" t="n">
        <f aca="false">'Votos por partido'!F22+'Votos por partido'!G22+'Votos por partido'!I22+'Votos por partido'!O22+'Votos por partido'!P22+'Votos por partido'!Q22+'Votos por partido'!R22</f>
        <v>875855</v>
      </c>
      <c r="C22" s="5" t="n">
        <f aca="false">'Votos por partido'!C22+'Votos por partido'!D22+'Votos por partido'!E22+'Votos por partido'!K22+'Votos por partido'!L22+'Votos por partido'!M22+'Votos por partido'!N22</f>
        <v>929356</v>
      </c>
      <c r="D22" s="5" t="n">
        <f aca="false">'Votos por partido'!H22</f>
        <v>658651</v>
      </c>
      <c r="E22" s="5" t="n">
        <f aca="false">'Votos por partido'!J22</f>
        <v>0</v>
      </c>
      <c r="F22" s="5" t="n">
        <f aca="false">'Votos por partido'!S22</f>
        <v>1699</v>
      </c>
      <c r="G22" s="5" t="n">
        <f aca="false">'Votos por partido'!T22</f>
        <v>62233</v>
      </c>
      <c r="H22" s="5" t="n">
        <f aca="false">'Votos por partido'!U22</f>
        <v>2527794</v>
      </c>
      <c r="I22" s="5" t="n">
        <f aca="false">'Votos por partido'!V22</f>
        <v>4465849</v>
      </c>
      <c r="J22" s="11" t="n">
        <f aca="false">H22/I22</f>
        <v>0.566027646702788</v>
      </c>
      <c r="K22" s="11" t="n">
        <f aca="false">B22/H22</f>
        <v>0.346489864284827</v>
      </c>
      <c r="L22" s="11" t="n">
        <f aca="false">C22/H22</f>
        <v>0.367654959225317</v>
      </c>
      <c r="M22" s="11" t="n">
        <f aca="false">D22/H22</f>
        <v>0.260563558581119</v>
      </c>
      <c r="N22" s="11" t="n">
        <f aca="false">G22/H22</f>
        <v>0.0246194903540399</v>
      </c>
      <c r="O22" s="4" t="str">
        <f aca="false">INDEX($B$3:$E$3,MATCH(MAX(B22:E22),B22:E22,0))</f>
        <v>Fuerza y Corazón por México (PAN-PRI-PRD)</v>
      </c>
      <c r="P22" s="12" t="n">
        <f aca="false">(MAX(B22:E22)-LARGE(B22:E22,2))/H22*100</f>
        <v>2.11650949404896</v>
      </c>
      <c r="Q22" s="4" t="n">
        <f aca="false">COUNTIFS('Por distrito'!$A$4:$A$303,$A22,'Por distrito'!$N$4:$N$303,B$3)</f>
        <v>7</v>
      </c>
      <c r="R22" s="4" t="n">
        <f aca="false">COUNTIFS('Por distrito'!$A$4:$A$303,$A22,'Por distrito'!$N$4:$N$303,C$3)</f>
        <v>7</v>
      </c>
      <c r="S22" s="4" t="n">
        <f aca="false">COUNTIFS('Por distrito'!$A$4:$A$303,$A22,'Por distrito'!$N$4:$N$303,D$3)</f>
        <v>0</v>
      </c>
      <c r="T22" s="4" t="n">
        <f aca="false">COUNTIF('Por distrito'!$A$4:$A$303,$A22)</f>
        <v>14</v>
      </c>
    </row>
    <row r="23" customFormat="false" ht="15" hidden="false" customHeight="false" outlineLevel="0" collapsed="false">
      <c r="A23" s="4" t="str">
        <f aca="false">'Votos por partido'!A23</f>
        <v>Oaxaca</v>
      </c>
      <c r="B23" s="5" t="n">
        <f aca="false">'Votos por partido'!F23+'Votos por partido'!G23+'Votos por partido'!I23+'Votos por partido'!O23+'Votos por partido'!P23+'Votos por partido'!Q23+'Votos por partido'!R23</f>
        <v>1331296</v>
      </c>
      <c r="C23" s="5" t="n">
        <f aca="false">'Votos por partido'!C23+'Votos por partido'!D23+'Votos por partido'!E23+'Votos por partido'!K23+'Votos por partido'!L23+'Votos por partido'!M23+'Votos por partido'!N23</f>
        <v>291553</v>
      </c>
      <c r="D23" s="5" t="n">
        <f aca="false">'Votos por partido'!H23</f>
        <v>142479</v>
      </c>
      <c r="E23" s="5" t="n">
        <f aca="false">'Votos por partido'!J23</f>
        <v>0</v>
      </c>
      <c r="F23" s="5" t="n">
        <f aca="false">'Votos por partido'!S23</f>
        <v>1459</v>
      </c>
      <c r="G23" s="5" t="n">
        <f aca="false">'Votos por partido'!T23</f>
        <v>99399</v>
      </c>
      <c r="H23" s="5" t="n">
        <f aca="false">'Votos por partido'!U23</f>
        <v>1866186</v>
      </c>
      <c r="I23" s="5" t="n">
        <f aca="false">'Votos por partido'!V23</f>
        <v>3111986</v>
      </c>
      <c r="J23" s="11" t="n">
        <f aca="false">H23/I23</f>
        <v>0.599676862299509</v>
      </c>
      <c r="K23" s="11" t="n">
        <f aca="false">B23/H23</f>
        <v>0.713377980544276</v>
      </c>
      <c r="L23" s="11" t="n">
        <f aca="false">C23/H23</f>
        <v>0.156229336196928</v>
      </c>
      <c r="M23" s="11" t="n">
        <f aca="false">D23/H23</f>
        <v>0.0763476952458115</v>
      </c>
      <c r="N23" s="11" t="n">
        <f aca="false">G23/H23</f>
        <v>0.0532631795544496</v>
      </c>
      <c r="O23" s="4" t="str">
        <f aca="false">INDEX($B$3:$E$3,MATCH(MAX(B23:E23),B23:E23,0))</f>
        <v>Sigamos Haciendo Historia (PVEM-PT-Morena)</v>
      </c>
      <c r="P23" s="12" t="n">
        <f aca="false">(MAX(B23:E23)-LARGE(B23:E23,2))/H23*100</f>
        <v>55.7148644347348</v>
      </c>
      <c r="Q23" s="4" t="n">
        <f aca="false">COUNTIFS('Por distrito'!$A$4:$A$303,$A23,'Por distrito'!$N$4:$N$303,B$3)</f>
        <v>10</v>
      </c>
      <c r="R23" s="4" t="n">
        <f aca="false">COUNTIFS('Por distrito'!$A$4:$A$303,$A23,'Por distrito'!$N$4:$N$303,C$3)</f>
        <v>0</v>
      </c>
      <c r="S23" s="4" t="n">
        <f aca="false">COUNTIFS('Por distrito'!$A$4:$A$303,$A23,'Por distrito'!$N$4:$N$303,D$3)</f>
        <v>0</v>
      </c>
      <c r="T23" s="4" t="n">
        <f aca="false">COUNTIF('Por distrito'!$A$4:$A$303,$A23)</f>
        <v>10</v>
      </c>
    </row>
    <row r="24" customFormat="false" ht="15" hidden="false" customHeight="false" outlineLevel="0" collapsed="false">
      <c r="A24" s="4" t="str">
        <f aca="false">'Votos por partido'!A24</f>
        <v>Puebla</v>
      </c>
      <c r="B24" s="5" t="n">
        <f aca="false">'Votos por partido'!F24+'Votos por partido'!G24+'Votos por partido'!I24+'Votos por partido'!O24+'Votos por partido'!P24+'Votos por partido'!Q24+'Votos por partido'!R24</f>
        <v>1949466</v>
      </c>
      <c r="C24" s="5" t="n">
        <f aca="false">'Votos por partido'!C24+'Votos por partido'!D24+'Votos por partido'!E24+'Votos por partido'!K24+'Votos por partido'!L24+'Votos por partido'!M24+'Votos por partido'!N24</f>
        <v>871833</v>
      </c>
      <c r="D24" s="5" t="n">
        <f aca="false">'Votos por partido'!H24</f>
        <v>281911</v>
      </c>
      <c r="E24" s="5" t="n">
        <f aca="false">'Votos por partido'!J24</f>
        <v>0</v>
      </c>
      <c r="F24" s="5" t="n">
        <f aca="false">'Votos por partido'!S24</f>
        <v>2189</v>
      </c>
      <c r="G24" s="5" t="n">
        <f aca="false">'Votos por partido'!T24</f>
        <v>146289</v>
      </c>
      <c r="H24" s="5" t="n">
        <f aca="false">'Votos por partido'!U24</f>
        <v>3251688</v>
      </c>
      <c r="I24" s="5" t="n">
        <f aca="false">'Votos por partido'!V24</f>
        <v>4978736</v>
      </c>
      <c r="J24" s="11" t="n">
        <f aca="false">H24/I24</f>
        <v>0.653115168187267</v>
      </c>
      <c r="K24" s="11" t="n">
        <f aca="false">B24/H24</f>
        <v>0.599524308605254</v>
      </c>
      <c r="L24" s="11" t="n">
        <f aca="false">C24/H24</f>
        <v>0.26811705182047</v>
      </c>
      <c r="M24" s="11" t="n">
        <f aca="false">D24/H24</f>
        <v>0.08669681716081</v>
      </c>
      <c r="N24" s="11" t="n">
        <f aca="false">G24/H24</f>
        <v>0.0449886335958431</v>
      </c>
      <c r="O24" s="4" t="str">
        <f aca="false">INDEX($B$3:$E$3,MATCH(MAX(B24:E24),B24:E24,0))</f>
        <v>Sigamos Haciendo Historia (PVEM-PT-Morena)</v>
      </c>
      <c r="P24" s="12" t="n">
        <f aca="false">(MAX(B24:E24)-LARGE(B24:E24,2))/H24*100</f>
        <v>33.1407256784784</v>
      </c>
      <c r="Q24" s="4" t="n">
        <f aca="false">COUNTIFS('Por distrito'!$A$4:$A$303,$A24,'Por distrito'!$N$4:$N$303,B$3)</f>
        <v>16</v>
      </c>
      <c r="R24" s="4" t="n">
        <f aca="false">COUNTIFS('Por distrito'!$A$4:$A$303,$A24,'Por distrito'!$N$4:$N$303,C$3)</f>
        <v>0</v>
      </c>
      <c r="S24" s="4" t="n">
        <f aca="false">COUNTIFS('Por distrito'!$A$4:$A$303,$A24,'Por distrito'!$N$4:$N$303,D$3)</f>
        <v>0</v>
      </c>
      <c r="T24" s="4" t="n">
        <f aca="false">COUNTIF('Por distrito'!$A$4:$A$303,$A24)</f>
        <v>16</v>
      </c>
    </row>
    <row r="25" customFormat="false" ht="15" hidden="false" customHeight="false" outlineLevel="0" collapsed="false">
      <c r="A25" s="4" t="str">
        <f aca="false">'Votos por partido'!A25</f>
        <v>Querétaro</v>
      </c>
      <c r="B25" s="5" t="n">
        <f aca="false">'Votos por partido'!F25+'Votos por partido'!G25+'Votos por partido'!I25+'Votos por partido'!O25+'Votos por partido'!P25+'Votos por partido'!Q25+'Votos por partido'!R25</f>
        <v>529521</v>
      </c>
      <c r="C25" s="5" t="n">
        <f aca="false">'Votos por partido'!C25+'Votos por partido'!D25+'Votos por partido'!E25+'Votos por partido'!K25+'Votos por partido'!L25+'Votos por partido'!M25+'Votos por partido'!N25</f>
        <v>532391</v>
      </c>
      <c r="D25" s="5" t="n">
        <f aca="false">'Votos por partido'!H25</f>
        <v>77468</v>
      </c>
      <c r="E25" s="5" t="n">
        <f aca="false">'Votos por partido'!J25</f>
        <v>0</v>
      </c>
      <c r="F25" s="5" t="n">
        <f aca="false">'Votos por partido'!S25</f>
        <v>1044</v>
      </c>
      <c r="G25" s="5" t="n">
        <f aca="false">'Votos por partido'!T25</f>
        <v>44358</v>
      </c>
      <c r="H25" s="5" t="n">
        <f aca="false">'Votos por partido'!U25</f>
        <v>1184782</v>
      </c>
      <c r="I25" s="5" t="n">
        <f aca="false">'Votos por partido'!V25</f>
        <v>1899151</v>
      </c>
      <c r="J25" s="11" t="n">
        <f aca="false">H25/I25</f>
        <v>0.623848235343056</v>
      </c>
      <c r="K25" s="11" t="n">
        <f aca="false">B25/H25</f>
        <v>0.446935385581483</v>
      </c>
      <c r="L25" s="11" t="n">
        <f aca="false">C25/H25</f>
        <v>0.449357772147112</v>
      </c>
      <c r="M25" s="11" t="n">
        <f aca="false">D25/H25</f>
        <v>0.0653858684551251</v>
      </c>
      <c r="N25" s="11" t="n">
        <f aca="false">G25/H25</f>
        <v>0.0374397990516399</v>
      </c>
      <c r="O25" s="4" t="str">
        <f aca="false">INDEX($B$3:$E$3,MATCH(MAX(B25:E25),B25:E25,0))</f>
        <v>Fuerza y Corazón por México (PAN-PRI-PRD)</v>
      </c>
      <c r="P25" s="12" t="n">
        <f aca="false">(MAX(B25:E25)-LARGE(B25:E25,2))/H25*100</f>
        <v>0.24223865656298</v>
      </c>
      <c r="Q25" s="4" t="n">
        <f aca="false">COUNTIFS('Por distrito'!$A$4:$A$303,$A25,'Por distrito'!$N$4:$N$303,B$3)</f>
        <v>3</v>
      </c>
      <c r="R25" s="4" t="n">
        <f aca="false">COUNTIFS('Por distrito'!$A$4:$A$303,$A25,'Por distrito'!$N$4:$N$303,C$3)</f>
        <v>3</v>
      </c>
      <c r="S25" s="4" t="n">
        <f aca="false">COUNTIFS('Por distrito'!$A$4:$A$303,$A25,'Por distrito'!$N$4:$N$303,D$3)</f>
        <v>0</v>
      </c>
      <c r="T25" s="4" t="n">
        <f aca="false">COUNTIF('Por distrito'!$A$4:$A$303,$A25)</f>
        <v>6</v>
      </c>
    </row>
    <row r="26" customFormat="false" ht="15" hidden="false" customHeight="false" outlineLevel="0" collapsed="false">
      <c r="A26" s="4" t="str">
        <f aca="false">'Votos por partido'!A26</f>
        <v>Quintana Roo</v>
      </c>
      <c r="B26" s="5" t="n">
        <f aca="false">'Votos por partido'!F26+'Votos por partido'!G26+'Votos por partido'!I26+'Votos por partido'!O26+'Votos por partido'!P26+'Votos por partido'!Q26+'Votos por partido'!R26</f>
        <v>551352</v>
      </c>
      <c r="C26" s="5" t="n">
        <f aca="false">'Votos por partido'!C26+'Votos por partido'!D26+'Votos por partido'!E26+'Votos por partido'!K26+'Votos por partido'!L26+'Votos por partido'!M26+'Votos por partido'!N26</f>
        <v>155428</v>
      </c>
      <c r="D26" s="5" t="n">
        <f aca="false">'Votos por partido'!H26</f>
        <v>75353</v>
      </c>
      <c r="E26" s="5" t="n">
        <f aca="false">'Votos por partido'!J26</f>
        <v>0</v>
      </c>
      <c r="F26" s="5" t="n">
        <f aca="false">'Votos por partido'!S26</f>
        <v>1023</v>
      </c>
      <c r="G26" s="5" t="n">
        <f aca="false">'Votos por partido'!T26</f>
        <v>34652</v>
      </c>
      <c r="H26" s="5" t="n">
        <f aca="false">'Votos por partido'!U26</f>
        <v>817808</v>
      </c>
      <c r="I26" s="5" t="n">
        <f aca="false">'Votos por partido'!V26</f>
        <v>1460102</v>
      </c>
      <c r="J26" s="11" t="n">
        <f aca="false">H26/I26</f>
        <v>0.560103335246442</v>
      </c>
      <c r="K26" s="11" t="n">
        <f aca="false">B26/H26</f>
        <v>0.674182693248293</v>
      </c>
      <c r="L26" s="11" t="n">
        <f aca="false">C26/H26</f>
        <v>0.190054389294309</v>
      </c>
      <c r="M26" s="11" t="n">
        <f aca="false">D26/H26</f>
        <v>0.0921402089487997</v>
      </c>
      <c r="N26" s="11" t="n">
        <f aca="false">G26/H26</f>
        <v>0.0423718036507346</v>
      </c>
      <c r="O26" s="4" t="str">
        <f aca="false">INDEX($B$3:$E$3,MATCH(MAX(B26:E26),B26:E26,0))</f>
        <v>Sigamos Haciendo Historia (PVEM-PT-Morena)</v>
      </c>
      <c r="P26" s="12" t="n">
        <f aca="false">(MAX(B26:E26)-LARGE(B26:E26,2))/H26*100</f>
        <v>48.4128303953984</v>
      </c>
      <c r="Q26" s="4" t="n">
        <f aca="false">COUNTIFS('Por distrito'!$A$4:$A$303,$A26,'Por distrito'!$N$4:$N$303,B$3)</f>
        <v>4</v>
      </c>
      <c r="R26" s="4" t="n">
        <f aca="false">COUNTIFS('Por distrito'!$A$4:$A$303,$A26,'Por distrito'!$N$4:$N$303,C$3)</f>
        <v>0</v>
      </c>
      <c r="S26" s="4" t="n">
        <f aca="false">COUNTIFS('Por distrito'!$A$4:$A$303,$A26,'Por distrito'!$N$4:$N$303,D$3)</f>
        <v>0</v>
      </c>
      <c r="T26" s="4" t="n">
        <f aca="false">COUNTIF('Por distrito'!$A$4:$A$303,$A26)</f>
        <v>4</v>
      </c>
    </row>
    <row r="27" customFormat="false" ht="15" hidden="false" customHeight="false" outlineLevel="0" collapsed="false">
      <c r="A27" s="4" t="str">
        <f aca="false">'Votos por partido'!A27</f>
        <v>San Luis Potosí</v>
      </c>
      <c r="B27" s="5" t="n">
        <f aca="false">'Votos por partido'!F27+'Votos por partido'!G27+'Votos por partido'!I27+'Votos por partido'!O27+'Votos por partido'!P27+'Votos por partido'!Q27+'Votos por partido'!R27</f>
        <v>784544</v>
      </c>
      <c r="C27" s="5" t="n">
        <f aca="false">'Votos por partido'!C27+'Votos por partido'!D27+'Votos por partido'!E27+'Votos por partido'!K27+'Votos por partido'!L27+'Votos por partido'!M27+'Votos por partido'!N27</f>
        <v>368284</v>
      </c>
      <c r="D27" s="5" t="n">
        <f aca="false">'Votos por partido'!H27</f>
        <v>129635</v>
      </c>
      <c r="E27" s="5" t="n">
        <f aca="false">'Votos por partido'!J27</f>
        <v>0</v>
      </c>
      <c r="F27" s="5" t="n">
        <f aca="false">'Votos por partido'!S27</f>
        <v>1307</v>
      </c>
      <c r="G27" s="5" t="n">
        <f aca="false">'Votos por partido'!T27</f>
        <v>69305</v>
      </c>
      <c r="H27" s="5" t="n">
        <f aca="false">'Votos por partido'!U27</f>
        <v>1353075</v>
      </c>
      <c r="I27" s="5" t="n">
        <f aca="false">'Votos por partido'!V27</f>
        <v>2185539</v>
      </c>
      <c r="J27" s="11" t="n">
        <f aca="false">H27/I27</f>
        <v>0.619103571247184</v>
      </c>
      <c r="K27" s="11" t="n">
        <f aca="false">B27/H27</f>
        <v>0.579822995768897</v>
      </c>
      <c r="L27" s="11" t="n">
        <f aca="false">C27/H27</f>
        <v>0.272182990595495</v>
      </c>
      <c r="M27" s="11" t="n">
        <f aca="false">D27/H27</f>
        <v>0.0958076972821167</v>
      </c>
      <c r="N27" s="11" t="n">
        <f aca="false">G27/H27</f>
        <v>0.0512203684200802</v>
      </c>
      <c r="O27" s="4" t="str">
        <f aca="false">INDEX($B$3:$E$3,MATCH(MAX(B27:E27),B27:E27,0))</f>
        <v>Sigamos Haciendo Historia (PVEM-PT-Morena)</v>
      </c>
      <c r="P27" s="12" t="n">
        <f aca="false">(MAX(B27:E27)-LARGE(B27:E27,2))/H27*100</f>
        <v>30.7640005173401</v>
      </c>
      <c r="Q27" s="4" t="n">
        <f aca="false">COUNTIFS('Por distrito'!$A$4:$A$303,$A27,'Por distrito'!$N$4:$N$303,B$3)</f>
        <v>6</v>
      </c>
      <c r="R27" s="4" t="n">
        <f aca="false">COUNTIFS('Por distrito'!$A$4:$A$303,$A27,'Por distrito'!$N$4:$N$303,C$3)</f>
        <v>1</v>
      </c>
      <c r="S27" s="4" t="n">
        <f aca="false">COUNTIFS('Por distrito'!$A$4:$A$303,$A27,'Por distrito'!$N$4:$N$303,D$3)</f>
        <v>0</v>
      </c>
      <c r="T27" s="4" t="n">
        <f aca="false">COUNTIF('Por distrito'!$A$4:$A$303,$A27)</f>
        <v>7</v>
      </c>
    </row>
    <row r="28" customFormat="false" ht="15" hidden="false" customHeight="false" outlineLevel="0" collapsed="false">
      <c r="A28" s="4" t="str">
        <f aca="false">'Votos por partido'!A28</f>
        <v>Sinaloa</v>
      </c>
      <c r="B28" s="5" t="n">
        <f aca="false">'Votos por partido'!F28+'Votos por partido'!G28+'Votos por partido'!I28+'Votos por partido'!O28+'Votos por partido'!P28+'Votos por partido'!Q28+'Votos por partido'!R28</f>
        <v>835675</v>
      </c>
      <c r="C28" s="5" t="n">
        <f aca="false">'Votos por partido'!C28+'Votos por partido'!D28+'Votos por partido'!E28+'Votos por partido'!K28+'Votos por partido'!L28+'Votos por partido'!M28+'Votos por partido'!N28</f>
        <v>347347</v>
      </c>
      <c r="D28" s="5" t="n">
        <f aca="false">'Votos por partido'!H28</f>
        <v>91070</v>
      </c>
      <c r="E28" s="5" t="n">
        <f aca="false">'Votos por partido'!J28</f>
        <v>0</v>
      </c>
      <c r="F28" s="5" t="n">
        <f aca="false">'Votos por partido'!S28</f>
        <v>841</v>
      </c>
      <c r="G28" s="5" t="n">
        <f aca="false">'Votos por partido'!T28</f>
        <v>46593</v>
      </c>
      <c r="H28" s="5" t="n">
        <f aca="false">'Votos por partido'!U28</f>
        <v>1321526</v>
      </c>
      <c r="I28" s="5" t="n">
        <f aca="false">'Votos por partido'!V28</f>
        <v>2360732</v>
      </c>
      <c r="J28" s="11" t="n">
        <f aca="false">H28/I28</f>
        <v>0.559795012733339</v>
      </c>
      <c r="K28" s="11" t="n">
        <f aca="false">B28/H28</f>
        <v>0.632356079259886</v>
      </c>
      <c r="L28" s="11" t="n">
        <f aca="false">C28/H28</f>
        <v>0.262837810228478</v>
      </c>
      <c r="M28" s="11" t="n">
        <f aca="false">D28/H28</f>
        <v>0.0689127569188953</v>
      </c>
      <c r="N28" s="11" t="n">
        <f aca="false">G28/H28</f>
        <v>0.0352569680808399</v>
      </c>
      <c r="O28" s="4" t="str">
        <f aca="false">INDEX($B$3:$E$3,MATCH(MAX(B28:E28),B28:E28,0))</f>
        <v>Sigamos Haciendo Historia (PVEM-PT-Morena)</v>
      </c>
      <c r="P28" s="12" t="n">
        <f aca="false">(MAX(B28:E28)-LARGE(B28:E28,2))/H28*100</f>
        <v>36.9518269031408</v>
      </c>
      <c r="Q28" s="4" t="n">
        <f aca="false">COUNTIFS('Por distrito'!$A$4:$A$303,$A28,'Por distrito'!$N$4:$N$303,B$3)</f>
        <v>7</v>
      </c>
      <c r="R28" s="4" t="n">
        <f aca="false">COUNTIFS('Por distrito'!$A$4:$A$303,$A28,'Por distrito'!$N$4:$N$303,C$3)</f>
        <v>0</v>
      </c>
      <c r="S28" s="4" t="n">
        <f aca="false">COUNTIFS('Por distrito'!$A$4:$A$303,$A28,'Por distrito'!$N$4:$N$303,D$3)</f>
        <v>0</v>
      </c>
      <c r="T28" s="4" t="n">
        <f aca="false">COUNTIF('Por distrito'!$A$4:$A$303,$A28)</f>
        <v>7</v>
      </c>
    </row>
    <row r="29" customFormat="false" ht="15" hidden="false" customHeight="false" outlineLevel="0" collapsed="false">
      <c r="A29" s="4" t="str">
        <f aca="false">'Votos por partido'!A29</f>
        <v>Sonora</v>
      </c>
      <c r="B29" s="5" t="n">
        <f aca="false">'Votos por partido'!F29+'Votos por partido'!G29+'Votos por partido'!I29+'Votos por partido'!O29+'Votos por partido'!P29+'Votos por partido'!Q29+'Votos por partido'!R29</f>
        <v>688944</v>
      </c>
      <c r="C29" s="5" t="n">
        <f aca="false">'Votos por partido'!C29+'Votos por partido'!D29+'Votos por partido'!E29+'Votos por partido'!K29+'Votos por partido'!L29+'Votos por partido'!M29+'Votos por partido'!N29</f>
        <v>313770</v>
      </c>
      <c r="D29" s="5" t="n">
        <f aca="false">'Votos por partido'!H29</f>
        <v>125677</v>
      </c>
      <c r="E29" s="5" t="n">
        <f aca="false">'Votos por partido'!J29</f>
        <v>0</v>
      </c>
      <c r="F29" s="5" t="n">
        <f aca="false">'Votos por partido'!S29</f>
        <v>827</v>
      </c>
      <c r="G29" s="5" t="n">
        <f aca="false">'Votos por partido'!T29</f>
        <v>33447</v>
      </c>
      <c r="H29" s="5" t="n">
        <f aca="false">'Votos por partido'!U29</f>
        <v>1162665</v>
      </c>
      <c r="I29" s="5" t="n">
        <f aca="false">'Votos por partido'!V29</f>
        <v>2291158</v>
      </c>
      <c r="J29" s="11" t="n">
        <f aca="false">H29/I29</f>
        <v>0.507457364354619</v>
      </c>
      <c r="K29" s="11" t="n">
        <f aca="false">B29/H29</f>
        <v>0.592555895292281</v>
      </c>
      <c r="L29" s="11" t="n">
        <f aca="false">C29/H29</f>
        <v>0.269871373095432</v>
      </c>
      <c r="M29" s="11" t="n">
        <f aca="false">D29/H29</f>
        <v>0.108093904951125</v>
      </c>
      <c r="N29" s="11" t="n">
        <f aca="false">G29/H29</f>
        <v>0.0287675297699681</v>
      </c>
      <c r="O29" s="4" t="str">
        <f aca="false">INDEX($B$3:$E$3,MATCH(MAX(B29:E29),B29:E29,0))</f>
        <v>Sigamos Haciendo Historia (PVEM-PT-Morena)</v>
      </c>
      <c r="P29" s="12" t="n">
        <f aca="false">(MAX(B29:E29)-LARGE(B29:E29,2))/H29*100</f>
        <v>32.2684522196849</v>
      </c>
      <c r="Q29" s="4" t="n">
        <f aca="false">COUNTIFS('Por distrito'!$A$4:$A$303,$A29,'Por distrito'!$N$4:$N$303,B$3)</f>
        <v>7</v>
      </c>
      <c r="R29" s="4" t="n">
        <f aca="false">COUNTIFS('Por distrito'!$A$4:$A$303,$A29,'Por distrito'!$N$4:$N$303,C$3)</f>
        <v>0</v>
      </c>
      <c r="S29" s="4" t="n">
        <f aca="false">COUNTIFS('Por distrito'!$A$4:$A$303,$A29,'Por distrito'!$N$4:$N$303,D$3)</f>
        <v>0</v>
      </c>
      <c r="T29" s="4" t="n">
        <f aca="false">COUNTIF('Por distrito'!$A$4:$A$303,$A29)</f>
        <v>7</v>
      </c>
    </row>
    <row r="30" customFormat="false" ht="15" hidden="false" customHeight="false" outlineLevel="0" collapsed="false">
      <c r="A30" s="4" t="str">
        <f aca="false">'Votos por partido'!A30</f>
        <v>Tabasco</v>
      </c>
      <c r="B30" s="5" t="n">
        <f aca="false">'Votos por partido'!F30+'Votos por partido'!G30+'Votos por partido'!I30+'Votos por partido'!O30+'Votos por partido'!P30+'Votos por partido'!Q30+'Votos por partido'!R30</f>
        <v>811017</v>
      </c>
      <c r="C30" s="5" t="n">
        <f aca="false">'Votos por partido'!C30+'Votos por partido'!D30+'Votos por partido'!E30+'Votos por partido'!K30+'Votos por partido'!L30+'Votos por partido'!M30+'Votos por partido'!N30</f>
        <v>145087</v>
      </c>
      <c r="D30" s="5" t="n">
        <f aca="false">'Votos por partido'!H30</f>
        <v>81247</v>
      </c>
      <c r="E30" s="5" t="n">
        <f aca="false">'Votos por partido'!J30</f>
        <v>0</v>
      </c>
      <c r="F30" s="5" t="n">
        <f aca="false">'Votos por partido'!S30</f>
        <v>743</v>
      </c>
      <c r="G30" s="5" t="n">
        <f aca="false">'Votos por partido'!T30</f>
        <v>69661</v>
      </c>
      <c r="H30" s="5" t="n">
        <f aca="false">'Votos por partido'!U30</f>
        <v>1107755</v>
      </c>
      <c r="I30" s="5" t="n">
        <f aca="false">'Votos por partido'!V30</f>
        <v>1811627</v>
      </c>
      <c r="J30" s="11" t="n">
        <f aca="false">H30/I30</f>
        <v>0.611469689952733</v>
      </c>
      <c r="K30" s="11" t="n">
        <f aca="false">B30/H30</f>
        <v>0.732126688663107</v>
      </c>
      <c r="L30" s="11" t="n">
        <f aca="false">C30/H30</f>
        <v>0.130973906685142</v>
      </c>
      <c r="M30" s="11" t="n">
        <f aca="false">D30/H30</f>
        <v>0.07334383505378</v>
      </c>
      <c r="N30" s="11" t="n">
        <f aca="false">G30/H30</f>
        <v>0.0628848436703062</v>
      </c>
      <c r="O30" s="4" t="str">
        <f aca="false">INDEX($B$3:$E$3,MATCH(MAX(B30:E30),B30:E30,0))</f>
        <v>Sigamos Haciendo Historia (PVEM-PT-Morena)</v>
      </c>
      <c r="P30" s="12" t="n">
        <f aca="false">(MAX(B30:E30)-LARGE(B30:E30,2))/H30*100</f>
        <v>60.1152781977964</v>
      </c>
      <c r="Q30" s="4" t="n">
        <f aca="false">COUNTIFS('Por distrito'!$A$4:$A$303,$A30,'Por distrito'!$N$4:$N$303,B$3)</f>
        <v>6</v>
      </c>
      <c r="R30" s="4" t="n">
        <f aca="false">COUNTIFS('Por distrito'!$A$4:$A$303,$A30,'Por distrito'!$N$4:$N$303,C$3)</f>
        <v>0</v>
      </c>
      <c r="S30" s="4" t="n">
        <f aca="false">COUNTIFS('Por distrito'!$A$4:$A$303,$A30,'Por distrito'!$N$4:$N$303,D$3)</f>
        <v>0</v>
      </c>
      <c r="T30" s="4" t="n">
        <f aca="false">COUNTIF('Por distrito'!$A$4:$A$303,$A30)</f>
        <v>6</v>
      </c>
    </row>
    <row r="31" customFormat="false" ht="15" hidden="false" customHeight="false" outlineLevel="0" collapsed="false">
      <c r="A31" s="4" t="str">
        <f aca="false">'Votos por partido'!A31</f>
        <v>Tamaulipas</v>
      </c>
      <c r="B31" s="5" t="n">
        <f aca="false">'Votos por partido'!F31+'Votos por partido'!G31+'Votos por partido'!I31+'Votos por partido'!O31+'Votos por partido'!P31+'Votos por partido'!Q31+'Votos por partido'!R31</f>
        <v>932787</v>
      </c>
      <c r="C31" s="5" t="n">
        <f aca="false">'Votos por partido'!C31+'Votos por partido'!D31+'Votos por partido'!E31+'Votos por partido'!K31+'Votos por partido'!L31+'Votos por partido'!M31+'Votos por partido'!N31</f>
        <v>510412</v>
      </c>
      <c r="D31" s="5" t="n">
        <f aca="false">'Votos por partido'!H31</f>
        <v>126754</v>
      </c>
      <c r="E31" s="5" t="n">
        <f aca="false">'Votos por partido'!J31</f>
        <v>0</v>
      </c>
      <c r="F31" s="5" t="n">
        <f aca="false">'Votos por partido'!S31</f>
        <v>1282</v>
      </c>
      <c r="G31" s="5" t="n">
        <f aca="false">'Votos por partido'!T31</f>
        <v>42847</v>
      </c>
      <c r="H31" s="5" t="n">
        <f aca="false">'Votos por partido'!U31</f>
        <v>1614082</v>
      </c>
      <c r="I31" s="5" t="n">
        <f aca="false">'Votos por partido'!V31</f>
        <v>2849003</v>
      </c>
      <c r="J31" s="11" t="n">
        <f aca="false">H31/I31</f>
        <v>0.566542751973234</v>
      </c>
      <c r="K31" s="11" t="n">
        <f aca="false">B31/H31</f>
        <v>0.577905583483367</v>
      </c>
      <c r="L31" s="11" t="n">
        <f aca="false">C31/H31</f>
        <v>0.316224330610217</v>
      </c>
      <c r="M31" s="11" t="n">
        <f aca="false">D31/H31</f>
        <v>0.0785300870711649</v>
      </c>
      <c r="N31" s="11" t="n">
        <f aca="false">G31/H31</f>
        <v>0.0265457393118813</v>
      </c>
      <c r="O31" s="4" t="str">
        <f aca="false">INDEX($B$3:$E$3,MATCH(MAX(B31:E31),B31:E31,0))</f>
        <v>Sigamos Haciendo Historia (PVEM-PT-Morena)</v>
      </c>
      <c r="P31" s="12" t="n">
        <f aca="false">(MAX(B31:E31)-LARGE(B31:E31,2))/H31*100</f>
        <v>26.168125287315</v>
      </c>
      <c r="Q31" s="4" t="n">
        <f aca="false">COUNTIFS('Por distrito'!$A$4:$A$303,$A31,'Por distrito'!$N$4:$N$303,B$3)</f>
        <v>7</v>
      </c>
      <c r="R31" s="4" t="n">
        <f aca="false">COUNTIFS('Por distrito'!$A$4:$A$303,$A31,'Por distrito'!$N$4:$N$303,C$3)</f>
        <v>1</v>
      </c>
      <c r="S31" s="4" t="n">
        <f aca="false">COUNTIFS('Por distrito'!$A$4:$A$303,$A31,'Por distrito'!$N$4:$N$303,D$3)</f>
        <v>0</v>
      </c>
      <c r="T31" s="4" t="n">
        <f aca="false">COUNTIF('Por distrito'!$A$4:$A$303,$A31)</f>
        <v>8</v>
      </c>
    </row>
    <row r="32" customFormat="false" ht="15" hidden="false" customHeight="false" outlineLevel="0" collapsed="false">
      <c r="A32" s="4" t="str">
        <f aca="false">'Votos por partido'!A32</f>
        <v>Tlaxcala</v>
      </c>
      <c r="B32" s="5" t="n">
        <f aca="false">'Votos por partido'!F32+'Votos por partido'!G32+'Votos por partido'!I32+'Votos por partido'!O32+'Votos por partido'!P32+'Votos por partido'!Q32+'Votos por partido'!R32</f>
        <v>430111</v>
      </c>
      <c r="C32" s="5" t="n">
        <f aca="false">'Votos por partido'!C32+'Votos por partido'!D32+'Votos por partido'!E32+'Votos por partido'!K32+'Votos por partido'!L32+'Votos por partido'!M32+'Votos por partido'!N32</f>
        <v>157904</v>
      </c>
      <c r="D32" s="5" t="n">
        <f aca="false">'Votos por partido'!H32</f>
        <v>105374</v>
      </c>
      <c r="E32" s="5" t="n">
        <f aca="false">'Votos por partido'!J32</f>
        <v>0</v>
      </c>
      <c r="F32" s="5" t="n">
        <f aca="false">'Votos por partido'!S32</f>
        <v>612</v>
      </c>
      <c r="G32" s="5" t="n">
        <f aca="false">'Votos por partido'!T32</f>
        <v>41304</v>
      </c>
      <c r="H32" s="5" t="n">
        <f aca="false">'Votos por partido'!U32</f>
        <v>735305</v>
      </c>
      <c r="I32" s="5" t="n">
        <f aca="false">'Votos por partido'!V32</f>
        <v>1041394</v>
      </c>
      <c r="J32" s="11" t="n">
        <f aca="false">H32/I32</f>
        <v>0.706077622878565</v>
      </c>
      <c r="K32" s="11" t="n">
        <f aca="false">B32/H32</f>
        <v>0.584942302853918</v>
      </c>
      <c r="L32" s="11" t="n">
        <f aca="false">C32/H32</f>
        <v>0.214746261755326</v>
      </c>
      <c r="M32" s="11" t="n">
        <f aca="false">D32/H32</f>
        <v>0.143306519063518</v>
      </c>
      <c r="N32" s="11" t="n">
        <f aca="false">G32/H32</f>
        <v>0.0561726086453921</v>
      </c>
      <c r="O32" s="4" t="str">
        <f aca="false">INDEX($B$3:$E$3,MATCH(MAX(B32:E32),B32:E32,0))</f>
        <v>Sigamos Haciendo Historia (PVEM-PT-Morena)</v>
      </c>
      <c r="P32" s="12" t="n">
        <f aca="false">(MAX(B32:E32)-LARGE(B32:E32,2))/H32*100</f>
        <v>37.0196041098592</v>
      </c>
      <c r="Q32" s="4" t="n">
        <f aca="false">COUNTIFS('Por distrito'!$A$4:$A$303,$A32,'Por distrito'!$N$4:$N$303,B$3)</f>
        <v>3</v>
      </c>
      <c r="R32" s="4" t="n">
        <f aca="false">COUNTIFS('Por distrito'!$A$4:$A$303,$A32,'Por distrito'!$N$4:$N$303,C$3)</f>
        <v>0</v>
      </c>
      <c r="S32" s="4" t="n">
        <f aca="false">COUNTIFS('Por distrito'!$A$4:$A$303,$A32,'Por distrito'!$N$4:$N$303,D$3)</f>
        <v>0</v>
      </c>
      <c r="T32" s="4" t="n">
        <f aca="false">COUNTIF('Por distrito'!$A$4:$A$303,$A32)</f>
        <v>3</v>
      </c>
    </row>
    <row r="33" customFormat="false" ht="15" hidden="false" customHeight="false" outlineLevel="0" collapsed="false">
      <c r="A33" s="4" t="str">
        <f aca="false">'Votos por partido'!A33</f>
        <v>Veracruz</v>
      </c>
      <c r="B33" s="5" t="n">
        <f aca="false">'Votos por partido'!F33+'Votos por partido'!G33+'Votos por partido'!I33+'Votos por partido'!O33+'Votos por partido'!P33+'Votos por partido'!Q33+'Votos por partido'!R33</f>
        <v>2202141</v>
      </c>
      <c r="C33" s="5" t="n">
        <f aca="false">'Votos por partido'!C33+'Votos por partido'!D33+'Votos por partido'!E33+'Votos por partido'!K33+'Votos por partido'!L33+'Votos por partido'!M33+'Votos por partido'!N33</f>
        <v>1006004</v>
      </c>
      <c r="D33" s="5" t="n">
        <f aca="false">'Votos por partido'!H33</f>
        <v>305092</v>
      </c>
      <c r="E33" s="5" t="n">
        <f aca="false">'Votos por partido'!J33</f>
        <v>0</v>
      </c>
      <c r="F33" s="5" t="n">
        <f aca="false">'Votos por partido'!S33</f>
        <v>2187</v>
      </c>
      <c r="G33" s="5" t="n">
        <f aca="false">'Votos por partido'!T33</f>
        <v>121603</v>
      </c>
      <c r="H33" s="5" t="n">
        <f aca="false">'Votos por partido'!U33</f>
        <v>3637027</v>
      </c>
      <c r="I33" s="5" t="n">
        <f aca="false">'Votos por partido'!V33</f>
        <v>6080765</v>
      </c>
      <c r="J33" s="11" t="n">
        <f aca="false">H33/I33</f>
        <v>0.598119973391506</v>
      </c>
      <c r="K33" s="11" t="n">
        <f aca="false">B33/H33</f>
        <v>0.605478320617361</v>
      </c>
      <c r="L33" s="11" t="n">
        <f aca="false">C33/H33</f>
        <v>0.276600641128042</v>
      </c>
      <c r="M33" s="11" t="n">
        <f aca="false">D33/H33</f>
        <v>0.0838849972793713</v>
      </c>
      <c r="N33" s="11" t="n">
        <f aca="false">G33/H33</f>
        <v>0.0334347256701696</v>
      </c>
      <c r="O33" s="4" t="str">
        <f aca="false">INDEX($B$3:$E$3,MATCH(MAX(B33:E33),B33:E33,0))</f>
        <v>Sigamos Haciendo Historia (PVEM-PT-Morena)</v>
      </c>
      <c r="P33" s="12" t="n">
        <f aca="false">(MAX(B33:E33)-LARGE(B33:E33,2))/H33*100</f>
        <v>32.8877679489319</v>
      </c>
      <c r="Q33" s="4" t="n">
        <f aca="false">COUNTIFS('Por distrito'!$A$4:$A$303,$A33,'Por distrito'!$N$4:$N$303,B$3)</f>
        <v>18</v>
      </c>
      <c r="R33" s="4" t="n">
        <f aca="false">COUNTIFS('Por distrito'!$A$4:$A$303,$A33,'Por distrito'!$N$4:$N$303,C$3)</f>
        <v>1</v>
      </c>
      <c r="S33" s="4" t="n">
        <f aca="false">COUNTIFS('Por distrito'!$A$4:$A$303,$A33,'Por distrito'!$N$4:$N$303,D$3)</f>
        <v>0</v>
      </c>
      <c r="T33" s="4" t="n">
        <f aca="false">COUNTIF('Por distrito'!$A$4:$A$303,$A33)</f>
        <v>19</v>
      </c>
    </row>
    <row r="34" customFormat="false" ht="15" hidden="false" customHeight="false" outlineLevel="0" collapsed="false">
      <c r="A34" s="4" t="str">
        <f aca="false">'Votos por partido'!A34</f>
        <v>Yucatán</v>
      </c>
      <c r="B34" s="5" t="n">
        <f aca="false">'Votos por partido'!F34+'Votos por partido'!G34+'Votos por partido'!I34+'Votos por partido'!O34+'Votos por partido'!P34+'Votos por partido'!Q34+'Votos por partido'!R34</f>
        <v>647538</v>
      </c>
      <c r="C34" s="5" t="n">
        <f aca="false">'Votos por partido'!C34+'Votos por partido'!D34+'Votos por partido'!E34+'Votos por partido'!K34+'Votos por partido'!L34+'Votos por partido'!M34+'Votos por partido'!N34</f>
        <v>527082</v>
      </c>
      <c r="D34" s="5" t="n">
        <f aca="false">'Votos por partido'!H34</f>
        <v>65587</v>
      </c>
      <c r="E34" s="5" t="n">
        <f aca="false">'Votos por partido'!J34</f>
        <v>0</v>
      </c>
      <c r="F34" s="5" t="n">
        <f aca="false">'Votos por partido'!S34</f>
        <v>617</v>
      </c>
      <c r="G34" s="5" t="n">
        <f aca="false">'Votos por partido'!T34</f>
        <v>36561</v>
      </c>
      <c r="H34" s="5" t="n">
        <f aca="false">'Votos por partido'!U34</f>
        <v>1277385</v>
      </c>
      <c r="I34" s="5" t="n">
        <f aca="false">'Votos por partido'!V34</f>
        <v>1766109</v>
      </c>
      <c r="J34" s="11" t="n">
        <f aca="false">H34/I34</f>
        <v>0.723276422916139</v>
      </c>
      <c r="K34" s="11" t="n">
        <f aca="false">B34/H34</f>
        <v>0.506924693808053</v>
      </c>
      <c r="L34" s="11" t="n">
        <f aca="false">C34/H34</f>
        <v>0.412625794102796</v>
      </c>
      <c r="M34" s="11" t="n">
        <f aca="false">D34/H34</f>
        <v>0.0513447394481695</v>
      </c>
      <c r="N34" s="11" t="n">
        <f aca="false">G34/H34</f>
        <v>0.0286217546002184</v>
      </c>
      <c r="O34" s="4" t="str">
        <f aca="false">INDEX($B$3:$E$3,MATCH(MAX(B34:E34),B34:E34,0))</f>
        <v>Sigamos Haciendo Historia (PVEM-PT-Morena)</v>
      </c>
      <c r="P34" s="12" t="n">
        <f aca="false">(MAX(B34:E34)-LARGE(B34:E34,2))/H34*100</f>
        <v>9.42988997052572</v>
      </c>
      <c r="Q34" s="4" t="n">
        <f aca="false">COUNTIFS('Por distrito'!$A$4:$A$303,$A34,'Por distrito'!$N$4:$N$303,B$3)</f>
        <v>5</v>
      </c>
      <c r="R34" s="4" t="n">
        <f aca="false">COUNTIFS('Por distrito'!$A$4:$A$303,$A34,'Por distrito'!$N$4:$N$303,C$3)</f>
        <v>1</v>
      </c>
      <c r="S34" s="4" t="n">
        <f aca="false">COUNTIFS('Por distrito'!$A$4:$A$303,$A34,'Por distrito'!$N$4:$N$303,D$3)</f>
        <v>0</v>
      </c>
      <c r="T34" s="4" t="n">
        <f aca="false">COUNTIF('Por distrito'!$A$4:$A$303,$A34)</f>
        <v>6</v>
      </c>
    </row>
    <row r="35" customFormat="false" ht="15" hidden="false" customHeight="false" outlineLevel="0" collapsed="false">
      <c r="A35" s="4" t="str">
        <f aca="false">'Votos por partido'!A35</f>
        <v>Zacatecas</v>
      </c>
      <c r="B35" s="5" t="n">
        <f aca="false">'Votos por partido'!F35+'Votos por partido'!G35+'Votos por partido'!I35+'Votos por partido'!O35+'Votos por partido'!P35+'Votos por partido'!Q35+'Votos por partido'!R35</f>
        <v>367888</v>
      </c>
      <c r="C35" s="5" t="n">
        <f aca="false">'Votos por partido'!C35+'Votos por partido'!D35+'Votos por partido'!E35+'Votos por partido'!K35+'Votos por partido'!L35+'Votos por partido'!M35+'Votos por partido'!N35</f>
        <v>271397</v>
      </c>
      <c r="D35" s="5" t="n">
        <f aca="false">'Votos por partido'!H35</f>
        <v>92299</v>
      </c>
      <c r="E35" s="5" t="n">
        <f aca="false">'Votos por partido'!J35</f>
        <v>0</v>
      </c>
      <c r="F35" s="5" t="n">
        <f aca="false">'Votos por partido'!S35</f>
        <v>711</v>
      </c>
      <c r="G35" s="5" t="n">
        <f aca="false">'Votos por partido'!T35</f>
        <v>30604</v>
      </c>
      <c r="H35" s="5" t="n">
        <f aca="false">'Votos por partido'!U35</f>
        <v>762899</v>
      </c>
      <c r="I35" s="5" t="n">
        <f aca="false">'Votos por partido'!V35</f>
        <v>1265977</v>
      </c>
      <c r="J35" s="11" t="n">
        <f aca="false">H35/I35</f>
        <v>0.602616793196085</v>
      </c>
      <c r="K35" s="11" t="n">
        <f aca="false">B35/H35</f>
        <v>0.482223728173716</v>
      </c>
      <c r="L35" s="11" t="n">
        <f aca="false">C35/H35</f>
        <v>0.355744338372445</v>
      </c>
      <c r="M35" s="11" t="n">
        <f aca="false">D35/H35</f>
        <v>0.12098456021046</v>
      </c>
      <c r="N35" s="11" t="n">
        <f aca="false">G35/H35</f>
        <v>0.040115401907723</v>
      </c>
      <c r="O35" s="4" t="str">
        <f aca="false">INDEX($B$3:$E$3,MATCH(MAX(B35:E35),B35:E35,0))</f>
        <v>Sigamos Haciendo Historia (PVEM-PT-Morena)</v>
      </c>
      <c r="P35" s="12" t="n">
        <f aca="false">(MAX(B35:E35)-LARGE(B35:E35,2))/H35*100</f>
        <v>12.6479389801271</v>
      </c>
      <c r="Q35" s="4" t="n">
        <f aca="false">COUNTIFS('Por distrito'!$A$4:$A$303,$A35,'Por distrito'!$N$4:$N$303,B$3)</f>
        <v>4</v>
      </c>
      <c r="R35" s="4" t="n">
        <f aca="false">COUNTIFS('Por distrito'!$A$4:$A$303,$A35,'Por distrito'!$N$4:$N$303,C$3)</f>
        <v>0</v>
      </c>
      <c r="S35" s="4" t="n">
        <f aca="false">COUNTIFS('Por distrito'!$A$4:$A$303,$A35,'Por distrito'!$N$4:$N$303,D$3)</f>
        <v>0</v>
      </c>
      <c r="T35" s="4" t="n">
        <f aca="false">COUNTIF('Por distrito'!$A$4:$A$303,$A35)</f>
        <v>4</v>
      </c>
    </row>
    <row r="36" customFormat="false" ht="15" hidden="false" customHeight="false" outlineLevel="0" collapsed="false">
      <c r="A36" s="13" t="s">
        <v>44</v>
      </c>
      <c r="B36" s="14" t="n">
        <f aca="false">'Votos por partido'!F36+'Votos por partido'!G36+'Votos por partido'!I36+'Votos por partido'!O36+'Votos por partido'!P36+'Votos por partido'!Q36+'Votos por partido'!R36</f>
        <v>32535023</v>
      </c>
      <c r="C36" s="14" t="n">
        <f aca="false">'Votos por partido'!C36+'Votos por partido'!D36+'Votos por partido'!E36+'Votos por partido'!K36+'Votos por partido'!L36+'Votos por partido'!M36+'Votos por partido'!N36</f>
        <v>18122831</v>
      </c>
      <c r="D36" s="14" t="n">
        <f aca="false">'Votos por partido'!H36</f>
        <v>6497404</v>
      </c>
      <c r="E36" s="14" t="n">
        <f aca="false">'Votos por partido'!J36</f>
        <v>72012</v>
      </c>
      <c r="F36" s="14" t="n">
        <f aca="false">'Votos por partido'!S36</f>
        <v>49329</v>
      </c>
      <c r="G36" s="14" t="n">
        <f aca="false">'Votos por partido'!T36</f>
        <v>2189869</v>
      </c>
      <c r="H36" s="14" t="n">
        <f aca="false">'Votos por partido'!U36</f>
        <v>59466468</v>
      </c>
      <c r="I36" s="14" t="n">
        <f aca="false">'Votos por partido'!V36</f>
        <v>98214289</v>
      </c>
      <c r="J36" s="15" t="n">
        <f aca="false">H36/I36</f>
        <v>0.60547674483496</v>
      </c>
      <c r="K36" s="15" t="n">
        <f aca="false">B36/H36</f>
        <v>0.54711544327805</v>
      </c>
      <c r="L36" s="15" t="n">
        <f aca="false">C36/H36</f>
        <v>0.30475714481647</v>
      </c>
      <c r="M36" s="15" t="n">
        <f aca="false">D36/H36</f>
        <v>0.109261643048987</v>
      </c>
      <c r="N36" s="15" t="n">
        <f aca="false">G36/H36</f>
        <v>0.0368252743714323</v>
      </c>
      <c r="O36" s="13" t="str">
        <f aca="false">INDEX($B$3:$E$3,MATCH(MAX(B36:E36),B36:E36,0))</f>
        <v>Sigamos Haciendo Historia (PVEM-PT-Morena)</v>
      </c>
      <c r="P36" s="16" t="n">
        <f aca="false">(MAX(B36:E36)-LARGE(B36:E36,2))/H36*100</f>
        <v>24.235829846158</v>
      </c>
      <c r="Q36" s="13" t="n">
        <f aca="false">SUM(Q4:Q35)</f>
        <v>255</v>
      </c>
      <c r="R36" s="13" t="n">
        <f aca="false">SUM(R4:R35)</f>
        <v>43</v>
      </c>
      <c r="S36" s="13" t="n">
        <f aca="false">SUM(S4:S35)</f>
        <v>1</v>
      </c>
      <c r="T36" s="13" t="n">
        <f aca="false">SUM(T4:T35)</f>
        <v>300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13" min="2" style="0" width="15"/>
    <col collapsed="false" customWidth="true" hidden="false" outlineLevel="0" max="14" min="14" style="0" width="24"/>
    <col collapsed="false" customWidth="true" hidden="false" outlineLevel="0" max="15" min="15" style="0" width="15"/>
    <col collapsed="false" customWidth="true" hidden="false" outlineLevel="0" max="17" min="16" style="0" width="24"/>
  </cols>
  <sheetData>
    <row r="1" customFormat="false" ht="16.15" hidden="false" customHeight="false" outlineLevel="0" collapsed="false">
      <c r="A1" s="10" t="s">
        <v>45</v>
      </c>
    </row>
    <row r="2" customFormat="false" ht="15" hidden="false" customHeight="false" outlineLevel="0" collapsed="false">
      <c r="A2" s="2" t="s">
        <v>46</v>
      </c>
    </row>
    <row r="3" customFormat="false" ht="60" hidden="false" customHeight="true" outlineLevel="0" collapsed="false">
      <c r="A3" s="3" t="s">
        <v>32</v>
      </c>
      <c r="B3" s="3" t="s">
        <v>47</v>
      </c>
      <c r="C3" s="3" t="s">
        <v>8</v>
      </c>
      <c r="D3" s="3" t="s">
        <v>9</v>
      </c>
      <c r="E3" s="3" t="s">
        <v>10</v>
      </c>
      <c r="F3" s="3" t="s">
        <v>11</v>
      </c>
      <c r="G3" s="3" t="s">
        <v>12</v>
      </c>
      <c r="H3" s="3" t="s">
        <v>13</v>
      </c>
      <c r="I3" s="3" t="s">
        <v>33</v>
      </c>
      <c r="J3" s="3" t="s">
        <v>34</v>
      </c>
      <c r="K3" s="3" t="s">
        <v>35</v>
      </c>
      <c r="L3" s="3" t="s">
        <v>36</v>
      </c>
      <c r="M3" s="3" t="s">
        <v>37</v>
      </c>
      <c r="N3" s="3" t="s">
        <v>48</v>
      </c>
      <c r="O3" s="3" t="s">
        <v>39</v>
      </c>
      <c r="P3" s="3" t="s">
        <v>49</v>
      </c>
      <c r="Q3" s="3" t="s">
        <v>50</v>
      </c>
    </row>
    <row r="4" customFormat="false" ht="15" hidden="false" customHeight="false" outlineLevel="0" collapsed="false">
      <c r="A4" s="4" t="s">
        <v>51</v>
      </c>
      <c r="B4" s="4" t="n">
        <v>1</v>
      </c>
      <c r="C4" s="5" t="n">
        <v>90589</v>
      </c>
      <c r="D4" s="5" t="n">
        <v>109134</v>
      </c>
      <c r="E4" s="5" t="n">
        <v>15288</v>
      </c>
      <c r="F4" s="5" t="n">
        <v>0</v>
      </c>
      <c r="G4" s="5" t="n">
        <v>137</v>
      </c>
      <c r="H4" s="5" t="n">
        <v>7178</v>
      </c>
      <c r="I4" s="5" t="n">
        <v>222326</v>
      </c>
      <c r="J4" s="11" t="n">
        <f aca="false">IF(I4=0,0,C4/I4)</f>
        <v>0.407460216079091</v>
      </c>
      <c r="K4" s="11" t="n">
        <f aca="false">IF(I4=0,0,D4/I4)</f>
        <v>0.490873761953168</v>
      </c>
      <c r="L4" s="11" t="n">
        <f aca="false">IF(I4=0,0,E4/I4)</f>
        <v>0.0687638872646474</v>
      </c>
      <c r="M4" s="11" t="n">
        <f aca="false">IF(I4=0,0,H4/I4)</f>
        <v>0.0322859224742045</v>
      </c>
      <c r="N4" s="4" t="str">
        <f aca="false">INDEX($C$3:$F$3,MATCH(MAX(C4:F4),C4:F4,0))</f>
        <v>Fuerza y Corazón por México (PAN-PRI-PRD)</v>
      </c>
      <c r="O4" s="17" t="n">
        <f aca="false">IF(I4=0,0,(MAX(C4:F4)-LARGE(C4:F4,2))/I4*100)</f>
        <v>8.34135458740768</v>
      </c>
      <c r="P4" s="4" t="s">
        <v>21</v>
      </c>
      <c r="Q4" s="4" t="s">
        <v>20</v>
      </c>
    </row>
    <row r="5" customFormat="false" ht="15" hidden="false" customHeight="false" outlineLevel="0" collapsed="false">
      <c r="A5" s="4" t="s">
        <v>51</v>
      </c>
      <c r="B5" s="4" t="n">
        <v>2</v>
      </c>
      <c r="C5" s="5" t="n">
        <v>77616</v>
      </c>
      <c r="D5" s="5" t="n">
        <v>90063</v>
      </c>
      <c r="E5" s="5" t="n">
        <v>20862</v>
      </c>
      <c r="F5" s="5" t="n">
        <v>0</v>
      </c>
      <c r="G5" s="5" t="n">
        <v>218</v>
      </c>
      <c r="H5" s="5" t="n">
        <v>4533</v>
      </c>
      <c r="I5" s="5" t="n">
        <v>193292</v>
      </c>
      <c r="J5" s="11" t="n">
        <f aca="false">IF(I5=0,0,C5/I5)</f>
        <v>0.401547917140906</v>
      </c>
      <c r="K5" s="11" t="n">
        <f aca="false">IF(I5=0,0,D5/I5)</f>
        <v>0.465942718788155</v>
      </c>
      <c r="L5" s="11" t="n">
        <f aca="false">IF(I5=0,0,E5/I5)</f>
        <v>0.10792997123523</v>
      </c>
      <c r="M5" s="11" t="n">
        <f aca="false">IF(I5=0,0,H5/I5)</f>
        <v>0.0234515655071084</v>
      </c>
      <c r="N5" s="4" t="str">
        <f aca="false">INDEX($C$3:$F$3,MATCH(MAX(C5:F5),C5:F5,0))</f>
        <v>Fuerza y Corazón por México (PAN-PRI-PRD)</v>
      </c>
      <c r="O5" s="17" t="n">
        <f aca="false">IF(I5=0,0,(MAX(C5:F5)-LARGE(C5:F5,2))/I5*100)</f>
        <v>6.43948016472487</v>
      </c>
      <c r="P5" s="4" t="s">
        <v>21</v>
      </c>
      <c r="Q5" s="4" t="s">
        <v>20</v>
      </c>
    </row>
    <row r="6" customFormat="false" ht="15" hidden="false" customHeight="false" outlineLevel="0" collapsed="false">
      <c r="A6" s="4" t="s">
        <v>51</v>
      </c>
      <c r="B6" s="4" t="n">
        <v>3</v>
      </c>
      <c r="C6" s="5" t="n">
        <v>76483</v>
      </c>
      <c r="D6" s="5" t="n">
        <v>138449</v>
      </c>
      <c r="E6" s="5" t="n">
        <v>16793</v>
      </c>
      <c r="F6" s="5" t="n">
        <v>0</v>
      </c>
      <c r="G6" s="5" t="n">
        <v>230</v>
      </c>
      <c r="H6" s="5" t="n">
        <v>9149</v>
      </c>
      <c r="I6" s="5" t="n">
        <v>241104</v>
      </c>
      <c r="J6" s="11" t="n">
        <f aca="false">IF(I6=0,0,C6/I6)</f>
        <v>0.317219954874245</v>
      </c>
      <c r="K6" s="11" t="n">
        <f aca="false">IF(I6=0,0,D6/I6)</f>
        <v>0.574229378193643</v>
      </c>
      <c r="L6" s="11" t="n">
        <f aca="false">IF(I6=0,0,E6/I6)</f>
        <v>0.069650441303338</v>
      </c>
      <c r="M6" s="11" t="n">
        <f aca="false">IF(I6=0,0,H6/I6)</f>
        <v>0.0379462804432942</v>
      </c>
      <c r="N6" s="4" t="str">
        <f aca="false">INDEX($C$3:$F$3,MATCH(MAX(C6:F6),C6:F6,0))</f>
        <v>Fuerza y Corazón por México (PAN-PRI-PRD)</v>
      </c>
      <c r="O6" s="17" t="n">
        <f aca="false">IF(I6=0,0,(MAX(C6:F6)-LARGE(C6:F6,2))/I6*100)</f>
        <v>25.7009423319397</v>
      </c>
      <c r="P6" s="4" t="s">
        <v>23</v>
      </c>
      <c r="Q6" s="4" t="s">
        <v>20</v>
      </c>
    </row>
    <row r="7" customFormat="false" ht="15" hidden="false" customHeight="false" outlineLevel="0" collapsed="false">
      <c r="A7" s="4" t="s">
        <v>52</v>
      </c>
      <c r="B7" s="4" t="n">
        <v>1</v>
      </c>
      <c r="C7" s="5" t="n">
        <v>87776</v>
      </c>
      <c r="D7" s="5" t="n">
        <v>60808</v>
      </c>
      <c r="E7" s="5" t="n">
        <v>15030</v>
      </c>
      <c r="F7" s="5" t="n">
        <v>0</v>
      </c>
      <c r="G7" s="5" t="n">
        <v>153</v>
      </c>
      <c r="H7" s="5" t="n">
        <v>7249</v>
      </c>
      <c r="I7" s="5" t="n">
        <v>171016</v>
      </c>
      <c r="J7" s="11" t="n">
        <f aca="false">IF(I7=0,0,C7/I7)</f>
        <v>0.513261917013613</v>
      </c>
      <c r="K7" s="11" t="n">
        <f aca="false">IF(I7=0,0,D7/I7)</f>
        <v>0.355569069560743</v>
      </c>
      <c r="L7" s="11" t="n">
        <f aca="false">IF(I7=0,0,E7/I7)</f>
        <v>0.0878865135425925</v>
      </c>
      <c r="M7" s="11" t="n">
        <f aca="false">IF(I7=0,0,H7/I7)</f>
        <v>0.0423878467511812</v>
      </c>
      <c r="N7" s="4" t="str">
        <f aca="false">INDEX($C$3:$F$3,MATCH(MAX(C7:F7),C7:F7,0))</f>
        <v>Sigamos Haciendo Historia (PVEM-PT-Morena)</v>
      </c>
      <c r="O7" s="17" t="n">
        <f aca="false">IF(I7=0,0,(MAX(C7:F7)-LARGE(C7:F7,2))/I7*100)</f>
        <v>15.769284745287</v>
      </c>
      <c r="P7" s="4" t="s">
        <v>22</v>
      </c>
      <c r="Q7" s="4" t="s">
        <v>21</v>
      </c>
    </row>
    <row r="8" customFormat="false" ht="15" hidden="false" customHeight="false" outlineLevel="0" collapsed="false">
      <c r="A8" s="4" t="s">
        <v>52</v>
      </c>
      <c r="B8" s="4" t="n">
        <v>2</v>
      </c>
      <c r="C8" s="5" t="n">
        <v>98873</v>
      </c>
      <c r="D8" s="5" t="n">
        <v>44286</v>
      </c>
      <c r="E8" s="5" t="n">
        <v>14428</v>
      </c>
      <c r="F8" s="5" t="n">
        <v>0</v>
      </c>
      <c r="G8" s="5" t="n">
        <v>149</v>
      </c>
      <c r="H8" s="5" t="n">
        <v>8575</v>
      </c>
      <c r="I8" s="5" t="n">
        <v>166311</v>
      </c>
      <c r="J8" s="11" t="n">
        <f aca="false">IF(I8=0,0,C8/I8)</f>
        <v>0.59450667724925</v>
      </c>
      <c r="K8" s="11" t="n">
        <f aca="false">IF(I8=0,0,D8/I8)</f>
        <v>0.266284250590761</v>
      </c>
      <c r="L8" s="11" t="n">
        <f aca="false">IF(I8=0,0,E8/I8)</f>
        <v>0.0867531311819423</v>
      </c>
      <c r="M8" s="11" t="n">
        <f aca="false">IF(I8=0,0,H8/I8)</f>
        <v>0.0515600291021039</v>
      </c>
      <c r="N8" s="4" t="str">
        <f aca="false">INDEX($C$3:$F$3,MATCH(MAX(C8:F8),C8:F8,0))</f>
        <v>Sigamos Haciendo Historia (PVEM-PT-Morena)</v>
      </c>
      <c r="O8" s="17" t="n">
        <f aca="false">IF(I8=0,0,(MAX(C8:F8)-LARGE(C8:F8,2))/I8*100)</f>
        <v>32.8222426658489</v>
      </c>
      <c r="P8" s="4" t="s">
        <v>22</v>
      </c>
      <c r="Q8" s="4" t="s">
        <v>21</v>
      </c>
    </row>
    <row r="9" customFormat="false" ht="15" hidden="false" customHeight="false" outlineLevel="0" collapsed="false">
      <c r="A9" s="4" t="s">
        <v>52</v>
      </c>
      <c r="B9" s="4" t="n">
        <v>3</v>
      </c>
      <c r="C9" s="5" t="n">
        <v>105869</v>
      </c>
      <c r="D9" s="5" t="n">
        <v>38093</v>
      </c>
      <c r="E9" s="5" t="n">
        <v>13802</v>
      </c>
      <c r="F9" s="5" t="n">
        <v>0</v>
      </c>
      <c r="G9" s="5" t="n">
        <v>353</v>
      </c>
      <c r="H9" s="5" t="n">
        <v>10939</v>
      </c>
      <c r="I9" s="5" t="n">
        <v>169056</v>
      </c>
      <c r="J9" s="11" t="n">
        <f aca="false">IF(I9=0,0,C9/I9)</f>
        <v>0.626236276736703</v>
      </c>
      <c r="K9" s="11" t="n">
        <f aca="false">IF(I9=0,0,D9/I9)</f>
        <v>0.225327702063222</v>
      </c>
      <c r="L9" s="11" t="n">
        <f aca="false">IF(I9=0,0,E9/I9)</f>
        <v>0.0816415862199508</v>
      </c>
      <c r="M9" s="11" t="n">
        <f aca="false">IF(I9=0,0,H9/I9)</f>
        <v>0.0647063694870339</v>
      </c>
      <c r="N9" s="4" t="str">
        <f aca="false">INDEX($C$3:$F$3,MATCH(MAX(C9:F9),C9:F9,0))</f>
        <v>Sigamos Haciendo Historia (PVEM-PT-Morena)</v>
      </c>
      <c r="O9" s="17" t="n">
        <f aca="false">IF(I9=0,0,(MAX(C9:F9)-LARGE(C9:F9,2))/I9*100)</f>
        <v>40.0908574673481</v>
      </c>
      <c r="P9" s="4" t="s">
        <v>22</v>
      </c>
      <c r="Q9" s="4" t="s">
        <v>21</v>
      </c>
    </row>
    <row r="10" customFormat="false" ht="15" hidden="false" customHeight="false" outlineLevel="0" collapsed="false">
      <c r="A10" s="4" t="s">
        <v>52</v>
      </c>
      <c r="B10" s="4" t="n">
        <v>4</v>
      </c>
      <c r="C10" s="5" t="n">
        <v>133675</v>
      </c>
      <c r="D10" s="5" t="n">
        <v>15671</v>
      </c>
      <c r="E10" s="5" t="n">
        <v>14399</v>
      </c>
      <c r="F10" s="5" t="n">
        <v>0</v>
      </c>
      <c r="G10" s="5" t="n">
        <v>203</v>
      </c>
      <c r="H10" s="5" t="n">
        <v>9940</v>
      </c>
      <c r="I10" s="5" t="n">
        <v>173888</v>
      </c>
      <c r="J10" s="11" t="n">
        <f aca="false">IF(I10=0,0,C10/I10)</f>
        <v>0.768741948840633</v>
      </c>
      <c r="K10" s="11" t="n">
        <f aca="false">IF(I10=0,0,D10/I10)</f>
        <v>0.0901212274567538</v>
      </c>
      <c r="L10" s="11" t="n">
        <f aca="false">IF(I10=0,0,E10/I10)</f>
        <v>0.0828061740890688</v>
      </c>
      <c r="M10" s="11" t="n">
        <f aca="false">IF(I10=0,0,H10/I10)</f>
        <v>0.0571632315053368</v>
      </c>
      <c r="N10" s="4" t="str">
        <f aca="false">INDEX($C$3:$F$3,MATCH(MAX(C10:F10),C10:F10,0))</f>
        <v>Sigamos Haciendo Historia (PVEM-PT-Morena)</v>
      </c>
      <c r="O10" s="17" t="n">
        <f aca="false">IF(I10=0,0,(MAX(C10:F10)-LARGE(C10:F10,2))/I10*100)</f>
        <v>67.8620721383879</v>
      </c>
      <c r="P10" s="4" t="s">
        <v>22</v>
      </c>
      <c r="Q10" s="4" t="s">
        <v>53</v>
      </c>
    </row>
    <row r="11" customFormat="false" ht="15" hidden="false" customHeight="false" outlineLevel="0" collapsed="false">
      <c r="A11" s="4" t="s">
        <v>52</v>
      </c>
      <c r="B11" s="4" t="n">
        <v>5</v>
      </c>
      <c r="C11" s="5" t="n">
        <v>114662</v>
      </c>
      <c r="D11" s="5" t="n">
        <v>55329</v>
      </c>
      <c r="E11" s="5" t="n">
        <v>18945</v>
      </c>
      <c r="F11" s="5" t="n">
        <v>0</v>
      </c>
      <c r="G11" s="5" t="n">
        <v>304</v>
      </c>
      <c r="H11" s="5" t="n">
        <v>9864</v>
      </c>
      <c r="I11" s="5" t="n">
        <v>199104</v>
      </c>
      <c r="J11" s="11" t="n">
        <f aca="false">IF(I11=0,0,C11/I11)</f>
        <v>0.575889987142398</v>
      </c>
      <c r="K11" s="11" t="n">
        <f aca="false">IF(I11=0,0,D11/I11)</f>
        <v>0.277889946962392</v>
      </c>
      <c r="L11" s="11" t="n">
        <f aca="false">IF(I11=0,0,E11/I11)</f>
        <v>0.0951512777242044</v>
      </c>
      <c r="M11" s="11" t="n">
        <f aca="false">IF(I11=0,0,H11/I11)</f>
        <v>0.0495419479267117</v>
      </c>
      <c r="N11" s="4" t="str">
        <f aca="false">INDEX($C$3:$F$3,MATCH(MAX(C11:F11),C11:F11,0))</f>
        <v>Sigamos Haciendo Historia (PVEM-PT-Morena)</v>
      </c>
      <c r="O11" s="17" t="n">
        <f aca="false">IF(I11=0,0,(MAX(C11:F11)-LARGE(C11:F11,2))/I11*100)</f>
        <v>29.8000040180006</v>
      </c>
      <c r="P11" s="4" t="s">
        <v>22</v>
      </c>
      <c r="Q11" s="4" t="s">
        <v>21</v>
      </c>
    </row>
    <row r="12" customFormat="false" ht="15" hidden="false" customHeight="false" outlineLevel="0" collapsed="false">
      <c r="A12" s="4" t="s">
        <v>52</v>
      </c>
      <c r="B12" s="4" t="n">
        <v>6</v>
      </c>
      <c r="C12" s="5" t="n">
        <v>114582</v>
      </c>
      <c r="D12" s="5" t="n">
        <v>41679</v>
      </c>
      <c r="E12" s="5" t="n">
        <v>18058</v>
      </c>
      <c r="F12" s="5" t="n">
        <v>0</v>
      </c>
      <c r="G12" s="5" t="n">
        <v>256</v>
      </c>
      <c r="H12" s="5" t="n">
        <v>10127</v>
      </c>
      <c r="I12" s="5" t="n">
        <v>184702</v>
      </c>
      <c r="J12" s="11" t="n">
        <f aca="false">IF(I12=0,0,C12/I12)</f>
        <v>0.620361447087741</v>
      </c>
      <c r="K12" s="11" t="n">
        <f aca="false">IF(I12=0,0,D12/I12)</f>
        <v>0.225655380017542</v>
      </c>
      <c r="L12" s="11" t="n">
        <f aca="false">IF(I12=0,0,E12/I12)</f>
        <v>0.0977682970406384</v>
      </c>
      <c r="M12" s="11" t="n">
        <f aca="false">IF(I12=0,0,H12/I12)</f>
        <v>0.0548288594601033</v>
      </c>
      <c r="N12" s="4" t="str">
        <f aca="false">INDEX($C$3:$F$3,MATCH(MAX(C12:F12),C12:F12,0))</f>
        <v>Sigamos Haciendo Historia (PVEM-PT-Morena)</v>
      </c>
      <c r="O12" s="17" t="n">
        <f aca="false">IF(I12=0,0,(MAX(C12:F12)-LARGE(C12:F12,2))/I12*100)</f>
        <v>39.47060670702</v>
      </c>
      <c r="P12" s="4" t="s">
        <v>22</v>
      </c>
      <c r="Q12" s="4" t="s">
        <v>21</v>
      </c>
    </row>
    <row r="13" customFormat="false" ht="15" hidden="false" customHeight="false" outlineLevel="0" collapsed="false">
      <c r="A13" s="4" t="s">
        <v>52</v>
      </c>
      <c r="B13" s="4" t="n">
        <v>7</v>
      </c>
      <c r="C13" s="5" t="n">
        <v>99740</v>
      </c>
      <c r="D13" s="5" t="n">
        <v>31600</v>
      </c>
      <c r="E13" s="5" t="n">
        <v>13874</v>
      </c>
      <c r="F13" s="5" t="n">
        <v>0</v>
      </c>
      <c r="G13" s="5" t="n">
        <v>247</v>
      </c>
      <c r="H13" s="5" t="n">
        <v>9712</v>
      </c>
      <c r="I13" s="5" t="n">
        <v>155173</v>
      </c>
      <c r="J13" s="11" t="n">
        <f aca="false">IF(I13=0,0,C13/I13)</f>
        <v>0.642766460660038</v>
      </c>
      <c r="K13" s="11" t="n">
        <f aca="false">IF(I13=0,0,D13/I13)</f>
        <v>0.203643675123894</v>
      </c>
      <c r="L13" s="11" t="n">
        <f aca="false">IF(I13=0,0,E13/I13)</f>
        <v>0.0894098844515476</v>
      </c>
      <c r="M13" s="11" t="n">
        <f aca="false">IF(I13=0,0,H13/I13)</f>
        <v>0.0625882080001031</v>
      </c>
      <c r="N13" s="4" t="str">
        <f aca="false">INDEX($C$3:$F$3,MATCH(MAX(C13:F13),C13:F13,0))</f>
        <v>Sigamos Haciendo Historia (PVEM-PT-Morena)</v>
      </c>
      <c r="O13" s="17" t="n">
        <f aca="false">IF(I13=0,0,(MAX(C13:F13)-LARGE(C13:F13,2))/I13*100)</f>
        <v>43.9122785536144</v>
      </c>
      <c r="P13" s="4" t="s">
        <v>22</v>
      </c>
      <c r="Q13" s="4" t="s">
        <v>21</v>
      </c>
    </row>
    <row r="14" customFormat="false" ht="15" hidden="false" customHeight="false" outlineLevel="0" collapsed="false">
      <c r="A14" s="4" t="s">
        <v>52</v>
      </c>
      <c r="B14" s="4" t="n">
        <v>8</v>
      </c>
      <c r="C14" s="5" t="n">
        <v>122830</v>
      </c>
      <c r="D14" s="5" t="n">
        <v>23821</v>
      </c>
      <c r="E14" s="5" t="n">
        <v>14880</v>
      </c>
      <c r="F14" s="5" t="n">
        <v>0</v>
      </c>
      <c r="G14" s="5" t="n">
        <v>214</v>
      </c>
      <c r="H14" s="5" t="n">
        <v>4255</v>
      </c>
      <c r="I14" s="5" t="n">
        <v>166000</v>
      </c>
      <c r="J14" s="11" t="n">
        <f aca="false">IF(I14=0,0,C14/I14)</f>
        <v>0.739939759036145</v>
      </c>
      <c r="K14" s="11" t="n">
        <f aca="false">IF(I14=0,0,D14/I14)</f>
        <v>0.1435</v>
      </c>
      <c r="L14" s="11" t="n">
        <f aca="false">IF(I14=0,0,E14/I14)</f>
        <v>0.0896385542168675</v>
      </c>
      <c r="M14" s="11" t="n">
        <f aca="false">IF(I14=0,0,H14/I14)</f>
        <v>0.0256325301204819</v>
      </c>
      <c r="N14" s="4" t="str">
        <f aca="false">INDEX($C$3:$F$3,MATCH(MAX(C14:F14),C14:F14,0))</f>
        <v>Sigamos Haciendo Historia (PVEM-PT-Morena)</v>
      </c>
      <c r="O14" s="17" t="n">
        <f aca="false">IF(I14=0,0,(MAX(C14:F14)-LARGE(C14:F14,2))/I14*100)</f>
        <v>59.6439759036145</v>
      </c>
      <c r="P14" s="4" t="s">
        <v>20</v>
      </c>
      <c r="Q14" s="4" t="s">
        <v>21</v>
      </c>
    </row>
    <row r="15" customFormat="false" ht="15" hidden="false" customHeight="false" outlineLevel="0" collapsed="false">
      <c r="A15" s="4" t="s">
        <v>52</v>
      </c>
      <c r="B15" s="4" t="n">
        <v>9</v>
      </c>
      <c r="C15" s="5" t="n">
        <v>108033</v>
      </c>
      <c r="D15" s="5" t="n">
        <v>23014</v>
      </c>
      <c r="E15" s="5" t="n">
        <v>15959</v>
      </c>
      <c r="F15" s="5" t="n">
        <v>0</v>
      </c>
      <c r="G15" s="5" t="n">
        <v>194</v>
      </c>
      <c r="H15" s="5" t="n">
        <v>9979</v>
      </c>
      <c r="I15" s="5" t="n">
        <v>157179</v>
      </c>
      <c r="J15" s="11" t="n">
        <f aca="false">IF(I15=0,0,C15/I15)</f>
        <v>0.687324642604928</v>
      </c>
      <c r="K15" s="11" t="n">
        <f aca="false">IF(I15=0,0,D15/I15)</f>
        <v>0.146419050891022</v>
      </c>
      <c r="L15" s="11" t="n">
        <f aca="false">IF(I15=0,0,E15/I15)</f>
        <v>0.10153391992569</v>
      </c>
      <c r="M15" s="11" t="n">
        <f aca="false">IF(I15=0,0,H15/I15)</f>
        <v>0.0634881250039764</v>
      </c>
      <c r="N15" s="4" t="str">
        <f aca="false">INDEX($C$3:$F$3,MATCH(MAX(C15:F15),C15:F15,0))</f>
        <v>Sigamos Haciendo Historia (PVEM-PT-Morena)</v>
      </c>
      <c r="O15" s="17" t="n">
        <f aca="false">IF(I15=0,0,(MAX(C15:F15)-LARGE(C15:F15,2))/I15*100)</f>
        <v>54.0905591713906</v>
      </c>
      <c r="P15" s="4" t="s">
        <v>22</v>
      </c>
      <c r="Q15" s="4" t="s">
        <v>21</v>
      </c>
    </row>
    <row r="16" customFormat="false" ht="15" hidden="false" customHeight="false" outlineLevel="0" collapsed="false">
      <c r="A16" s="4" t="s">
        <v>54</v>
      </c>
      <c r="B16" s="4" t="n">
        <v>1</v>
      </c>
      <c r="C16" s="5" t="n">
        <v>110774</v>
      </c>
      <c r="D16" s="5" t="n">
        <v>65966</v>
      </c>
      <c r="E16" s="5" t="n">
        <v>15450</v>
      </c>
      <c r="F16" s="5" t="n">
        <v>0</v>
      </c>
      <c r="G16" s="5" t="n">
        <v>146</v>
      </c>
      <c r="H16" s="5" t="n">
        <v>5845</v>
      </c>
      <c r="I16" s="5" t="n">
        <v>198181</v>
      </c>
      <c r="J16" s="11" t="n">
        <f aca="false">IF(I16=0,0,C16/I16)</f>
        <v>0.55895368375374</v>
      </c>
      <c r="K16" s="11" t="n">
        <f aca="false">IF(I16=0,0,D16/I16)</f>
        <v>0.332857337484421</v>
      </c>
      <c r="L16" s="11" t="n">
        <f aca="false">IF(I16=0,0,E16/I16)</f>
        <v>0.0779590374455674</v>
      </c>
      <c r="M16" s="11" t="n">
        <f aca="false">IF(I16=0,0,H16/I16)</f>
        <v>0.0294932410271419</v>
      </c>
      <c r="N16" s="4" t="str">
        <f aca="false">INDEX($C$3:$F$3,MATCH(MAX(C16:F16),C16:F16,0))</f>
        <v>Sigamos Haciendo Historia (PVEM-PT-Morena)</v>
      </c>
      <c r="O16" s="17" t="n">
        <f aca="false">IF(I16=0,0,(MAX(C16:F16)-LARGE(C16:F16,2))/I16*100)</f>
        <v>22.6096346269319</v>
      </c>
      <c r="P16" s="4" t="s">
        <v>20</v>
      </c>
      <c r="Q16" s="4" t="s">
        <v>21</v>
      </c>
    </row>
    <row r="17" customFormat="false" ht="15" hidden="false" customHeight="false" outlineLevel="0" collapsed="false">
      <c r="A17" s="4" t="s">
        <v>54</v>
      </c>
      <c r="B17" s="4" t="n">
        <v>2</v>
      </c>
      <c r="C17" s="5" t="n">
        <v>79362</v>
      </c>
      <c r="D17" s="5" t="n">
        <v>43598</v>
      </c>
      <c r="E17" s="5" t="n">
        <v>8970</v>
      </c>
      <c r="F17" s="5" t="n">
        <v>0</v>
      </c>
      <c r="G17" s="5" t="n">
        <v>177</v>
      </c>
      <c r="H17" s="5" t="n">
        <v>4953</v>
      </c>
      <c r="I17" s="5" t="n">
        <v>137060</v>
      </c>
      <c r="J17" s="11" t="n">
        <f aca="false">IF(I17=0,0,C17/I17)</f>
        <v>0.579031081278272</v>
      </c>
      <c r="K17" s="11" t="n">
        <f aca="false">IF(I17=0,0,D17/I17)</f>
        <v>0.318094265285277</v>
      </c>
      <c r="L17" s="11" t="n">
        <f aca="false">IF(I17=0,0,E17/I17)</f>
        <v>0.0654457901648913</v>
      </c>
      <c r="M17" s="11" t="n">
        <f aca="false">IF(I17=0,0,H17/I17)</f>
        <v>0.0361374580475704</v>
      </c>
      <c r="N17" s="4" t="str">
        <f aca="false">INDEX($C$3:$F$3,MATCH(MAX(C17:F17),C17:F17,0))</f>
        <v>Sigamos Haciendo Historia (PVEM-PT-Morena)</v>
      </c>
      <c r="O17" s="17" t="n">
        <f aca="false">IF(I17=0,0,(MAX(C17:F17)-LARGE(C17:F17,2))/I17*100)</f>
        <v>26.0936815992996</v>
      </c>
      <c r="P17" s="4" t="s">
        <v>20</v>
      </c>
      <c r="Q17" s="4" t="s">
        <v>21</v>
      </c>
    </row>
    <row r="18" customFormat="false" ht="15" hidden="false" customHeight="false" outlineLevel="0" collapsed="false">
      <c r="A18" s="4" t="s">
        <v>55</v>
      </c>
      <c r="B18" s="4" t="n">
        <v>1</v>
      </c>
      <c r="C18" s="5" t="n">
        <v>101973</v>
      </c>
      <c r="D18" s="5" t="n">
        <v>45978</v>
      </c>
      <c r="E18" s="5" t="n">
        <v>84744</v>
      </c>
      <c r="F18" s="5" t="n">
        <v>0</v>
      </c>
      <c r="G18" s="5" t="n">
        <v>156</v>
      </c>
      <c r="H18" s="5" t="n">
        <v>6752</v>
      </c>
      <c r="I18" s="5" t="n">
        <v>239603</v>
      </c>
      <c r="J18" s="11" t="n">
        <f aca="false">IF(I18=0,0,C18/I18)</f>
        <v>0.425591499271712</v>
      </c>
      <c r="K18" s="11" t="n">
        <f aca="false">IF(I18=0,0,D18/I18)</f>
        <v>0.191892422048138</v>
      </c>
      <c r="L18" s="11" t="n">
        <f aca="false">IF(I18=0,0,E18/I18)</f>
        <v>0.353685054026869</v>
      </c>
      <c r="M18" s="11" t="n">
        <f aca="false">IF(I18=0,0,H18/I18)</f>
        <v>0.0281799476634266</v>
      </c>
      <c r="N18" s="4" t="str">
        <f aca="false">INDEX($C$3:$F$3,MATCH(MAX(C18:F18),C18:F18,0))</f>
        <v>Sigamos Haciendo Historia (PVEM-PT-Morena)</v>
      </c>
      <c r="O18" s="17" t="n">
        <f aca="false">IF(I18=0,0,(MAX(C18:F18)-LARGE(C18:F18,2))/I18*100)</f>
        <v>7.19064452448425</v>
      </c>
      <c r="P18" s="4" t="s">
        <v>20</v>
      </c>
      <c r="Q18" s="4" t="s">
        <v>10</v>
      </c>
    </row>
    <row r="19" customFormat="false" ht="15" hidden="false" customHeight="false" outlineLevel="0" collapsed="false">
      <c r="A19" s="4" t="s">
        <v>55</v>
      </c>
      <c r="B19" s="4" t="n">
        <v>2</v>
      </c>
      <c r="C19" s="5" t="n">
        <v>121322</v>
      </c>
      <c r="D19" s="5" t="n">
        <v>21936</v>
      </c>
      <c r="E19" s="5" t="n">
        <v>56572</v>
      </c>
      <c r="F19" s="5" t="n">
        <v>0</v>
      </c>
      <c r="G19" s="5" t="n">
        <v>113</v>
      </c>
      <c r="H19" s="5" t="n">
        <v>6291</v>
      </c>
      <c r="I19" s="5" t="n">
        <v>206234</v>
      </c>
      <c r="J19" s="11" t="n">
        <f aca="false">IF(I19=0,0,C19/I19)</f>
        <v>0.588273514551432</v>
      </c>
      <c r="K19" s="11" t="n">
        <f aca="false">IF(I19=0,0,D19/I19)</f>
        <v>0.106364614951948</v>
      </c>
      <c r="L19" s="11" t="n">
        <f aca="false">IF(I19=0,0,E19/I19)</f>
        <v>0.274309764636287</v>
      </c>
      <c r="M19" s="11" t="n">
        <f aca="false">IF(I19=0,0,H19/I19)</f>
        <v>0.0305041845670452</v>
      </c>
      <c r="N19" s="4" t="str">
        <f aca="false">INDEX($C$3:$F$3,MATCH(MAX(C19:F19),C19:F19,0))</f>
        <v>Sigamos Haciendo Historia (PVEM-PT-Morena)</v>
      </c>
      <c r="O19" s="17" t="n">
        <f aca="false">IF(I19=0,0,(MAX(C19:F19)-LARGE(C19:F19,2))/I19*100)</f>
        <v>31.3963749915145</v>
      </c>
      <c r="P19" s="4" t="s">
        <v>20</v>
      </c>
      <c r="Q19" s="4" t="s">
        <v>10</v>
      </c>
    </row>
    <row r="20" customFormat="false" ht="15" hidden="false" customHeight="false" outlineLevel="0" collapsed="false">
      <c r="A20" s="4" t="s">
        <v>56</v>
      </c>
      <c r="B20" s="4" t="n">
        <v>1</v>
      </c>
      <c r="C20" s="5" t="n">
        <v>92012</v>
      </c>
      <c r="D20" s="5" t="n">
        <v>91233</v>
      </c>
      <c r="E20" s="5" t="n">
        <v>6410</v>
      </c>
      <c r="F20" s="5" t="n">
        <v>0</v>
      </c>
      <c r="G20" s="5" t="n">
        <v>46</v>
      </c>
      <c r="H20" s="5" t="n">
        <v>5018</v>
      </c>
      <c r="I20" s="5" t="n">
        <v>194719</v>
      </c>
      <c r="J20" s="11" t="n">
        <f aca="false">IF(I20=0,0,C20/I20)</f>
        <v>0.472537348692218</v>
      </c>
      <c r="K20" s="11" t="n">
        <f aca="false">IF(I20=0,0,D20/I20)</f>
        <v>0.468536711877115</v>
      </c>
      <c r="L20" s="11" t="n">
        <f aca="false">IF(I20=0,0,E20/I20)</f>
        <v>0.0329192323296648</v>
      </c>
      <c r="M20" s="11" t="n">
        <f aca="false">IF(I20=0,0,H20/I20)</f>
        <v>0.0257704692402899</v>
      </c>
      <c r="N20" s="4" t="str">
        <f aca="false">INDEX($C$3:$F$3,MATCH(MAX(C20:F20),C20:F20,0))</f>
        <v>Sigamos Haciendo Historia (PVEM-PT-Morena)</v>
      </c>
      <c r="O20" s="17" t="n">
        <f aca="false">IF(I20=0,0,(MAX(C20:F20)-LARGE(C20:F20,2))/I20*100)</f>
        <v>0.400063681510279</v>
      </c>
      <c r="P20" s="4" t="s">
        <v>20</v>
      </c>
      <c r="Q20" s="4" t="s">
        <v>21</v>
      </c>
    </row>
    <row r="21" customFormat="false" ht="15" hidden="false" customHeight="false" outlineLevel="0" collapsed="false">
      <c r="A21" s="4" t="s">
        <v>56</v>
      </c>
      <c r="B21" s="4" t="n">
        <v>2</v>
      </c>
      <c r="C21" s="5" t="n">
        <v>104547</v>
      </c>
      <c r="D21" s="5" t="n">
        <v>83709</v>
      </c>
      <c r="E21" s="5" t="n">
        <v>5072</v>
      </c>
      <c r="F21" s="5" t="n">
        <v>0</v>
      </c>
      <c r="G21" s="5" t="n">
        <v>68</v>
      </c>
      <c r="H21" s="5" t="n">
        <v>5542</v>
      </c>
      <c r="I21" s="5" t="n">
        <v>198938</v>
      </c>
      <c r="J21" s="11" t="n">
        <f aca="false">IF(I21=0,0,C21/I21)</f>
        <v>0.525525540620696</v>
      </c>
      <c r="K21" s="11" t="n">
        <f aca="false">IF(I21=0,0,D21/I21)</f>
        <v>0.4207793382863</v>
      </c>
      <c r="L21" s="11" t="n">
        <f aca="false">IF(I21=0,0,E21/I21)</f>
        <v>0.0254953804702973</v>
      </c>
      <c r="M21" s="11" t="n">
        <f aca="false">IF(I21=0,0,H21/I21)</f>
        <v>0.0278579255848556</v>
      </c>
      <c r="N21" s="4" t="str">
        <f aca="false">INDEX($C$3:$F$3,MATCH(MAX(C21:F21),C21:F21,0))</f>
        <v>Sigamos Haciendo Historia (PVEM-PT-Morena)</v>
      </c>
      <c r="O21" s="17" t="n">
        <f aca="false">IF(I21=0,0,(MAX(C21:F21)-LARGE(C21:F21,2))/I21*100)</f>
        <v>10.4746202334396</v>
      </c>
      <c r="P21" s="4" t="s">
        <v>20</v>
      </c>
      <c r="Q21" s="4" t="s">
        <v>21</v>
      </c>
    </row>
    <row r="22" customFormat="false" ht="15" hidden="false" customHeight="false" outlineLevel="0" collapsed="false">
      <c r="A22" s="4" t="s">
        <v>56</v>
      </c>
      <c r="B22" s="4" t="n">
        <v>3</v>
      </c>
      <c r="C22" s="5" t="n">
        <v>97836</v>
      </c>
      <c r="D22" s="5" t="n">
        <v>106163</v>
      </c>
      <c r="E22" s="5" t="n">
        <v>7704</v>
      </c>
      <c r="F22" s="5" t="n">
        <v>0</v>
      </c>
      <c r="G22" s="5" t="n">
        <v>45</v>
      </c>
      <c r="H22" s="5" t="n">
        <v>4907</v>
      </c>
      <c r="I22" s="5" t="n">
        <v>216655</v>
      </c>
      <c r="J22" s="11" t="n">
        <f aca="false">IF(I22=0,0,C22/I22)</f>
        <v>0.451575084812259</v>
      </c>
      <c r="K22" s="11" t="n">
        <f aca="false">IF(I22=0,0,D22/I22)</f>
        <v>0.490009462047956</v>
      </c>
      <c r="L22" s="11" t="n">
        <f aca="false">IF(I22=0,0,E22/I22)</f>
        <v>0.035558837783573</v>
      </c>
      <c r="M22" s="11" t="n">
        <f aca="false">IF(I22=0,0,H22/I22)</f>
        <v>0.022648911864485</v>
      </c>
      <c r="N22" s="4" t="str">
        <f aca="false">INDEX($C$3:$F$3,MATCH(MAX(C22:F22),C22:F22,0))</f>
        <v>Fuerza y Corazón por México (PAN-PRI-PRD)</v>
      </c>
      <c r="O22" s="17" t="n">
        <f aca="false">IF(I22=0,0,(MAX(C22:F22)-LARGE(C22:F22,2))/I22*100)</f>
        <v>3.84343772356973</v>
      </c>
      <c r="P22" s="4" t="s">
        <v>21</v>
      </c>
      <c r="Q22" s="4" t="s">
        <v>20</v>
      </c>
    </row>
    <row r="23" customFormat="false" ht="15" hidden="false" customHeight="false" outlineLevel="0" collapsed="false">
      <c r="A23" s="4" t="s">
        <v>56</v>
      </c>
      <c r="B23" s="4" t="n">
        <v>4</v>
      </c>
      <c r="C23" s="5" t="n">
        <v>85476</v>
      </c>
      <c r="D23" s="5" t="n">
        <v>112562</v>
      </c>
      <c r="E23" s="5" t="n">
        <v>13177</v>
      </c>
      <c r="F23" s="5" t="n">
        <v>0</v>
      </c>
      <c r="G23" s="5" t="n">
        <v>103</v>
      </c>
      <c r="H23" s="5" t="n">
        <v>4110</v>
      </c>
      <c r="I23" s="5" t="n">
        <v>215428</v>
      </c>
      <c r="J23" s="11" t="n">
        <f aca="false">IF(I23=0,0,C23/I23)</f>
        <v>0.39677293573723</v>
      </c>
      <c r="K23" s="11" t="n">
        <f aca="false">IF(I23=0,0,D23/I23)</f>
        <v>0.522504038472251</v>
      </c>
      <c r="L23" s="11" t="n">
        <f aca="false">IF(I23=0,0,E23/I23)</f>
        <v>0.0611666078689864</v>
      </c>
      <c r="M23" s="11" t="n">
        <f aca="false">IF(I23=0,0,H23/I23)</f>
        <v>0.0190782999424402</v>
      </c>
      <c r="N23" s="4" t="str">
        <f aca="false">INDEX($C$3:$F$3,MATCH(MAX(C23:F23),C23:F23,0))</f>
        <v>Fuerza y Corazón por México (PAN-PRI-PRD)</v>
      </c>
      <c r="O23" s="17" t="n">
        <f aca="false">IF(I23=0,0,(MAX(C23:F23)-LARGE(C23:F23,2))/I23*100)</f>
        <v>12.5731102735021</v>
      </c>
      <c r="P23" s="4" t="s">
        <v>21</v>
      </c>
      <c r="Q23" s="4" t="s">
        <v>20</v>
      </c>
    </row>
    <row r="24" customFormat="false" ht="15" hidden="false" customHeight="false" outlineLevel="0" collapsed="false">
      <c r="A24" s="4" t="s">
        <v>56</v>
      </c>
      <c r="B24" s="4" t="n">
        <v>5</v>
      </c>
      <c r="C24" s="5" t="n">
        <v>87469</v>
      </c>
      <c r="D24" s="5" t="n">
        <v>96677</v>
      </c>
      <c r="E24" s="5" t="n">
        <v>5763</v>
      </c>
      <c r="F24" s="5" t="n">
        <v>0</v>
      </c>
      <c r="G24" s="5" t="n">
        <v>69</v>
      </c>
      <c r="H24" s="5" t="n">
        <v>3472</v>
      </c>
      <c r="I24" s="5" t="n">
        <v>193450</v>
      </c>
      <c r="J24" s="11" t="n">
        <f aca="false">IF(I24=0,0,C24/I24)</f>
        <v>0.452153011113983</v>
      </c>
      <c r="K24" s="11" t="n">
        <f aca="false">IF(I24=0,0,D24/I24)</f>
        <v>0.499751873869217</v>
      </c>
      <c r="L24" s="11" t="n">
        <f aca="false">IF(I24=0,0,E24/I24)</f>
        <v>0.0297906435771517</v>
      </c>
      <c r="M24" s="11" t="n">
        <f aca="false">IF(I24=0,0,H24/I24)</f>
        <v>0.0179477901266477</v>
      </c>
      <c r="N24" s="4" t="str">
        <f aca="false">INDEX($C$3:$F$3,MATCH(MAX(C24:F24),C24:F24,0))</f>
        <v>Fuerza y Corazón por México (PAN-PRI-PRD)</v>
      </c>
      <c r="O24" s="17" t="n">
        <f aca="false">IF(I24=0,0,(MAX(C24:F24)-LARGE(C24:F24,2))/I24*100)</f>
        <v>4.75988627552339</v>
      </c>
      <c r="P24" s="4" t="s">
        <v>21</v>
      </c>
      <c r="Q24" s="4" t="s">
        <v>20</v>
      </c>
    </row>
    <row r="25" customFormat="false" ht="15" hidden="false" customHeight="false" outlineLevel="0" collapsed="false">
      <c r="A25" s="4" t="s">
        <v>56</v>
      </c>
      <c r="B25" s="4" t="n">
        <v>6</v>
      </c>
      <c r="C25" s="5" t="n">
        <v>89878</v>
      </c>
      <c r="D25" s="5" t="n">
        <v>84346</v>
      </c>
      <c r="E25" s="5" t="n">
        <v>5885</v>
      </c>
      <c r="F25" s="5" t="n">
        <v>0</v>
      </c>
      <c r="G25" s="5" t="n">
        <v>66</v>
      </c>
      <c r="H25" s="5" t="n">
        <v>3427</v>
      </c>
      <c r="I25" s="5" t="n">
        <v>183602</v>
      </c>
      <c r="J25" s="11" t="n">
        <f aca="false">IF(I25=0,0,C25/I25)</f>
        <v>0.489526257883901</v>
      </c>
      <c r="K25" s="11" t="n">
        <f aca="false">IF(I25=0,0,D25/I25)</f>
        <v>0.459395867147417</v>
      </c>
      <c r="L25" s="11" t="n">
        <f aca="false">IF(I25=0,0,E25/I25)</f>
        <v>0.0320530277447958</v>
      </c>
      <c r="M25" s="11" t="n">
        <f aca="false">IF(I25=0,0,H25/I25)</f>
        <v>0.0186653740155336</v>
      </c>
      <c r="N25" s="4" t="str">
        <f aca="false">INDEX($C$3:$F$3,MATCH(MAX(C25:F25),C25:F25,0))</f>
        <v>Sigamos Haciendo Historia (PVEM-PT-Morena)</v>
      </c>
      <c r="O25" s="17" t="n">
        <f aca="false">IF(I25=0,0,(MAX(C25:F25)-LARGE(C25:F25,2))/I25*100)</f>
        <v>3.01303907364844</v>
      </c>
      <c r="P25" s="4" t="s">
        <v>20</v>
      </c>
      <c r="Q25" s="4" t="s">
        <v>21</v>
      </c>
    </row>
    <row r="26" customFormat="false" ht="15" hidden="false" customHeight="false" outlineLevel="0" collapsed="false">
      <c r="A26" s="4" t="s">
        <v>56</v>
      </c>
      <c r="B26" s="4" t="n">
        <v>7</v>
      </c>
      <c r="C26" s="5" t="n">
        <v>98361</v>
      </c>
      <c r="D26" s="5" t="n">
        <v>87796</v>
      </c>
      <c r="E26" s="5" t="n">
        <v>11835</v>
      </c>
      <c r="F26" s="5" t="n">
        <v>0</v>
      </c>
      <c r="G26" s="5" t="n">
        <v>88</v>
      </c>
      <c r="H26" s="5" t="n">
        <v>4083</v>
      </c>
      <c r="I26" s="5" t="n">
        <v>202163</v>
      </c>
      <c r="J26" s="11" t="n">
        <f aca="false">IF(I26=0,0,C26/I26)</f>
        <v>0.486543037054258</v>
      </c>
      <c r="K26" s="11" t="n">
        <f aca="false">IF(I26=0,0,D26/I26)</f>
        <v>0.434283226901065</v>
      </c>
      <c r="L26" s="11" t="n">
        <f aca="false">IF(I26=0,0,E26/I26)</f>
        <v>0.0585418696794171</v>
      </c>
      <c r="M26" s="11" t="n">
        <f aca="false">IF(I26=0,0,H26/I26)</f>
        <v>0.0201965740516316</v>
      </c>
      <c r="N26" s="4" t="str">
        <f aca="false">INDEX($C$3:$F$3,MATCH(MAX(C26:F26),C26:F26,0))</f>
        <v>Sigamos Haciendo Historia (PVEM-PT-Morena)</v>
      </c>
      <c r="O26" s="17" t="n">
        <f aca="false">IF(I26=0,0,(MAX(C26:F26)-LARGE(C26:F26,2))/I26*100)</f>
        <v>5.22598101531932</v>
      </c>
      <c r="P26" s="4" t="s">
        <v>20</v>
      </c>
      <c r="Q26" s="4" t="s">
        <v>21</v>
      </c>
    </row>
    <row r="27" customFormat="false" ht="15" hidden="false" customHeight="false" outlineLevel="0" collapsed="false">
      <c r="A27" s="4" t="s">
        <v>56</v>
      </c>
      <c r="B27" s="4" t="n">
        <v>8</v>
      </c>
      <c r="C27" s="5" t="n">
        <v>88925</v>
      </c>
      <c r="D27" s="5" t="n">
        <v>73475</v>
      </c>
      <c r="E27" s="5" t="n">
        <v>5158</v>
      </c>
      <c r="F27" s="5" t="n">
        <v>0</v>
      </c>
      <c r="G27" s="5" t="n">
        <v>41</v>
      </c>
      <c r="H27" s="5" t="n">
        <v>4061</v>
      </c>
      <c r="I27" s="5" t="n">
        <v>171660</v>
      </c>
      <c r="J27" s="11" t="n">
        <f aca="false">IF(I27=0,0,C27/I27)</f>
        <v>0.518029826401025</v>
      </c>
      <c r="K27" s="11" t="n">
        <f aca="false">IF(I27=0,0,D27/I27)</f>
        <v>0.428026331119655</v>
      </c>
      <c r="L27" s="11" t="n">
        <f aca="false">IF(I27=0,0,E27/I27)</f>
        <v>0.0300477688453921</v>
      </c>
      <c r="M27" s="11" t="n">
        <f aca="false">IF(I27=0,0,H27/I27)</f>
        <v>0.0236572294069673</v>
      </c>
      <c r="N27" s="4" t="str">
        <f aca="false">INDEX($C$3:$F$3,MATCH(MAX(C27:F27),C27:F27,0))</f>
        <v>Sigamos Haciendo Historia (PVEM-PT-Morena)</v>
      </c>
      <c r="O27" s="17" t="n">
        <f aca="false">IF(I27=0,0,(MAX(C27:F27)-LARGE(C27:F27,2))/I27*100)</f>
        <v>9.00034952813702</v>
      </c>
      <c r="P27" s="4" t="s">
        <v>20</v>
      </c>
      <c r="Q27" s="4" t="s">
        <v>21</v>
      </c>
    </row>
    <row r="28" customFormat="false" ht="15" hidden="false" customHeight="false" outlineLevel="0" collapsed="false">
      <c r="A28" s="4" t="s">
        <v>57</v>
      </c>
      <c r="B28" s="4" t="n">
        <v>1</v>
      </c>
      <c r="C28" s="5" t="n">
        <v>77624</v>
      </c>
      <c r="D28" s="5" t="n">
        <v>71068</v>
      </c>
      <c r="E28" s="5" t="n">
        <v>32595</v>
      </c>
      <c r="F28" s="5" t="n">
        <v>0</v>
      </c>
      <c r="G28" s="5" t="n">
        <v>192</v>
      </c>
      <c r="H28" s="5" t="n">
        <v>5840</v>
      </c>
      <c r="I28" s="5" t="n">
        <v>187319</v>
      </c>
      <c r="J28" s="11" t="n">
        <f aca="false">IF(I28=0,0,C28/I28)</f>
        <v>0.414394695679563</v>
      </c>
      <c r="K28" s="11" t="n">
        <f aca="false">IF(I28=0,0,D28/I28)</f>
        <v>0.379395576529877</v>
      </c>
      <c r="L28" s="11" t="n">
        <f aca="false">IF(I28=0,0,E28/I28)</f>
        <v>0.174007975699208</v>
      </c>
      <c r="M28" s="11" t="n">
        <f aca="false">IF(I28=0,0,H28/I28)</f>
        <v>0.0311767626348635</v>
      </c>
      <c r="N28" s="4" t="str">
        <f aca="false">INDEX($C$3:$F$3,MATCH(MAX(C28:F28),C28:F28,0))</f>
        <v>Sigamos Haciendo Historia (PVEM-PT-Morena)</v>
      </c>
      <c r="O28" s="17" t="n">
        <f aca="false">IF(I28=0,0,(MAX(C28:F28)-LARGE(C28:F28,2))/I28*100)</f>
        <v>3.49991191496858</v>
      </c>
      <c r="P28" s="4" t="s">
        <v>20</v>
      </c>
      <c r="Q28" s="4" t="s">
        <v>21</v>
      </c>
    </row>
    <row r="29" customFormat="false" ht="15" hidden="false" customHeight="false" outlineLevel="0" collapsed="false">
      <c r="A29" s="4" t="s">
        <v>57</v>
      </c>
      <c r="B29" s="4" t="n">
        <v>2</v>
      </c>
      <c r="C29" s="5" t="n">
        <v>88278</v>
      </c>
      <c r="D29" s="5" t="n">
        <v>36460</v>
      </c>
      <c r="E29" s="5" t="n">
        <v>21548</v>
      </c>
      <c r="F29" s="5" t="n">
        <v>0</v>
      </c>
      <c r="G29" s="5" t="n">
        <v>113</v>
      </c>
      <c r="H29" s="5" t="n">
        <v>4864</v>
      </c>
      <c r="I29" s="5" t="n">
        <v>151263</v>
      </c>
      <c r="J29" s="11" t="n">
        <f aca="false">IF(I29=0,0,C29/I29)</f>
        <v>0.583606037167053</v>
      </c>
      <c r="K29" s="11" t="n">
        <f aca="false">IF(I29=0,0,D29/I29)</f>
        <v>0.2410371339984</v>
      </c>
      <c r="L29" s="11" t="n">
        <f aca="false">IF(I29=0,0,E29/I29)</f>
        <v>0.142453871733339</v>
      </c>
      <c r="M29" s="11" t="n">
        <f aca="false">IF(I29=0,0,H29/I29)</f>
        <v>0.0321559138718656</v>
      </c>
      <c r="N29" s="4" t="str">
        <f aca="false">INDEX($C$3:$F$3,MATCH(MAX(C29:F29),C29:F29,0))</f>
        <v>Sigamos Haciendo Historia (PVEM-PT-Morena)</v>
      </c>
      <c r="O29" s="17" t="n">
        <f aca="false">IF(I29=0,0,(MAX(C29:F29)-LARGE(C29:F29,2))/I29*100)</f>
        <v>34.2568903168653</v>
      </c>
      <c r="P29" s="4" t="s">
        <v>20</v>
      </c>
      <c r="Q29" s="4" t="s">
        <v>21</v>
      </c>
    </row>
    <row r="30" customFormat="false" ht="15" hidden="false" customHeight="false" outlineLevel="0" collapsed="false">
      <c r="A30" s="4" t="s">
        <v>58</v>
      </c>
      <c r="B30" s="4" t="n">
        <v>1</v>
      </c>
      <c r="C30" s="5" t="n">
        <v>170772</v>
      </c>
      <c r="D30" s="5" t="n">
        <v>12235</v>
      </c>
      <c r="E30" s="5" t="n">
        <v>11216</v>
      </c>
      <c r="F30" s="5" t="n">
        <v>0</v>
      </c>
      <c r="G30" s="5" t="n">
        <v>140</v>
      </c>
      <c r="H30" s="5" t="n">
        <v>13608</v>
      </c>
      <c r="I30" s="5" t="n">
        <v>207971</v>
      </c>
      <c r="J30" s="11" t="n">
        <f aca="false">IF(I30=0,0,C30/I30)</f>
        <v>0.821133715758447</v>
      </c>
      <c r="K30" s="11" t="n">
        <f aca="false">IF(I30=0,0,D30/I30)</f>
        <v>0.0588303176885239</v>
      </c>
      <c r="L30" s="11" t="n">
        <f aca="false">IF(I30=0,0,E30/I30)</f>
        <v>0.0539305960927245</v>
      </c>
      <c r="M30" s="11" t="n">
        <f aca="false">IF(I30=0,0,H30/I30)</f>
        <v>0.0654321996816864</v>
      </c>
      <c r="N30" s="4" t="str">
        <f aca="false">INDEX($C$3:$F$3,MATCH(MAX(C30:F30),C30:F30,0))</f>
        <v>Sigamos Haciendo Historia (PVEM-PT-Morena)</v>
      </c>
      <c r="O30" s="17" t="n">
        <f aca="false">IF(I30=0,0,(MAX(C30:F30)-LARGE(C30:F30,2))/I30*100)</f>
        <v>76.2303398069923</v>
      </c>
      <c r="P30" s="4" t="s">
        <v>20</v>
      </c>
      <c r="Q30" s="4" t="s">
        <v>21</v>
      </c>
    </row>
    <row r="31" customFormat="false" ht="15" hidden="false" customHeight="false" outlineLevel="0" collapsed="false">
      <c r="A31" s="4" t="s">
        <v>58</v>
      </c>
      <c r="B31" s="4" t="n">
        <v>2</v>
      </c>
      <c r="C31" s="5" t="n">
        <v>112828</v>
      </c>
      <c r="D31" s="5" t="n">
        <v>47561</v>
      </c>
      <c r="E31" s="5" t="n">
        <v>5335</v>
      </c>
      <c r="F31" s="5" t="n">
        <v>0</v>
      </c>
      <c r="G31" s="5" t="n">
        <v>59</v>
      </c>
      <c r="H31" s="5" t="n">
        <v>15458</v>
      </c>
      <c r="I31" s="5" t="n">
        <v>181241</v>
      </c>
      <c r="J31" s="11" t="n">
        <f aca="false">IF(I31=0,0,C31/I31)</f>
        <v>0.622530222190343</v>
      </c>
      <c r="K31" s="11" t="n">
        <f aca="false">IF(I31=0,0,D31/I31)</f>
        <v>0.262418547679609</v>
      </c>
      <c r="L31" s="11" t="n">
        <f aca="false">IF(I31=0,0,E31/I31)</f>
        <v>0.0294359444055153</v>
      </c>
      <c r="M31" s="11" t="n">
        <f aca="false">IF(I31=0,0,H31/I31)</f>
        <v>0.0852897523187358</v>
      </c>
      <c r="N31" s="4" t="str">
        <f aca="false">INDEX($C$3:$F$3,MATCH(MAX(C31:F31),C31:F31,0))</f>
        <v>Sigamos Haciendo Historia (PVEM-PT-Morena)</v>
      </c>
      <c r="O31" s="17" t="n">
        <f aca="false">IF(I31=0,0,(MAX(C31:F31)-LARGE(C31:F31,2))/I31*100)</f>
        <v>36.0111674510734</v>
      </c>
      <c r="P31" s="4" t="s">
        <v>20</v>
      </c>
      <c r="Q31" s="4" t="s">
        <v>21</v>
      </c>
    </row>
    <row r="32" customFormat="false" ht="15" hidden="false" customHeight="false" outlineLevel="0" collapsed="false">
      <c r="A32" s="4" t="s">
        <v>58</v>
      </c>
      <c r="B32" s="4" t="n">
        <v>3</v>
      </c>
      <c r="C32" s="5" t="n">
        <v>170248</v>
      </c>
      <c r="D32" s="5" t="n">
        <v>10757</v>
      </c>
      <c r="E32" s="5" t="n">
        <v>5661</v>
      </c>
      <c r="F32" s="5" t="n">
        <v>0</v>
      </c>
      <c r="G32" s="5" t="n">
        <v>216</v>
      </c>
      <c r="H32" s="5" t="n">
        <v>8709</v>
      </c>
      <c r="I32" s="5" t="n">
        <v>195591</v>
      </c>
      <c r="J32" s="11" t="n">
        <f aca="false">IF(I32=0,0,C32/I32)</f>
        <v>0.870428598452894</v>
      </c>
      <c r="K32" s="11" t="n">
        <f aca="false">IF(I32=0,0,D32/I32)</f>
        <v>0.0549974180816091</v>
      </c>
      <c r="L32" s="11" t="n">
        <f aca="false">IF(I32=0,0,E32/I32)</f>
        <v>0.0289430495268187</v>
      </c>
      <c r="M32" s="11" t="n">
        <f aca="false">IF(I32=0,0,H32/I32)</f>
        <v>0.0445265886467169</v>
      </c>
      <c r="N32" s="4" t="str">
        <f aca="false">INDEX($C$3:$F$3,MATCH(MAX(C32:F32),C32:F32,0))</f>
        <v>Sigamos Haciendo Historia (PVEM-PT-Morena)</v>
      </c>
      <c r="O32" s="17" t="n">
        <f aca="false">IF(I32=0,0,(MAX(C32:F32)-LARGE(C32:F32,2))/I32*100)</f>
        <v>81.5431180371285</v>
      </c>
      <c r="P32" s="4" t="s">
        <v>20</v>
      </c>
      <c r="Q32" s="4" t="s">
        <v>21</v>
      </c>
    </row>
    <row r="33" customFormat="false" ht="15" hidden="false" customHeight="false" outlineLevel="0" collapsed="false">
      <c r="A33" s="4" t="s">
        <v>58</v>
      </c>
      <c r="B33" s="4" t="n">
        <v>4</v>
      </c>
      <c r="C33" s="5" t="n">
        <v>136886</v>
      </c>
      <c r="D33" s="5" t="n">
        <v>29746</v>
      </c>
      <c r="E33" s="5" t="n">
        <v>13665</v>
      </c>
      <c r="F33" s="5" t="n">
        <v>0</v>
      </c>
      <c r="G33" s="5" t="n">
        <v>117</v>
      </c>
      <c r="H33" s="5" t="n">
        <v>19611</v>
      </c>
      <c r="I33" s="5" t="n">
        <v>200025</v>
      </c>
      <c r="J33" s="11" t="n">
        <f aca="false">IF(I33=0,0,C33/I33)</f>
        <v>0.684344456942882</v>
      </c>
      <c r="K33" s="11" t="n">
        <f aca="false">IF(I33=0,0,D33/I33)</f>
        <v>0.148711411073616</v>
      </c>
      <c r="L33" s="11" t="n">
        <f aca="false">IF(I33=0,0,E33/I33)</f>
        <v>0.0683164604424447</v>
      </c>
      <c r="M33" s="11" t="n">
        <f aca="false">IF(I33=0,0,H33/I33)</f>
        <v>0.0980427446569179</v>
      </c>
      <c r="N33" s="4" t="str">
        <f aca="false">INDEX($C$3:$F$3,MATCH(MAX(C33:F33),C33:F33,0))</f>
        <v>Sigamos Haciendo Historia (PVEM-PT-Morena)</v>
      </c>
      <c r="O33" s="17" t="n">
        <f aca="false">IF(I33=0,0,(MAX(C33:F33)-LARGE(C33:F33,2))/I33*100)</f>
        <v>53.5633045869266</v>
      </c>
      <c r="P33" s="4" t="s">
        <v>20</v>
      </c>
      <c r="Q33" s="4" t="s">
        <v>21</v>
      </c>
    </row>
    <row r="34" customFormat="false" ht="15" hidden="false" customHeight="false" outlineLevel="0" collapsed="false">
      <c r="A34" s="4" t="s">
        <v>58</v>
      </c>
      <c r="B34" s="4" t="n">
        <v>5</v>
      </c>
      <c r="C34" s="5" t="n">
        <v>89342</v>
      </c>
      <c r="D34" s="5" t="n">
        <v>77947</v>
      </c>
      <c r="E34" s="5" t="n">
        <v>15360</v>
      </c>
      <c r="F34" s="5" t="n">
        <v>0</v>
      </c>
      <c r="G34" s="5" t="n">
        <v>216</v>
      </c>
      <c r="H34" s="5" t="n">
        <v>15033</v>
      </c>
      <c r="I34" s="5" t="n">
        <v>197898</v>
      </c>
      <c r="J34" s="11" t="n">
        <f aca="false">IF(I34=0,0,C34/I34)</f>
        <v>0.451454789841231</v>
      </c>
      <c r="K34" s="11" t="n">
        <f aca="false">IF(I34=0,0,D34/I34)</f>
        <v>0.393874622280165</v>
      </c>
      <c r="L34" s="11" t="n">
        <f aca="false">IF(I34=0,0,E34/I34)</f>
        <v>0.0776157414425613</v>
      </c>
      <c r="M34" s="11" t="n">
        <f aca="false">IF(I34=0,0,H34/I34)</f>
        <v>0.0759633750720068</v>
      </c>
      <c r="N34" s="4" t="str">
        <f aca="false">INDEX($C$3:$F$3,MATCH(MAX(C34:F34),C34:F34,0))</f>
        <v>Sigamos Haciendo Historia (PVEM-PT-Morena)</v>
      </c>
      <c r="O34" s="17" t="n">
        <f aca="false">IF(I34=0,0,(MAX(C34:F34)-LARGE(C34:F34,2))/I34*100)</f>
        <v>5.75801675610668</v>
      </c>
      <c r="P34" s="4" t="s">
        <v>20</v>
      </c>
      <c r="Q34" s="4" t="s">
        <v>21</v>
      </c>
    </row>
    <row r="35" customFormat="false" ht="15" hidden="false" customHeight="false" outlineLevel="0" collapsed="false">
      <c r="A35" s="4" t="s">
        <v>58</v>
      </c>
      <c r="B35" s="4" t="n">
        <v>6</v>
      </c>
      <c r="C35" s="5" t="n">
        <v>135751</v>
      </c>
      <c r="D35" s="5" t="n">
        <v>23796</v>
      </c>
      <c r="E35" s="5" t="n">
        <v>14555</v>
      </c>
      <c r="F35" s="5" t="n">
        <v>0</v>
      </c>
      <c r="G35" s="5" t="n">
        <v>160</v>
      </c>
      <c r="H35" s="5" t="n">
        <v>11260</v>
      </c>
      <c r="I35" s="5" t="n">
        <v>185522</v>
      </c>
      <c r="J35" s="11" t="n">
        <f aca="false">IF(I35=0,0,C35/I35)</f>
        <v>0.731724539407725</v>
      </c>
      <c r="K35" s="11" t="n">
        <f aca="false">IF(I35=0,0,D35/I35)</f>
        <v>0.128265111415358</v>
      </c>
      <c r="L35" s="11" t="n">
        <f aca="false">IF(I35=0,0,E35/I35)</f>
        <v>0.0784543073058721</v>
      </c>
      <c r="M35" s="11" t="n">
        <f aca="false">IF(I35=0,0,H35/I35)</f>
        <v>0.060693610461293</v>
      </c>
      <c r="N35" s="4" t="str">
        <f aca="false">INDEX($C$3:$F$3,MATCH(MAX(C35:F35),C35:F35,0))</f>
        <v>Sigamos Haciendo Historia (PVEM-PT-Morena)</v>
      </c>
      <c r="O35" s="17" t="n">
        <f aca="false">IF(I35=0,0,(MAX(C35:F35)-LARGE(C35:F35,2))/I35*100)</f>
        <v>60.3459427992368</v>
      </c>
      <c r="P35" s="4" t="s">
        <v>20</v>
      </c>
      <c r="Q35" s="4" t="s">
        <v>21</v>
      </c>
    </row>
    <row r="36" customFormat="false" ht="15" hidden="false" customHeight="false" outlineLevel="0" collapsed="false">
      <c r="A36" s="4" t="s">
        <v>58</v>
      </c>
      <c r="B36" s="4" t="n">
        <v>7</v>
      </c>
      <c r="C36" s="5" t="n">
        <v>154359</v>
      </c>
      <c r="D36" s="5" t="n">
        <v>18735</v>
      </c>
      <c r="E36" s="5" t="n">
        <v>10132</v>
      </c>
      <c r="F36" s="5" t="n">
        <v>0</v>
      </c>
      <c r="G36" s="5" t="n">
        <v>109</v>
      </c>
      <c r="H36" s="5" t="n">
        <v>11958</v>
      </c>
      <c r="I36" s="5" t="n">
        <v>195293</v>
      </c>
      <c r="J36" s="11" t="n">
        <f aca="false">IF(I36=0,0,C36/I36)</f>
        <v>0.790396993235805</v>
      </c>
      <c r="K36" s="11" t="n">
        <f aca="false">IF(I36=0,0,D36/I36)</f>
        <v>0.0959327779285484</v>
      </c>
      <c r="L36" s="11" t="n">
        <f aca="false">IF(I36=0,0,E36/I36)</f>
        <v>0.0518810198010169</v>
      </c>
      <c r="M36" s="11" t="n">
        <f aca="false">IF(I36=0,0,H36/I36)</f>
        <v>0.0612310733103593</v>
      </c>
      <c r="N36" s="4" t="str">
        <f aca="false">INDEX($C$3:$F$3,MATCH(MAX(C36:F36),C36:F36,0))</f>
        <v>Sigamos Haciendo Historia (PVEM-PT-Morena)</v>
      </c>
      <c r="O36" s="17" t="n">
        <f aca="false">IF(I36=0,0,(MAX(C36:F36)-LARGE(C36:F36,2))/I36*100)</f>
        <v>69.4464215307256</v>
      </c>
      <c r="P36" s="4" t="s">
        <v>22</v>
      </c>
      <c r="Q36" s="4" t="s">
        <v>59</v>
      </c>
    </row>
    <row r="37" customFormat="false" ht="15" hidden="false" customHeight="false" outlineLevel="0" collapsed="false">
      <c r="A37" s="4" t="s">
        <v>58</v>
      </c>
      <c r="B37" s="4" t="n">
        <v>8</v>
      </c>
      <c r="C37" s="5" t="n">
        <v>142400</v>
      </c>
      <c r="D37" s="5" t="n">
        <v>19354</v>
      </c>
      <c r="E37" s="5" t="n">
        <v>7904</v>
      </c>
      <c r="F37" s="5" t="n">
        <v>0</v>
      </c>
      <c r="G37" s="5" t="n">
        <v>76</v>
      </c>
      <c r="H37" s="5" t="n">
        <v>11119</v>
      </c>
      <c r="I37" s="5" t="n">
        <v>180853</v>
      </c>
      <c r="J37" s="11" t="n">
        <f aca="false">IF(I37=0,0,C37/I37)</f>
        <v>0.787379805698551</v>
      </c>
      <c r="K37" s="11" t="n">
        <f aca="false">IF(I37=0,0,D37/I37)</f>
        <v>0.107015089603158</v>
      </c>
      <c r="L37" s="11" t="n">
        <f aca="false">IF(I37=0,0,E37/I37)</f>
        <v>0.0437040026983241</v>
      </c>
      <c r="M37" s="11" t="n">
        <f aca="false">IF(I37=0,0,H37/I37)</f>
        <v>0.0614808712047906</v>
      </c>
      <c r="N37" s="4" t="str">
        <f aca="false">INDEX($C$3:$F$3,MATCH(MAX(C37:F37),C37:F37,0))</f>
        <v>Sigamos Haciendo Historia (PVEM-PT-Morena)</v>
      </c>
      <c r="O37" s="17" t="n">
        <f aca="false">IF(I37=0,0,(MAX(C37:F37)-LARGE(C37:F37,2))/I37*100)</f>
        <v>68.0364716095392</v>
      </c>
      <c r="P37" s="4" t="s">
        <v>20</v>
      </c>
      <c r="Q37" s="4" t="s">
        <v>21</v>
      </c>
    </row>
    <row r="38" customFormat="false" ht="15" hidden="false" customHeight="false" outlineLevel="0" collapsed="false">
      <c r="A38" s="4" t="s">
        <v>58</v>
      </c>
      <c r="B38" s="4" t="n">
        <v>9</v>
      </c>
      <c r="C38" s="5" t="n">
        <v>92163</v>
      </c>
      <c r="D38" s="5" t="n">
        <v>41311</v>
      </c>
      <c r="E38" s="5" t="n">
        <v>21726</v>
      </c>
      <c r="F38" s="5" t="n">
        <v>10032</v>
      </c>
      <c r="G38" s="5" t="n">
        <v>265</v>
      </c>
      <c r="H38" s="5" t="n">
        <v>8084</v>
      </c>
      <c r="I38" s="5" t="n">
        <v>173581</v>
      </c>
      <c r="J38" s="11" t="n">
        <f aca="false">IF(I38=0,0,C38/I38)</f>
        <v>0.530950968135914</v>
      </c>
      <c r="K38" s="11" t="n">
        <f aca="false">IF(I38=0,0,D38/I38)</f>
        <v>0.237992637443038</v>
      </c>
      <c r="L38" s="11" t="n">
        <f aca="false">IF(I38=0,0,E38/I38)</f>
        <v>0.125163468351951</v>
      </c>
      <c r="M38" s="11" t="n">
        <f aca="false">IF(I38=0,0,H38/I38)</f>
        <v>0.0465719174333596</v>
      </c>
      <c r="N38" s="4" t="str">
        <f aca="false">INDEX($C$3:$F$3,MATCH(MAX(C38:F38),C38:F38,0))</f>
        <v>Sigamos Haciendo Historia (PVEM-PT-Morena)</v>
      </c>
      <c r="O38" s="17" t="n">
        <f aca="false">IF(I38=0,0,(MAX(C38:F38)-LARGE(C38:F38,2))/I38*100)</f>
        <v>29.2958330692875</v>
      </c>
      <c r="P38" s="4" t="s">
        <v>20</v>
      </c>
      <c r="Q38" s="4" t="s">
        <v>21</v>
      </c>
    </row>
    <row r="39" customFormat="false" ht="15" hidden="false" customHeight="false" outlineLevel="0" collapsed="false">
      <c r="A39" s="4" t="s">
        <v>58</v>
      </c>
      <c r="B39" s="4" t="n">
        <v>10</v>
      </c>
      <c r="C39" s="5" t="n">
        <v>134418</v>
      </c>
      <c r="D39" s="5" t="n">
        <v>25058</v>
      </c>
      <c r="E39" s="5" t="n">
        <v>12546</v>
      </c>
      <c r="F39" s="5" t="n">
        <v>0</v>
      </c>
      <c r="G39" s="5" t="n">
        <v>155</v>
      </c>
      <c r="H39" s="5" t="n">
        <v>14725</v>
      </c>
      <c r="I39" s="5" t="n">
        <v>186902</v>
      </c>
      <c r="J39" s="11" t="n">
        <f aca="false">IF(I39=0,0,C39/I39)</f>
        <v>0.71918973579737</v>
      </c>
      <c r="K39" s="11" t="n">
        <f aca="false">IF(I39=0,0,D39/I39)</f>
        <v>0.134070261420424</v>
      </c>
      <c r="L39" s="11" t="n">
        <f aca="false">IF(I39=0,0,E39/I39)</f>
        <v>0.0671260874682989</v>
      </c>
      <c r="M39" s="11" t="n">
        <f aca="false">IF(I39=0,0,H39/I39)</f>
        <v>0.0787846036960546</v>
      </c>
      <c r="N39" s="4" t="str">
        <f aca="false">INDEX($C$3:$F$3,MATCH(MAX(C39:F39),C39:F39,0))</f>
        <v>Sigamos Haciendo Historia (PVEM-PT-Morena)</v>
      </c>
      <c r="O39" s="17" t="n">
        <f aca="false">IF(I39=0,0,(MAX(C39:F39)-LARGE(C39:F39,2))/I39*100)</f>
        <v>58.5119474376946</v>
      </c>
      <c r="P39" s="4" t="s">
        <v>20</v>
      </c>
      <c r="Q39" s="4" t="s">
        <v>21</v>
      </c>
    </row>
    <row r="40" customFormat="false" ht="15" hidden="false" customHeight="false" outlineLevel="0" collapsed="false">
      <c r="A40" s="4" t="s">
        <v>58</v>
      </c>
      <c r="B40" s="4" t="n">
        <v>11</v>
      </c>
      <c r="C40" s="5" t="n">
        <v>148585</v>
      </c>
      <c r="D40" s="5" t="n">
        <v>14193</v>
      </c>
      <c r="E40" s="5" t="n">
        <v>5824</v>
      </c>
      <c r="F40" s="5" t="n">
        <v>0</v>
      </c>
      <c r="G40" s="5" t="n">
        <v>83</v>
      </c>
      <c r="H40" s="5" t="n">
        <v>15017</v>
      </c>
      <c r="I40" s="5" t="n">
        <v>183702</v>
      </c>
      <c r="J40" s="11" t="n">
        <f aca="false">IF(I40=0,0,C40/I40)</f>
        <v>0.808837138408945</v>
      </c>
      <c r="K40" s="11" t="n">
        <f aca="false">IF(I40=0,0,D40/I40)</f>
        <v>0.0772609987915211</v>
      </c>
      <c r="L40" s="11" t="n">
        <f aca="false">IF(I40=0,0,E40/I40)</f>
        <v>0.0317035198310307</v>
      </c>
      <c r="M40" s="11" t="n">
        <f aca="false">IF(I40=0,0,H40/I40)</f>
        <v>0.0817465242621202</v>
      </c>
      <c r="N40" s="4" t="str">
        <f aca="false">INDEX($C$3:$F$3,MATCH(MAX(C40:F40),C40:F40,0))</f>
        <v>Sigamos Haciendo Historia (PVEM-PT-Morena)</v>
      </c>
      <c r="O40" s="17" t="n">
        <f aca="false">IF(I40=0,0,(MAX(C40:F40)-LARGE(C40:F40,2))/I40*100)</f>
        <v>73.1576139617424</v>
      </c>
      <c r="P40" s="4" t="s">
        <v>20</v>
      </c>
      <c r="Q40" s="4" t="s">
        <v>21</v>
      </c>
    </row>
    <row r="41" customFormat="false" ht="15" hidden="false" customHeight="false" outlineLevel="0" collapsed="false">
      <c r="A41" s="4" t="s">
        <v>58</v>
      </c>
      <c r="B41" s="4" t="n">
        <v>12</v>
      </c>
      <c r="C41" s="5" t="n">
        <v>125889</v>
      </c>
      <c r="D41" s="5" t="n">
        <v>26506</v>
      </c>
      <c r="E41" s="5" t="n">
        <v>15352</v>
      </c>
      <c r="F41" s="5" t="n">
        <v>0</v>
      </c>
      <c r="G41" s="5" t="n">
        <v>155</v>
      </c>
      <c r="H41" s="5" t="n">
        <v>13763</v>
      </c>
      <c r="I41" s="5" t="n">
        <v>181665</v>
      </c>
      <c r="J41" s="11" t="n">
        <f aca="false">IF(I41=0,0,C41/I41)</f>
        <v>0.692973330030551</v>
      </c>
      <c r="K41" s="11" t="n">
        <f aca="false">IF(I41=0,0,D41/I41)</f>
        <v>0.145905925742438</v>
      </c>
      <c r="L41" s="11" t="n">
        <f aca="false">IF(I41=0,0,E41/I41)</f>
        <v>0.0845071973137368</v>
      </c>
      <c r="M41" s="11" t="n">
        <f aca="false">IF(I41=0,0,H41/I41)</f>
        <v>0.0757603280764044</v>
      </c>
      <c r="N41" s="4" t="str">
        <f aca="false">INDEX($C$3:$F$3,MATCH(MAX(C41:F41),C41:F41,0))</f>
        <v>Sigamos Haciendo Historia (PVEM-PT-Morena)</v>
      </c>
      <c r="O41" s="17" t="n">
        <f aca="false">IF(I41=0,0,(MAX(C41:F41)-LARGE(C41:F41,2))/I41*100)</f>
        <v>54.7067404288113</v>
      </c>
      <c r="P41" s="4" t="s">
        <v>22</v>
      </c>
      <c r="Q41" s="4" t="s">
        <v>59</v>
      </c>
    </row>
    <row r="42" customFormat="false" ht="15" hidden="false" customHeight="false" outlineLevel="0" collapsed="false">
      <c r="A42" s="4" t="s">
        <v>58</v>
      </c>
      <c r="B42" s="4" t="n">
        <v>13</v>
      </c>
      <c r="C42" s="5" t="n">
        <v>130673</v>
      </c>
      <c r="D42" s="5" t="n">
        <v>30998</v>
      </c>
      <c r="E42" s="5" t="n">
        <v>9781</v>
      </c>
      <c r="F42" s="5" t="n">
        <v>0</v>
      </c>
      <c r="G42" s="5" t="n">
        <v>61</v>
      </c>
      <c r="H42" s="5" t="n">
        <v>14002</v>
      </c>
      <c r="I42" s="5" t="n">
        <v>185515</v>
      </c>
      <c r="J42" s="11" t="n">
        <f aca="false">IF(I42=0,0,C42/I42)</f>
        <v>0.704379699754737</v>
      </c>
      <c r="K42" s="11" t="n">
        <f aca="false">IF(I42=0,0,D42/I42)</f>
        <v>0.16709160984287</v>
      </c>
      <c r="L42" s="11" t="n">
        <f aca="false">IF(I42=0,0,E42/I42)</f>
        <v>0.052723499447484</v>
      </c>
      <c r="M42" s="11" t="n">
        <f aca="false">IF(I42=0,0,H42/I42)</f>
        <v>0.0754763765733229</v>
      </c>
      <c r="N42" s="4" t="str">
        <f aca="false">INDEX($C$3:$F$3,MATCH(MAX(C42:F42),C42:F42,0))</f>
        <v>Sigamos Haciendo Historia (PVEM-PT-Morena)</v>
      </c>
      <c r="O42" s="17" t="n">
        <f aca="false">IF(I42=0,0,(MAX(C42:F42)-LARGE(C42:F42,2))/I42*100)</f>
        <v>53.7288089911867</v>
      </c>
      <c r="P42" s="4" t="s">
        <v>20</v>
      </c>
      <c r="Q42" s="4" t="s">
        <v>21</v>
      </c>
    </row>
    <row r="43" customFormat="false" ht="15" hidden="false" customHeight="false" outlineLevel="0" collapsed="false">
      <c r="A43" s="4" t="s">
        <v>60</v>
      </c>
      <c r="B43" s="4" t="n">
        <v>1</v>
      </c>
      <c r="C43" s="5" t="n">
        <v>114462</v>
      </c>
      <c r="D43" s="5" t="n">
        <v>22102</v>
      </c>
      <c r="E43" s="5" t="n">
        <v>15018</v>
      </c>
      <c r="F43" s="5" t="n">
        <v>0</v>
      </c>
      <c r="G43" s="5" t="n">
        <v>92</v>
      </c>
      <c r="H43" s="5" t="n">
        <v>3532</v>
      </c>
      <c r="I43" s="5" t="n">
        <v>155206</v>
      </c>
      <c r="J43" s="11" t="n">
        <f aca="false">IF(I43=0,0,C43/I43)</f>
        <v>0.737484375604036</v>
      </c>
      <c r="K43" s="11" t="n">
        <f aca="false">IF(I43=0,0,D43/I43)</f>
        <v>0.142404288494002</v>
      </c>
      <c r="L43" s="11" t="n">
        <f aca="false">IF(I43=0,0,E43/I43)</f>
        <v>0.0967617231292605</v>
      </c>
      <c r="M43" s="11" t="n">
        <f aca="false">IF(I43=0,0,H43/I43)</f>
        <v>0.0227568521835496</v>
      </c>
      <c r="N43" s="4" t="str">
        <f aca="false">INDEX($C$3:$F$3,MATCH(MAX(C43:F43),C43:F43,0))</f>
        <v>Sigamos Haciendo Historia (PVEM-PT-Morena)</v>
      </c>
      <c r="O43" s="17" t="n">
        <f aca="false">IF(I43=0,0,(MAX(C43:F43)-LARGE(C43:F43,2))/I43*100)</f>
        <v>59.5080087110035</v>
      </c>
      <c r="P43" s="4" t="s">
        <v>20</v>
      </c>
      <c r="Q43" s="4" t="s">
        <v>21</v>
      </c>
    </row>
    <row r="44" customFormat="false" ht="15" hidden="false" customHeight="false" outlineLevel="0" collapsed="false">
      <c r="A44" s="4" t="s">
        <v>60</v>
      </c>
      <c r="B44" s="4" t="n">
        <v>2</v>
      </c>
      <c r="C44" s="5" t="n">
        <v>101889</v>
      </c>
      <c r="D44" s="5" t="n">
        <v>13390</v>
      </c>
      <c r="E44" s="5" t="n">
        <v>8499</v>
      </c>
      <c r="F44" s="5" t="n">
        <v>0</v>
      </c>
      <c r="G44" s="5" t="n">
        <v>96</v>
      </c>
      <c r="H44" s="5" t="n">
        <v>2958</v>
      </c>
      <c r="I44" s="5" t="n">
        <v>126832</v>
      </c>
      <c r="J44" s="11" t="n">
        <f aca="false">IF(I44=0,0,C44/I44)</f>
        <v>0.803338274252555</v>
      </c>
      <c r="K44" s="11" t="n">
        <f aca="false">IF(I44=0,0,D44/I44)</f>
        <v>0.105572726125899</v>
      </c>
      <c r="L44" s="11" t="n">
        <f aca="false">IF(I44=0,0,E44/I44)</f>
        <v>0.0670099028636306</v>
      </c>
      <c r="M44" s="11" t="n">
        <f aca="false">IF(I44=0,0,H44/I44)</f>
        <v>0.0233221899836004</v>
      </c>
      <c r="N44" s="4" t="str">
        <f aca="false">INDEX($C$3:$F$3,MATCH(MAX(C44:F44),C44:F44,0))</f>
        <v>Sigamos Haciendo Historia (PVEM-PT-Morena)</v>
      </c>
      <c r="O44" s="17" t="n">
        <f aca="false">IF(I44=0,0,(MAX(C44:F44)-LARGE(C44:F44,2))/I44*100)</f>
        <v>69.7765548126656</v>
      </c>
      <c r="P44" s="4" t="s">
        <v>20</v>
      </c>
      <c r="Q44" s="4" t="s">
        <v>21</v>
      </c>
    </row>
    <row r="45" customFormat="false" ht="15" hidden="false" customHeight="false" outlineLevel="0" collapsed="false">
      <c r="A45" s="4" t="s">
        <v>60</v>
      </c>
      <c r="B45" s="4" t="n">
        <v>3</v>
      </c>
      <c r="C45" s="5" t="n">
        <v>118508</v>
      </c>
      <c r="D45" s="5" t="n">
        <v>23705</v>
      </c>
      <c r="E45" s="5" t="n">
        <v>11300</v>
      </c>
      <c r="F45" s="5" t="n">
        <v>0</v>
      </c>
      <c r="G45" s="5" t="n">
        <v>156</v>
      </c>
      <c r="H45" s="5" t="n">
        <v>4988</v>
      </c>
      <c r="I45" s="5" t="n">
        <v>158657</v>
      </c>
      <c r="J45" s="11" t="n">
        <f aca="false">IF(I45=0,0,C45/I45)</f>
        <v>0.746944666796927</v>
      </c>
      <c r="K45" s="11" t="n">
        <f aca="false">IF(I45=0,0,D45/I45)</f>
        <v>0.149410363236416</v>
      </c>
      <c r="L45" s="11" t="n">
        <f aca="false">IF(I45=0,0,E45/I45)</f>
        <v>0.0712228266007803</v>
      </c>
      <c r="M45" s="11" t="n">
        <f aca="false">IF(I45=0,0,H45/I45)</f>
        <v>0.031438890184486</v>
      </c>
      <c r="N45" s="4" t="str">
        <f aca="false">INDEX($C$3:$F$3,MATCH(MAX(C45:F45),C45:F45,0))</f>
        <v>Sigamos Haciendo Historia (PVEM-PT-Morena)</v>
      </c>
      <c r="O45" s="17" t="n">
        <f aca="false">IF(I45=0,0,(MAX(C45:F45)-LARGE(C45:F45,2))/I45*100)</f>
        <v>59.7534303560511</v>
      </c>
      <c r="P45" s="4" t="s">
        <v>20</v>
      </c>
      <c r="Q45" s="4" t="s">
        <v>21</v>
      </c>
    </row>
    <row r="46" customFormat="false" ht="15" hidden="false" customHeight="false" outlineLevel="0" collapsed="false">
      <c r="A46" s="4" t="s">
        <v>60</v>
      </c>
      <c r="B46" s="4" t="n">
        <v>4</v>
      </c>
      <c r="C46" s="5" t="n">
        <v>98461</v>
      </c>
      <c r="D46" s="5" t="n">
        <v>71686</v>
      </c>
      <c r="E46" s="5" t="n">
        <v>15228</v>
      </c>
      <c r="F46" s="5" t="n">
        <v>0</v>
      </c>
      <c r="G46" s="5" t="n">
        <v>212</v>
      </c>
      <c r="H46" s="5" t="n">
        <v>3867</v>
      </c>
      <c r="I46" s="5" t="n">
        <v>189454</v>
      </c>
      <c r="J46" s="11" t="n">
        <f aca="false">IF(I46=0,0,C46/I46)</f>
        <v>0.519709269796362</v>
      </c>
      <c r="K46" s="11" t="n">
        <f aca="false">IF(I46=0,0,D46/I46)</f>
        <v>0.378382087472421</v>
      </c>
      <c r="L46" s="11" t="n">
        <f aca="false">IF(I46=0,0,E46/I46)</f>
        <v>0.0803783504175156</v>
      </c>
      <c r="M46" s="11" t="n">
        <f aca="false">IF(I46=0,0,H46/I46)</f>
        <v>0.0204112871726118</v>
      </c>
      <c r="N46" s="4" t="str">
        <f aca="false">INDEX($C$3:$F$3,MATCH(MAX(C46:F46),C46:F46,0))</f>
        <v>Sigamos Haciendo Historia (PVEM-PT-Morena)</v>
      </c>
      <c r="O46" s="17" t="n">
        <f aca="false">IF(I46=0,0,(MAX(C46:F46)-LARGE(C46:F46,2))/I46*100)</f>
        <v>14.1327182323941</v>
      </c>
      <c r="P46" s="4" t="s">
        <v>20</v>
      </c>
      <c r="Q46" s="4" t="s">
        <v>21</v>
      </c>
    </row>
    <row r="47" customFormat="false" ht="15" hidden="false" customHeight="false" outlineLevel="0" collapsed="false">
      <c r="A47" s="4" t="s">
        <v>60</v>
      </c>
      <c r="B47" s="4" t="n">
        <v>5</v>
      </c>
      <c r="C47" s="5" t="n">
        <v>73225</v>
      </c>
      <c r="D47" s="5" t="n">
        <v>98979</v>
      </c>
      <c r="E47" s="5" t="n">
        <v>16722</v>
      </c>
      <c r="F47" s="5" t="n">
        <v>0</v>
      </c>
      <c r="G47" s="5" t="n">
        <v>70</v>
      </c>
      <c r="H47" s="5" t="n">
        <v>5300</v>
      </c>
      <c r="I47" s="5" t="n">
        <v>194296</v>
      </c>
      <c r="J47" s="11" t="n">
        <f aca="false">IF(I47=0,0,C47/I47)</f>
        <v>0.376873430230164</v>
      </c>
      <c r="K47" s="11" t="n">
        <f aca="false">IF(I47=0,0,D47/I47)</f>
        <v>0.509423765800634</v>
      </c>
      <c r="L47" s="11" t="n">
        <f aca="false">IF(I47=0,0,E47/I47)</f>
        <v>0.0860645612879318</v>
      </c>
      <c r="M47" s="11" t="n">
        <f aca="false">IF(I47=0,0,H47/I47)</f>
        <v>0.0272779676370075</v>
      </c>
      <c r="N47" s="4" t="str">
        <f aca="false">INDEX($C$3:$F$3,MATCH(MAX(C47:F47),C47:F47,0))</f>
        <v>Fuerza y Corazón por México (PAN-PRI-PRD)</v>
      </c>
      <c r="O47" s="17" t="n">
        <f aca="false">IF(I47=0,0,(MAX(C47:F47)-LARGE(C47:F47,2))/I47*100)</f>
        <v>13.255033557047</v>
      </c>
      <c r="P47" s="4" t="s">
        <v>21</v>
      </c>
      <c r="Q47" s="4" t="s">
        <v>20</v>
      </c>
    </row>
    <row r="48" customFormat="false" ht="15" hidden="false" customHeight="false" outlineLevel="0" collapsed="false">
      <c r="A48" s="4" t="s">
        <v>60</v>
      </c>
      <c r="B48" s="4" t="n">
        <v>6</v>
      </c>
      <c r="C48" s="5" t="n">
        <v>75959</v>
      </c>
      <c r="D48" s="5" t="n">
        <v>132026</v>
      </c>
      <c r="E48" s="5" t="n">
        <v>15029</v>
      </c>
      <c r="F48" s="5" t="n">
        <v>0</v>
      </c>
      <c r="G48" s="5" t="n">
        <v>135</v>
      </c>
      <c r="H48" s="5" t="n">
        <v>3859</v>
      </c>
      <c r="I48" s="5" t="n">
        <v>227008</v>
      </c>
      <c r="J48" s="11" t="n">
        <f aca="false">IF(I48=0,0,C48/I48)</f>
        <v>0.334609352974345</v>
      </c>
      <c r="K48" s="11" t="n">
        <f aca="false">IF(I48=0,0,D48/I48)</f>
        <v>0.581591838173104</v>
      </c>
      <c r="L48" s="11" t="n">
        <f aca="false">IF(I48=0,0,E48/I48)</f>
        <v>0.0662047152523259</v>
      </c>
      <c r="M48" s="11" t="n">
        <f aca="false">IF(I48=0,0,H48/I48)</f>
        <v>0.0169994009021709</v>
      </c>
      <c r="N48" s="4" t="str">
        <f aca="false">INDEX($C$3:$F$3,MATCH(MAX(C48:F48),C48:F48,0))</f>
        <v>Fuerza y Corazón por México (PAN-PRI-PRD)</v>
      </c>
      <c r="O48" s="17" t="n">
        <f aca="false">IF(I48=0,0,(MAX(C48:F48)-LARGE(C48:F48,2))/I48*100)</f>
        <v>24.698248519876</v>
      </c>
      <c r="P48" s="4" t="s">
        <v>21</v>
      </c>
      <c r="Q48" s="4" t="s">
        <v>20</v>
      </c>
    </row>
    <row r="49" customFormat="false" ht="15" hidden="false" customHeight="false" outlineLevel="0" collapsed="false">
      <c r="A49" s="4" t="s">
        <v>60</v>
      </c>
      <c r="B49" s="4" t="n">
        <v>7</v>
      </c>
      <c r="C49" s="5" t="n">
        <v>80527</v>
      </c>
      <c r="D49" s="5" t="n">
        <v>75222</v>
      </c>
      <c r="E49" s="5" t="n">
        <v>21031</v>
      </c>
      <c r="F49" s="5" t="n">
        <v>0</v>
      </c>
      <c r="G49" s="5" t="n">
        <v>68</v>
      </c>
      <c r="H49" s="5" t="n">
        <v>7911</v>
      </c>
      <c r="I49" s="5" t="n">
        <v>184759</v>
      </c>
      <c r="J49" s="11" t="n">
        <f aca="false">IF(I49=0,0,C49/I49)</f>
        <v>0.435848862572324</v>
      </c>
      <c r="K49" s="11" t="n">
        <f aca="false">IF(I49=0,0,D49/I49)</f>
        <v>0.407135782289361</v>
      </c>
      <c r="L49" s="11" t="n">
        <f aca="false">IF(I49=0,0,E49/I49)</f>
        <v>0.113829366904995</v>
      </c>
      <c r="M49" s="11" t="n">
        <f aca="false">IF(I49=0,0,H49/I49)</f>
        <v>0.0428179412099005</v>
      </c>
      <c r="N49" s="4" t="str">
        <f aca="false">INDEX($C$3:$F$3,MATCH(MAX(C49:F49),C49:F49,0))</f>
        <v>Sigamos Haciendo Historia (PVEM-PT-Morena)</v>
      </c>
      <c r="O49" s="17" t="n">
        <f aca="false">IF(I49=0,0,(MAX(C49:F49)-LARGE(C49:F49,2))/I49*100)</f>
        <v>2.87130802829632</v>
      </c>
      <c r="P49" s="4" t="s">
        <v>20</v>
      </c>
      <c r="Q49" s="4" t="s">
        <v>21</v>
      </c>
    </row>
    <row r="50" customFormat="false" ht="15" hidden="false" customHeight="false" outlineLevel="0" collapsed="false">
      <c r="A50" s="4" t="s">
        <v>60</v>
      </c>
      <c r="B50" s="4" t="n">
        <v>8</v>
      </c>
      <c r="C50" s="5" t="n">
        <v>93661</v>
      </c>
      <c r="D50" s="5" t="n">
        <v>99505</v>
      </c>
      <c r="E50" s="5" t="n">
        <v>13965</v>
      </c>
      <c r="F50" s="5" t="n">
        <v>0</v>
      </c>
      <c r="G50" s="5" t="n">
        <v>141</v>
      </c>
      <c r="H50" s="5" t="n">
        <v>4744</v>
      </c>
      <c r="I50" s="5" t="n">
        <v>212016</v>
      </c>
      <c r="J50" s="11" t="n">
        <f aca="false">IF(I50=0,0,C50/I50)</f>
        <v>0.44176382914497</v>
      </c>
      <c r="K50" s="11" t="n">
        <f aca="false">IF(I50=0,0,D50/I50)</f>
        <v>0.469327786582145</v>
      </c>
      <c r="L50" s="11" t="n">
        <f aca="false">IF(I50=0,0,E50/I50)</f>
        <v>0.0658676703645008</v>
      </c>
      <c r="M50" s="11" t="n">
        <f aca="false">IF(I50=0,0,H50/I50)</f>
        <v>0.0223756697607728</v>
      </c>
      <c r="N50" s="4" t="str">
        <f aca="false">INDEX($C$3:$F$3,MATCH(MAX(C50:F50),C50:F50,0))</f>
        <v>Fuerza y Corazón por México (PAN-PRI-PRD)</v>
      </c>
      <c r="O50" s="17" t="n">
        <f aca="false">IF(I50=0,0,(MAX(C50:F50)-LARGE(C50:F50,2))/I50*100)</f>
        <v>2.75639574371746</v>
      </c>
      <c r="P50" s="4" t="s">
        <v>21</v>
      </c>
      <c r="Q50" s="4" t="s">
        <v>20</v>
      </c>
    </row>
    <row r="51" customFormat="false" ht="15" hidden="false" customHeight="false" outlineLevel="0" collapsed="false">
      <c r="A51" s="4" t="s">
        <v>60</v>
      </c>
      <c r="B51" s="4" t="n">
        <v>9</v>
      </c>
      <c r="C51" s="5" t="n">
        <v>72061</v>
      </c>
      <c r="D51" s="5" t="n">
        <v>73600</v>
      </c>
      <c r="E51" s="5" t="n">
        <v>21937</v>
      </c>
      <c r="F51" s="5" t="n">
        <v>0</v>
      </c>
      <c r="G51" s="5" t="n">
        <v>86</v>
      </c>
      <c r="H51" s="5" t="n">
        <v>9707</v>
      </c>
      <c r="I51" s="5" t="n">
        <v>177391</v>
      </c>
      <c r="J51" s="11" t="n">
        <f aca="false">IF(I51=0,0,C51/I51)</f>
        <v>0.406226922448151</v>
      </c>
      <c r="K51" s="11" t="n">
        <f aca="false">IF(I51=0,0,D51/I51)</f>
        <v>0.414902672627134</v>
      </c>
      <c r="L51" s="11" t="n">
        <f aca="false">IF(I51=0,0,E51/I51)</f>
        <v>0.123664672954096</v>
      </c>
      <c r="M51" s="11" t="n">
        <f aca="false">IF(I51=0,0,H51/I51)</f>
        <v>0.0547209272172771</v>
      </c>
      <c r="N51" s="4" t="str">
        <f aca="false">INDEX($C$3:$F$3,MATCH(MAX(C51:F51),C51:F51,0))</f>
        <v>Fuerza y Corazón por México (PAN-PRI-PRD)</v>
      </c>
      <c r="O51" s="17" t="n">
        <f aca="false">IF(I51=0,0,(MAX(C51:F51)-LARGE(C51:F51,2))/I51*100)</f>
        <v>0.867575017898315</v>
      </c>
      <c r="P51" s="4" t="s">
        <v>21</v>
      </c>
      <c r="Q51" s="4" t="s">
        <v>20</v>
      </c>
    </row>
    <row r="52" customFormat="false" ht="15" hidden="false" customHeight="false" outlineLevel="0" collapsed="false">
      <c r="A52" s="4" t="s">
        <v>61</v>
      </c>
      <c r="B52" s="4" t="n">
        <v>1</v>
      </c>
      <c r="C52" s="5" t="n">
        <v>151538</v>
      </c>
      <c r="D52" s="5" t="n">
        <v>55784</v>
      </c>
      <c r="E52" s="5" t="n">
        <v>19287</v>
      </c>
      <c r="F52" s="5" t="n">
        <v>0</v>
      </c>
      <c r="G52" s="5" t="n">
        <v>236</v>
      </c>
      <c r="H52" s="5" t="n">
        <v>5879</v>
      </c>
      <c r="I52" s="5" t="n">
        <v>232724</v>
      </c>
      <c r="J52" s="11" t="n">
        <f aca="false">IF(I52=0,0,C52/I52)</f>
        <v>0.65114900053282</v>
      </c>
      <c r="K52" s="11" t="n">
        <f aca="false">IF(I52=0,0,D52/I52)</f>
        <v>0.239700245784706</v>
      </c>
      <c r="L52" s="11" t="n">
        <f aca="false">IF(I52=0,0,E52/I52)</f>
        <v>0.0828749935545969</v>
      </c>
      <c r="M52" s="11" t="n">
        <f aca="false">IF(I52=0,0,H52/I52)</f>
        <v>0.0252616833674224</v>
      </c>
      <c r="N52" s="4" t="str">
        <f aca="false">INDEX($C$3:$F$3,MATCH(MAX(C52:F52),C52:F52,0))</f>
        <v>Sigamos Haciendo Historia (PVEM-PT-Morena)</v>
      </c>
      <c r="O52" s="17" t="n">
        <f aca="false">IF(I52=0,0,(MAX(C52:F52)-LARGE(C52:F52,2))/I52*100)</f>
        <v>41.1448754748114</v>
      </c>
      <c r="P52" s="4" t="s">
        <v>20</v>
      </c>
      <c r="Q52" s="4" t="s">
        <v>21</v>
      </c>
    </row>
    <row r="53" customFormat="false" ht="15" hidden="false" customHeight="false" outlineLevel="0" collapsed="false">
      <c r="A53" s="4" t="s">
        <v>61</v>
      </c>
      <c r="B53" s="4" t="n">
        <v>2</v>
      </c>
      <c r="C53" s="5" t="n">
        <v>137157</v>
      </c>
      <c r="D53" s="5" t="n">
        <v>119685</v>
      </c>
      <c r="E53" s="5" t="n">
        <v>26945</v>
      </c>
      <c r="F53" s="5" t="n">
        <v>0</v>
      </c>
      <c r="G53" s="5" t="n">
        <v>430</v>
      </c>
      <c r="H53" s="5" t="n">
        <v>6938</v>
      </c>
      <c r="I53" s="5" t="n">
        <v>291155</v>
      </c>
      <c r="J53" s="11" t="n">
        <f aca="false">IF(I53=0,0,C53/I53)</f>
        <v>0.471078978550944</v>
      </c>
      <c r="K53" s="11" t="n">
        <f aca="false">IF(I53=0,0,D53/I53)</f>
        <v>0.411069705139874</v>
      </c>
      <c r="L53" s="11" t="n">
        <f aca="false">IF(I53=0,0,E53/I53)</f>
        <v>0.0925452078789648</v>
      </c>
      <c r="M53" s="11" t="n">
        <f aca="false">IF(I53=0,0,H53/I53)</f>
        <v>0.0238292318524497</v>
      </c>
      <c r="N53" s="4" t="str">
        <f aca="false">INDEX($C$3:$F$3,MATCH(MAX(C53:F53),C53:F53,0))</f>
        <v>Sigamos Haciendo Historia (PVEM-PT-Morena)</v>
      </c>
      <c r="O53" s="17" t="n">
        <f aca="false">IF(I53=0,0,(MAX(C53:F53)-LARGE(C53:F53,2))/I53*100)</f>
        <v>6.00092734110697</v>
      </c>
      <c r="P53" s="4" t="s">
        <v>20</v>
      </c>
      <c r="Q53" s="4" t="s">
        <v>21</v>
      </c>
    </row>
    <row r="54" customFormat="false" ht="15" hidden="false" customHeight="false" outlineLevel="0" collapsed="false">
      <c r="A54" s="4" t="s">
        <v>61</v>
      </c>
      <c r="B54" s="4" t="n">
        <v>3</v>
      </c>
      <c r="C54" s="5" t="n">
        <v>145385</v>
      </c>
      <c r="D54" s="5" t="n">
        <v>101925</v>
      </c>
      <c r="E54" s="5" t="n">
        <v>24882</v>
      </c>
      <c r="F54" s="5" t="n">
        <v>0</v>
      </c>
      <c r="G54" s="5" t="n">
        <v>290</v>
      </c>
      <c r="H54" s="5" t="n">
        <v>5263</v>
      </c>
      <c r="I54" s="5" t="n">
        <v>277745</v>
      </c>
      <c r="J54" s="11" t="n">
        <f aca="false">IF(I54=0,0,C54/I54)</f>
        <v>0.523447766836487</v>
      </c>
      <c r="K54" s="11" t="n">
        <f aca="false">IF(I54=0,0,D54/I54)</f>
        <v>0.366973302849736</v>
      </c>
      <c r="L54" s="11" t="n">
        <f aca="false">IF(I54=0,0,E54/I54)</f>
        <v>0.0895857711209923</v>
      </c>
      <c r="M54" s="11" t="n">
        <f aca="false">IF(I54=0,0,H54/I54)</f>
        <v>0.0189490359862464</v>
      </c>
      <c r="N54" s="4" t="str">
        <f aca="false">INDEX($C$3:$F$3,MATCH(MAX(C54:F54),C54:F54,0))</f>
        <v>Sigamos Haciendo Historia (PVEM-PT-Morena)</v>
      </c>
      <c r="O54" s="17" t="n">
        <f aca="false">IF(I54=0,0,(MAX(C54:F54)-LARGE(C54:F54,2))/I54*100)</f>
        <v>15.647446398675</v>
      </c>
      <c r="P54" s="4" t="s">
        <v>20</v>
      </c>
      <c r="Q54" s="4" t="s">
        <v>21</v>
      </c>
    </row>
    <row r="55" customFormat="false" ht="15" hidden="false" customHeight="false" outlineLevel="0" collapsed="false">
      <c r="A55" s="4" t="s">
        <v>61</v>
      </c>
      <c r="B55" s="4" t="n">
        <v>4</v>
      </c>
      <c r="C55" s="5" t="n">
        <v>132952</v>
      </c>
      <c r="D55" s="5" t="n">
        <v>45625</v>
      </c>
      <c r="E55" s="5" t="n">
        <v>16402</v>
      </c>
      <c r="F55" s="5" t="n">
        <v>0</v>
      </c>
      <c r="G55" s="5" t="n">
        <v>205</v>
      </c>
      <c r="H55" s="5" t="n">
        <v>4835</v>
      </c>
      <c r="I55" s="5" t="n">
        <v>200019</v>
      </c>
      <c r="J55" s="11" t="n">
        <f aca="false">IF(I55=0,0,C55/I55)</f>
        <v>0.664696853798889</v>
      </c>
      <c r="K55" s="11" t="n">
        <f aca="false">IF(I55=0,0,D55/I55)</f>
        <v>0.228103330183633</v>
      </c>
      <c r="L55" s="11" t="n">
        <f aca="false">IF(I55=0,0,E55/I55)</f>
        <v>0.08200220979007</v>
      </c>
      <c r="M55" s="11" t="n">
        <f aca="false">IF(I55=0,0,H55/I55)</f>
        <v>0.0241727035931587</v>
      </c>
      <c r="N55" s="4" t="str">
        <f aca="false">INDEX($C$3:$F$3,MATCH(MAX(C55:F55),C55:F55,0))</f>
        <v>Sigamos Haciendo Historia (PVEM-PT-Morena)</v>
      </c>
      <c r="O55" s="17" t="n">
        <f aca="false">IF(I55=0,0,(MAX(C55:F55)-LARGE(C55:F55,2))/I55*100)</f>
        <v>43.6593523615257</v>
      </c>
      <c r="P55" s="4" t="s">
        <v>20</v>
      </c>
      <c r="Q55" s="4" t="s">
        <v>21</v>
      </c>
    </row>
    <row r="56" customFormat="false" ht="15" hidden="false" customHeight="false" outlineLevel="0" collapsed="false">
      <c r="A56" s="4" t="s">
        <v>61</v>
      </c>
      <c r="B56" s="4" t="n">
        <v>5</v>
      </c>
      <c r="C56" s="5" t="n">
        <v>126974</v>
      </c>
      <c r="D56" s="5" t="n">
        <v>83788</v>
      </c>
      <c r="E56" s="5" t="n">
        <v>21274</v>
      </c>
      <c r="F56" s="5" t="n">
        <v>0</v>
      </c>
      <c r="G56" s="5" t="n">
        <v>219</v>
      </c>
      <c r="H56" s="5" t="n">
        <v>6106</v>
      </c>
      <c r="I56" s="5" t="n">
        <v>238361</v>
      </c>
      <c r="J56" s="11" t="n">
        <f aca="false">IF(I56=0,0,C56/I56)</f>
        <v>0.532696204496541</v>
      </c>
      <c r="K56" s="11" t="n">
        <f aca="false">IF(I56=0,0,D56/I56)</f>
        <v>0.351517236460663</v>
      </c>
      <c r="L56" s="11" t="n">
        <f aca="false">IF(I56=0,0,E56/I56)</f>
        <v>0.0892511778353002</v>
      </c>
      <c r="M56" s="11" t="n">
        <f aca="false">IF(I56=0,0,H56/I56)</f>
        <v>0.0256166067435528</v>
      </c>
      <c r="N56" s="4" t="str">
        <f aca="false">INDEX($C$3:$F$3,MATCH(MAX(C56:F56),C56:F56,0))</f>
        <v>Sigamos Haciendo Historia (PVEM-PT-Morena)</v>
      </c>
      <c r="O56" s="17" t="n">
        <f aca="false">IF(I56=0,0,(MAX(C56:F56)-LARGE(C56:F56,2))/I56*100)</f>
        <v>18.1178968035878</v>
      </c>
      <c r="P56" s="4" t="s">
        <v>20</v>
      </c>
      <c r="Q56" s="4" t="s">
        <v>21</v>
      </c>
    </row>
    <row r="57" customFormat="false" ht="15" hidden="false" customHeight="false" outlineLevel="0" collapsed="false">
      <c r="A57" s="4" t="s">
        <v>61</v>
      </c>
      <c r="B57" s="4" t="n">
        <v>6</v>
      </c>
      <c r="C57" s="5" t="n">
        <v>116871</v>
      </c>
      <c r="D57" s="5" t="n">
        <v>109637</v>
      </c>
      <c r="E57" s="5" t="n">
        <v>18269</v>
      </c>
      <c r="F57" s="5" t="n">
        <v>0</v>
      </c>
      <c r="G57" s="5" t="n">
        <v>327</v>
      </c>
      <c r="H57" s="5" t="n">
        <v>5483</v>
      </c>
      <c r="I57" s="5" t="n">
        <v>250587</v>
      </c>
      <c r="J57" s="11" t="n">
        <f aca="false">IF(I57=0,0,C57/I57)</f>
        <v>0.466388918818614</v>
      </c>
      <c r="K57" s="11" t="n">
        <f aca="false">IF(I57=0,0,D57/I57)</f>
        <v>0.437520701393129</v>
      </c>
      <c r="L57" s="11" t="n">
        <f aca="false">IF(I57=0,0,E57/I57)</f>
        <v>0.0729048194838519</v>
      </c>
      <c r="M57" s="11" t="n">
        <f aca="false">IF(I57=0,0,H57/I57)</f>
        <v>0.0218806242941573</v>
      </c>
      <c r="N57" s="4" t="str">
        <f aca="false">INDEX($C$3:$F$3,MATCH(MAX(C57:F57),C57:F57,0))</f>
        <v>Sigamos Haciendo Historia (PVEM-PT-Morena)</v>
      </c>
      <c r="O57" s="17" t="n">
        <f aca="false">IF(I57=0,0,(MAX(C57:F57)-LARGE(C57:F57,2))/I57*100)</f>
        <v>2.8868217425485</v>
      </c>
      <c r="P57" s="4" t="s">
        <v>20</v>
      </c>
      <c r="Q57" s="4" t="s">
        <v>21</v>
      </c>
    </row>
    <row r="58" customFormat="false" ht="15" hidden="false" customHeight="false" outlineLevel="0" collapsed="false">
      <c r="A58" s="4" t="s">
        <v>61</v>
      </c>
      <c r="B58" s="4" t="n">
        <v>7</v>
      </c>
      <c r="C58" s="5" t="n">
        <v>157556</v>
      </c>
      <c r="D58" s="5" t="n">
        <v>97746</v>
      </c>
      <c r="E58" s="5" t="n">
        <v>27695</v>
      </c>
      <c r="F58" s="5" t="n">
        <v>0</v>
      </c>
      <c r="G58" s="5" t="n">
        <v>280</v>
      </c>
      <c r="H58" s="5" t="n">
        <v>6722</v>
      </c>
      <c r="I58" s="5" t="n">
        <v>289999</v>
      </c>
      <c r="J58" s="11" t="n">
        <f aca="false">IF(I58=0,0,C58/I58)</f>
        <v>0.543298425166983</v>
      </c>
      <c r="K58" s="11" t="n">
        <f aca="false">IF(I58=0,0,D58/I58)</f>
        <v>0.337056334677016</v>
      </c>
      <c r="L58" s="11" t="n">
        <f aca="false">IF(I58=0,0,E58/I58)</f>
        <v>0.0955003293114804</v>
      </c>
      <c r="M58" s="11" t="n">
        <f aca="false">IF(I58=0,0,H58/I58)</f>
        <v>0.0231793902737596</v>
      </c>
      <c r="N58" s="4" t="str">
        <f aca="false">INDEX($C$3:$F$3,MATCH(MAX(C58:F58),C58:F58,0))</f>
        <v>Sigamos Haciendo Historia (PVEM-PT-Morena)</v>
      </c>
      <c r="O58" s="17" t="n">
        <f aca="false">IF(I58=0,0,(MAX(C58:F58)-LARGE(C58:F58,2))/I58*100)</f>
        <v>20.6242090489967</v>
      </c>
      <c r="P58" s="4" t="s">
        <v>20</v>
      </c>
      <c r="Q58" s="4" t="s">
        <v>21</v>
      </c>
    </row>
    <row r="59" customFormat="false" ht="15" hidden="false" customHeight="false" outlineLevel="0" collapsed="false">
      <c r="A59" s="4" t="s">
        <v>61</v>
      </c>
      <c r="B59" s="4" t="n">
        <v>8</v>
      </c>
      <c r="C59" s="5" t="n">
        <v>130434</v>
      </c>
      <c r="D59" s="5" t="n">
        <v>115586</v>
      </c>
      <c r="E59" s="5" t="n">
        <v>22734</v>
      </c>
      <c r="F59" s="5" t="n">
        <v>0</v>
      </c>
      <c r="G59" s="5" t="n">
        <v>420</v>
      </c>
      <c r="H59" s="5" t="n">
        <v>6148</v>
      </c>
      <c r="I59" s="5" t="n">
        <v>275322</v>
      </c>
      <c r="J59" s="11" t="n">
        <f aca="false">IF(I59=0,0,C59/I59)</f>
        <v>0.47375073550243</v>
      </c>
      <c r="K59" s="11" t="n">
        <f aca="false">IF(I59=0,0,D59/I59)</f>
        <v>0.419821154865939</v>
      </c>
      <c r="L59" s="11" t="n">
        <f aca="false">IF(I59=0,0,E59/I59)</f>
        <v>0.0825724061280973</v>
      </c>
      <c r="M59" s="11" t="n">
        <f aca="false">IF(I59=0,0,H59/I59)</f>
        <v>0.0223302169822971</v>
      </c>
      <c r="N59" s="4" t="str">
        <f aca="false">INDEX($C$3:$F$3,MATCH(MAX(C59:F59),C59:F59,0))</f>
        <v>Sigamos Haciendo Historia (PVEM-PT-Morena)</v>
      </c>
      <c r="O59" s="17" t="n">
        <f aca="false">IF(I59=0,0,(MAX(C59:F59)-LARGE(C59:F59,2))/I59*100)</f>
        <v>5.39295806364911</v>
      </c>
      <c r="P59" s="4" t="s">
        <v>20</v>
      </c>
      <c r="Q59" s="4" t="s">
        <v>21</v>
      </c>
    </row>
    <row r="60" customFormat="false" ht="15" hidden="false" customHeight="false" outlineLevel="0" collapsed="false">
      <c r="A60" s="4" t="s">
        <v>61</v>
      </c>
      <c r="B60" s="4" t="n">
        <v>9</v>
      </c>
      <c r="C60" s="5" t="n">
        <v>115060</v>
      </c>
      <c r="D60" s="5" t="n">
        <v>56940</v>
      </c>
      <c r="E60" s="5" t="n">
        <v>29083</v>
      </c>
      <c r="F60" s="5" t="n">
        <v>0</v>
      </c>
      <c r="G60" s="5" t="n">
        <v>206</v>
      </c>
      <c r="H60" s="5" t="n">
        <v>6211</v>
      </c>
      <c r="I60" s="5" t="n">
        <v>207500</v>
      </c>
      <c r="J60" s="11" t="n">
        <f aca="false">IF(I60=0,0,C60/I60)</f>
        <v>0.554506024096386</v>
      </c>
      <c r="K60" s="11" t="n">
        <f aca="false">IF(I60=0,0,D60/I60)</f>
        <v>0.274409638554217</v>
      </c>
      <c r="L60" s="11" t="n">
        <f aca="false">IF(I60=0,0,E60/I60)</f>
        <v>0.140159036144578</v>
      </c>
      <c r="M60" s="11" t="n">
        <f aca="false">IF(I60=0,0,H60/I60)</f>
        <v>0.0299325301204819</v>
      </c>
      <c r="N60" s="4" t="str">
        <f aca="false">INDEX($C$3:$F$3,MATCH(MAX(C60:F60),C60:F60,0))</f>
        <v>Sigamos Haciendo Historia (PVEM-PT-Morena)</v>
      </c>
      <c r="O60" s="17" t="n">
        <f aca="false">IF(I60=0,0,(MAX(C60:F60)-LARGE(C60:F60,2))/I60*100)</f>
        <v>28.0096385542169</v>
      </c>
      <c r="P60" s="4" t="s">
        <v>20</v>
      </c>
      <c r="Q60" s="4" t="s">
        <v>21</v>
      </c>
    </row>
    <row r="61" customFormat="false" ht="15" hidden="false" customHeight="false" outlineLevel="0" collapsed="false">
      <c r="A61" s="4" t="s">
        <v>61</v>
      </c>
      <c r="B61" s="4" t="n">
        <v>10</v>
      </c>
      <c r="C61" s="5" t="n">
        <v>94188</v>
      </c>
      <c r="D61" s="5" t="n">
        <v>124482</v>
      </c>
      <c r="E61" s="5" t="n">
        <v>18111</v>
      </c>
      <c r="F61" s="5" t="n">
        <v>0</v>
      </c>
      <c r="G61" s="5" t="n">
        <v>258</v>
      </c>
      <c r="H61" s="5" t="n">
        <v>3657</v>
      </c>
      <c r="I61" s="5" t="n">
        <v>240696</v>
      </c>
      <c r="J61" s="11" t="n">
        <f aca="false">IF(I61=0,0,C61/I61)</f>
        <v>0.391315185960714</v>
      </c>
      <c r="K61" s="11" t="n">
        <f aca="false">IF(I61=0,0,D61/I61)</f>
        <v>0.517175191943364</v>
      </c>
      <c r="L61" s="11" t="n">
        <f aca="false">IF(I61=0,0,E61/I61)</f>
        <v>0.075244291554492</v>
      </c>
      <c r="M61" s="11" t="n">
        <f aca="false">IF(I61=0,0,H61/I61)</f>
        <v>0.0151934390268222</v>
      </c>
      <c r="N61" s="4" t="str">
        <f aca="false">INDEX($C$3:$F$3,MATCH(MAX(C61:F61),C61:F61,0))</f>
        <v>Fuerza y Corazón por México (PAN-PRI-PRD)</v>
      </c>
      <c r="O61" s="17" t="n">
        <f aca="false">IF(I61=0,0,(MAX(C61:F61)-LARGE(C61:F61,2))/I61*100)</f>
        <v>12.586000598265</v>
      </c>
      <c r="P61" s="4" t="s">
        <v>21</v>
      </c>
      <c r="Q61" s="4" t="s">
        <v>20</v>
      </c>
    </row>
    <row r="62" customFormat="false" ht="15" hidden="false" customHeight="false" outlineLevel="0" collapsed="false">
      <c r="A62" s="4" t="s">
        <v>61</v>
      </c>
      <c r="B62" s="4" t="n">
        <v>11</v>
      </c>
      <c r="C62" s="5" t="n">
        <v>148362</v>
      </c>
      <c r="D62" s="5" t="n">
        <v>101969</v>
      </c>
      <c r="E62" s="5" t="n">
        <v>25610</v>
      </c>
      <c r="F62" s="5" t="n">
        <v>0</v>
      </c>
      <c r="G62" s="5" t="n">
        <v>320</v>
      </c>
      <c r="H62" s="5" t="n">
        <v>6279</v>
      </c>
      <c r="I62" s="5" t="n">
        <v>282540</v>
      </c>
      <c r="J62" s="11" t="n">
        <f aca="false">IF(I62=0,0,C62/I62)</f>
        <v>0.525100870673179</v>
      </c>
      <c r="K62" s="11" t="n">
        <f aca="false">IF(I62=0,0,D62/I62)</f>
        <v>0.360901111347066</v>
      </c>
      <c r="L62" s="11" t="n">
        <f aca="false">IF(I62=0,0,E62/I62)</f>
        <v>0.0906420329864798</v>
      </c>
      <c r="M62" s="11" t="n">
        <f aca="false">IF(I62=0,0,H62/I62)</f>
        <v>0.0222234019961775</v>
      </c>
      <c r="N62" s="4" t="str">
        <f aca="false">INDEX($C$3:$F$3,MATCH(MAX(C62:F62),C62:F62,0))</f>
        <v>Sigamos Haciendo Historia (PVEM-PT-Morena)</v>
      </c>
      <c r="O62" s="17" t="n">
        <f aca="false">IF(I62=0,0,(MAX(C62:F62)-LARGE(C62:F62,2))/I62*100)</f>
        <v>16.4199759326113</v>
      </c>
      <c r="P62" s="4" t="s">
        <v>20</v>
      </c>
      <c r="Q62" s="4" t="s">
        <v>21</v>
      </c>
    </row>
    <row r="63" customFormat="false" ht="15" hidden="false" customHeight="false" outlineLevel="0" collapsed="false">
      <c r="A63" s="4" t="s">
        <v>61</v>
      </c>
      <c r="B63" s="4" t="n">
        <v>12</v>
      </c>
      <c r="C63" s="5" t="n">
        <v>114568</v>
      </c>
      <c r="D63" s="5" t="n">
        <v>116020</v>
      </c>
      <c r="E63" s="5" t="n">
        <v>23148</v>
      </c>
      <c r="F63" s="5" t="n">
        <v>0</v>
      </c>
      <c r="G63" s="5" t="n">
        <v>496</v>
      </c>
      <c r="H63" s="5" t="n">
        <v>5928</v>
      </c>
      <c r="I63" s="5" t="n">
        <v>260160</v>
      </c>
      <c r="J63" s="11" t="n">
        <f aca="false">IF(I63=0,0,C63/I63)</f>
        <v>0.440375153751538</v>
      </c>
      <c r="K63" s="11" t="n">
        <f aca="false">IF(I63=0,0,D63/I63)</f>
        <v>0.445956334563346</v>
      </c>
      <c r="L63" s="11" t="n">
        <f aca="false">IF(I63=0,0,E63/I63)</f>
        <v>0.0889760147601476</v>
      </c>
      <c r="M63" s="11" t="n">
        <f aca="false">IF(I63=0,0,H63/I63)</f>
        <v>0.0227859778597786</v>
      </c>
      <c r="N63" s="4" t="str">
        <f aca="false">INDEX($C$3:$F$3,MATCH(MAX(C63:F63),C63:F63,0))</f>
        <v>Fuerza y Corazón por México (PAN-PRI-PRD)</v>
      </c>
      <c r="O63" s="17" t="n">
        <f aca="false">IF(I63=0,0,(MAX(C63:F63)-LARGE(C63:F63,2))/I63*100)</f>
        <v>0.558118081180812</v>
      </c>
      <c r="P63" s="4" t="s">
        <v>21</v>
      </c>
      <c r="Q63" s="4" t="s">
        <v>20</v>
      </c>
    </row>
    <row r="64" customFormat="false" ht="15" hidden="false" customHeight="false" outlineLevel="0" collapsed="false">
      <c r="A64" s="4" t="s">
        <v>61</v>
      </c>
      <c r="B64" s="4" t="n">
        <v>13</v>
      </c>
      <c r="C64" s="5" t="n">
        <v>133103</v>
      </c>
      <c r="D64" s="5" t="n">
        <v>90932</v>
      </c>
      <c r="E64" s="5" t="n">
        <v>24607</v>
      </c>
      <c r="F64" s="5" t="n">
        <v>0</v>
      </c>
      <c r="G64" s="5" t="n">
        <v>368</v>
      </c>
      <c r="H64" s="5" t="n">
        <v>5865</v>
      </c>
      <c r="I64" s="5" t="n">
        <v>254875</v>
      </c>
      <c r="J64" s="11" t="n">
        <f aca="false">IF(I64=0,0,C64/I64)</f>
        <v>0.522228543403629</v>
      </c>
      <c r="K64" s="11" t="n">
        <f aca="false">IF(I64=0,0,D64/I64)</f>
        <v>0.356770966159882</v>
      </c>
      <c r="L64" s="11" t="n">
        <f aca="false">IF(I64=0,0,E64/I64)</f>
        <v>0.0965453653751839</v>
      </c>
      <c r="M64" s="11" t="n">
        <f aca="false">IF(I64=0,0,H64/I64)</f>
        <v>0.0230112800392349</v>
      </c>
      <c r="N64" s="4" t="str">
        <f aca="false">INDEX($C$3:$F$3,MATCH(MAX(C64:F64),C64:F64,0))</f>
        <v>Sigamos Haciendo Historia (PVEM-PT-Morena)</v>
      </c>
      <c r="O64" s="17" t="n">
        <f aca="false">IF(I64=0,0,(MAX(C64:F64)-LARGE(C64:F64,2))/I64*100)</f>
        <v>16.5457577243747</v>
      </c>
      <c r="P64" s="4" t="s">
        <v>20</v>
      </c>
      <c r="Q64" s="4" t="s">
        <v>21</v>
      </c>
    </row>
    <row r="65" customFormat="false" ht="15" hidden="false" customHeight="false" outlineLevel="0" collapsed="false">
      <c r="A65" s="4" t="s">
        <v>61</v>
      </c>
      <c r="B65" s="4" t="n">
        <v>14</v>
      </c>
      <c r="C65" s="5" t="n">
        <v>129147</v>
      </c>
      <c r="D65" s="5" t="n">
        <v>119552</v>
      </c>
      <c r="E65" s="5" t="n">
        <v>8437</v>
      </c>
      <c r="F65" s="5" t="n">
        <v>0</v>
      </c>
      <c r="G65" s="5" t="n">
        <v>433</v>
      </c>
      <c r="H65" s="5" t="n">
        <v>6272</v>
      </c>
      <c r="I65" s="5" t="n">
        <v>263841</v>
      </c>
      <c r="J65" s="11" t="n">
        <f aca="false">IF(I65=0,0,C65/I65)</f>
        <v>0.48948798708313</v>
      </c>
      <c r="K65" s="11" t="n">
        <f aca="false">IF(I65=0,0,D65/I65)</f>
        <v>0.453121387502321</v>
      </c>
      <c r="L65" s="11" t="n">
        <f aca="false">IF(I65=0,0,E65/I65)</f>
        <v>0.0319775925652192</v>
      </c>
      <c r="M65" s="11" t="n">
        <f aca="false">IF(I65=0,0,H65/I65)</f>
        <v>0.0237718929203573</v>
      </c>
      <c r="N65" s="4" t="str">
        <f aca="false">INDEX($C$3:$F$3,MATCH(MAX(C65:F65),C65:F65,0))</f>
        <v>Sigamos Haciendo Historia (PVEM-PT-Morena)</v>
      </c>
      <c r="O65" s="17" t="n">
        <f aca="false">IF(I65=0,0,(MAX(C65:F65)-LARGE(C65:F65,2))/I65*100)</f>
        <v>3.63665995808081</v>
      </c>
      <c r="P65" s="4" t="s">
        <v>20</v>
      </c>
      <c r="Q65" s="4" t="s">
        <v>21</v>
      </c>
    </row>
    <row r="66" customFormat="false" ht="15" hidden="false" customHeight="false" outlineLevel="0" collapsed="false">
      <c r="A66" s="4" t="s">
        <v>61</v>
      </c>
      <c r="B66" s="4" t="n">
        <v>15</v>
      </c>
      <c r="C66" s="5" t="n">
        <v>76004</v>
      </c>
      <c r="D66" s="5" t="n">
        <v>193943</v>
      </c>
      <c r="E66" s="5" t="n">
        <v>20012</v>
      </c>
      <c r="F66" s="5" t="n">
        <v>0</v>
      </c>
      <c r="G66" s="5" t="n">
        <v>418</v>
      </c>
      <c r="H66" s="5" t="n">
        <v>4738</v>
      </c>
      <c r="I66" s="5" t="n">
        <v>295115</v>
      </c>
      <c r="J66" s="11" t="n">
        <f aca="false">IF(I66=0,0,C66/I66)</f>
        <v>0.257540280907443</v>
      </c>
      <c r="K66" s="11" t="n">
        <f aca="false">IF(I66=0,0,D66/I66)</f>
        <v>0.657177710384088</v>
      </c>
      <c r="L66" s="11" t="n">
        <f aca="false">IF(I66=0,0,E66/I66)</f>
        <v>0.0678108533961337</v>
      </c>
      <c r="M66" s="11" t="n">
        <f aca="false">IF(I66=0,0,H66/I66)</f>
        <v>0.0160547583145553</v>
      </c>
      <c r="N66" s="4" t="str">
        <f aca="false">INDEX($C$3:$F$3,MATCH(MAX(C66:F66),C66:F66,0))</f>
        <v>Fuerza y Corazón por México (PAN-PRI-PRD)</v>
      </c>
      <c r="O66" s="17" t="n">
        <f aca="false">IF(I66=0,0,(MAX(C66:F66)-LARGE(C66:F66,2))/I66*100)</f>
        <v>39.9637429476645</v>
      </c>
      <c r="P66" s="4" t="s">
        <v>21</v>
      </c>
      <c r="Q66" s="4" t="s">
        <v>20</v>
      </c>
    </row>
    <row r="67" customFormat="false" ht="15" hidden="false" customHeight="false" outlineLevel="0" collapsed="false">
      <c r="A67" s="4" t="s">
        <v>61</v>
      </c>
      <c r="B67" s="4" t="n">
        <v>16</v>
      </c>
      <c r="C67" s="5" t="n">
        <v>118855</v>
      </c>
      <c r="D67" s="5" t="n">
        <v>80415</v>
      </c>
      <c r="E67" s="5" t="n">
        <v>19982</v>
      </c>
      <c r="F67" s="5" t="n">
        <v>0</v>
      </c>
      <c r="G67" s="5" t="n">
        <v>262</v>
      </c>
      <c r="H67" s="5" t="n">
        <v>4972</v>
      </c>
      <c r="I67" s="5" t="n">
        <v>224486</v>
      </c>
      <c r="J67" s="11" t="n">
        <f aca="false">IF(I67=0,0,C67/I67)</f>
        <v>0.529453952585017</v>
      </c>
      <c r="K67" s="11" t="n">
        <f aca="false">IF(I67=0,0,D67/I67)</f>
        <v>0.358218329873578</v>
      </c>
      <c r="L67" s="11" t="n">
        <f aca="false">IF(I67=0,0,E67/I67)</f>
        <v>0.0890122323886568</v>
      </c>
      <c r="M67" s="11" t="n">
        <f aca="false">IF(I67=0,0,H67/I67)</f>
        <v>0.0221483745088781</v>
      </c>
      <c r="N67" s="4" t="str">
        <f aca="false">INDEX($C$3:$F$3,MATCH(MAX(C67:F67),C67:F67,0))</f>
        <v>Sigamos Haciendo Historia (PVEM-PT-Morena)</v>
      </c>
      <c r="O67" s="17" t="n">
        <f aca="false">IF(I67=0,0,(MAX(C67:F67)-LARGE(C67:F67,2))/I67*100)</f>
        <v>17.1235622711439</v>
      </c>
      <c r="P67" s="4" t="s">
        <v>20</v>
      </c>
      <c r="Q67" s="4" t="s">
        <v>21</v>
      </c>
    </row>
    <row r="68" customFormat="false" ht="15" hidden="false" customHeight="false" outlineLevel="0" collapsed="false">
      <c r="A68" s="4" t="s">
        <v>61</v>
      </c>
      <c r="B68" s="4" t="n">
        <v>17</v>
      </c>
      <c r="C68" s="5" t="n">
        <v>120136</v>
      </c>
      <c r="D68" s="5" t="n">
        <v>106444</v>
      </c>
      <c r="E68" s="5" t="n">
        <v>21571</v>
      </c>
      <c r="F68" s="5" t="n">
        <v>0</v>
      </c>
      <c r="G68" s="5" t="n">
        <v>299</v>
      </c>
      <c r="H68" s="5" t="n">
        <v>5286</v>
      </c>
      <c r="I68" s="5" t="n">
        <v>253736</v>
      </c>
      <c r="J68" s="11" t="n">
        <f aca="false">IF(I68=0,0,C68/I68)</f>
        <v>0.473468486931299</v>
      </c>
      <c r="K68" s="11" t="n">
        <f aca="false">IF(I68=0,0,D68/I68)</f>
        <v>0.419506889050036</v>
      </c>
      <c r="L68" s="11" t="n">
        <f aca="false">IF(I68=0,0,E68/I68)</f>
        <v>0.0850135573982407</v>
      </c>
      <c r="M68" s="11" t="n">
        <f aca="false">IF(I68=0,0,H68/I68)</f>
        <v>0.0208326764826434</v>
      </c>
      <c r="N68" s="4" t="str">
        <f aca="false">INDEX($C$3:$F$3,MATCH(MAX(C68:F68),C68:F68,0))</f>
        <v>Sigamos Haciendo Historia (PVEM-PT-Morena)</v>
      </c>
      <c r="O68" s="17" t="n">
        <f aca="false">IF(I68=0,0,(MAX(C68:F68)-LARGE(C68:F68,2))/I68*100)</f>
        <v>5.39615978812624</v>
      </c>
      <c r="P68" s="4" t="s">
        <v>20</v>
      </c>
      <c r="Q68" s="4" t="s">
        <v>21</v>
      </c>
    </row>
    <row r="69" customFormat="false" ht="15" hidden="false" customHeight="false" outlineLevel="0" collapsed="false">
      <c r="A69" s="4" t="s">
        <v>61</v>
      </c>
      <c r="B69" s="4" t="n">
        <v>18</v>
      </c>
      <c r="C69" s="5" t="n">
        <v>151288</v>
      </c>
      <c r="D69" s="5" t="n">
        <v>76826</v>
      </c>
      <c r="E69" s="5" t="n">
        <v>22259</v>
      </c>
      <c r="F69" s="5" t="n">
        <v>0</v>
      </c>
      <c r="G69" s="5" t="n">
        <v>271</v>
      </c>
      <c r="H69" s="5" t="n">
        <v>6065</v>
      </c>
      <c r="I69" s="5" t="n">
        <v>256709</v>
      </c>
      <c r="J69" s="11" t="n">
        <f aca="false">IF(I69=0,0,C69/I69)</f>
        <v>0.589336563969319</v>
      </c>
      <c r="K69" s="11" t="n">
        <f aca="false">IF(I69=0,0,D69/I69)</f>
        <v>0.299272717357007</v>
      </c>
      <c r="L69" s="11" t="n">
        <f aca="false">IF(I69=0,0,E69/I69)</f>
        <v>0.0867090752564187</v>
      </c>
      <c r="M69" s="11" t="n">
        <f aca="false">IF(I69=0,0,H69/I69)</f>
        <v>0.0236259733784168</v>
      </c>
      <c r="N69" s="4" t="str">
        <f aca="false">INDEX($C$3:$F$3,MATCH(MAX(C69:F69),C69:F69,0))</f>
        <v>Sigamos Haciendo Historia (PVEM-PT-Morena)</v>
      </c>
      <c r="O69" s="17" t="n">
        <f aca="false">IF(I69=0,0,(MAX(C69:F69)-LARGE(C69:F69,2))/I69*100)</f>
        <v>29.0063846612312</v>
      </c>
      <c r="P69" s="4" t="s">
        <v>20</v>
      </c>
      <c r="Q69" s="4" t="s">
        <v>21</v>
      </c>
    </row>
    <row r="70" customFormat="false" ht="15" hidden="false" customHeight="false" outlineLevel="0" collapsed="false">
      <c r="A70" s="4" t="s">
        <v>61</v>
      </c>
      <c r="B70" s="4" t="n">
        <v>19</v>
      </c>
      <c r="C70" s="5" t="n">
        <v>103209</v>
      </c>
      <c r="D70" s="5" t="n">
        <v>119601</v>
      </c>
      <c r="E70" s="5" t="n">
        <v>19891</v>
      </c>
      <c r="F70" s="5" t="n">
        <v>0</v>
      </c>
      <c r="G70" s="5" t="n">
        <v>231</v>
      </c>
      <c r="H70" s="5" t="n">
        <v>4680</v>
      </c>
      <c r="I70" s="5" t="n">
        <v>247612</v>
      </c>
      <c r="J70" s="11" t="n">
        <f aca="false">IF(I70=0,0,C70/I70)</f>
        <v>0.416817440188682</v>
      </c>
      <c r="K70" s="11" t="n">
        <f aca="false">IF(I70=0,0,D70/I70)</f>
        <v>0.483017785890829</v>
      </c>
      <c r="L70" s="11" t="n">
        <f aca="false">IF(I70=0,0,E70/I70)</f>
        <v>0.0803313248146294</v>
      </c>
      <c r="M70" s="11" t="n">
        <f aca="false">IF(I70=0,0,H70/I70)</f>
        <v>0.0189005379383875</v>
      </c>
      <c r="N70" s="4" t="str">
        <f aca="false">INDEX($C$3:$F$3,MATCH(MAX(C70:F70),C70:F70,0))</f>
        <v>Fuerza y Corazón por México (PAN-PRI-PRD)</v>
      </c>
      <c r="O70" s="17" t="n">
        <f aca="false">IF(I70=0,0,(MAX(C70:F70)-LARGE(C70:F70,2))/I70*100)</f>
        <v>6.62003457021469</v>
      </c>
      <c r="P70" s="4" t="s">
        <v>21</v>
      </c>
      <c r="Q70" s="4" t="s">
        <v>20</v>
      </c>
    </row>
    <row r="71" customFormat="false" ht="15" hidden="false" customHeight="false" outlineLevel="0" collapsed="false">
      <c r="A71" s="4" t="s">
        <v>61</v>
      </c>
      <c r="B71" s="4" t="n">
        <v>20</v>
      </c>
      <c r="C71" s="5" t="n">
        <v>174337</v>
      </c>
      <c r="D71" s="5" t="n">
        <v>65560</v>
      </c>
      <c r="E71" s="5" t="n">
        <v>19946</v>
      </c>
      <c r="F71" s="5" t="n">
        <v>0</v>
      </c>
      <c r="G71" s="5" t="n">
        <v>202</v>
      </c>
      <c r="H71" s="5" t="n">
        <v>6399</v>
      </c>
      <c r="I71" s="5" t="n">
        <v>266444</v>
      </c>
      <c r="J71" s="11" t="n">
        <f aca="false">IF(I71=0,0,C71/I71)</f>
        <v>0.654310098932609</v>
      </c>
      <c r="K71" s="11" t="n">
        <f aca="false">IF(I71=0,0,D71/I71)</f>
        <v>0.246055456306016</v>
      </c>
      <c r="L71" s="11" t="n">
        <f aca="false">IF(I71=0,0,E71/I71)</f>
        <v>0.0748600081067692</v>
      </c>
      <c r="M71" s="11" t="n">
        <f aca="false">IF(I71=0,0,H71/I71)</f>
        <v>0.0240163036135173</v>
      </c>
      <c r="N71" s="4" t="str">
        <f aca="false">INDEX($C$3:$F$3,MATCH(MAX(C71:F71),C71:F71,0))</f>
        <v>Sigamos Haciendo Historia (PVEM-PT-Morena)</v>
      </c>
      <c r="O71" s="17" t="n">
        <f aca="false">IF(I71=0,0,(MAX(C71:F71)-LARGE(C71:F71,2))/I71*100)</f>
        <v>40.8254642626593</v>
      </c>
      <c r="P71" s="4" t="s">
        <v>20</v>
      </c>
      <c r="Q71" s="4" t="s">
        <v>21</v>
      </c>
    </row>
    <row r="72" customFormat="false" ht="15" hidden="false" customHeight="false" outlineLevel="0" collapsed="false">
      <c r="A72" s="4" t="s">
        <v>61</v>
      </c>
      <c r="B72" s="4" t="n">
        <v>21</v>
      </c>
      <c r="C72" s="5" t="n">
        <v>122433</v>
      </c>
      <c r="D72" s="5" t="n">
        <v>65806</v>
      </c>
      <c r="E72" s="5" t="n">
        <v>30862</v>
      </c>
      <c r="F72" s="5" t="n">
        <v>0</v>
      </c>
      <c r="G72" s="5" t="n">
        <v>232</v>
      </c>
      <c r="H72" s="5" t="n">
        <v>8732</v>
      </c>
      <c r="I72" s="5" t="n">
        <v>228065</v>
      </c>
      <c r="J72" s="11" t="n">
        <f aca="false">IF(I72=0,0,C72/I72)</f>
        <v>0.536833797382325</v>
      </c>
      <c r="K72" s="11" t="n">
        <f aca="false">IF(I72=0,0,D72/I72)</f>
        <v>0.288540547650889</v>
      </c>
      <c r="L72" s="11" t="n">
        <f aca="false">IF(I72=0,0,E72/I72)</f>
        <v>0.135321070747375</v>
      </c>
      <c r="M72" s="11" t="n">
        <f aca="false">IF(I72=0,0,H72/I72)</f>
        <v>0.0382873303663429</v>
      </c>
      <c r="N72" s="4" t="str">
        <f aca="false">INDEX($C$3:$F$3,MATCH(MAX(C72:F72),C72:F72,0))</f>
        <v>Sigamos Haciendo Historia (PVEM-PT-Morena)</v>
      </c>
      <c r="O72" s="17" t="n">
        <f aca="false">IF(I72=0,0,(MAX(C72:F72)-LARGE(C72:F72,2))/I72*100)</f>
        <v>24.8293249731436</v>
      </c>
      <c r="P72" s="4" t="s">
        <v>20</v>
      </c>
      <c r="Q72" s="4" t="s">
        <v>21</v>
      </c>
    </row>
    <row r="73" customFormat="false" ht="15" hidden="false" customHeight="false" outlineLevel="0" collapsed="false">
      <c r="A73" s="4" t="s">
        <v>61</v>
      </c>
      <c r="B73" s="4" t="n">
        <v>22</v>
      </c>
      <c r="C73" s="5" t="n">
        <v>140824</v>
      </c>
      <c r="D73" s="5" t="n">
        <v>27995</v>
      </c>
      <c r="E73" s="5" t="n">
        <v>12747</v>
      </c>
      <c r="F73" s="5" t="n">
        <v>0</v>
      </c>
      <c r="G73" s="5" t="n">
        <v>146</v>
      </c>
      <c r="H73" s="5" t="n">
        <v>4980</v>
      </c>
      <c r="I73" s="5" t="n">
        <v>186692</v>
      </c>
      <c r="J73" s="11" t="n">
        <f aca="false">IF(I73=0,0,C73/I73)</f>
        <v>0.754311914811561</v>
      </c>
      <c r="K73" s="11" t="n">
        <f aca="false">IF(I73=0,0,D73/I73)</f>
        <v>0.149952863539948</v>
      </c>
      <c r="L73" s="11" t="n">
        <f aca="false">IF(I73=0,0,E73/I73)</f>
        <v>0.0682782336682879</v>
      </c>
      <c r="M73" s="11" t="n">
        <f aca="false">IF(I73=0,0,H73/I73)</f>
        <v>0.0266749512566152</v>
      </c>
      <c r="N73" s="4" t="str">
        <f aca="false">INDEX($C$3:$F$3,MATCH(MAX(C73:F73),C73:F73,0))</f>
        <v>Sigamos Haciendo Historia (PVEM-PT-Morena)</v>
      </c>
      <c r="O73" s="17" t="n">
        <f aca="false">IF(I73=0,0,(MAX(C73:F73)-LARGE(C73:F73,2))/I73*100)</f>
        <v>60.4359051271613</v>
      </c>
      <c r="P73" s="4" t="s">
        <v>20</v>
      </c>
      <c r="Q73" s="4" t="s">
        <v>21</v>
      </c>
    </row>
    <row r="74" customFormat="false" ht="15" hidden="false" customHeight="false" outlineLevel="0" collapsed="false">
      <c r="A74" s="4" t="s">
        <v>62</v>
      </c>
      <c r="B74" s="4" t="n">
        <v>1</v>
      </c>
      <c r="C74" s="5" t="n">
        <v>92926</v>
      </c>
      <c r="D74" s="5" t="n">
        <v>70821</v>
      </c>
      <c r="E74" s="5" t="n">
        <v>8552</v>
      </c>
      <c r="F74" s="5" t="n">
        <v>0</v>
      </c>
      <c r="G74" s="5" t="n">
        <v>102</v>
      </c>
      <c r="H74" s="5" t="n">
        <v>5749</v>
      </c>
      <c r="I74" s="5" t="n">
        <v>178150</v>
      </c>
      <c r="J74" s="11" t="n">
        <f aca="false">IF(I74=0,0,C74/I74)</f>
        <v>0.5216166152119</v>
      </c>
      <c r="K74" s="11" t="n">
        <f aca="false">IF(I74=0,0,D74/I74)</f>
        <v>0.397535784451305</v>
      </c>
      <c r="L74" s="11" t="n">
        <f aca="false">IF(I74=0,0,E74/I74)</f>
        <v>0.0480044905978108</v>
      </c>
      <c r="M74" s="11" t="n">
        <f aca="false">IF(I74=0,0,H74/I74)</f>
        <v>0.0322705585181027</v>
      </c>
      <c r="N74" s="4" t="str">
        <f aca="false">INDEX($C$3:$F$3,MATCH(MAX(C74:F74),C74:F74,0))</f>
        <v>Sigamos Haciendo Historia (PVEM-PT-Morena)</v>
      </c>
      <c r="O74" s="17" t="n">
        <f aca="false">IF(I74=0,0,(MAX(C74:F74)-LARGE(C74:F74,2))/I74*100)</f>
        <v>12.4080830760595</v>
      </c>
      <c r="P74" s="4" t="s">
        <v>20</v>
      </c>
      <c r="Q74" s="4" t="s">
        <v>21</v>
      </c>
    </row>
    <row r="75" customFormat="false" ht="15" hidden="false" customHeight="false" outlineLevel="0" collapsed="false">
      <c r="A75" s="4" t="s">
        <v>62</v>
      </c>
      <c r="B75" s="4" t="n">
        <v>2</v>
      </c>
      <c r="C75" s="5" t="n">
        <v>107455</v>
      </c>
      <c r="D75" s="5" t="n">
        <v>69191</v>
      </c>
      <c r="E75" s="5" t="n">
        <v>12101</v>
      </c>
      <c r="F75" s="5" t="n">
        <v>0</v>
      </c>
      <c r="G75" s="5" t="n">
        <v>91</v>
      </c>
      <c r="H75" s="5" t="n">
        <v>4155</v>
      </c>
      <c r="I75" s="5" t="n">
        <v>192993</v>
      </c>
      <c r="J75" s="11" t="n">
        <f aca="false">IF(I75=0,0,C75/I75)</f>
        <v>0.55678185219153</v>
      </c>
      <c r="K75" s="11" t="n">
        <f aca="false">IF(I75=0,0,D75/I75)</f>
        <v>0.358515593829828</v>
      </c>
      <c r="L75" s="11" t="n">
        <f aca="false">IF(I75=0,0,E75/I75)</f>
        <v>0.0627017560222392</v>
      </c>
      <c r="M75" s="11" t="n">
        <f aca="false">IF(I75=0,0,H75/I75)</f>
        <v>0.0215292782639785</v>
      </c>
      <c r="N75" s="4" t="str">
        <f aca="false">INDEX($C$3:$F$3,MATCH(MAX(C75:F75),C75:F75,0))</f>
        <v>Sigamos Haciendo Historia (PVEM-PT-Morena)</v>
      </c>
      <c r="O75" s="17" t="n">
        <f aca="false">IF(I75=0,0,(MAX(C75:F75)-LARGE(C75:F75,2))/I75*100)</f>
        <v>19.8266258361702</v>
      </c>
      <c r="P75" s="4" t="s">
        <v>20</v>
      </c>
      <c r="Q75" s="4" t="s">
        <v>21</v>
      </c>
    </row>
    <row r="76" customFormat="false" ht="15" hidden="false" customHeight="false" outlineLevel="0" collapsed="false">
      <c r="A76" s="4" t="s">
        <v>62</v>
      </c>
      <c r="B76" s="4" t="n">
        <v>3</v>
      </c>
      <c r="C76" s="5" t="n">
        <v>109257</v>
      </c>
      <c r="D76" s="5" t="n">
        <v>71466</v>
      </c>
      <c r="E76" s="5" t="n">
        <v>8941</v>
      </c>
      <c r="F76" s="5" t="n">
        <v>0</v>
      </c>
      <c r="G76" s="5" t="n">
        <v>94</v>
      </c>
      <c r="H76" s="5" t="n">
        <v>6188</v>
      </c>
      <c r="I76" s="5" t="n">
        <v>195946</v>
      </c>
      <c r="J76" s="11" t="n">
        <f aca="false">IF(I76=0,0,C76/I76)</f>
        <v>0.557587294458677</v>
      </c>
      <c r="K76" s="11" t="n">
        <f aca="false">IF(I76=0,0,D76/I76)</f>
        <v>0.364722933869535</v>
      </c>
      <c r="L76" s="11" t="n">
        <f aca="false">IF(I76=0,0,E76/I76)</f>
        <v>0.0456299184469191</v>
      </c>
      <c r="M76" s="11" t="n">
        <f aca="false">IF(I76=0,0,H76/I76)</f>
        <v>0.0315801292192747</v>
      </c>
      <c r="N76" s="4" t="str">
        <f aca="false">INDEX($C$3:$F$3,MATCH(MAX(C76:F76),C76:F76,0))</f>
        <v>Sigamos Haciendo Historia (PVEM-PT-Morena)</v>
      </c>
      <c r="O76" s="17" t="n">
        <f aca="false">IF(I76=0,0,(MAX(C76:F76)-LARGE(C76:F76,2))/I76*100)</f>
        <v>19.2864360589142</v>
      </c>
      <c r="P76" s="4" t="s">
        <v>20</v>
      </c>
      <c r="Q76" s="4" t="s">
        <v>21</v>
      </c>
    </row>
    <row r="77" customFormat="false" ht="15" hidden="false" customHeight="false" outlineLevel="0" collapsed="false">
      <c r="A77" s="4" t="s">
        <v>62</v>
      </c>
      <c r="B77" s="4" t="n">
        <v>4</v>
      </c>
      <c r="C77" s="5" t="n">
        <v>83751</v>
      </c>
      <c r="D77" s="5" t="n">
        <v>90841</v>
      </c>
      <c r="E77" s="5" t="n">
        <v>23755</v>
      </c>
      <c r="F77" s="5" t="n">
        <v>0</v>
      </c>
      <c r="G77" s="5" t="n">
        <v>112</v>
      </c>
      <c r="H77" s="5" t="n">
        <v>5091</v>
      </c>
      <c r="I77" s="5" t="n">
        <v>203550</v>
      </c>
      <c r="J77" s="11" t="n">
        <f aca="false">IF(I77=0,0,C77/I77)</f>
        <v>0.411451731761238</v>
      </c>
      <c r="K77" s="11" t="n">
        <f aca="false">IF(I77=0,0,D77/I77)</f>
        <v>0.446283468435274</v>
      </c>
      <c r="L77" s="11" t="n">
        <f aca="false">IF(I77=0,0,E77/I77)</f>
        <v>0.116703512650454</v>
      </c>
      <c r="M77" s="11" t="n">
        <f aca="false">IF(I77=0,0,H77/I77)</f>
        <v>0.0250110537951363</v>
      </c>
      <c r="N77" s="4" t="str">
        <f aca="false">INDEX($C$3:$F$3,MATCH(MAX(C77:F77),C77:F77,0))</f>
        <v>Fuerza y Corazón por México (PAN-PRI-PRD)</v>
      </c>
      <c r="O77" s="17" t="n">
        <f aca="false">IF(I77=0,0,(MAX(C77:F77)-LARGE(C77:F77,2))/I77*100)</f>
        <v>3.48317366740359</v>
      </c>
      <c r="P77" s="4" t="s">
        <v>21</v>
      </c>
      <c r="Q77" s="4" t="s">
        <v>20</v>
      </c>
    </row>
    <row r="78" customFormat="false" ht="15" hidden="false" customHeight="false" outlineLevel="0" collapsed="false">
      <c r="A78" s="4" t="s">
        <v>63</v>
      </c>
      <c r="B78" s="4" t="n">
        <v>1</v>
      </c>
      <c r="C78" s="5" t="n">
        <v>66700</v>
      </c>
      <c r="D78" s="5" t="n">
        <v>83916</v>
      </c>
      <c r="E78" s="5" t="n">
        <v>11592</v>
      </c>
      <c r="F78" s="5" t="n">
        <v>0</v>
      </c>
      <c r="G78" s="5" t="n">
        <v>133</v>
      </c>
      <c r="H78" s="5" t="n">
        <v>6629</v>
      </c>
      <c r="I78" s="5" t="n">
        <v>168970</v>
      </c>
      <c r="J78" s="11" t="n">
        <f aca="false">IF(I78=0,0,C78/I78)</f>
        <v>0.394744629224123</v>
      </c>
      <c r="K78" s="11" t="n">
        <f aca="false">IF(I78=0,0,D78/I78)</f>
        <v>0.496632538320412</v>
      </c>
      <c r="L78" s="11" t="n">
        <f aca="false">IF(I78=0,0,E78/I78)</f>
        <v>0.0686038941823993</v>
      </c>
      <c r="M78" s="11" t="n">
        <f aca="false">IF(I78=0,0,H78/I78)</f>
        <v>0.0392318162987513</v>
      </c>
      <c r="N78" s="4" t="str">
        <f aca="false">INDEX($C$3:$F$3,MATCH(MAX(C78:F78),C78:F78,0))</f>
        <v>Fuerza y Corazón por México (PAN-PRI-PRD)</v>
      </c>
      <c r="O78" s="17" t="n">
        <f aca="false">IF(I78=0,0,(MAX(C78:F78)-LARGE(C78:F78,2))/I78*100)</f>
        <v>10.1887909096289</v>
      </c>
      <c r="P78" s="4" t="s">
        <v>21</v>
      </c>
      <c r="Q78" s="4" t="s">
        <v>20</v>
      </c>
    </row>
    <row r="79" customFormat="false" ht="15" hidden="false" customHeight="false" outlineLevel="0" collapsed="false">
      <c r="A79" s="4" t="s">
        <v>63</v>
      </c>
      <c r="B79" s="4" t="n">
        <v>2</v>
      </c>
      <c r="C79" s="5" t="n">
        <v>92678</v>
      </c>
      <c r="D79" s="5" t="n">
        <v>68715</v>
      </c>
      <c r="E79" s="5" t="n">
        <v>14804</v>
      </c>
      <c r="F79" s="5" t="n">
        <v>0</v>
      </c>
      <c r="G79" s="5" t="n">
        <v>144</v>
      </c>
      <c r="H79" s="5" t="n">
        <v>6152</v>
      </c>
      <c r="I79" s="5" t="n">
        <v>182493</v>
      </c>
      <c r="J79" s="11" t="n">
        <f aca="false">IF(I79=0,0,C79/I79)</f>
        <v>0.507844136487427</v>
      </c>
      <c r="K79" s="11" t="n">
        <f aca="false">IF(I79=0,0,D79/I79)</f>
        <v>0.376534990383193</v>
      </c>
      <c r="L79" s="11" t="n">
        <f aca="false">IF(I79=0,0,E79/I79)</f>
        <v>0.0811209197065093</v>
      </c>
      <c r="M79" s="11" t="n">
        <f aca="false">IF(I79=0,0,H79/I79)</f>
        <v>0.0337108820612298</v>
      </c>
      <c r="N79" s="4" t="str">
        <f aca="false">INDEX($C$3:$F$3,MATCH(MAX(C79:F79),C79:F79,0))</f>
        <v>Sigamos Haciendo Historia (PVEM-PT-Morena)</v>
      </c>
      <c r="O79" s="17" t="n">
        <f aca="false">IF(I79=0,0,(MAX(C79:F79)-LARGE(C79:F79,2))/I79*100)</f>
        <v>13.1309146104234</v>
      </c>
      <c r="P79" s="4" t="s">
        <v>20</v>
      </c>
      <c r="Q79" s="4" t="s">
        <v>21</v>
      </c>
    </row>
    <row r="80" customFormat="false" ht="15" hidden="false" customHeight="false" outlineLevel="0" collapsed="false">
      <c r="A80" s="4" t="s">
        <v>63</v>
      </c>
      <c r="B80" s="4" t="n">
        <v>3</v>
      </c>
      <c r="C80" s="5" t="n">
        <v>63320</v>
      </c>
      <c r="D80" s="5" t="n">
        <v>135004</v>
      </c>
      <c r="E80" s="5" t="n">
        <v>14661</v>
      </c>
      <c r="F80" s="5" t="n">
        <v>0</v>
      </c>
      <c r="G80" s="5" t="n">
        <v>165</v>
      </c>
      <c r="H80" s="5" t="n">
        <v>3552</v>
      </c>
      <c r="I80" s="5" t="n">
        <v>216702</v>
      </c>
      <c r="J80" s="11" t="n">
        <f aca="false">IF(I80=0,0,C80/I80)</f>
        <v>0.292198503013355</v>
      </c>
      <c r="K80" s="11" t="n">
        <f aca="false">IF(I80=0,0,D80/I80)</f>
        <v>0.622993788705227</v>
      </c>
      <c r="L80" s="11" t="n">
        <f aca="false">IF(I80=0,0,E80/I80)</f>
        <v>0.0676551208572141</v>
      </c>
      <c r="M80" s="11" t="n">
        <f aca="false">IF(I80=0,0,H80/I80)</f>
        <v>0.0163911731317662</v>
      </c>
      <c r="N80" s="4" t="str">
        <f aca="false">INDEX($C$3:$F$3,MATCH(MAX(C80:F80),C80:F80,0))</f>
        <v>Fuerza y Corazón por México (PAN-PRI-PRD)</v>
      </c>
      <c r="O80" s="17" t="n">
        <f aca="false">IF(I80=0,0,(MAX(C80:F80)-LARGE(C80:F80,2))/I80*100)</f>
        <v>33.0795285691872</v>
      </c>
      <c r="P80" s="4" t="s">
        <v>21</v>
      </c>
      <c r="Q80" s="4" t="s">
        <v>20</v>
      </c>
    </row>
    <row r="81" customFormat="false" ht="15" hidden="false" customHeight="false" outlineLevel="0" collapsed="false">
      <c r="A81" s="4" t="s">
        <v>63</v>
      </c>
      <c r="B81" s="4" t="n">
        <v>4</v>
      </c>
      <c r="C81" s="5" t="n">
        <v>71566</v>
      </c>
      <c r="D81" s="5" t="n">
        <v>80006</v>
      </c>
      <c r="E81" s="5" t="n">
        <v>10663</v>
      </c>
      <c r="F81" s="5" t="n">
        <v>0</v>
      </c>
      <c r="G81" s="5" t="n">
        <v>169</v>
      </c>
      <c r="H81" s="5" t="n">
        <v>6088</v>
      </c>
      <c r="I81" s="5" t="n">
        <v>168492</v>
      </c>
      <c r="J81" s="11" t="n">
        <f aca="false">IF(I81=0,0,C81/I81)</f>
        <v>0.424744201505116</v>
      </c>
      <c r="K81" s="11" t="n">
        <f aca="false">IF(I81=0,0,D81/I81)</f>
        <v>0.474835600503288</v>
      </c>
      <c r="L81" s="11" t="n">
        <f aca="false">IF(I81=0,0,E81/I81)</f>
        <v>0.0632849037343019</v>
      </c>
      <c r="M81" s="11" t="n">
        <f aca="false">IF(I81=0,0,H81/I81)</f>
        <v>0.0361322792773544</v>
      </c>
      <c r="N81" s="4" t="str">
        <f aca="false">INDEX($C$3:$F$3,MATCH(MAX(C81:F81),C81:F81,0))</f>
        <v>Fuerza y Corazón por México (PAN-PRI-PRD)</v>
      </c>
      <c r="O81" s="17" t="n">
        <f aca="false">IF(I81=0,0,(MAX(C81:F81)-LARGE(C81:F81,2))/I81*100)</f>
        <v>5.0091398998172</v>
      </c>
      <c r="P81" s="4" t="s">
        <v>20</v>
      </c>
      <c r="Q81" s="4" t="s">
        <v>23</v>
      </c>
    </row>
    <row r="82" customFormat="false" ht="15" hidden="false" customHeight="false" outlineLevel="0" collapsed="false">
      <c r="A82" s="4" t="s">
        <v>63</v>
      </c>
      <c r="B82" s="4" t="n">
        <v>5</v>
      </c>
      <c r="C82" s="5" t="n">
        <v>64549</v>
      </c>
      <c r="D82" s="5" t="n">
        <v>92973</v>
      </c>
      <c r="E82" s="5" t="n">
        <v>12741</v>
      </c>
      <c r="F82" s="5" t="n">
        <v>0</v>
      </c>
      <c r="G82" s="5" t="n">
        <v>131</v>
      </c>
      <c r="H82" s="5" t="n">
        <v>3385</v>
      </c>
      <c r="I82" s="5" t="n">
        <v>173779</v>
      </c>
      <c r="J82" s="11" t="n">
        <f aca="false">IF(I82=0,0,C82/I82)</f>
        <v>0.371443039722866</v>
      </c>
      <c r="K82" s="11" t="n">
        <f aca="false">IF(I82=0,0,D82/I82)</f>
        <v>0.53500710672751</v>
      </c>
      <c r="L82" s="11" t="n">
        <f aca="false">IF(I82=0,0,E82/I82)</f>
        <v>0.0733172592775882</v>
      </c>
      <c r="M82" s="11" t="n">
        <f aca="false">IF(I82=0,0,H82/I82)</f>
        <v>0.0194787632567802</v>
      </c>
      <c r="N82" s="4" t="str">
        <f aca="false">INDEX($C$3:$F$3,MATCH(MAX(C82:F82),C82:F82,0))</f>
        <v>Fuerza y Corazón por México (PAN-PRI-PRD)</v>
      </c>
      <c r="O82" s="17" t="n">
        <f aca="false">IF(I82=0,0,(MAX(C82:F82)-LARGE(C82:F82,2))/I82*100)</f>
        <v>16.3564067004644</v>
      </c>
      <c r="P82" s="4" t="s">
        <v>21</v>
      </c>
      <c r="Q82" s="4" t="s">
        <v>20</v>
      </c>
    </row>
    <row r="83" customFormat="false" ht="15" hidden="false" customHeight="false" outlineLevel="0" collapsed="false">
      <c r="A83" s="4" t="s">
        <v>63</v>
      </c>
      <c r="B83" s="4" t="n">
        <v>6</v>
      </c>
      <c r="C83" s="5" t="n">
        <v>63745</v>
      </c>
      <c r="D83" s="5" t="n">
        <v>93696</v>
      </c>
      <c r="E83" s="5" t="n">
        <v>12201</v>
      </c>
      <c r="F83" s="5" t="n">
        <v>0</v>
      </c>
      <c r="G83" s="5" t="n">
        <v>119</v>
      </c>
      <c r="H83" s="5" t="n">
        <v>4798</v>
      </c>
      <c r="I83" s="5" t="n">
        <v>174559</v>
      </c>
      <c r="J83" s="11" t="n">
        <f aca="false">IF(I83=0,0,C83/I83)</f>
        <v>0.36517738987964</v>
      </c>
      <c r="K83" s="11" t="n">
        <f aca="false">IF(I83=0,0,D83/I83)</f>
        <v>0.53675834531591</v>
      </c>
      <c r="L83" s="11" t="n">
        <f aca="false">IF(I83=0,0,E83/I83)</f>
        <v>0.0698961382684365</v>
      </c>
      <c r="M83" s="11" t="n">
        <f aca="false">IF(I83=0,0,H83/I83)</f>
        <v>0.0274864086068321</v>
      </c>
      <c r="N83" s="4" t="str">
        <f aca="false">INDEX($C$3:$F$3,MATCH(MAX(C83:F83),C83:F83,0))</f>
        <v>Fuerza y Corazón por México (PAN-PRI-PRD)</v>
      </c>
      <c r="O83" s="17" t="n">
        <f aca="false">IF(I83=0,0,(MAX(C83:F83)-LARGE(C83:F83,2))/I83*100)</f>
        <v>17.1580955436271</v>
      </c>
      <c r="P83" s="4" t="s">
        <v>23</v>
      </c>
      <c r="Q83" s="4" t="s">
        <v>20</v>
      </c>
    </row>
    <row r="84" customFormat="false" ht="15" hidden="false" customHeight="false" outlineLevel="0" collapsed="false">
      <c r="A84" s="4" t="s">
        <v>63</v>
      </c>
      <c r="B84" s="4" t="n">
        <v>7</v>
      </c>
      <c r="C84" s="5" t="n">
        <v>51356</v>
      </c>
      <c r="D84" s="5" t="n">
        <v>91948</v>
      </c>
      <c r="E84" s="5" t="n">
        <v>8116</v>
      </c>
      <c r="F84" s="5" t="n">
        <v>0</v>
      </c>
      <c r="G84" s="5" t="n">
        <v>63</v>
      </c>
      <c r="H84" s="5" t="n">
        <v>3775</v>
      </c>
      <c r="I84" s="5" t="n">
        <v>155258</v>
      </c>
      <c r="J84" s="11" t="n">
        <f aca="false">IF(I84=0,0,C84/I84)</f>
        <v>0.33077844619923</v>
      </c>
      <c r="K84" s="11" t="n">
        <f aca="false">IF(I84=0,0,D84/I84)</f>
        <v>0.592227131613186</v>
      </c>
      <c r="L84" s="11" t="n">
        <f aca="false">IF(I84=0,0,E84/I84)</f>
        <v>0.0522742789421479</v>
      </c>
      <c r="M84" s="11" t="n">
        <f aca="false">IF(I84=0,0,H84/I84)</f>
        <v>0.0243143670535496</v>
      </c>
      <c r="N84" s="4" t="str">
        <f aca="false">INDEX($C$3:$F$3,MATCH(MAX(C84:F84),C84:F84,0))</f>
        <v>Fuerza y Corazón por México (PAN-PRI-PRD)</v>
      </c>
      <c r="O84" s="17" t="n">
        <f aca="false">IF(I84=0,0,(MAX(C84:F84)-LARGE(C84:F84,2))/I84*100)</f>
        <v>26.1448685413956</v>
      </c>
      <c r="P84" s="4" t="s">
        <v>21</v>
      </c>
      <c r="Q84" s="4" t="s">
        <v>20</v>
      </c>
    </row>
    <row r="85" customFormat="false" ht="15" hidden="false" customHeight="false" outlineLevel="0" collapsed="false">
      <c r="A85" s="4" t="s">
        <v>63</v>
      </c>
      <c r="B85" s="4" t="n">
        <v>8</v>
      </c>
      <c r="C85" s="5" t="n">
        <v>105794</v>
      </c>
      <c r="D85" s="5" t="n">
        <v>71464</v>
      </c>
      <c r="E85" s="5" t="n">
        <v>15251</v>
      </c>
      <c r="F85" s="5" t="n">
        <v>0</v>
      </c>
      <c r="G85" s="5" t="n">
        <v>186</v>
      </c>
      <c r="H85" s="5" t="n">
        <v>5147</v>
      </c>
      <c r="I85" s="5" t="n">
        <v>197842</v>
      </c>
      <c r="J85" s="11" t="n">
        <f aca="false">IF(I85=0,0,C85/I85)</f>
        <v>0.534739842904944</v>
      </c>
      <c r="K85" s="11" t="n">
        <f aca="false">IF(I85=0,0,D85/I85)</f>
        <v>0.361217537226676</v>
      </c>
      <c r="L85" s="11" t="n">
        <f aca="false">IF(I85=0,0,E85/I85)</f>
        <v>0.0770867662073776</v>
      </c>
      <c r="M85" s="11" t="n">
        <f aca="false">IF(I85=0,0,H85/I85)</f>
        <v>0.026015709505565</v>
      </c>
      <c r="N85" s="4" t="str">
        <f aca="false">INDEX($C$3:$F$3,MATCH(MAX(C85:F85),C85:F85,0))</f>
        <v>Sigamos Haciendo Historia (PVEM-PT-Morena)</v>
      </c>
      <c r="O85" s="17" t="n">
        <f aca="false">IF(I85=0,0,(MAX(C85:F85)-LARGE(C85:F85,2))/I85*100)</f>
        <v>17.3522305678269</v>
      </c>
      <c r="P85" s="4" t="s">
        <v>20</v>
      </c>
      <c r="Q85" s="4" t="s">
        <v>21</v>
      </c>
    </row>
    <row r="86" customFormat="false" ht="15" hidden="false" customHeight="false" outlineLevel="0" collapsed="false">
      <c r="A86" s="4" t="s">
        <v>63</v>
      </c>
      <c r="B86" s="4" t="n">
        <v>9</v>
      </c>
      <c r="C86" s="5" t="n">
        <v>72208</v>
      </c>
      <c r="D86" s="5" t="n">
        <v>76025</v>
      </c>
      <c r="E86" s="5" t="n">
        <v>15018</v>
      </c>
      <c r="F86" s="5" t="n">
        <v>0</v>
      </c>
      <c r="G86" s="5" t="n">
        <v>75</v>
      </c>
      <c r="H86" s="5" t="n">
        <v>3755</v>
      </c>
      <c r="I86" s="5" t="n">
        <v>167081</v>
      </c>
      <c r="J86" s="11" t="n">
        <f aca="false">IF(I86=0,0,C86/I86)</f>
        <v>0.432173616389655</v>
      </c>
      <c r="K86" s="11" t="n">
        <f aca="false">IF(I86=0,0,D86/I86)</f>
        <v>0.455018823205511</v>
      </c>
      <c r="L86" s="11" t="n">
        <f aca="false">IF(I86=0,0,E86/I86)</f>
        <v>0.0898845470161179</v>
      </c>
      <c r="M86" s="11" t="n">
        <f aca="false">IF(I86=0,0,H86/I86)</f>
        <v>0.0224741293145241</v>
      </c>
      <c r="N86" s="4" t="str">
        <f aca="false">INDEX($C$3:$F$3,MATCH(MAX(C86:F86),C86:F86,0))</f>
        <v>Fuerza y Corazón por México (PAN-PRI-PRD)</v>
      </c>
      <c r="O86" s="17" t="n">
        <f aca="false">IF(I86=0,0,(MAX(C86:F86)-LARGE(C86:F86,2))/I86*100)</f>
        <v>2.28452068158558</v>
      </c>
      <c r="P86" s="4" t="s">
        <v>21</v>
      </c>
      <c r="Q86" s="4" t="s">
        <v>20</v>
      </c>
    </row>
    <row r="87" customFormat="false" ht="15" hidden="false" customHeight="false" outlineLevel="0" collapsed="false">
      <c r="A87" s="4" t="s">
        <v>63</v>
      </c>
      <c r="B87" s="4" t="n">
        <v>10</v>
      </c>
      <c r="C87" s="5" t="n">
        <v>110291</v>
      </c>
      <c r="D87" s="5" t="n">
        <v>64216</v>
      </c>
      <c r="E87" s="5" t="n">
        <v>24679</v>
      </c>
      <c r="F87" s="5" t="n">
        <v>0</v>
      </c>
      <c r="G87" s="5" t="n">
        <v>125</v>
      </c>
      <c r="H87" s="5" t="n">
        <v>5781</v>
      </c>
      <c r="I87" s="5" t="n">
        <v>205092</v>
      </c>
      <c r="J87" s="11" t="n">
        <f aca="false">IF(I87=0,0,C87/I87)</f>
        <v>0.537763540264857</v>
      </c>
      <c r="K87" s="11" t="n">
        <f aca="false">IF(I87=0,0,D87/I87)</f>
        <v>0.313108263608527</v>
      </c>
      <c r="L87" s="11" t="n">
        <f aca="false">IF(I87=0,0,E87/I87)</f>
        <v>0.120331363485655</v>
      </c>
      <c r="M87" s="11" t="n">
        <f aca="false">IF(I87=0,0,H87/I87)</f>
        <v>0.0281873500672869</v>
      </c>
      <c r="N87" s="4" t="str">
        <f aca="false">INDEX($C$3:$F$3,MATCH(MAX(C87:F87),C87:F87,0))</f>
        <v>Sigamos Haciendo Historia (PVEM-PT-Morena)</v>
      </c>
      <c r="O87" s="17" t="n">
        <f aca="false">IF(I87=0,0,(MAX(C87:F87)-LARGE(C87:F87,2))/I87*100)</f>
        <v>22.465527665633</v>
      </c>
      <c r="P87" s="4" t="s">
        <v>20</v>
      </c>
      <c r="Q87" s="4" t="s">
        <v>21</v>
      </c>
    </row>
    <row r="88" customFormat="false" ht="15" hidden="false" customHeight="false" outlineLevel="0" collapsed="false">
      <c r="A88" s="4" t="s">
        <v>63</v>
      </c>
      <c r="B88" s="4" t="n">
        <v>11</v>
      </c>
      <c r="C88" s="5" t="n">
        <v>73108</v>
      </c>
      <c r="D88" s="5" t="n">
        <v>104495</v>
      </c>
      <c r="E88" s="5" t="n">
        <v>15134</v>
      </c>
      <c r="F88" s="5" t="n">
        <v>0</v>
      </c>
      <c r="G88" s="5" t="n">
        <v>124</v>
      </c>
      <c r="H88" s="5" t="n">
        <v>5551</v>
      </c>
      <c r="I88" s="5" t="n">
        <v>198412</v>
      </c>
      <c r="J88" s="11" t="n">
        <f aca="false">IF(I88=0,0,C88/I88)</f>
        <v>0.368465616998972</v>
      </c>
      <c r="K88" s="11" t="n">
        <f aca="false">IF(I88=0,0,D88/I88)</f>
        <v>0.526656653831422</v>
      </c>
      <c r="L88" s="11" t="n">
        <f aca="false">IF(I88=0,0,E88/I88)</f>
        <v>0.0762756284902123</v>
      </c>
      <c r="M88" s="11" t="n">
        <f aca="false">IF(I88=0,0,H88/I88)</f>
        <v>0.0279771384795274</v>
      </c>
      <c r="N88" s="4" t="str">
        <f aca="false">INDEX($C$3:$F$3,MATCH(MAX(C88:F88),C88:F88,0))</f>
        <v>Fuerza y Corazón por México (PAN-PRI-PRD)</v>
      </c>
      <c r="O88" s="17" t="n">
        <f aca="false">IF(I88=0,0,(MAX(C88:F88)-LARGE(C88:F88,2))/I88*100)</f>
        <v>15.819103683245</v>
      </c>
      <c r="P88" s="4" t="s">
        <v>23</v>
      </c>
      <c r="Q88" s="4" t="s">
        <v>20</v>
      </c>
    </row>
    <row r="89" customFormat="false" ht="15" hidden="false" customHeight="false" outlineLevel="0" collapsed="false">
      <c r="A89" s="4" t="s">
        <v>63</v>
      </c>
      <c r="B89" s="4" t="n">
        <v>12</v>
      </c>
      <c r="C89" s="5" t="n">
        <v>98078</v>
      </c>
      <c r="D89" s="5" t="n">
        <v>79463</v>
      </c>
      <c r="E89" s="5" t="n">
        <v>20169</v>
      </c>
      <c r="F89" s="5" t="n">
        <v>0</v>
      </c>
      <c r="G89" s="5" t="n">
        <v>145</v>
      </c>
      <c r="H89" s="5" t="n">
        <v>3663</v>
      </c>
      <c r="I89" s="5" t="n">
        <v>201518</v>
      </c>
      <c r="J89" s="11" t="n">
        <f aca="false">IF(I89=0,0,C89/I89)</f>
        <v>0.486695977530543</v>
      </c>
      <c r="K89" s="11" t="n">
        <f aca="false">IF(I89=0,0,D89/I89)</f>
        <v>0.394322095296698</v>
      </c>
      <c r="L89" s="11" t="n">
        <f aca="false">IF(I89=0,0,E89/I89)</f>
        <v>0.100085352176977</v>
      </c>
      <c r="M89" s="11" t="n">
        <f aca="false">IF(I89=0,0,H89/I89)</f>
        <v>0.0181770362945246</v>
      </c>
      <c r="N89" s="4" t="str">
        <f aca="false">INDEX($C$3:$F$3,MATCH(MAX(C89:F89),C89:F89,0))</f>
        <v>Sigamos Haciendo Historia (PVEM-PT-Morena)</v>
      </c>
      <c r="O89" s="17" t="n">
        <f aca="false">IF(I89=0,0,(MAX(C89:F89)-LARGE(C89:F89,2))/I89*100)</f>
        <v>9.23738822338451</v>
      </c>
      <c r="P89" s="4" t="s">
        <v>20</v>
      </c>
      <c r="Q89" s="4" t="s">
        <v>21</v>
      </c>
    </row>
    <row r="90" customFormat="false" ht="15" hidden="false" customHeight="false" outlineLevel="0" collapsed="false">
      <c r="A90" s="4" t="s">
        <v>63</v>
      </c>
      <c r="B90" s="4" t="n">
        <v>13</v>
      </c>
      <c r="C90" s="5" t="n">
        <v>92005</v>
      </c>
      <c r="D90" s="5" t="n">
        <v>76376</v>
      </c>
      <c r="E90" s="5" t="n">
        <v>10683</v>
      </c>
      <c r="F90" s="5" t="n">
        <v>0</v>
      </c>
      <c r="G90" s="5" t="n">
        <v>53</v>
      </c>
      <c r="H90" s="5" t="n">
        <v>5156</v>
      </c>
      <c r="I90" s="5" t="n">
        <v>184273</v>
      </c>
      <c r="J90" s="11" t="n">
        <f aca="false">IF(I90=0,0,C90/I90)</f>
        <v>0.499286384874615</v>
      </c>
      <c r="K90" s="11" t="n">
        <f aca="false">IF(I90=0,0,D90/I90)</f>
        <v>0.41447200620818</v>
      </c>
      <c r="L90" s="11" t="n">
        <f aca="false">IF(I90=0,0,E90/I90)</f>
        <v>0.057973767182387</v>
      </c>
      <c r="M90" s="11" t="n">
        <f aca="false">IF(I90=0,0,H90/I90)</f>
        <v>0.0279802249922669</v>
      </c>
      <c r="N90" s="4" t="str">
        <f aca="false">INDEX($C$3:$F$3,MATCH(MAX(C90:F90),C90:F90,0))</f>
        <v>Sigamos Haciendo Historia (PVEM-PT-Morena)</v>
      </c>
      <c r="O90" s="17" t="n">
        <f aca="false">IF(I90=0,0,(MAX(C90:F90)-LARGE(C90:F90,2))/I90*100)</f>
        <v>8.48143786664351</v>
      </c>
      <c r="P90" s="4" t="s">
        <v>20</v>
      </c>
      <c r="Q90" s="4" t="s">
        <v>21</v>
      </c>
    </row>
    <row r="91" customFormat="false" ht="15" hidden="false" customHeight="false" outlineLevel="0" collapsed="false">
      <c r="A91" s="4" t="s">
        <v>63</v>
      </c>
      <c r="B91" s="4" t="n">
        <v>14</v>
      </c>
      <c r="C91" s="5" t="n">
        <v>81979</v>
      </c>
      <c r="D91" s="5" t="n">
        <v>69764</v>
      </c>
      <c r="E91" s="5" t="n">
        <v>10618</v>
      </c>
      <c r="F91" s="5" t="n">
        <v>0</v>
      </c>
      <c r="G91" s="5" t="n">
        <v>110</v>
      </c>
      <c r="H91" s="5" t="n">
        <v>5779</v>
      </c>
      <c r="I91" s="5" t="n">
        <v>168250</v>
      </c>
      <c r="J91" s="11" t="n">
        <f aca="false">IF(I91=0,0,C91/I91)</f>
        <v>0.487245170876672</v>
      </c>
      <c r="K91" s="11" t="n">
        <f aca="false">IF(I91=0,0,D91/I91)</f>
        <v>0.414644873699851</v>
      </c>
      <c r="L91" s="11" t="n">
        <f aca="false">IF(I91=0,0,E91/I91)</f>
        <v>0.0631084695393759</v>
      </c>
      <c r="M91" s="11" t="n">
        <f aca="false">IF(I91=0,0,H91/I91)</f>
        <v>0.0343476968796434</v>
      </c>
      <c r="N91" s="4" t="str">
        <f aca="false">INDEX($C$3:$F$3,MATCH(MAX(C91:F91),C91:F91,0))</f>
        <v>Sigamos Haciendo Historia (PVEM-PT-Morena)</v>
      </c>
      <c r="O91" s="17" t="n">
        <f aca="false">IF(I91=0,0,(MAX(C91:F91)-LARGE(C91:F91,2))/I91*100)</f>
        <v>7.26002971768202</v>
      </c>
      <c r="P91" s="4" t="s">
        <v>20</v>
      </c>
      <c r="Q91" s="4" t="s">
        <v>21</v>
      </c>
    </row>
    <row r="92" customFormat="false" ht="15" hidden="false" customHeight="false" outlineLevel="0" collapsed="false">
      <c r="A92" s="4" t="s">
        <v>63</v>
      </c>
      <c r="B92" s="4" t="n">
        <v>15</v>
      </c>
      <c r="C92" s="5" t="n">
        <v>80109</v>
      </c>
      <c r="D92" s="5" t="n">
        <v>65271</v>
      </c>
      <c r="E92" s="5" t="n">
        <v>12938</v>
      </c>
      <c r="F92" s="5" t="n">
        <v>0</v>
      </c>
      <c r="G92" s="5" t="n">
        <v>103</v>
      </c>
      <c r="H92" s="5" t="n">
        <v>3525</v>
      </c>
      <c r="I92" s="5" t="n">
        <v>161946</v>
      </c>
      <c r="J92" s="11" t="n">
        <f aca="false">IF(I92=0,0,C92/I92)</f>
        <v>0.494664888296099</v>
      </c>
      <c r="K92" s="11" t="n">
        <f aca="false">IF(I92=0,0,D92/I92)</f>
        <v>0.40304175465896</v>
      </c>
      <c r="L92" s="11" t="n">
        <f aca="false">IF(I92=0,0,E92/I92)</f>
        <v>0.0798908278067998</v>
      </c>
      <c r="M92" s="11" t="n">
        <f aca="false">IF(I92=0,0,H92/I92)</f>
        <v>0.0217665147641807</v>
      </c>
      <c r="N92" s="4" t="str">
        <f aca="false">INDEX($C$3:$F$3,MATCH(MAX(C92:F92),C92:F92,0))</f>
        <v>Sigamos Haciendo Historia (PVEM-PT-Morena)</v>
      </c>
      <c r="O92" s="17" t="n">
        <f aca="false">IF(I92=0,0,(MAX(C92:F92)-LARGE(C92:F92,2))/I92*100)</f>
        <v>9.16231336371383</v>
      </c>
      <c r="P92" s="4" t="s">
        <v>20</v>
      </c>
      <c r="Q92" s="4" t="s">
        <v>21</v>
      </c>
    </row>
    <row r="93" customFormat="false" ht="15" hidden="false" customHeight="false" outlineLevel="0" collapsed="false">
      <c r="A93" s="4" t="s">
        <v>64</v>
      </c>
      <c r="B93" s="4" t="n">
        <v>1</v>
      </c>
      <c r="C93" s="5" t="n">
        <v>147603</v>
      </c>
      <c r="D93" s="5" t="n">
        <v>46930</v>
      </c>
      <c r="E93" s="5" t="n">
        <v>10592</v>
      </c>
      <c r="F93" s="5" t="n">
        <v>0</v>
      </c>
      <c r="G93" s="5" t="n">
        <v>164</v>
      </c>
      <c r="H93" s="5" t="n">
        <v>9917</v>
      </c>
      <c r="I93" s="5" t="n">
        <v>215206</v>
      </c>
      <c r="J93" s="11" t="n">
        <f aca="false">IF(I93=0,0,C93/I93)</f>
        <v>0.685868423742832</v>
      </c>
      <c r="K93" s="11" t="n">
        <f aca="false">IF(I93=0,0,D93/I93)</f>
        <v>0.218070128156278</v>
      </c>
      <c r="L93" s="11" t="n">
        <f aca="false">IF(I93=0,0,E93/I93)</f>
        <v>0.049217958607102</v>
      </c>
      <c r="M93" s="11" t="n">
        <f aca="false">IF(I93=0,0,H93/I93)</f>
        <v>0.0460814289564417</v>
      </c>
      <c r="N93" s="4" t="str">
        <f aca="false">INDEX($C$3:$F$3,MATCH(MAX(C93:F93),C93:F93,0))</f>
        <v>Sigamos Haciendo Historia (PVEM-PT-Morena)</v>
      </c>
      <c r="O93" s="17" t="n">
        <f aca="false">IF(I93=0,0,(MAX(C93:F93)-LARGE(C93:F93,2))/I93*100)</f>
        <v>46.7798295586554</v>
      </c>
      <c r="P93" s="4" t="s">
        <v>20</v>
      </c>
      <c r="Q93" s="4" t="s">
        <v>21</v>
      </c>
    </row>
    <row r="94" customFormat="false" ht="15" hidden="false" customHeight="false" outlineLevel="0" collapsed="false">
      <c r="A94" s="4" t="s">
        <v>64</v>
      </c>
      <c r="B94" s="4" t="n">
        <v>2</v>
      </c>
      <c r="C94" s="5" t="n">
        <v>113644</v>
      </c>
      <c r="D94" s="5" t="n">
        <v>18148</v>
      </c>
      <c r="E94" s="5" t="n">
        <v>10771</v>
      </c>
      <c r="F94" s="5" t="n">
        <v>0</v>
      </c>
      <c r="G94" s="5" t="n">
        <v>195</v>
      </c>
      <c r="H94" s="5" t="n">
        <v>5613</v>
      </c>
      <c r="I94" s="5" t="n">
        <v>148371</v>
      </c>
      <c r="J94" s="11" t="n">
        <f aca="false">IF(I94=0,0,C94/I94)</f>
        <v>0.765944827493243</v>
      </c>
      <c r="K94" s="11" t="n">
        <f aca="false">IF(I94=0,0,D94/I94)</f>
        <v>0.122315007649743</v>
      </c>
      <c r="L94" s="11" t="n">
        <f aca="false">IF(I94=0,0,E94/I94)</f>
        <v>0.0725950488976956</v>
      </c>
      <c r="M94" s="11" t="n">
        <f aca="false">IF(I94=0,0,H94/I94)</f>
        <v>0.0378308429544857</v>
      </c>
      <c r="N94" s="4" t="str">
        <f aca="false">INDEX($C$3:$F$3,MATCH(MAX(C94:F94),C94:F94,0))</f>
        <v>Sigamos Haciendo Historia (PVEM-PT-Morena)</v>
      </c>
      <c r="O94" s="17" t="n">
        <f aca="false">IF(I94=0,0,(MAX(C94:F94)-LARGE(C94:F94,2))/I94*100)</f>
        <v>64.36298198435</v>
      </c>
      <c r="P94" s="4" t="s">
        <v>20</v>
      </c>
      <c r="Q94" s="4" t="s">
        <v>21</v>
      </c>
    </row>
    <row r="95" customFormat="false" ht="15" hidden="false" customHeight="false" outlineLevel="0" collapsed="false">
      <c r="A95" s="4" t="s">
        <v>64</v>
      </c>
      <c r="B95" s="4" t="n">
        <v>3</v>
      </c>
      <c r="C95" s="5" t="n">
        <v>132227</v>
      </c>
      <c r="D95" s="5" t="n">
        <v>39827</v>
      </c>
      <c r="E95" s="5" t="n">
        <v>6543</v>
      </c>
      <c r="F95" s="5" t="n">
        <v>0</v>
      </c>
      <c r="G95" s="5" t="n">
        <v>111</v>
      </c>
      <c r="H95" s="5" t="n">
        <v>7295</v>
      </c>
      <c r="I95" s="5" t="n">
        <v>186003</v>
      </c>
      <c r="J95" s="11" t="n">
        <f aca="false">IF(I95=0,0,C95/I95)</f>
        <v>0.710886383552953</v>
      </c>
      <c r="K95" s="11" t="n">
        <f aca="false">IF(I95=0,0,D95/I95)</f>
        <v>0.214120202362327</v>
      </c>
      <c r="L95" s="11" t="n">
        <f aca="false">IF(I95=0,0,E95/I95)</f>
        <v>0.0351768519862583</v>
      </c>
      <c r="M95" s="11" t="n">
        <f aca="false">IF(I95=0,0,H95/I95)</f>
        <v>0.0392197975301474</v>
      </c>
      <c r="N95" s="4" t="str">
        <f aca="false">INDEX($C$3:$F$3,MATCH(MAX(C95:F95),C95:F95,0))</f>
        <v>Sigamos Haciendo Historia (PVEM-PT-Morena)</v>
      </c>
      <c r="O95" s="17" t="n">
        <f aca="false">IF(I95=0,0,(MAX(C95:F95)-LARGE(C95:F95,2))/I95*100)</f>
        <v>49.6766181190626</v>
      </c>
      <c r="P95" s="4" t="s">
        <v>20</v>
      </c>
      <c r="Q95" s="4" t="s">
        <v>21</v>
      </c>
    </row>
    <row r="96" customFormat="false" ht="15" hidden="false" customHeight="false" outlineLevel="0" collapsed="false">
      <c r="A96" s="4" t="s">
        <v>64</v>
      </c>
      <c r="B96" s="4" t="n">
        <v>4</v>
      </c>
      <c r="C96" s="5" t="n">
        <v>126924</v>
      </c>
      <c r="D96" s="5" t="n">
        <v>19897</v>
      </c>
      <c r="E96" s="5" t="n">
        <v>13747</v>
      </c>
      <c r="F96" s="5" t="n">
        <v>0</v>
      </c>
      <c r="G96" s="5" t="n">
        <v>280</v>
      </c>
      <c r="H96" s="5" t="n">
        <v>6378</v>
      </c>
      <c r="I96" s="5" t="n">
        <v>167226</v>
      </c>
      <c r="J96" s="11" t="n">
        <f aca="false">IF(I96=0,0,C96/I96)</f>
        <v>0.758996806716659</v>
      </c>
      <c r="K96" s="11" t="n">
        <f aca="false">IF(I96=0,0,D96/I96)</f>
        <v>0.118982694078672</v>
      </c>
      <c r="L96" s="11" t="n">
        <f aca="false">IF(I96=0,0,E96/I96)</f>
        <v>0.0822061162737852</v>
      </c>
      <c r="M96" s="11" t="n">
        <f aca="false">IF(I96=0,0,H96/I96)</f>
        <v>0.0381400021527753</v>
      </c>
      <c r="N96" s="4" t="str">
        <f aca="false">INDEX($C$3:$F$3,MATCH(MAX(C96:F96),C96:F96,0))</f>
        <v>Sigamos Haciendo Historia (PVEM-PT-Morena)</v>
      </c>
      <c r="O96" s="17" t="n">
        <f aca="false">IF(I96=0,0,(MAX(C96:F96)-LARGE(C96:F96,2))/I96*100)</f>
        <v>64.0014112637987</v>
      </c>
      <c r="P96" s="4" t="s">
        <v>20</v>
      </c>
      <c r="Q96" s="4" t="s">
        <v>21</v>
      </c>
    </row>
    <row r="97" customFormat="false" ht="15" hidden="false" customHeight="false" outlineLevel="0" collapsed="false">
      <c r="A97" s="4" t="s">
        <v>64</v>
      </c>
      <c r="B97" s="4" t="n">
        <v>5</v>
      </c>
      <c r="C97" s="5" t="n">
        <v>124674</v>
      </c>
      <c r="D97" s="5" t="n">
        <v>52352</v>
      </c>
      <c r="E97" s="5" t="n">
        <v>16578</v>
      </c>
      <c r="F97" s="5" t="n">
        <v>0</v>
      </c>
      <c r="G97" s="5" t="n">
        <v>357</v>
      </c>
      <c r="H97" s="5" t="n">
        <v>15950</v>
      </c>
      <c r="I97" s="5" t="n">
        <v>209911</v>
      </c>
      <c r="J97" s="11" t="n">
        <f aca="false">IF(I97=0,0,C97/I97)</f>
        <v>0.59393743062536</v>
      </c>
      <c r="K97" s="11" t="n">
        <f aca="false">IF(I97=0,0,D97/I97)</f>
        <v>0.249400936587411</v>
      </c>
      <c r="L97" s="11" t="n">
        <f aca="false">IF(I97=0,0,E97/I97)</f>
        <v>0.0789763280628457</v>
      </c>
      <c r="M97" s="11" t="n">
        <f aca="false">IF(I97=0,0,H97/I97)</f>
        <v>0.0759845839427186</v>
      </c>
      <c r="N97" s="4" t="str">
        <f aca="false">INDEX($C$3:$F$3,MATCH(MAX(C97:F97),C97:F97,0))</f>
        <v>Sigamos Haciendo Historia (PVEM-PT-Morena)</v>
      </c>
      <c r="O97" s="17" t="n">
        <f aca="false">IF(I97=0,0,(MAX(C97:F97)-LARGE(C97:F97,2))/I97*100)</f>
        <v>34.4536494037949</v>
      </c>
      <c r="P97" s="4" t="s">
        <v>20</v>
      </c>
      <c r="Q97" s="4" t="s">
        <v>21</v>
      </c>
    </row>
    <row r="98" customFormat="false" ht="15" hidden="false" customHeight="false" outlineLevel="0" collapsed="false">
      <c r="A98" s="4" t="s">
        <v>64</v>
      </c>
      <c r="B98" s="4" t="n">
        <v>6</v>
      </c>
      <c r="C98" s="5" t="n">
        <v>105343</v>
      </c>
      <c r="D98" s="5" t="n">
        <v>67352</v>
      </c>
      <c r="E98" s="5" t="n">
        <v>16841</v>
      </c>
      <c r="F98" s="5" t="n">
        <v>0</v>
      </c>
      <c r="G98" s="5" t="n">
        <v>177</v>
      </c>
      <c r="H98" s="5" t="n">
        <v>10198</v>
      </c>
      <c r="I98" s="5" t="n">
        <v>199911</v>
      </c>
      <c r="J98" s="11" t="n">
        <f aca="false">IF(I98=0,0,C98/I98)</f>
        <v>0.526949492524173</v>
      </c>
      <c r="K98" s="11" t="n">
        <f aca="false">IF(I98=0,0,D98/I98)</f>
        <v>0.336909924916588</v>
      </c>
      <c r="L98" s="11" t="n">
        <f aca="false">IF(I98=0,0,E98/I98)</f>
        <v>0.0842424879071187</v>
      </c>
      <c r="M98" s="11" t="n">
        <f aca="false">IF(I98=0,0,H98/I98)</f>
        <v>0.0510127006517901</v>
      </c>
      <c r="N98" s="4" t="str">
        <f aca="false">INDEX($C$3:$F$3,MATCH(MAX(C98:F98),C98:F98,0))</f>
        <v>Sigamos Haciendo Historia (PVEM-PT-Morena)</v>
      </c>
      <c r="O98" s="17" t="n">
        <f aca="false">IF(I98=0,0,(MAX(C98:F98)-LARGE(C98:F98,2))/I98*100)</f>
        <v>19.0039567607585</v>
      </c>
      <c r="P98" s="4" t="s">
        <v>20</v>
      </c>
      <c r="Q98" s="4" t="s">
        <v>21</v>
      </c>
    </row>
    <row r="99" customFormat="false" ht="15" hidden="false" customHeight="false" outlineLevel="0" collapsed="false">
      <c r="A99" s="4" t="s">
        <v>64</v>
      </c>
      <c r="B99" s="4" t="n">
        <v>7</v>
      </c>
      <c r="C99" s="5" t="n">
        <v>108764</v>
      </c>
      <c r="D99" s="5" t="n">
        <v>40997</v>
      </c>
      <c r="E99" s="5" t="n">
        <v>26137</v>
      </c>
      <c r="F99" s="5" t="n">
        <v>0</v>
      </c>
      <c r="G99" s="5" t="n">
        <v>435</v>
      </c>
      <c r="H99" s="5" t="n">
        <v>10625</v>
      </c>
      <c r="I99" s="5" t="n">
        <v>186958</v>
      </c>
      <c r="J99" s="11" t="n">
        <f aca="false">IF(I99=0,0,C99/I99)</f>
        <v>0.581756330298784</v>
      </c>
      <c r="K99" s="11" t="n">
        <f aca="false">IF(I99=0,0,D99/I99)</f>
        <v>0.219284545191968</v>
      </c>
      <c r="L99" s="11" t="n">
        <f aca="false">IF(I99=0,0,E99/I99)</f>
        <v>0.139801452732699</v>
      </c>
      <c r="M99" s="11" t="n">
        <f aca="false">IF(I99=0,0,H99/I99)</f>
        <v>0.0568309459878689</v>
      </c>
      <c r="N99" s="4" t="str">
        <f aca="false">INDEX($C$3:$F$3,MATCH(MAX(C99:F99),C99:F99,0))</f>
        <v>Sigamos Haciendo Historia (PVEM-PT-Morena)</v>
      </c>
      <c r="O99" s="17" t="n">
        <f aca="false">IF(I99=0,0,(MAX(C99:F99)-LARGE(C99:F99,2))/I99*100)</f>
        <v>36.2471785106815</v>
      </c>
      <c r="P99" s="4" t="s">
        <v>20</v>
      </c>
      <c r="Q99" s="4" t="s">
        <v>21</v>
      </c>
    </row>
    <row r="100" customFormat="false" ht="15" hidden="false" customHeight="false" outlineLevel="0" collapsed="false">
      <c r="A100" s="4" t="s">
        <v>64</v>
      </c>
      <c r="B100" s="4" t="n">
        <v>8</v>
      </c>
      <c r="C100" s="5" t="n">
        <v>140796</v>
      </c>
      <c r="D100" s="5" t="n">
        <v>54545</v>
      </c>
      <c r="E100" s="5" t="n">
        <v>15174</v>
      </c>
      <c r="F100" s="5" t="n">
        <v>0</v>
      </c>
      <c r="G100" s="5" t="n">
        <v>82</v>
      </c>
      <c r="H100" s="5" t="n">
        <v>11288</v>
      </c>
      <c r="I100" s="5" t="n">
        <v>221885</v>
      </c>
      <c r="J100" s="11" t="n">
        <f aca="false">IF(I100=0,0,C100/I100)</f>
        <v>0.634544921919012</v>
      </c>
      <c r="K100" s="11" t="n">
        <f aca="false">IF(I100=0,0,D100/I100)</f>
        <v>0.245825540257341</v>
      </c>
      <c r="L100" s="11" t="n">
        <f aca="false">IF(I100=0,0,E100/I100)</f>
        <v>0.0683867769339973</v>
      </c>
      <c r="M100" s="11" t="n">
        <f aca="false">IF(I100=0,0,H100/I100)</f>
        <v>0.0508732000811231</v>
      </c>
      <c r="N100" s="4" t="str">
        <f aca="false">INDEX($C$3:$F$3,MATCH(MAX(C100:F100),C100:F100,0))</f>
        <v>Sigamos Haciendo Historia (PVEM-PT-Morena)</v>
      </c>
      <c r="O100" s="17" t="n">
        <f aca="false">IF(I100=0,0,(MAX(C100:F100)-LARGE(C100:F100,2))/I100*100)</f>
        <v>38.8719381661672</v>
      </c>
      <c r="P100" s="4" t="s">
        <v>20</v>
      </c>
      <c r="Q100" s="4" t="s">
        <v>21</v>
      </c>
    </row>
    <row r="101" customFormat="false" ht="15" hidden="false" customHeight="false" outlineLevel="0" collapsed="false">
      <c r="A101" s="4" t="s">
        <v>65</v>
      </c>
      <c r="B101" s="4" t="n">
        <v>1</v>
      </c>
      <c r="C101" s="5" t="n">
        <v>164967</v>
      </c>
      <c r="D101" s="5" t="n">
        <v>42645</v>
      </c>
      <c r="E101" s="5" t="n">
        <v>11351</v>
      </c>
      <c r="F101" s="5" t="n">
        <v>0</v>
      </c>
      <c r="G101" s="5" t="n">
        <v>211</v>
      </c>
      <c r="H101" s="5" t="n">
        <v>13720</v>
      </c>
      <c r="I101" s="5" t="n">
        <v>232894</v>
      </c>
      <c r="J101" s="11" t="n">
        <f aca="false">IF(I101=0,0,C101/I101)</f>
        <v>0.708335122416207</v>
      </c>
      <c r="K101" s="11" t="n">
        <f aca="false">IF(I101=0,0,D101/I101)</f>
        <v>0.183109053904351</v>
      </c>
      <c r="L101" s="11" t="n">
        <f aca="false">IF(I101=0,0,E101/I101)</f>
        <v>0.048738911264352</v>
      </c>
      <c r="M101" s="11" t="n">
        <f aca="false">IF(I101=0,0,H101/I101)</f>
        <v>0.0589109208481112</v>
      </c>
      <c r="N101" s="4" t="str">
        <f aca="false">INDEX($C$3:$F$3,MATCH(MAX(C101:F101),C101:F101,0))</f>
        <v>Sigamos Haciendo Historia (PVEM-PT-Morena)</v>
      </c>
      <c r="O101" s="17" t="n">
        <f aca="false">IF(I101=0,0,(MAX(C101:F101)-LARGE(C101:F101,2))/I101*100)</f>
        <v>52.5226068511855</v>
      </c>
      <c r="P101" s="4" t="s">
        <v>22</v>
      </c>
      <c r="Q101" s="4" t="s">
        <v>53</v>
      </c>
    </row>
    <row r="102" customFormat="false" ht="15" hidden="false" customHeight="false" outlineLevel="0" collapsed="false">
      <c r="A102" s="4" t="s">
        <v>65</v>
      </c>
      <c r="B102" s="4" t="n">
        <v>2</v>
      </c>
      <c r="C102" s="5" t="n">
        <v>159880</v>
      </c>
      <c r="D102" s="5" t="n">
        <v>43334</v>
      </c>
      <c r="E102" s="5" t="n">
        <v>17354</v>
      </c>
      <c r="F102" s="5" t="n">
        <v>0</v>
      </c>
      <c r="G102" s="5" t="n">
        <v>200</v>
      </c>
      <c r="H102" s="5" t="n">
        <v>10487</v>
      </c>
      <c r="I102" s="5" t="n">
        <v>231255</v>
      </c>
      <c r="J102" s="11" t="n">
        <f aca="false">IF(I102=0,0,C102/I102)</f>
        <v>0.691358024691358</v>
      </c>
      <c r="K102" s="11" t="n">
        <f aca="false">IF(I102=0,0,D102/I102)</f>
        <v>0.187386218676353</v>
      </c>
      <c r="L102" s="11" t="n">
        <f aca="false">IF(I102=0,0,E102/I102)</f>
        <v>0.075042701779421</v>
      </c>
      <c r="M102" s="11" t="n">
        <f aca="false">IF(I102=0,0,H102/I102)</f>
        <v>0.0453482086873797</v>
      </c>
      <c r="N102" s="4" t="str">
        <f aca="false">INDEX($C$3:$F$3,MATCH(MAX(C102:F102),C102:F102,0))</f>
        <v>Sigamos Haciendo Historia (PVEM-PT-Morena)</v>
      </c>
      <c r="O102" s="17" t="n">
        <f aca="false">IF(I102=0,0,(MAX(C102:F102)-LARGE(C102:F102,2))/I102*100)</f>
        <v>50.3971806015005</v>
      </c>
      <c r="P102" s="4" t="s">
        <v>20</v>
      </c>
      <c r="Q102" s="4" t="s">
        <v>21</v>
      </c>
    </row>
    <row r="103" customFormat="false" ht="15" hidden="false" customHeight="false" outlineLevel="0" collapsed="false">
      <c r="A103" s="4" t="s">
        <v>65</v>
      </c>
      <c r="B103" s="4" t="n">
        <v>3</v>
      </c>
      <c r="C103" s="5" t="n">
        <v>130892</v>
      </c>
      <c r="D103" s="5" t="n">
        <v>47357</v>
      </c>
      <c r="E103" s="5" t="n">
        <v>24547</v>
      </c>
      <c r="F103" s="5" t="n">
        <v>0</v>
      </c>
      <c r="G103" s="5" t="n">
        <v>138</v>
      </c>
      <c r="H103" s="5" t="n">
        <v>10848</v>
      </c>
      <c r="I103" s="5" t="n">
        <v>213782</v>
      </c>
      <c r="J103" s="11" t="n">
        <f aca="false">IF(I103=0,0,C103/I103)</f>
        <v>0.612268572658128</v>
      </c>
      <c r="K103" s="11" t="n">
        <f aca="false">IF(I103=0,0,D103/I103)</f>
        <v>0.221520053138244</v>
      </c>
      <c r="L103" s="11" t="n">
        <f aca="false">IF(I103=0,0,E103/I103)</f>
        <v>0.114822576269284</v>
      </c>
      <c r="M103" s="11" t="n">
        <f aca="false">IF(I103=0,0,H103/I103)</f>
        <v>0.0507432805381183</v>
      </c>
      <c r="N103" s="4" t="str">
        <f aca="false">INDEX($C$3:$F$3,MATCH(MAX(C103:F103),C103:F103,0))</f>
        <v>Sigamos Haciendo Historia (PVEM-PT-Morena)</v>
      </c>
      <c r="O103" s="17" t="n">
        <f aca="false">IF(I103=0,0,(MAX(C103:F103)-LARGE(C103:F103,2))/I103*100)</f>
        <v>39.0748519519885</v>
      </c>
      <c r="P103" s="4" t="s">
        <v>22</v>
      </c>
      <c r="Q103" s="4" t="s">
        <v>21</v>
      </c>
    </row>
    <row r="104" customFormat="false" ht="15" hidden="false" customHeight="false" outlineLevel="0" collapsed="false">
      <c r="A104" s="4" t="s">
        <v>65</v>
      </c>
      <c r="B104" s="4" t="n">
        <v>4</v>
      </c>
      <c r="C104" s="5" t="n">
        <v>117028</v>
      </c>
      <c r="D104" s="5" t="n">
        <v>42632</v>
      </c>
      <c r="E104" s="5" t="n">
        <v>18557</v>
      </c>
      <c r="F104" s="5" t="n">
        <v>0</v>
      </c>
      <c r="G104" s="5" t="n">
        <v>163</v>
      </c>
      <c r="H104" s="5" t="n">
        <v>10189</v>
      </c>
      <c r="I104" s="5" t="n">
        <v>188569</v>
      </c>
      <c r="J104" s="11" t="n">
        <f aca="false">IF(I104=0,0,C104/I104)</f>
        <v>0.620611023020751</v>
      </c>
      <c r="K104" s="11" t="n">
        <f aca="false">IF(I104=0,0,D104/I104)</f>
        <v>0.22608169953704</v>
      </c>
      <c r="L104" s="11" t="n">
        <f aca="false">IF(I104=0,0,E104/I104)</f>
        <v>0.0984096007297064</v>
      </c>
      <c r="M104" s="11" t="n">
        <f aca="false">IF(I104=0,0,H104/I104)</f>
        <v>0.0540332716406196</v>
      </c>
      <c r="N104" s="4" t="str">
        <f aca="false">INDEX($C$3:$F$3,MATCH(MAX(C104:F104),C104:F104,0))</f>
        <v>Sigamos Haciendo Historia (PVEM-PT-Morena)</v>
      </c>
      <c r="O104" s="17" t="n">
        <f aca="false">IF(I104=0,0,(MAX(C104:F104)-LARGE(C104:F104,2))/I104*100)</f>
        <v>39.4529323483712</v>
      </c>
      <c r="P104" s="4" t="s">
        <v>22</v>
      </c>
      <c r="Q104" s="4" t="s">
        <v>21</v>
      </c>
    </row>
    <row r="105" customFormat="false" ht="15" hidden="false" customHeight="false" outlineLevel="0" collapsed="false">
      <c r="A105" s="4" t="s">
        <v>65</v>
      </c>
      <c r="B105" s="4" t="n">
        <v>5</v>
      </c>
      <c r="C105" s="5" t="n">
        <v>165187</v>
      </c>
      <c r="D105" s="5" t="n">
        <v>45201</v>
      </c>
      <c r="E105" s="5" t="n">
        <v>17918</v>
      </c>
      <c r="F105" s="5" t="n">
        <v>0</v>
      </c>
      <c r="G105" s="5" t="n">
        <v>148</v>
      </c>
      <c r="H105" s="5" t="n">
        <v>11408</v>
      </c>
      <c r="I105" s="5" t="n">
        <v>239862</v>
      </c>
      <c r="J105" s="11" t="n">
        <f aca="false">IF(I105=0,0,C105/I105)</f>
        <v>0.688675154880723</v>
      </c>
      <c r="K105" s="11" t="n">
        <f aca="false">IF(I105=0,0,D105/I105)</f>
        <v>0.188445856367411</v>
      </c>
      <c r="L105" s="11" t="n">
        <f aca="false">IF(I105=0,0,E105/I105)</f>
        <v>0.0747012865731129</v>
      </c>
      <c r="M105" s="11" t="n">
        <f aca="false">IF(I105=0,0,H105/I105)</f>
        <v>0.0475606807247501</v>
      </c>
      <c r="N105" s="4" t="str">
        <f aca="false">INDEX($C$3:$F$3,MATCH(MAX(C105:F105),C105:F105,0))</f>
        <v>Sigamos Haciendo Historia (PVEM-PT-Morena)</v>
      </c>
      <c r="O105" s="17" t="n">
        <f aca="false">IF(I105=0,0,(MAX(C105:F105)-LARGE(C105:F105,2))/I105*100)</f>
        <v>50.0229298513312</v>
      </c>
      <c r="P105" s="4" t="s">
        <v>22</v>
      </c>
      <c r="Q105" s="4" t="s">
        <v>21</v>
      </c>
    </row>
    <row r="106" customFormat="false" ht="15" hidden="false" customHeight="false" outlineLevel="0" collapsed="false">
      <c r="A106" s="4" t="s">
        <v>65</v>
      </c>
      <c r="B106" s="4" t="n">
        <v>6</v>
      </c>
      <c r="C106" s="5" t="n">
        <v>139128</v>
      </c>
      <c r="D106" s="5" t="n">
        <v>52069</v>
      </c>
      <c r="E106" s="5" t="n">
        <v>25155</v>
      </c>
      <c r="F106" s="5" t="n">
        <v>0</v>
      </c>
      <c r="G106" s="5" t="n">
        <v>127</v>
      </c>
      <c r="H106" s="5" t="n">
        <v>10723</v>
      </c>
      <c r="I106" s="5" t="n">
        <v>227202</v>
      </c>
      <c r="J106" s="11" t="n">
        <f aca="false">IF(I106=0,0,C106/I106)</f>
        <v>0.61235376449151</v>
      </c>
      <c r="K106" s="11" t="n">
        <f aca="false">IF(I106=0,0,D106/I106)</f>
        <v>0.229174919234866</v>
      </c>
      <c r="L106" s="11" t="n">
        <f aca="false">IF(I106=0,0,E106/I106)</f>
        <v>0.110716454960784</v>
      </c>
      <c r="M106" s="11" t="n">
        <f aca="false">IF(I106=0,0,H106/I106)</f>
        <v>0.0471958873601465</v>
      </c>
      <c r="N106" s="4" t="str">
        <f aca="false">INDEX($C$3:$F$3,MATCH(MAX(C106:F106),C106:F106,0))</f>
        <v>Sigamos Haciendo Historia (PVEM-PT-Morena)</v>
      </c>
      <c r="O106" s="17" t="n">
        <f aca="false">IF(I106=0,0,(MAX(C106:F106)-LARGE(C106:F106,2))/I106*100)</f>
        <v>38.3178845256644</v>
      </c>
      <c r="P106" s="4" t="s">
        <v>22</v>
      </c>
      <c r="Q106" s="4" t="s">
        <v>21</v>
      </c>
    </row>
    <row r="107" customFormat="false" ht="15" hidden="false" customHeight="false" outlineLevel="0" collapsed="false">
      <c r="A107" s="4" t="s">
        <v>65</v>
      </c>
      <c r="B107" s="4" t="n">
        <v>7</v>
      </c>
      <c r="C107" s="5" t="n">
        <v>127057</v>
      </c>
      <c r="D107" s="5" t="n">
        <v>45232</v>
      </c>
      <c r="E107" s="5" t="n">
        <v>20411</v>
      </c>
      <c r="F107" s="5" t="n">
        <v>0</v>
      </c>
      <c r="G107" s="5" t="n">
        <v>152</v>
      </c>
      <c r="H107" s="5" t="n">
        <v>9065</v>
      </c>
      <c r="I107" s="5" t="n">
        <v>201917</v>
      </c>
      <c r="J107" s="11" t="n">
        <f aca="false">IF(I107=0,0,C107/I107)</f>
        <v>0.629253604203708</v>
      </c>
      <c r="K107" s="11" t="n">
        <f aca="false">IF(I107=0,0,D107/I107)</f>
        <v>0.22401283695776</v>
      </c>
      <c r="L107" s="11" t="n">
        <f aca="false">IF(I107=0,0,E107/I107)</f>
        <v>0.101086089828989</v>
      </c>
      <c r="M107" s="11" t="n">
        <f aca="false">IF(I107=0,0,H107/I107)</f>
        <v>0.0448946844495511</v>
      </c>
      <c r="N107" s="4" t="str">
        <f aca="false">INDEX($C$3:$F$3,MATCH(MAX(C107:F107),C107:F107,0))</f>
        <v>Sigamos Haciendo Historia (PVEM-PT-Morena)</v>
      </c>
      <c r="O107" s="17" t="n">
        <f aca="false">IF(I107=0,0,(MAX(C107:F107)-LARGE(C107:F107,2))/I107*100)</f>
        <v>40.5240767245948</v>
      </c>
      <c r="P107" s="4" t="s">
        <v>22</v>
      </c>
      <c r="Q107" s="4" t="s">
        <v>21</v>
      </c>
    </row>
    <row r="108" customFormat="false" ht="15" hidden="false" customHeight="false" outlineLevel="0" collapsed="false">
      <c r="A108" s="4" t="s">
        <v>66</v>
      </c>
      <c r="B108" s="4" t="n">
        <v>1</v>
      </c>
      <c r="C108" s="5" t="n">
        <v>88479</v>
      </c>
      <c r="D108" s="5" t="n">
        <v>51595</v>
      </c>
      <c r="E108" s="5" t="n">
        <v>61219</v>
      </c>
      <c r="F108" s="5" t="n">
        <v>0</v>
      </c>
      <c r="G108" s="5" t="n">
        <v>63</v>
      </c>
      <c r="H108" s="5" t="n">
        <v>6500</v>
      </c>
      <c r="I108" s="5" t="n">
        <v>207856</v>
      </c>
      <c r="J108" s="11" t="n">
        <f aca="false">IF(I108=0,0,C108/I108)</f>
        <v>0.425674505426834</v>
      </c>
      <c r="K108" s="11" t="n">
        <f aca="false">IF(I108=0,0,D108/I108)</f>
        <v>0.24822473250712</v>
      </c>
      <c r="L108" s="11" t="n">
        <f aca="false">IF(I108=0,0,E108/I108)</f>
        <v>0.29452601801247</v>
      </c>
      <c r="M108" s="11" t="n">
        <f aca="false">IF(I108=0,0,H108/I108)</f>
        <v>0.0312716496035717</v>
      </c>
      <c r="N108" s="4" t="str">
        <f aca="false">INDEX($C$3:$F$3,MATCH(MAX(C108:F108),C108:F108,0))</f>
        <v>Sigamos Haciendo Historia (PVEM-PT-Morena)</v>
      </c>
      <c r="O108" s="17" t="n">
        <f aca="false">IF(I108=0,0,(MAX(C108:F108)-LARGE(C108:F108,2))/I108*100)</f>
        <v>13.1148487414364</v>
      </c>
      <c r="P108" s="4" t="s">
        <v>20</v>
      </c>
      <c r="Q108" s="4" t="s">
        <v>10</v>
      </c>
    </row>
    <row r="109" customFormat="false" ht="15" hidden="false" customHeight="false" outlineLevel="0" collapsed="false">
      <c r="A109" s="4" t="s">
        <v>66</v>
      </c>
      <c r="B109" s="4" t="n">
        <v>2</v>
      </c>
      <c r="C109" s="5" t="n">
        <v>52937</v>
      </c>
      <c r="D109" s="5" t="n">
        <v>60474</v>
      </c>
      <c r="E109" s="5" t="n">
        <v>61009</v>
      </c>
      <c r="F109" s="5" t="n">
        <v>0</v>
      </c>
      <c r="G109" s="5" t="n">
        <v>162</v>
      </c>
      <c r="H109" s="5" t="n">
        <v>6342</v>
      </c>
      <c r="I109" s="5" t="n">
        <v>180924</v>
      </c>
      <c r="J109" s="11" t="n">
        <f aca="false">IF(I109=0,0,C109/I109)</f>
        <v>0.292592469766311</v>
      </c>
      <c r="K109" s="11" t="n">
        <f aca="false">IF(I109=0,0,D109/I109)</f>
        <v>0.334250845658951</v>
      </c>
      <c r="L109" s="11" t="n">
        <f aca="false">IF(I109=0,0,E109/I109)</f>
        <v>0.337207888395127</v>
      </c>
      <c r="M109" s="11" t="n">
        <f aca="false">IF(I109=0,0,H109/I109)</f>
        <v>0.0350533925847317</v>
      </c>
      <c r="N109" s="4" t="str">
        <f aca="false">INDEX($C$3:$F$3,MATCH(MAX(C109:F109),C109:F109,0))</f>
        <v>MC</v>
      </c>
      <c r="O109" s="17" t="n">
        <f aca="false">IF(I109=0,0,(MAX(C109:F109)-LARGE(C109:F109,2))/I109*100)</f>
        <v>0.295704273617652</v>
      </c>
      <c r="P109" s="4" t="s">
        <v>10</v>
      </c>
      <c r="Q109" s="4" t="s">
        <v>21</v>
      </c>
    </row>
    <row r="110" customFormat="false" ht="15" hidden="false" customHeight="false" outlineLevel="0" collapsed="false">
      <c r="A110" s="4" t="s">
        <v>66</v>
      </c>
      <c r="B110" s="4" t="n">
        <v>3</v>
      </c>
      <c r="C110" s="5" t="n">
        <v>53086</v>
      </c>
      <c r="D110" s="5" t="n">
        <v>86059</v>
      </c>
      <c r="E110" s="5" t="n">
        <v>50363</v>
      </c>
      <c r="F110" s="5" t="n">
        <v>0</v>
      </c>
      <c r="G110" s="5" t="n">
        <v>74</v>
      </c>
      <c r="H110" s="5" t="n">
        <v>8136</v>
      </c>
      <c r="I110" s="5" t="n">
        <v>197718</v>
      </c>
      <c r="J110" s="11" t="n">
        <f aca="false">IF(I110=0,0,C110/I110)</f>
        <v>0.268493510960054</v>
      </c>
      <c r="K110" s="11" t="n">
        <f aca="false">IF(I110=0,0,D110/I110)</f>
        <v>0.43526133179579</v>
      </c>
      <c r="L110" s="11" t="n">
        <f aca="false">IF(I110=0,0,E110/I110)</f>
        <v>0.254721370841299</v>
      </c>
      <c r="M110" s="11" t="n">
        <f aca="false">IF(I110=0,0,H110/I110)</f>
        <v>0.041149515977301</v>
      </c>
      <c r="N110" s="4" t="str">
        <f aca="false">INDEX($C$3:$F$3,MATCH(MAX(C110:F110),C110:F110,0))</f>
        <v>Fuerza y Corazón por México (PAN-PRI-PRD)</v>
      </c>
      <c r="O110" s="17" t="n">
        <f aca="false">IF(I110=0,0,(MAX(C110:F110)-LARGE(C110:F110,2))/I110*100)</f>
        <v>16.6767820835736</v>
      </c>
      <c r="P110" s="4" t="s">
        <v>21</v>
      </c>
      <c r="Q110" s="4" t="s">
        <v>10</v>
      </c>
    </row>
    <row r="111" customFormat="false" ht="15" hidden="false" customHeight="false" outlineLevel="0" collapsed="false">
      <c r="A111" s="4" t="s">
        <v>66</v>
      </c>
      <c r="B111" s="4" t="n">
        <v>4</v>
      </c>
      <c r="C111" s="5" t="n">
        <v>76671</v>
      </c>
      <c r="D111" s="5" t="n">
        <v>58038</v>
      </c>
      <c r="E111" s="5" t="n">
        <v>64365</v>
      </c>
      <c r="F111" s="5" t="n">
        <v>0</v>
      </c>
      <c r="G111" s="5" t="n">
        <v>196</v>
      </c>
      <c r="H111" s="5" t="n">
        <v>4813</v>
      </c>
      <c r="I111" s="5" t="n">
        <v>204083</v>
      </c>
      <c r="J111" s="11" t="n">
        <f aca="false">IF(I111=0,0,C111/I111)</f>
        <v>0.375685382907935</v>
      </c>
      <c r="K111" s="11" t="n">
        <f aca="false">IF(I111=0,0,D111/I111)</f>
        <v>0.284384294625226</v>
      </c>
      <c r="L111" s="11" t="n">
        <f aca="false">IF(I111=0,0,E111/I111)</f>
        <v>0.315386386911208</v>
      </c>
      <c r="M111" s="11" t="n">
        <f aca="false">IF(I111=0,0,H111/I111)</f>
        <v>0.0235835419902687</v>
      </c>
      <c r="N111" s="4" t="str">
        <f aca="false">INDEX($C$3:$F$3,MATCH(MAX(C111:F111),C111:F111,0))</f>
        <v>Sigamos Haciendo Historia (PVEM-PT-Morena)</v>
      </c>
      <c r="O111" s="17" t="n">
        <f aca="false">IF(I111=0,0,(MAX(C111:F111)-LARGE(C111:F111,2))/I111*100)</f>
        <v>6.02989959967268</v>
      </c>
      <c r="P111" s="4" t="s">
        <v>20</v>
      </c>
      <c r="Q111" s="4" t="s">
        <v>10</v>
      </c>
    </row>
    <row r="112" customFormat="false" ht="15" hidden="false" customHeight="false" outlineLevel="0" collapsed="false">
      <c r="A112" s="4" t="s">
        <v>66</v>
      </c>
      <c r="B112" s="4" t="n">
        <v>5</v>
      </c>
      <c r="C112" s="5" t="n">
        <v>108347</v>
      </c>
      <c r="D112" s="5" t="n">
        <v>24355</v>
      </c>
      <c r="E112" s="5" t="n">
        <v>45778</v>
      </c>
      <c r="F112" s="5" t="n">
        <v>0</v>
      </c>
      <c r="G112" s="5" t="n">
        <v>166</v>
      </c>
      <c r="H112" s="5" t="n">
        <v>8235</v>
      </c>
      <c r="I112" s="5" t="n">
        <v>186881</v>
      </c>
      <c r="J112" s="11" t="n">
        <f aca="false">IF(I112=0,0,C112/I112)</f>
        <v>0.579764663074363</v>
      </c>
      <c r="K112" s="11" t="n">
        <f aca="false">IF(I112=0,0,D112/I112)</f>
        <v>0.130323574895254</v>
      </c>
      <c r="L112" s="11" t="n">
        <f aca="false">IF(I112=0,0,E112/I112)</f>
        <v>0.244958021414697</v>
      </c>
      <c r="M112" s="11" t="n">
        <f aca="false">IF(I112=0,0,H112/I112)</f>
        <v>0.0440654748208753</v>
      </c>
      <c r="N112" s="4" t="str">
        <f aca="false">INDEX($C$3:$F$3,MATCH(MAX(C112:F112),C112:F112,0))</f>
        <v>Sigamos Haciendo Historia (PVEM-PT-Morena)</v>
      </c>
      <c r="O112" s="17" t="n">
        <f aca="false">IF(I112=0,0,(MAX(C112:F112)-LARGE(C112:F112,2))/I112*100)</f>
        <v>33.4806641659666</v>
      </c>
      <c r="P112" s="4" t="s">
        <v>22</v>
      </c>
      <c r="Q112" s="4" t="s">
        <v>10</v>
      </c>
    </row>
    <row r="113" customFormat="false" ht="15" hidden="false" customHeight="false" outlineLevel="0" collapsed="false">
      <c r="A113" s="4" t="s">
        <v>66</v>
      </c>
      <c r="B113" s="4" t="n">
        <v>6</v>
      </c>
      <c r="C113" s="5" t="n">
        <v>58964</v>
      </c>
      <c r="D113" s="5" t="n">
        <v>53585</v>
      </c>
      <c r="E113" s="5" t="n">
        <v>57447</v>
      </c>
      <c r="F113" s="5" t="n">
        <v>0</v>
      </c>
      <c r="G113" s="5" t="n">
        <v>183</v>
      </c>
      <c r="H113" s="5" t="n">
        <v>3637</v>
      </c>
      <c r="I113" s="5" t="n">
        <v>173816</v>
      </c>
      <c r="J113" s="11" t="n">
        <f aca="false">IF(I113=0,0,C113/I113)</f>
        <v>0.339232291618723</v>
      </c>
      <c r="K113" s="11" t="n">
        <f aca="false">IF(I113=0,0,D113/I113)</f>
        <v>0.308285773461592</v>
      </c>
      <c r="L113" s="11" t="n">
        <f aca="false">IF(I113=0,0,E113/I113)</f>
        <v>0.330504671606757</v>
      </c>
      <c r="M113" s="11" t="n">
        <f aca="false">IF(I113=0,0,H113/I113)</f>
        <v>0.0209244258296129</v>
      </c>
      <c r="N113" s="4" t="str">
        <f aca="false">INDEX($C$3:$F$3,MATCH(MAX(C113:F113),C113:F113,0))</f>
        <v>Sigamos Haciendo Historia (PVEM-PT-Morena)</v>
      </c>
      <c r="O113" s="17" t="n">
        <f aca="false">IF(I113=0,0,(MAX(C113:F113)-LARGE(C113:F113,2))/I113*100)</f>
        <v>0.872762001196668</v>
      </c>
      <c r="P113" s="4" t="s">
        <v>20</v>
      </c>
      <c r="Q113" s="4" t="s">
        <v>10</v>
      </c>
    </row>
    <row r="114" customFormat="false" ht="15" hidden="false" customHeight="false" outlineLevel="0" collapsed="false">
      <c r="A114" s="4" t="s">
        <v>66</v>
      </c>
      <c r="B114" s="4" t="n">
        <v>7</v>
      </c>
      <c r="C114" s="5" t="n">
        <v>73471</v>
      </c>
      <c r="D114" s="5" t="n">
        <v>32104</v>
      </c>
      <c r="E114" s="5" t="n">
        <v>34561</v>
      </c>
      <c r="F114" s="5" t="n">
        <v>0</v>
      </c>
      <c r="G114" s="5" t="n">
        <v>173</v>
      </c>
      <c r="H114" s="5" t="n">
        <v>3604</v>
      </c>
      <c r="I114" s="5" t="n">
        <v>143913</v>
      </c>
      <c r="J114" s="11" t="n">
        <f aca="false">IF(I114=0,0,C114/I114)</f>
        <v>0.510523719191456</v>
      </c>
      <c r="K114" s="11" t="n">
        <f aca="false">IF(I114=0,0,D114/I114)</f>
        <v>0.223079221474085</v>
      </c>
      <c r="L114" s="11" t="n">
        <f aca="false">IF(I114=0,0,E114/I114)</f>
        <v>0.240152036299709</v>
      </c>
      <c r="M114" s="11" t="n">
        <f aca="false">IF(I114=0,0,H114/I114)</f>
        <v>0.025042907867948</v>
      </c>
      <c r="N114" s="4" t="str">
        <f aca="false">INDEX($C$3:$F$3,MATCH(MAX(C114:F114),C114:F114,0))</f>
        <v>Sigamos Haciendo Historia (PVEM-PT-Morena)</v>
      </c>
      <c r="O114" s="17" t="n">
        <f aca="false">IF(I114=0,0,(MAX(C114:F114)-LARGE(C114:F114,2))/I114*100)</f>
        <v>27.0371682891747</v>
      </c>
      <c r="P114" s="4" t="s">
        <v>20</v>
      </c>
      <c r="Q114" s="4" t="s">
        <v>10</v>
      </c>
    </row>
    <row r="115" customFormat="false" ht="15" hidden="false" customHeight="false" outlineLevel="0" collapsed="false">
      <c r="A115" s="4" t="s">
        <v>66</v>
      </c>
      <c r="B115" s="4" t="n">
        <v>8</v>
      </c>
      <c r="C115" s="5" t="n">
        <v>78202</v>
      </c>
      <c r="D115" s="5" t="n">
        <v>102816</v>
      </c>
      <c r="E115" s="5" t="n">
        <v>80366</v>
      </c>
      <c r="F115" s="5" t="n">
        <v>0</v>
      </c>
      <c r="G115" s="5" t="n">
        <v>295</v>
      </c>
      <c r="H115" s="5" t="n">
        <v>5549</v>
      </c>
      <c r="I115" s="5" t="n">
        <v>267228</v>
      </c>
      <c r="J115" s="11" t="n">
        <f aca="false">IF(I115=0,0,C115/I115)</f>
        <v>0.292641489664257</v>
      </c>
      <c r="K115" s="11" t="n">
        <f aca="false">IF(I115=0,0,D115/I115)</f>
        <v>0.384750101037316</v>
      </c>
      <c r="L115" s="11" t="n">
        <f aca="false">IF(I115=0,0,E115/I115)</f>
        <v>0.300739443471493</v>
      </c>
      <c r="M115" s="11" t="n">
        <f aca="false">IF(I115=0,0,H115/I115)</f>
        <v>0.0207650395916596</v>
      </c>
      <c r="N115" s="4" t="str">
        <f aca="false">INDEX($C$3:$F$3,MATCH(MAX(C115:F115),C115:F115,0))</f>
        <v>Fuerza y Corazón por México (PAN-PRI-PRD)</v>
      </c>
      <c r="O115" s="17" t="n">
        <f aca="false">IF(I115=0,0,(MAX(C115:F115)-LARGE(C115:F115,2))/I115*100)</f>
        <v>8.40106575658239</v>
      </c>
      <c r="P115" s="4" t="s">
        <v>21</v>
      </c>
      <c r="Q115" s="4" t="s">
        <v>10</v>
      </c>
    </row>
    <row r="116" customFormat="false" ht="15" hidden="false" customHeight="false" outlineLevel="0" collapsed="false">
      <c r="A116" s="4" t="s">
        <v>66</v>
      </c>
      <c r="B116" s="4" t="n">
        <v>9</v>
      </c>
      <c r="C116" s="5" t="n">
        <v>92362</v>
      </c>
      <c r="D116" s="5" t="n">
        <v>54225</v>
      </c>
      <c r="E116" s="5" t="n">
        <v>59272</v>
      </c>
      <c r="F116" s="5" t="n">
        <v>0</v>
      </c>
      <c r="G116" s="5" t="n">
        <v>220</v>
      </c>
      <c r="H116" s="5" t="n">
        <v>5482</v>
      </c>
      <c r="I116" s="5" t="n">
        <v>211561</v>
      </c>
      <c r="J116" s="11" t="n">
        <f aca="false">IF(I116=0,0,C116/I116)</f>
        <v>0.436573848677214</v>
      </c>
      <c r="K116" s="11" t="n">
        <f aca="false">IF(I116=0,0,D116/I116)</f>
        <v>0.256309055071587</v>
      </c>
      <c r="L116" s="11" t="n">
        <f aca="false">IF(I116=0,0,E116/I116)</f>
        <v>0.280165058777374</v>
      </c>
      <c r="M116" s="11" t="n">
        <f aca="false">IF(I116=0,0,H116/I116)</f>
        <v>0.0259121482692935</v>
      </c>
      <c r="N116" s="4" t="str">
        <f aca="false">INDEX($C$3:$F$3,MATCH(MAX(C116:F116),C116:F116,0))</f>
        <v>Sigamos Haciendo Historia (PVEM-PT-Morena)</v>
      </c>
      <c r="O116" s="17" t="n">
        <f aca="false">IF(I116=0,0,(MAX(C116:F116)-LARGE(C116:F116,2))/I116*100)</f>
        <v>15.640878989984</v>
      </c>
      <c r="P116" s="4" t="s">
        <v>20</v>
      </c>
      <c r="Q116" s="4" t="s">
        <v>10</v>
      </c>
    </row>
    <row r="117" customFormat="false" ht="15" hidden="false" customHeight="false" outlineLevel="0" collapsed="false">
      <c r="A117" s="4" t="s">
        <v>66</v>
      </c>
      <c r="B117" s="4" t="n">
        <v>10</v>
      </c>
      <c r="C117" s="5" t="n">
        <v>57087</v>
      </c>
      <c r="D117" s="5" t="n">
        <v>101028</v>
      </c>
      <c r="E117" s="5" t="n">
        <v>76567</v>
      </c>
      <c r="F117" s="5" t="n">
        <v>0</v>
      </c>
      <c r="G117" s="5" t="n">
        <v>265</v>
      </c>
      <c r="H117" s="5" t="n">
        <v>4397</v>
      </c>
      <c r="I117" s="5" t="n">
        <v>239344</v>
      </c>
      <c r="J117" s="11" t="n">
        <f aca="false">IF(I117=0,0,C117/I117)</f>
        <v>0.238514439467879</v>
      </c>
      <c r="K117" s="11" t="n">
        <f aca="false">IF(I117=0,0,D117/I117)</f>
        <v>0.422103750250685</v>
      </c>
      <c r="L117" s="11" t="n">
        <f aca="false">IF(I117=0,0,E117/I117)</f>
        <v>0.319903569757337</v>
      </c>
      <c r="M117" s="11" t="n">
        <f aca="false">IF(I117=0,0,H117/I117)</f>
        <v>0.0183710475299151</v>
      </c>
      <c r="N117" s="4" t="str">
        <f aca="false">INDEX($C$3:$F$3,MATCH(MAX(C117:F117),C117:F117,0))</f>
        <v>Fuerza y Corazón por México (PAN-PRI-PRD)</v>
      </c>
      <c r="O117" s="17" t="n">
        <f aca="false">IF(I117=0,0,(MAX(C117:F117)-LARGE(C117:F117,2))/I117*100)</f>
        <v>10.2200180493348</v>
      </c>
      <c r="P117" s="4" t="s">
        <v>21</v>
      </c>
      <c r="Q117" s="4" t="s">
        <v>10</v>
      </c>
    </row>
    <row r="118" customFormat="false" ht="15" hidden="false" customHeight="false" outlineLevel="0" collapsed="false">
      <c r="A118" s="4" t="s">
        <v>66</v>
      </c>
      <c r="B118" s="4" t="n">
        <v>11</v>
      </c>
      <c r="C118" s="5" t="n">
        <v>96383</v>
      </c>
      <c r="D118" s="5" t="n">
        <v>63843</v>
      </c>
      <c r="E118" s="5" t="n">
        <v>69055</v>
      </c>
      <c r="F118" s="5" t="n">
        <v>0</v>
      </c>
      <c r="G118" s="5" t="n">
        <v>251</v>
      </c>
      <c r="H118" s="5" t="n">
        <v>6012</v>
      </c>
      <c r="I118" s="5" t="n">
        <v>235544</v>
      </c>
      <c r="J118" s="11" t="n">
        <f aca="false">IF(I118=0,0,C118/I118)</f>
        <v>0.409193186835581</v>
      </c>
      <c r="K118" s="11" t="n">
        <f aca="false">IF(I118=0,0,D118/I118)</f>
        <v>0.271044900315865</v>
      </c>
      <c r="L118" s="11" t="n">
        <f aca="false">IF(I118=0,0,E118/I118)</f>
        <v>0.293172400910233</v>
      </c>
      <c r="M118" s="11" t="n">
        <f aca="false">IF(I118=0,0,H118/I118)</f>
        <v>0.0255238936249703</v>
      </c>
      <c r="N118" s="4" t="str">
        <f aca="false">INDEX($C$3:$F$3,MATCH(MAX(C118:F118),C118:F118,0))</f>
        <v>Sigamos Haciendo Historia (PVEM-PT-Morena)</v>
      </c>
      <c r="O118" s="17" t="n">
        <f aca="false">IF(I118=0,0,(MAX(C118:F118)-LARGE(C118:F118,2))/I118*100)</f>
        <v>11.6020785925347</v>
      </c>
      <c r="P118" s="4" t="s">
        <v>20</v>
      </c>
      <c r="Q118" s="4" t="s">
        <v>10</v>
      </c>
    </row>
    <row r="119" customFormat="false" ht="15" hidden="false" customHeight="false" outlineLevel="0" collapsed="false">
      <c r="A119" s="4" t="s">
        <v>66</v>
      </c>
      <c r="B119" s="4" t="n">
        <v>12</v>
      </c>
      <c r="C119" s="5" t="n">
        <v>63139</v>
      </c>
      <c r="D119" s="5" t="n">
        <v>57685</v>
      </c>
      <c r="E119" s="5" t="n">
        <v>56231</v>
      </c>
      <c r="F119" s="5" t="n">
        <v>0</v>
      </c>
      <c r="G119" s="5" t="n">
        <v>205</v>
      </c>
      <c r="H119" s="5" t="n">
        <v>3553</v>
      </c>
      <c r="I119" s="5" t="n">
        <v>180813</v>
      </c>
      <c r="J119" s="11" t="n">
        <f aca="false">IF(I119=0,0,C119/I119)</f>
        <v>0.349195024694021</v>
      </c>
      <c r="K119" s="11" t="n">
        <f aca="false">IF(I119=0,0,D119/I119)</f>
        <v>0.319031264344931</v>
      </c>
      <c r="L119" s="11" t="n">
        <f aca="false">IF(I119=0,0,E119/I119)</f>
        <v>0.310989807148822</v>
      </c>
      <c r="M119" s="11" t="n">
        <f aca="false">IF(I119=0,0,H119/I119)</f>
        <v>0.0196501357756356</v>
      </c>
      <c r="N119" s="4" t="str">
        <f aca="false">INDEX($C$3:$F$3,MATCH(MAX(C119:F119),C119:F119,0))</f>
        <v>Sigamos Haciendo Historia (PVEM-PT-Morena)</v>
      </c>
      <c r="O119" s="17" t="n">
        <f aca="false">IF(I119=0,0,(MAX(C119:F119)-LARGE(C119:F119,2))/I119*100)</f>
        <v>3.01637603490899</v>
      </c>
      <c r="P119" s="4" t="s">
        <v>20</v>
      </c>
      <c r="Q119" s="4" t="s">
        <v>21</v>
      </c>
    </row>
    <row r="120" customFormat="false" ht="15" hidden="false" customHeight="false" outlineLevel="0" collapsed="false">
      <c r="A120" s="4" t="s">
        <v>66</v>
      </c>
      <c r="B120" s="4" t="n">
        <v>13</v>
      </c>
      <c r="C120" s="5" t="n">
        <v>81307</v>
      </c>
      <c r="D120" s="5" t="n">
        <v>44100</v>
      </c>
      <c r="E120" s="5" t="n">
        <v>53205</v>
      </c>
      <c r="F120" s="5" t="n">
        <v>0</v>
      </c>
      <c r="G120" s="5" t="n">
        <v>176</v>
      </c>
      <c r="H120" s="5" t="n">
        <v>4361</v>
      </c>
      <c r="I120" s="5" t="n">
        <v>183149</v>
      </c>
      <c r="J120" s="11" t="n">
        <f aca="false">IF(I120=0,0,C120/I120)</f>
        <v>0.443939087846508</v>
      </c>
      <c r="K120" s="11" t="n">
        <f aca="false">IF(I120=0,0,D120/I120)</f>
        <v>0.240787555487608</v>
      </c>
      <c r="L120" s="11" t="n">
        <f aca="false">IF(I120=0,0,E120/I120)</f>
        <v>0.290501176637601</v>
      </c>
      <c r="M120" s="11" t="n">
        <f aca="false">IF(I120=0,0,H120/I120)</f>
        <v>0.0238112138204413</v>
      </c>
      <c r="N120" s="4" t="str">
        <f aca="false">INDEX($C$3:$F$3,MATCH(MAX(C120:F120),C120:F120,0))</f>
        <v>Sigamos Haciendo Historia (PVEM-PT-Morena)</v>
      </c>
      <c r="O120" s="17" t="n">
        <f aca="false">IF(I120=0,0,(MAX(C120:F120)-LARGE(C120:F120,2))/I120*100)</f>
        <v>15.3437911208906</v>
      </c>
      <c r="P120" s="4" t="s">
        <v>20</v>
      </c>
      <c r="Q120" s="4" t="s">
        <v>10</v>
      </c>
    </row>
    <row r="121" customFormat="false" ht="15" hidden="false" customHeight="false" outlineLevel="0" collapsed="false">
      <c r="A121" s="4" t="s">
        <v>66</v>
      </c>
      <c r="B121" s="4" t="n">
        <v>14</v>
      </c>
      <c r="C121" s="5" t="n">
        <v>60233</v>
      </c>
      <c r="D121" s="5" t="n">
        <v>14828</v>
      </c>
      <c r="E121" s="5" t="n">
        <v>37054</v>
      </c>
      <c r="F121" s="5" t="n">
        <v>0</v>
      </c>
      <c r="G121" s="5" t="n">
        <v>112</v>
      </c>
      <c r="H121" s="5" t="n">
        <v>2682</v>
      </c>
      <c r="I121" s="5" t="n">
        <v>114909</v>
      </c>
      <c r="J121" s="11" t="n">
        <f aca="false">IF(I121=0,0,C121/I121)</f>
        <v>0.524180003306965</v>
      </c>
      <c r="K121" s="11" t="n">
        <f aca="false">IF(I121=0,0,D121/I121)</f>
        <v>0.129041241330096</v>
      </c>
      <c r="L121" s="11" t="n">
        <f aca="false">IF(I121=0,0,E121/I121)</f>
        <v>0.322463862708752</v>
      </c>
      <c r="M121" s="11" t="n">
        <f aca="false">IF(I121=0,0,H121/I121)</f>
        <v>0.0233402083387724</v>
      </c>
      <c r="N121" s="4" t="str">
        <f aca="false">INDEX($C$3:$F$3,MATCH(MAX(C121:F121),C121:F121,0))</f>
        <v>Sigamos Haciendo Historia (PVEM-PT-Morena)</v>
      </c>
      <c r="O121" s="17" t="n">
        <f aca="false">IF(I121=0,0,(MAX(C121:F121)-LARGE(C121:F121,2))/I121*100)</f>
        <v>20.1716140598213</v>
      </c>
      <c r="P121" s="4" t="s">
        <v>20</v>
      </c>
      <c r="Q121" s="4" t="s">
        <v>10</v>
      </c>
    </row>
    <row r="122" customFormat="false" ht="15" hidden="false" customHeight="false" outlineLevel="0" collapsed="false">
      <c r="A122" s="4" t="s">
        <v>66</v>
      </c>
      <c r="B122" s="4" t="n">
        <v>15</v>
      </c>
      <c r="C122" s="5" t="n">
        <v>57317</v>
      </c>
      <c r="D122" s="5" t="n">
        <v>81089</v>
      </c>
      <c r="E122" s="5" t="n">
        <v>44907</v>
      </c>
      <c r="F122" s="5" t="n">
        <v>0</v>
      </c>
      <c r="G122" s="5" t="n">
        <v>126</v>
      </c>
      <c r="H122" s="5" t="n">
        <v>6825</v>
      </c>
      <c r="I122" s="5" t="n">
        <v>190264</v>
      </c>
      <c r="J122" s="11" t="n">
        <f aca="false">IF(I122=0,0,C122/I122)</f>
        <v>0.301249842324349</v>
      </c>
      <c r="K122" s="11" t="n">
        <f aca="false">IF(I122=0,0,D122/I122)</f>
        <v>0.426192027919102</v>
      </c>
      <c r="L122" s="11" t="n">
        <f aca="false">IF(I122=0,0,E122/I122)</f>
        <v>0.236024681495186</v>
      </c>
      <c r="M122" s="11" t="n">
        <f aca="false">IF(I122=0,0,H122/I122)</f>
        <v>0.0358712105285288</v>
      </c>
      <c r="N122" s="4" t="str">
        <f aca="false">INDEX($C$3:$F$3,MATCH(MAX(C122:F122),C122:F122,0))</f>
        <v>Fuerza y Corazón por México (PAN-PRI-PRD)</v>
      </c>
      <c r="O122" s="17" t="n">
        <f aca="false">IF(I122=0,0,(MAX(C122:F122)-LARGE(C122:F122,2))/I122*100)</f>
        <v>12.4942185594753</v>
      </c>
      <c r="P122" s="4" t="s">
        <v>21</v>
      </c>
      <c r="Q122" s="4" t="s">
        <v>20</v>
      </c>
    </row>
    <row r="123" customFormat="false" ht="15" hidden="false" customHeight="false" outlineLevel="0" collapsed="false">
      <c r="A123" s="4" t="s">
        <v>66</v>
      </c>
      <c r="B123" s="4" t="n">
        <v>16</v>
      </c>
      <c r="C123" s="5" t="n">
        <v>83907</v>
      </c>
      <c r="D123" s="5" t="n">
        <v>38594</v>
      </c>
      <c r="E123" s="5" t="n">
        <v>50198</v>
      </c>
      <c r="F123" s="5" t="n">
        <v>0</v>
      </c>
      <c r="G123" s="5" t="n">
        <v>147</v>
      </c>
      <c r="H123" s="5" t="n">
        <v>4888</v>
      </c>
      <c r="I123" s="5" t="n">
        <v>177734</v>
      </c>
      <c r="J123" s="11" t="n">
        <f aca="false">IF(I123=0,0,C123/I123)</f>
        <v>0.472093127932753</v>
      </c>
      <c r="K123" s="11" t="n">
        <f aca="false">IF(I123=0,0,D123/I123)</f>
        <v>0.217144721887765</v>
      </c>
      <c r="L123" s="11" t="n">
        <f aca="false">IF(I123=0,0,E123/I123)</f>
        <v>0.282433299199928</v>
      </c>
      <c r="M123" s="11" t="n">
        <f aca="false">IF(I123=0,0,H123/I123)</f>
        <v>0.0275017723114317</v>
      </c>
      <c r="N123" s="4" t="str">
        <f aca="false">INDEX($C$3:$F$3,MATCH(MAX(C123:F123),C123:F123,0))</f>
        <v>Sigamos Haciendo Historia (PVEM-PT-Morena)</v>
      </c>
      <c r="O123" s="17" t="n">
        <f aca="false">IF(I123=0,0,(MAX(C123:F123)-LARGE(C123:F123,2))/I123*100)</f>
        <v>18.9659828732825</v>
      </c>
      <c r="P123" s="4" t="s">
        <v>20</v>
      </c>
      <c r="Q123" s="4" t="s">
        <v>10</v>
      </c>
    </row>
    <row r="124" customFormat="false" ht="15" hidden="false" customHeight="false" outlineLevel="0" collapsed="false">
      <c r="A124" s="4" t="s">
        <v>66</v>
      </c>
      <c r="B124" s="4" t="n">
        <v>17</v>
      </c>
      <c r="C124" s="5" t="n">
        <v>88530</v>
      </c>
      <c r="D124" s="5" t="n">
        <v>42694</v>
      </c>
      <c r="E124" s="5" t="n">
        <v>44576</v>
      </c>
      <c r="F124" s="5" t="n">
        <v>0</v>
      </c>
      <c r="G124" s="5" t="n">
        <v>202</v>
      </c>
      <c r="H124" s="5" t="n">
        <v>5243</v>
      </c>
      <c r="I124" s="5" t="n">
        <v>181245</v>
      </c>
      <c r="J124" s="11" t="n">
        <f aca="false">IF(I124=0,0,C124/I124)</f>
        <v>0.488454853927005</v>
      </c>
      <c r="K124" s="11" t="n">
        <f aca="false">IF(I124=0,0,D124/I124)</f>
        <v>0.235559601644183</v>
      </c>
      <c r="L124" s="11" t="n">
        <f aca="false">IF(I124=0,0,E124/I124)</f>
        <v>0.2459433363679</v>
      </c>
      <c r="M124" s="11" t="n">
        <f aca="false">IF(I124=0,0,H124/I124)</f>
        <v>0.0289276945570912</v>
      </c>
      <c r="N124" s="4" t="str">
        <f aca="false">INDEX($C$3:$F$3,MATCH(MAX(C124:F124),C124:F124,0))</f>
        <v>Sigamos Haciendo Historia (PVEM-PT-Morena)</v>
      </c>
      <c r="O124" s="17" t="n">
        <f aca="false">IF(I124=0,0,(MAX(C124:F124)-LARGE(C124:F124,2))/I124*100)</f>
        <v>24.2511517559105</v>
      </c>
      <c r="P124" s="4" t="s">
        <v>20</v>
      </c>
      <c r="Q124" s="4" t="s">
        <v>10</v>
      </c>
    </row>
    <row r="125" customFormat="false" ht="15" hidden="false" customHeight="false" outlineLevel="0" collapsed="false">
      <c r="A125" s="4" t="s">
        <v>66</v>
      </c>
      <c r="B125" s="4" t="n">
        <v>18</v>
      </c>
      <c r="C125" s="5" t="n">
        <v>84344</v>
      </c>
      <c r="D125" s="5" t="n">
        <v>55935</v>
      </c>
      <c r="E125" s="5" t="n">
        <v>62329</v>
      </c>
      <c r="F125" s="5" t="n">
        <v>0</v>
      </c>
      <c r="G125" s="5" t="n">
        <v>70</v>
      </c>
      <c r="H125" s="5" t="n">
        <v>7206</v>
      </c>
      <c r="I125" s="5" t="n">
        <v>209884</v>
      </c>
      <c r="J125" s="11" t="n">
        <f aca="false">IF(I125=0,0,C125/I125)</f>
        <v>0.401860075089097</v>
      </c>
      <c r="K125" s="11" t="n">
        <f aca="false">IF(I125=0,0,D125/I125)</f>
        <v>0.266504354786453</v>
      </c>
      <c r="L125" s="11" t="n">
        <f aca="false">IF(I125=0,0,E125/I125)</f>
        <v>0.296968801814336</v>
      </c>
      <c r="M125" s="11" t="n">
        <f aca="false">IF(I125=0,0,H125/I125)</f>
        <v>0.0343332507480322</v>
      </c>
      <c r="N125" s="4" t="str">
        <f aca="false">INDEX($C$3:$F$3,MATCH(MAX(C125:F125),C125:F125,0))</f>
        <v>Sigamos Haciendo Historia (PVEM-PT-Morena)</v>
      </c>
      <c r="O125" s="17" t="n">
        <f aca="false">IF(I125=0,0,(MAX(C125:F125)-LARGE(C125:F125,2))/I125*100)</f>
        <v>10.4891273274761</v>
      </c>
      <c r="P125" s="4" t="s">
        <v>20</v>
      </c>
      <c r="Q125" s="4" t="s">
        <v>10</v>
      </c>
    </row>
    <row r="126" customFormat="false" ht="15" hidden="false" customHeight="false" outlineLevel="0" collapsed="false">
      <c r="A126" s="4" t="s">
        <v>66</v>
      </c>
      <c r="B126" s="4" t="n">
        <v>19</v>
      </c>
      <c r="C126" s="5" t="n">
        <v>96343</v>
      </c>
      <c r="D126" s="5" t="n">
        <v>42914</v>
      </c>
      <c r="E126" s="5" t="n">
        <v>61572</v>
      </c>
      <c r="F126" s="5" t="n">
        <v>0</v>
      </c>
      <c r="G126" s="5" t="n">
        <v>88</v>
      </c>
      <c r="H126" s="5" t="n">
        <v>6511</v>
      </c>
      <c r="I126" s="5" t="n">
        <v>207428</v>
      </c>
      <c r="J126" s="11" t="n">
        <f aca="false">IF(I126=0,0,C126/I126)</f>
        <v>0.464464778139885</v>
      </c>
      <c r="K126" s="11" t="n">
        <f aca="false">IF(I126=0,0,D126/I126)</f>
        <v>0.206886244865688</v>
      </c>
      <c r="L126" s="11" t="n">
        <f aca="false">IF(I126=0,0,E126/I126)</f>
        <v>0.29683552847253</v>
      </c>
      <c r="M126" s="11" t="n">
        <f aca="false">IF(I126=0,0,H126/I126)</f>
        <v>0.0313892049289392</v>
      </c>
      <c r="N126" s="4" t="str">
        <f aca="false">INDEX($C$3:$F$3,MATCH(MAX(C126:F126),C126:F126,0))</f>
        <v>Sigamos Haciendo Historia (PVEM-PT-Morena)</v>
      </c>
      <c r="O126" s="17" t="n">
        <f aca="false">IF(I126=0,0,(MAX(C126:F126)-LARGE(C126:F126,2))/I126*100)</f>
        <v>16.7629249667354</v>
      </c>
      <c r="P126" s="4" t="s">
        <v>20</v>
      </c>
      <c r="Q126" s="4" t="s">
        <v>10</v>
      </c>
    </row>
    <row r="127" customFormat="false" ht="15" hidden="false" customHeight="false" outlineLevel="0" collapsed="false">
      <c r="A127" s="4" t="s">
        <v>66</v>
      </c>
      <c r="B127" s="4" t="n">
        <v>20</v>
      </c>
      <c r="C127" s="5" t="n">
        <v>65643</v>
      </c>
      <c r="D127" s="5" t="n">
        <v>24218</v>
      </c>
      <c r="E127" s="5" t="n">
        <v>39262</v>
      </c>
      <c r="F127" s="5" t="n">
        <v>0</v>
      </c>
      <c r="G127" s="5" t="n">
        <v>126</v>
      </c>
      <c r="H127" s="5" t="n">
        <v>3248</v>
      </c>
      <c r="I127" s="5" t="n">
        <v>132497</v>
      </c>
      <c r="J127" s="11" t="n">
        <f aca="false">IF(I127=0,0,C127/I127)</f>
        <v>0.495430085209476</v>
      </c>
      <c r="K127" s="11" t="n">
        <f aca="false">IF(I127=0,0,D127/I127)</f>
        <v>0.182781496939553</v>
      </c>
      <c r="L127" s="11" t="n">
        <f aca="false">IF(I127=0,0,E127/I127)</f>
        <v>0.296323690347706</v>
      </c>
      <c r="M127" s="11" t="n">
        <f aca="false">IF(I127=0,0,H127/I127)</f>
        <v>0.0245137625757564</v>
      </c>
      <c r="N127" s="4" t="str">
        <f aca="false">INDEX($C$3:$F$3,MATCH(MAX(C127:F127),C127:F127,0))</f>
        <v>Sigamos Haciendo Historia (PVEM-PT-Morena)</v>
      </c>
      <c r="O127" s="17" t="n">
        <f aca="false">IF(I127=0,0,(MAX(C127:F127)-LARGE(C127:F127,2))/I127*100)</f>
        <v>19.910639486177</v>
      </c>
      <c r="P127" s="4" t="s">
        <v>20</v>
      </c>
      <c r="Q127" s="4" t="s">
        <v>10</v>
      </c>
    </row>
    <row r="128" customFormat="false" ht="15" hidden="false" customHeight="false" outlineLevel="0" collapsed="false">
      <c r="A128" s="4" t="s">
        <v>67</v>
      </c>
      <c r="B128" s="4" t="n">
        <v>1</v>
      </c>
      <c r="C128" s="5" t="n">
        <v>137246</v>
      </c>
      <c r="D128" s="5" t="n">
        <v>75855</v>
      </c>
      <c r="E128" s="5" t="n">
        <v>14647</v>
      </c>
      <c r="F128" s="5" t="n">
        <v>0</v>
      </c>
      <c r="G128" s="5" t="n">
        <v>67</v>
      </c>
      <c r="H128" s="5" t="n">
        <v>7123</v>
      </c>
      <c r="I128" s="5" t="n">
        <v>234938</v>
      </c>
      <c r="J128" s="11" t="n">
        <f aca="false">IF(I128=0,0,C128/I128)</f>
        <v>0.584179655909219</v>
      </c>
      <c r="K128" s="11" t="n">
        <f aca="false">IF(I128=0,0,D128/I128)</f>
        <v>0.322872417403741</v>
      </c>
      <c r="L128" s="11" t="n">
        <f aca="false">IF(I128=0,0,E128/I128)</f>
        <v>0.0623441078071662</v>
      </c>
      <c r="M128" s="11" t="n">
        <f aca="false">IF(I128=0,0,H128/I128)</f>
        <v>0.0303186372574892</v>
      </c>
      <c r="N128" s="4" t="str">
        <f aca="false">INDEX($C$3:$F$3,MATCH(MAX(C128:F128),C128:F128,0))</f>
        <v>Sigamos Haciendo Historia (PVEM-PT-Morena)</v>
      </c>
      <c r="O128" s="17" t="n">
        <f aca="false">IF(I128=0,0,(MAX(C128:F128)-LARGE(C128:F128,2))/I128*100)</f>
        <v>26.1307238505478</v>
      </c>
      <c r="P128" s="4" t="s">
        <v>20</v>
      </c>
      <c r="Q128" s="4" t="s">
        <v>21</v>
      </c>
    </row>
    <row r="129" customFormat="false" ht="15" hidden="false" customHeight="false" outlineLevel="0" collapsed="false">
      <c r="A129" s="4" t="s">
        <v>67</v>
      </c>
      <c r="B129" s="4" t="n">
        <v>2</v>
      </c>
      <c r="C129" s="5" t="n">
        <v>111633</v>
      </c>
      <c r="D129" s="5" t="n">
        <v>52545</v>
      </c>
      <c r="E129" s="5" t="n">
        <v>19800</v>
      </c>
      <c r="F129" s="5" t="n">
        <v>0</v>
      </c>
      <c r="G129" s="5" t="n">
        <v>190</v>
      </c>
      <c r="H129" s="5" t="n">
        <v>4458</v>
      </c>
      <c r="I129" s="5" t="n">
        <v>188626</v>
      </c>
      <c r="J129" s="11" t="n">
        <f aca="false">IF(I129=0,0,C129/I129)</f>
        <v>0.591821912143607</v>
      </c>
      <c r="K129" s="11" t="n">
        <f aca="false">IF(I129=0,0,D129/I129)</f>
        <v>0.278567111638905</v>
      </c>
      <c r="L129" s="11" t="n">
        <f aca="false">IF(I129=0,0,E129/I129)</f>
        <v>0.104969622427449</v>
      </c>
      <c r="M129" s="11" t="n">
        <f aca="false">IF(I129=0,0,H129/I129)</f>
        <v>0.0236340695344226</v>
      </c>
      <c r="N129" s="4" t="str">
        <f aca="false">INDEX($C$3:$F$3,MATCH(MAX(C129:F129),C129:F129,0))</f>
        <v>Sigamos Haciendo Historia (PVEM-PT-Morena)</v>
      </c>
      <c r="O129" s="17" t="n">
        <f aca="false">IF(I129=0,0,(MAX(C129:F129)-LARGE(C129:F129,2))/I129*100)</f>
        <v>31.3254800504702</v>
      </c>
      <c r="P129" s="4" t="s">
        <v>20</v>
      </c>
      <c r="Q129" s="4" t="s">
        <v>21</v>
      </c>
    </row>
    <row r="130" customFormat="false" ht="15" hidden="false" customHeight="false" outlineLevel="0" collapsed="false">
      <c r="A130" s="4" t="s">
        <v>67</v>
      </c>
      <c r="B130" s="4" t="n">
        <v>3</v>
      </c>
      <c r="C130" s="5" t="n">
        <v>124326</v>
      </c>
      <c r="D130" s="5" t="n">
        <v>70774</v>
      </c>
      <c r="E130" s="5" t="n">
        <v>19770</v>
      </c>
      <c r="F130" s="5" t="n">
        <v>0</v>
      </c>
      <c r="G130" s="5" t="n">
        <v>224</v>
      </c>
      <c r="H130" s="5" t="n">
        <v>6178</v>
      </c>
      <c r="I130" s="5" t="n">
        <v>221272</v>
      </c>
      <c r="J130" s="11" t="n">
        <f aca="false">IF(I130=0,0,C130/I130)</f>
        <v>0.561869554213818</v>
      </c>
      <c r="K130" s="11" t="n">
        <f aca="false">IF(I130=0,0,D130/I130)</f>
        <v>0.319850681514155</v>
      </c>
      <c r="L130" s="11" t="n">
        <f aca="false">IF(I130=0,0,E130/I130)</f>
        <v>0.0893470479771503</v>
      </c>
      <c r="M130" s="11" t="n">
        <f aca="false">IF(I130=0,0,H130/I130)</f>
        <v>0.0279203875772805</v>
      </c>
      <c r="N130" s="4" t="str">
        <f aca="false">INDEX($C$3:$F$3,MATCH(MAX(C130:F130),C130:F130,0))</f>
        <v>Sigamos Haciendo Historia (PVEM-PT-Morena)</v>
      </c>
      <c r="O130" s="17" t="n">
        <f aca="false">IF(I130=0,0,(MAX(C130:F130)-LARGE(C130:F130,2))/I130*100)</f>
        <v>24.2018872699664</v>
      </c>
      <c r="P130" s="4" t="s">
        <v>20</v>
      </c>
      <c r="Q130" s="4" t="s">
        <v>21</v>
      </c>
    </row>
    <row r="131" customFormat="false" ht="15" hidden="false" customHeight="false" outlineLevel="0" collapsed="false">
      <c r="A131" s="4" t="s">
        <v>67</v>
      </c>
      <c r="B131" s="4" t="n">
        <v>4</v>
      </c>
      <c r="C131" s="5" t="n">
        <v>103250</v>
      </c>
      <c r="D131" s="5" t="n">
        <v>57751</v>
      </c>
      <c r="E131" s="5" t="n">
        <v>20989</v>
      </c>
      <c r="F131" s="5" t="n">
        <v>0</v>
      </c>
      <c r="G131" s="5" t="n">
        <v>169</v>
      </c>
      <c r="H131" s="5" t="n">
        <v>5665</v>
      </c>
      <c r="I131" s="5" t="n">
        <v>187824</v>
      </c>
      <c r="J131" s="11" t="n">
        <f aca="false">IF(I131=0,0,C131/I131)</f>
        <v>0.549716756112105</v>
      </c>
      <c r="K131" s="11" t="n">
        <f aca="false">IF(I131=0,0,D131/I131)</f>
        <v>0.307474018229832</v>
      </c>
      <c r="L131" s="11" t="n">
        <f aca="false">IF(I131=0,0,E131/I131)</f>
        <v>0.111748232387767</v>
      </c>
      <c r="M131" s="11" t="n">
        <f aca="false">IF(I131=0,0,H131/I131)</f>
        <v>0.030161214754238</v>
      </c>
      <c r="N131" s="4" t="str">
        <f aca="false">INDEX($C$3:$F$3,MATCH(MAX(C131:F131),C131:F131,0))</f>
        <v>Sigamos Haciendo Historia (PVEM-PT-Morena)</v>
      </c>
      <c r="O131" s="17" t="n">
        <f aca="false">IF(I131=0,0,(MAX(C131:F131)-LARGE(C131:F131,2))/I131*100)</f>
        <v>24.2242737882273</v>
      </c>
      <c r="P131" s="4" t="s">
        <v>20</v>
      </c>
      <c r="Q131" s="4" t="s">
        <v>21</v>
      </c>
    </row>
    <row r="132" customFormat="false" ht="15" hidden="false" customHeight="false" outlineLevel="0" collapsed="false">
      <c r="A132" s="4" t="s">
        <v>67</v>
      </c>
      <c r="B132" s="4" t="n">
        <v>5</v>
      </c>
      <c r="C132" s="5" t="n">
        <v>110877</v>
      </c>
      <c r="D132" s="5" t="n">
        <v>66968</v>
      </c>
      <c r="E132" s="5" t="n">
        <v>12557</v>
      </c>
      <c r="F132" s="5" t="n">
        <v>0</v>
      </c>
      <c r="G132" s="5" t="n">
        <v>179</v>
      </c>
      <c r="H132" s="5" t="n">
        <v>4622</v>
      </c>
      <c r="I132" s="5" t="n">
        <v>195203</v>
      </c>
      <c r="J132" s="11" t="n">
        <f aca="false">IF(I132=0,0,C132/I132)</f>
        <v>0.56800868839106</v>
      </c>
      <c r="K132" s="11" t="n">
        <f aca="false">IF(I132=0,0,D132/I132)</f>
        <v>0.343068497922675</v>
      </c>
      <c r="L132" s="11" t="n">
        <f aca="false">IF(I132=0,0,E132/I132)</f>
        <v>0.0643279047965451</v>
      </c>
      <c r="M132" s="11" t="n">
        <f aca="false">IF(I132=0,0,H132/I132)</f>
        <v>0.0236779147861457</v>
      </c>
      <c r="N132" s="4" t="str">
        <f aca="false">INDEX($C$3:$F$3,MATCH(MAX(C132:F132),C132:F132,0))</f>
        <v>Sigamos Haciendo Historia (PVEM-PT-Morena)</v>
      </c>
      <c r="O132" s="17" t="n">
        <f aca="false">IF(I132=0,0,(MAX(C132:F132)-LARGE(C132:F132,2))/I132*100)</f>
        <v>22.4940190468384</v>
      </c>
      <c r="P132" s="4" t="s">
        <v>20</v>
      </c>
      <c r="Q132" s="4" t="s">
        <v>21</v>
      </c>
    </row>
    <row r="133" customFormat="false" ht="15" hidden="false" customHeight="false" outlineLevel="0" collapsed="false">
      <c r="A133" s="4" t="s">
        <v>67</v>
      </c>
      <c r="B133" s="4" t="n">
        <v>6</v>
      </c>
      <c r="C133" s="5" t="n">
        <v>119804</v>
      </c>
      <c r="D133" s="5" t="n">
        <v>72625</v>
      </c>
      <c r="E133" s="5" t="n">
        <v>33999</v>
      </c>
      <c r="F133" s="5" t="n">
        <v>0</v>
      </c>
      <c r="G133" s="5" t="n">
        <v>187</v>
      </c>
      <c r="H133" s="5" t="n">
        <v>5181</v>
      </c>
      <c r="I133" s="5" t="n">
        <v>231796</v>
      </c>
      <c r="J133" s="11" t="n">
        <f aca="false">IF(I133=0,0,C133/I133)</f>
        <v>0.516851024176431</v>
      </c>
      <c r="K133" s="11" t="n">
        <f aca="false">IF(I133=0,0,D133/I133)</f>
        <v>0.313314293602996</v>
      </c>
      <c r="L133" s="11" t="n">
        <f aca="false">IF(I133=0,0,E133/I133)</f>
        <v>0.146676387858289</v>
      </c>
      <c r="M133" s="11" t="n">
        <f aca="false">IF(I133=0,0,H133/I133)</f>
        <v>0.0223515505013029</v>
      </c>
      <c r="N133" s="4" t="str">
        <f aca="false">INDEX($C$3:$F$3,MATCH(MAX(C133:F133),C133:F133,0))</f>
        <v>Sigamos Haciendo Historia (PVEM-PT-Morena)</v>
      </c>
      <c r="O133" s="17" t="n">
        <f aca="false">IF(I133=0,0,(MAX(C133:F133)-LARGE(C133:F133,2))/I133*100)</f>
        <v>20.3536730573435</v>
      </c>
      <c r="P133" s="4" t="s">
        <v>20</v>
      </c>
      <c r="Q133" s="4" t="s">
        <v>21</v>
      </c>
    </row>
    <row r="134" customFormat="false" ht="15" hidden="false" customHeight="false" outlineLevel="0" collapsed="false">
      <c r="A134" s="4" t="s">
        <v>67</v>
      </c>
      <c r="B134" s="4" t="n">
        <v>7</v>
      </c>
      <c r="C134" s="5" t="n">
        <v>126703</v>
      </c>
      <c r="D134" s="5" t="n">
        <v>89034</v>
      </c>
      <c r="E134" s="5" t="n">
        <v>21277</v>
      </c>
      <c r="F134" s="5" t="n">
        <v>0</v>
      </c>
      <c r="G134" s="5" t="n">
        <v>254</v>
      </c>
      <c r="H134" s="5" t="n">
        <v>5471</v>
      </c>
      <c r="I134" s="5" t="n">
        <v>242739</v>
      </c>
      <c r="J134" s="11" t="n">
        <f aca="false">IF(I134=0,0,C134/I134)</f>
        <v>0.521972159397542</v>
      </c>
      <c r="K134" s="11" t="n">
        <f aca="false">IF(I134=0,0,D134/I134)</f>
        <v>0.366789020305761</v>
      </c>
      <c r="L134" s="11" t="n">
        <f aca="false">IF(I134=0,0,E134/I134)</f>
        <v>0.0876538174747363</v>
      </c>
      <c r="M134" s="11" t="n">
        <f aca="false">IF(I134=0,0,H134/I134)</f>
        <v>0.0225386114303841</v>
      </c>
      <c r="N134" s="4" t="str">
        <f aca="false">INDEX($C$3:$F$3,MATCH(MAX(C134:F134),C134:F134,0))</f>
        <v>Sigamos Haciendo Historia (PVEM-PT-Morena)</v>
      </c>
      <c r="O134" s="17" t="n">
        <f aca="false">IF(I134=0,0,(MAX(C134:F134)-LARGE(C134:F134,2))/I134*100)</f>
        <v>15.5183139091782</v>
      </c>
      <c r="P134" s="4" t="s">
        <v>20</v>
      </c>
      <c r="Q134" s="4" t="s">
        <v>21</v>
      </c>
    </row>
    <row r="135" customFormat="false" ht="15" hidden="false" customHeight="false" outlineLevel="0" collapsed="false">
      <c r="A135" s="4" t="s">
        <v>67</v>
      </c>
      <c r="B135" s="4" t="n">
        <v>8</v>
      </c>
      <c r="C135" s="5" t="n">
        <v>134775</v>
      </c>
      <c r="D135" s="5" t="n">
        <v>58888</v>
      </c>
      <c r="E135" s="5" t="n">
        <v>23718</v>
      </c>
      <c r="F135" s="5" t="n">
        <v>0</v>
      </c>
      <c r="G135" s="5" t="n">
        <v>143</v>
      </c>
      <c r="H135" s="5" t="n">
        <v>4982</v>
      </c>
      <c r="I135" s="5" t="n">
        <v>222506</v>
      </c>
      <c r="J135" s="11" t="n">
        <f aca="false">IF(I135=0,0,C135/I135)</f>
        <v>0.605714003217891</v>
      </c>
      <c r="K135" s="11" t="n">
        <f aca="false">IF(I135=0,0,D135/I135)</f>
        <v>0.264658031693527</v>
      </c>
      <c r="L135" s="11" t="n">
        <f aca="false">IF(I135=0,0,E135/I135)</f>
        <v>0.106594878340359</v>
      </c>
      <c r="M135" s="11" t="n">
        <f aca="false">IF(I135=0,0,H135/I135)</f>
        <v>0.0223904074496868</v>
      </c>
      <c r="N135" s="4" t="str">
        <f aca="false">INDEX($C$3:$F$3,MATCH(MAX(C135:F135),C135:F135,0))</f>
        <v>Sigamos Haciendo Historia (PVEM-PT-Morena)</v>
      </c>
      <c r="O135" s="17" t="n">
        <f aca="false">IF(I135=0,0,(MAX(C135:F135)-LARGE(C135:F135,2))/I135*100)</f>
        <v>34.1055971524363</v>
      </c>
      <c r="P135" s="4" t="s">
        <v>20</v>
      </c>
      <c r="Q135" s="4" t="s">
        <v>21</v>
      </c>
    </row>
    <row r="136" customFormat="false" ht="15" hidden="false" customHeight="false" outlineLevel="0" collapsed="false">
      <c r="A136" s="4" t="s">
        <v>67</v>
      </c>
      <c r="B136" s="4" t="n">
        <v>9</v>
      </c>
      <c r="C136" s="5" t="n">
        <v>116605</v>
      </c>
      <c r="D136" s="5" t="n">
        <v>71160</v>
      </c>
      <c r="E136" s="5" t="n">
        <v>9968</v>
      </c>
      <c r="F136" s="5" t="n">
        <v>0</v>
      </c>
      <c r="G136" s="5" t="n">
        <v>40</v>
      </c>
      <c r="H136" s="5" t="n">
        <v>8352</v>
      </c>
      <c r="I136" s="5" t="n">
        <v>206125</v>
      </c>
      <c r="J136" s="11" t="n">
        <f aca="false">IF(I136=0,0,C136/I136)</f>
        <v>0.565700424499697</v>
      </c>
      <c r="K136" s="11" t="n">
        <f aca="false">IF(I136=0,0,D136/I136)</f>
        <v>0.34522741055185</v>
      </c>
      <c r="L136" s="11" t="n">
        <f aca="false">IF(I136=0,0,E136/I136)</f>
        <v>0.0483590054578532</v>
      </c>
      <c r="M136" s="11" t="n">
        <f aca="false">IF(I136=0,0,H136/I136)</f>
        <v>0.0405191024863554</v>
      </c>
      <c r="N136" s="4" t="str">
        <f aca="false">INDEX($C$3:$F$3,MATCH(MAX(C136:F136),C136:F136,0))</f>
        <v>Sigamos Haciendo Historia (PVEM-PT-Morena)</v>
      </c>
      <c r="O136" s="17" t="n">
        <f aca="false">IF(I136=0,0,(MAX(C136:F136)-LARGE(C136:F136,2))/I136*100)</f>
        <v>22.0473013947847</v>
      </c>
      <c r="P136" s="4" t="s">
        <v>20</v>
      </c>
      <c r="Q136" s="4" t="s">
        <v>21</v>
      </c>
    </row>
    <row r="137" customFormat="false" ht="15" hidden="false" customHeight="false" outlineLevel="0" collapsed="false">
      <c r="A137" s="4" t="s">
        <v>67</v>
      </c>
      <c r="B137" s="4" t="n">
        <v>10</v>
      </c>
      <c r="C137" s="5" t="n">
        <v>101779</v>
      </c>
      <c r="D137" s="5" t="n">
        <v>50415</v>
      </c>
      <c r="E137" s="5" t="n">
        <v>28468</v>
      </c>
      <c r="F137" s="5" t="n">
        <v>0</v>
      </c>
      <c r="G137" s="5" t="n">
        <v>271</v>
      </c>
      <c r="H137" s="5" t="n">
        <v>5574</v>
      </c>
      <c r="I137" s="5" t="n">
        <v>186507</v>
      </c>
      <c r="J137" s="11" t="n">
        <f aca="false">IF(I137=0,0,C137/I137)</f>
        <v>0.54571142101905</v>
      </c>
      <c r="K137" s="11" t="n">
        <f aca="false">IF(I137=0,0,D137/I137)</f>
        <v>0.270311570075118</v>
      </c>
      <c r="L137" s="11" t="n">
        <f aca="false">IF(I137=0,0,E137/I137)</f>
        <v>0.152637702606337</v>
      </c>
      <c r="M137" s="11" t="n">
        <f aca="false">IF(I137=0,0,H137/I137)</f>
        <v>0.0298862777268414</v>
      </c>
      <c r="N137" s="4" t="str">
        <f aca="false">INDEX($C$3:$F$3,MATCH(MAX(C137:F137),C137:F137,0))</f>
        <v>Sigamos Haciendo Historia (PVEM-PT-Morena)</v>
      </c>
      <c r="O137" s="17" t="n">
        <f aca="false">IF(I137=0,0,(MAX(C137:F137)-LARGE(C137:F137,2))/I137*100)</f>
        <v>27.5399850943932</v>
      </c>
      <c r="P137" s="4" t="s">
        <v>20</v>
      </c>
      <c r="Q137" s="4" t="s">
        <v>21</v>
      </c>
    </row>
    <row r="138" customFormat="false" ht="15" hidden="false" customHeight="false" outlineLevel="0" collapsed="false">
      <c r="A138" s="4" t="s">
        <v>67</v>
      </c>
      <c r="B138" s="4" t="n">
        <v>11</v>
      </c>
      <c r="C138" s="5" t="n">
        <v>120481</v>
      </c>
      <c r="D138" s="5" t="n">
        <v>44538</v>
      </c>
      <c r="E138" s="5" t="n">
        <v>20382</v>
      </c>
      <c r="F138" s="5" t="n">
        <v>0</v>
      </c>
      <c r="G138" s="5" t="n">
        <v>110</v>
      </c>
      <c r="H138" s="5" t="n">
        <v>13251</v>
      </c>
      <c r="I138" s="5" t="n">
        <v>198762</v>
      </c>
      <c r="J138" s="11" t="n">
        <f aca="false">IF(I138=0,0,C138/I138)</f>
        <v>0.606157112526539</v>
      </c>
      <c r="K138" s="11" t="n">
        <f aca="false">IF(I138=0,0,D138/I138)</f>
        <v>0.224077036858152</v>
      </c>
      <c r="L138" s="11" t="n">
        <f aca="false">IF(I138=0,0,E138/I138)</f>
        <v>0.102544752014973</v>
      </c>
      <c r="M138" s="11" t="n">
        <f aca="false">IF(I138=0,0,H138/I138)</f>
        <v>0.0666676728952214</v>
      </c>
      <c r="N138" s="4" t="str">
        <f aca="false">INDEX($C$3:$F$3,MATCH(MAX(C138:F138),C138:F138,0))</f>
        <v>Sigamos Haciendo Historia (PVEM-PT-Morena)</v>
      </c>
      <c r="O138" s="17" t="n">
        <f aca="false">IF(I138=0,0,(MAX(C138:F138)-LARGE(C138:F138,2))/I138*100)</f>
        <v>38.2080075668387</v>
      </c>
      <c r="P138" s="4" t="s">
        <v>22</v>
      </c>
      <c r="Q138" s="4" t="s">
        <v>21</v>
      </c>
    </row>
    <row r="139" customFormat="false" ht="15" hidden="false" customHeight="false" outlineLevel="0" collapsed="false">
      <c r="A139" s="4" t="s">
        <v>67</v>
      </c>
      <c r="B139" s="4" t="n">
        <v>12</v>
      </c>
      <c r="C139" s="5" t="n">
        <v>98975</v>
      </c>
      <c r="D139" s="5" t="n">
        <v>46331</v>
      </c>
      <c r="E139" s="5" t="n">
        <v>22138</v>
      </c>
      <c r="F139" s="5" t="n">
        <v>0</v>
      </c>
      <c r="G139" s="5" t="n">
        <v>161</v>
      </c>
      <c r="H139" s="5" t="n">
        <v>5006</v>
      </c>
      <c r="I139" s="5" t="n">
        <v>172611</v>
      </c>
      <c r="J139" s="11" t="n">
        <f aca="false">IF(I139=0,0,C139/I139)</f>
        <v>0.57339914605674</v>
      </c>
      <c r="K139" s="11" t="n">
        <f aca="false">IF(I139=0,0,D139/I139)</f>
        <v>0.268412789451425</v>
      </c>
      <c r="L139" s="11" t="n">
        <f aca="false">IF(I139=0,0,E139/I139)</f>
        <v>0.128253703414035</v>
      </c>
      <c r="M139" s="11" t="n">
        <f aca="false">IF(I139=0,0,H139/I139)</f>
        <v>0.0290016279379646</v>
      </c>
      <c r="N139" s="4" t="str">
        <f aca="false">INDEX($C$3:$F$3,MATCH(MAX(C139:F139),C139:F139,0))</f>
        <v>Sigamos Haciendo Historia (PVEM-PT-Morena)</v>
      </c>
      <c r="O139" s="17" t="n">
        <f aca="false">IF(I139=0,0,(MAX(C139:F139)-LARGE(C139:F139,2))/I139*100)</f>
        <v>30.4986356605315</v>
      </c>
      <c r="P139" s="4" t="s">
        <v>20</v>
      </c>
      <c r="Q139" s="4" t="s">
        <v>21</v>
      </c>
    </row>
    <row r="140" customFormat="false" ht="15" hidden="false" customHeight="false" outlineLevel="0" collapsed="false">
      <c r="A140" s="4" t="s">
        <v>67</v>
      </c>
      <c r="B140" s="4" t="n">
        <v>13</v>
      </c>
      <c r="C140" s="5" t="n">
        <v>137707</v>
      </c>
      <c r="D140" s="5" t="n">
        <v>69811</v>
      </c>
      <c r="E140" s="5" t="n">
        <v>24155</v>
      </c>
      <c r="F140" s="5" t="n">
        <v>0</v>
      </c>
      <c r="G140" s="5" t="n">
        <v>262</v>
      </c>
      <c r="H140" s="5" t="n">
        <v>15317</v>
      </c>
      <c r="I140" s="5" t="n">
        <v>247252</v>
      </c>
      <c r="J140" s="11" t="n">
        <f aca="false">IF(I140=0,0,C140/I140)</f>
        <v>0.556949994337761</v>
      </c>
      <c r="K140" s="11" t="n">
        <f aca="false">IF(I140=0,0,D140/I140)</f>
        <v>0.282347564428195</v>
      </c>
      <c r="L140" s="11" t="n">
        <f aca="false">IF(I140=0,0,E140/I140)</f>
        <v>0.0976938508080825</v>
      </c>
      <c r="M140" s="11" t="n">
        <f aca="false">IF(I140=0,0,H140/I140)</f>
        <v>0.0619489427790271</v>
      </c>
      <c r="N140" s="4" t="str">
        <f aca="false">INDEX($C$3:$F$3,MATCH(MAX(C140:F140),C140:F140,0))</f>
        <v>Sigamos Haciendo Historia (PVEM-PT-Morena)</v>
      </c>
      <c r="O140" s="17" t="n">
        <f aca="false">IF(I140=0,0,(MAX(C140:F140)-LARGE(C140:F140,2))/I140*100)</f>
        <v>27.4602429909566</v>
      </c>
      <c r="P140" s="4" t="s">
        <v>22</v>
      </c>
      <c r="Q140" s="4" t="s">
        <v>21</v>
      </c>
    </row>
    <row r="141" customFormat="false" ht="15" hidden="false" customHeight="false" outlineLevel="0" collapsed="false">
      <c r="A141" s="4" t="s">
        <v>67</v>
      </c>
      <c r="B141" s="4" t="n">
        <v>14</v>
      </c>
      <c r="C141" s="5" t="n">
        <v>104987</v>
      </c>
      <c r="D141" s="5" t="n">
        <v>54636</v>
      </c>
      <c r="E141" s="5" t="n">
        <v>16659</v>
      </c>
      <c r="F141" s="5" t="n">
        <v>0</v>
      </c>
      <c r="G141" s="5" t="n">
        <v>117</v>
      </c>
      <c r="H141" s="5" t="n">
        <v>4911</v>
      </c>
      <c r="I141" s="5" t="n">
        <v>181310</v>
      </c>
      <c r="J141" s="11" t="n">
        <f aca="false">IF(I141=0,0,C141/I141)</f>
        <v>0.579046936186642</v>
      </c>
      <c r="K141" s="11" t="n">
        <f aca="false">IF(I141=0,0,D141/I141)</f>
        <v>0.301340245987535</v>
      </c>
      <c r="L141" s="11" t="n">
        <f aca="false">IF(I141=0,0,E141/I141)</f>
        <v>0.0918813082565771</v>
      </c>
      <c r="M141" s="11" t="n">
        <f aca="false">IF(I141=0,0,H141/I141)</f>
        <v>0.027086205945618</v>
      </c>
      <c r="N141" s="4" t="str">
        <f aca="false">INDEX($C$3:$F$3,MATCH(MAX(C141:F141),C141:F141,0))</f>
        <v>Sigamos Haciendo Historia (PVEM-PT-Morena)</v>
      </c>
      <c r="O141" s="17" t="n">
        <f aca="false">IF(I141=0,0,(MAX(C141:F141)-LARGE(C141:F141,2))/I141*100)</f>
        <v>27.7706690199107</v>
      </c>
      <c r="P141" s="4" t="s">
        <v>20</v>
      </c>
      <c r="Q141" s="4" t="s">
        <v>21</v>
      </c>
    </row>
    <row r="142" customFormat="false" ht="15" hidden="false" customHeight="false" outlineLevel="0" collapsed="false">
      <c r="A142" s="4" t="s">
        <v>67</v>
      </c>
      <c r="B142" s="4" t="n">
        <v>15</v>
      </c>
      <c r="C142" s="5" t="n">
        <v>110767</v>
      </c>
      <c r="D142" s="5" t="n">
        <v>100620</v>
      </c>
      <c r="E142" s="5" t="n">
        <v>18028</v>
      </c>
      <c r="F142" s="5" t="n">
        <v>0</v>
      </c>
      <c r="G142" s="5" t="n">
        <v>200</v>
      </c>
      <c r="H142" s="5" t="n">
        <v>5373</v>
      </c>
      <c r="I142" s="5" t="n">
        <v>234988</v>
      </c>
      <c r="J142" s="11" t="n">
        <f aca="false">IF(I142=0,0,C142/I142)</f>
        <v>0.471373006281172</v>
      </c>
      <c r="K142" s="11" t="n">
        <f aca="false">IF(I142=0,0,D142/I142)</f>
        <v>0.428192077893339</v>
      </c>
      <c r="L142" s="11" t="n">
        <f aca="false">IF(I142=0,0,E142/I142)</f>
        <v>0.0767188111733365</v>
      </c>
      <c r="M142" s="11" t="n">
        <f aca="false">IF(I142=0,0,H142/I142)</f>
        <v>0.0228649973615674</v>
      </c>
      <c r="N142" s="4" t="str">
        <f aca="false">INDEX($C$3:$F$3,MATCH(MAX(C142:F142),C142:F142,0))</f>
        <v>Sigamos Haciendo Historia (PVEM-PT-Morena)</v>
      </c>
      <c r="O142" s="17" t="n">
        <f aca="false">IF(I142=0,0,(MAX(C142:F142)-LARGE(C142:F142,2))/I142*100)</f>
        <v>4.31809283878326</v>
      </c>
      <c r="P142" s="4" t="s">
        <v>20</v>
      </c>
      <c r="Q142" s="4" t="s">
        <v>21</v>
      </c>
    </row>
    <row r="143" customFormat="false" ht="15" hidden="false" customHeight="false" outlineLevel="0" collapsed="false">
      <c r="A143" s="4" t="s">
        <v>67</v>
      </c>
      <c r="B143" s="4" t="n">
        <v>16</v>
      </c>
      <c r="C143" s="5" t="n">
        <v>124228</v>
      </c>
      <c r="D143" s="5" t="n">
        <v>49287</v>
      </c>
      <c r="E143" s="5" t="n">
        <v>16820</v>
      </c>
      <c r="F143" s="5" t="n">
        <v>0</v>
      </c>
      <c r="G143" s="5" t="n">
        <v>123</v>
      </c>
      <c r="H143" s="5" t="n">
        <v>5042</v>
      </c>
      <c r="I143" s="5" t="n">
        <v>195500</v>
      </c>
      <c r="J143" s="11" t="n">
        <f aca="false">IF(I143=0,0,C143/I143)</f>
        <v>0.635437340153453</v>
      </c>
      <c r="K143" s="11" t="n">
        <f aca="false">IF(I143=0,0,D143/I143)</f>
        <v>0.252107416879795</v>
      </c>
      <c r="L143" s="11" t="n">
        <f aca="false">IF(I143=0,0,E143/I143)</f>
        <v>0.0860358056265985</v>
      </c>
      <c r="M143" s="11" t="n">
        <f aca="false">IF(I143=0,0,H143/I143)</f>
        <v>0.0257902813299233</v>
      </c>
      <c r="N143" s="4" t="str">
        <f aca="false">INDEX($C$3:$F$3,MATCH(MAX(C143:F143),C143:F143,0))</f>
        <v>Sigamos Haciendo Historia (PVEM-PT-Morena)</v>
      </c>
      <c r="O143" s="17" t="n">
        <f aca="false">IF(I143=0,0,(MAX(C143:F143)-LARGE(C143:F143,2))/I143*100)</f>
        <v>38.3329923273657</v>
      </c>
      <c r="P143" s="4" t="s">
        <v>20</v>
      </c>
      <c r="Q143" s="4" t="s">
        <v>21</v>
      </c>
    </row>
    <row r="144" customFormat="false" ht="15" hidden="false" customHeight="false" outlineLevel="0" collapsed="false">
      <c r="A144" s="4" t="s">
        <v>67</v>
      </c>
      <c r="B144" s="4" t="n">
        <v>17</v>
      </c>
      <c r="C144" s="5" t="n">
        <v>96429</v>
      </c>
      <c r="D144" s="5" t="n">
        <v>55536</v>
      </c>
      <c r="E144" s="5" t="n">
        <v>18573</v>
      </c>
      <c r="F144" s="5" t="n">
        <v>0</v>
      </c>
      <c r="G144" s="5" t="n">
        <v>174</v>
      </c>
      <c r="H144" s="5" t="n">
        <v>9786</v>
      </c>
      <c r="I144" s="5" t="n">
        <v>180498</v>
      </c>
      <c r="J144" s="11" t="n">
        <f aca="false">IF(I144=0,0,C144/I144)</f>
        <v>0.534238606521956</v>
      </c>
      <c r="K144" s="11" t="n">
        <f aca="false">IF(I144=0,0,D144/I144)</f>
        <v>0.307682079579829</v>
      </c>
      <c r="L144" s="11" t="n">
        <f aca="false">IF(I144=0,0,E144/I144)</f>
        <v>0.102898647076422</v>
      </c>
      <c r="M144" s="11" t="n">
        <f aca="false">IF(I144=0,0,H144/I144)</f>
        <v>0.0542166672206894</v>
      </c>
      <c r="N144" s="4" t="str">
        <f aca="false">INDEX($C$3:$F$3,MATCH(MAX(C144:F144),C144:F144,0))</f>
        <v>Sigamos Haciendo Historia (PVEM-PT-Morena)</v>
      </c>
      <c r="O144" s="17" t="n">
        <f aca="false">IF(I144=0,0,(MAX(C144:F144)-LARGE(C144:F144,2))/I144*100)</f>
        <v>22.6556526942127</v>
      </c>
      <c r="P144" s="4" t="s">
        <v>22</v>
      </c>
      <c r="Q144" s="4" t="s">
        <v>21</v>
      </c>
    </row>
    <row r="145" customFormat="false" ht="15" hidden="false" customHeight="false" outlineLevel="0" collapsed="false">
      <c r="A145" s="4" t="s">
        <v>67</v>
      </c>
      <c r="B145" s="4" t="n">
        <v>18</v>
      </c>
      <c r="C145" s="5" t="n">
        <v>114384</v>
      </c>
      <c r="D145" s="5" t="n">
        <v>106844</v>
      </c>
      <c r="E145" s="5" t="n">
        <v>21688</v>
      </c>
      <c r="F145" s="5" t="n">
        <v>0</v>
      </c>
      <c r="G145" s="5" t="n">
        <v>147</v>
      </c>
      <c r="H145" s="5" t="n">
        <v>5823</v>
      </c>
      <c r="I145" s="5" t="n">
        <v>248886</v>
      </c>
      <c r="J145" s="11" t="n">
        <f aca="false">IF(I145=0,0,C145/I145)</f>
        <v>0.459583905884622</v>
      </c>
      <c r="K145" s="11" t="n">
        <f aca="false">IF(I145=0,0,D145/I145)</f>
        <v>0.42928891138915</v>
      </c>
      <c r="L145" s="11" t="n">
        <f aca="false">IF(I145=0,0,E145/I145)</f>
        <v>0.0871402971641635</v>
      </c>
      <c r="M145" s="11" t="n">
        <f aca="false">IF(I145=0,0,H145/I145)</f>
        <v>0.0233962537065162</v>
      </c>
      <c r="N145" s="4" t="str">
        <f aca="false">INDEX($C$3:$F$3,MATCH(MAX(C145:F145),C145:F145,0))</f>
        <v>Sigamos Haciendo Historia (PVEM-PT-Morena)</v>
      </c>
      <c r="O145" s="17" t="n">
        <f aca="false">IF(I145=0,0,(MAX(C145:F145)-LARGE(C145:F145,2))/I145*100)</f>
        <v>3.02949944954718</v>
      </c>
      <c r="P145" s="4" t="s">
        <v>20</v>
      </c>
      <c r="Q145" s="4" t="s">
        <v>21</v>
      </c>
    </row>
    <row r="146" customFormat="false" ht="15" hidden="false" customHeight="false" outlineLevel="0" collapsed="false">
      <c r="A146" s="4" t="s">
        <v>67</v>
      </c>
      <c r="B146" s="4" t="n">
        <v>19</v>
      </c>
      <c r="C146" s="5" t="n">
        <v>133858</v>
      </c>
      <c r="D146" s="5" t="n">
        <v>127515</v>
      </c>
      <c r="E146" s="5" t="n">
        <v>23492</v>
      </c>
      <c r="F146" s="5" t="n">
        <v>0</v>
      </c>
      <c r="G146" s="5" t="n">
        <v>212</v>
      </c>
      <c r="H146" s="5" t="n">
        <v>5488</v>
      </c>
      <c r="I146" s="5" t="n">
        <v>290565</v>
      </c>
      <c r="J146" s="11" t="n">
        <f aca="false">IF(I146=0,0,C146/I146)</f>
        <v>0.460681775162184</v>
      </c>
      <c r="K146" s="11" t="n">
        <f aca="false">IF(I146=0,0,D146/I146)</f>
        <v>0.43885189200351</v>
      </c>
      <c r="L146" s="11" t="n">
        <f aca="false">IF(I146=0,0,E146/I146)</f>
        <v>0.0808493796568754</v>
      </c>
      <c r="M146" s="11" t="n">
        <f aca="false">IF(I146=0,0,H146/I146)</f>
        <v>0.0188873401820591</v>
      </c>
      <c r="N146" s="4" t="str">
        <f aca="false">INDEX($C$3:$F$3,MATCH(MAX(C146:F146),C146:F146,0))</f>
        <v>Sigamos Haciendo Historia (PVEM-PT-Morena)</v>
      </c>
      <c r="O146" s="17" t="n">
        <f aca="false">IF(I146=0,0,(MAX(C146:F146)-LARGE(C146:F146,2))/I146*100)</f>
        <v>2.18298831586736</v>
      </c>
      <c r="P146" s="4" t="s">
        <v>20</v>
      </c>
      <c r="Q146" s="4" t="s">
        <v>21</v>
      </c>
    </row>
    <row r="147" customFormat="false" ht="15" hidden="false" customHeight="false" outlineLevel="0" collapsed="false">
      <c r="A147" s="4" t="s">
        <v>67</v>
      </c>
      <c r="B147" s="4" t="n">
        <v>20</v>
      </c>
      <c r="C147" s="5" t="n">
        <v>93646</v>
      </c>
      <c r="D147" s="5" t="n">
        <v>48114</v>
      </c>
      <c r="E147" s="5" t="n">
        <v>16462</v>
      </c>
      <c r="F147" s="5" t="n">
        <v>0</v>
      </c>
      <c r="G147" s="5" t="n">
        <v>81</v>
      </c>
      <c r="H147" s="5" t="n">
        <v>3452</v>
      </c>
      <c r="I147" s="5" t="n">
        <v>161755</v>
      </c>
      <c r="J147" s="11" t="n">
        <f aca="false">IF(I147=0,0,C147/I147)</f>
        <v>0.578937281691447</v>
      </c>
      <c r="K147" s="11" t="n">
        <f aca="false">IF(I147=0,0,D147/I147)</f>
        <v>0.297449846990819</v>
      </c>
      <c r="L147" s="11" t="n">
        <f aca="false">IF(I147=0,0,E147/I147)</f>
        <v>0.101771197180922</v>
      </c>
      <c r="M147" s="11" t="n">
        <f aca="false">IF(I147=0,0,H147/I147)</f>
        <v>0.0213409168186455</v>
      </c>
      <c r="N147" s="4" t="str">
        <f aca="false">INDEX($C$3:$F$3,MATCH(MAX(C147:F147),C147:F147,0))</f>
        <v>Sigamos Haciendo Historia (PVEM-PT-Morena)</v>
      </c>
      <c r="O147" s="17" t="n">
        <f aca="false">IF(I147=0,0,(MAX(C147:F147)-LARGE(C147:F147,2))/I147*100)</f>
        <v>28.1487434700627</v>
      </c>
      <c r="P147" s="4" t="s">
        <v>20</v>
      </c>
      <c r="Q147" s="4" t="s">
        <v>21</v>
      </c>
    </row>
    <row r="148" customFormat="false" ht="15" hidden="false" customHeight="false" outlineLevel="0" collapsed="false">
      <c r="A148" s="4" t="s">
        <v>67</v>
      </c>
      <c r="B148" s="4" t="n">
        <v>21</v>
      </c>
      <c r="C148" s="5" t="n">
        <v>123803</v>
      </c>
      <c r="D148" s="5" t="n">
        <v>43084</v>
      </c>
      <c r="E148" s="5" t="n">
        <v>29767</v>
      </c>
      <c r="F148" s="5" t="n">
        <v>0</v>
      </c>
      <c r="G148" s="5" t="n">
        <v>105</v>
      </c>
      <c r="H148" s="5" t="n">
        <v>7016</v>
      </c>
      <c r="I148" s="5" t="n">
        <v>203775</v>
      </c>
      <c r="J148" s="11" t="n">
        <f aca="false">IF(I148=0,0,C148/I148)</f>
        <v>0.607547540179119</v>
      </c>
      <c r="K148" s="11" t="n">
        <f aca="false">IF(I148=0,0,D148/I148)</f>
        <v>0.211429272481904</v>
      </c>
      <c r="L148" s="11" t="n">
        <f aca="false">IF(I148=0,0,E148/I148)</f>
        <v>0.146077781867256</v>
      </c>
      <c r="M148" s="11" t="n">
        <f aca="false">IF(I148=0,0,H148/I148)</f>
        <v>0.0344301312722365</v>
      </c>
      <c r="N148" s="4" t="str">
        <f aca="false">INDEX($C$3:$F$3,MATCH(MAX(C148:F148),C148:F148,0))</f>
        <v>Sigamos Haciendo Historia (PVEM-PT-Morena)</v>
      </c>
      <c r="O148" s="17" t="n">
        <f aca="false">IF(I148=0,0,(MAX(C148:F148)-LARGE(C148:F148,2))/I148*100)</f>
        <v>39.6118267697215</v>
      </c>
      <c r="P148" s="4" t="s">
        <v>20</v>
      </c>
      <c r="Q148" s="4" t="s">
        <v>21</v>
      </c>
    </row>
    <row r="149" customFormat="false" ht="15" hidden="false" customHeight="false" outlineLevel="0" collapsed="false">
      <c r="A149" s="4" t="s">
        <v>67</v>
      </c>
      <c r="B149" s="4" t="n">
        <v>22</v>
      </c>
      <c r="C149" s="5" t="n">
        <v>94624</v>
      </c>
      <c r="D149" s="5" t="n">
        <v>129564</v>
      </c>
      <c r="E149" s="5" t="n">
        <v>18165</v>
      </c>
      <c r="F149" s="5" t="n">
        <v>0</v>
      </c>
      <c r="G149" s="5" t="n">
        <v>150</v>
      </c>
      <c r="H149" s="5" t="n">
        <v>4677</v>
      </c>
      <c r="I149" s="5" t="n">
        <v>247180</v>
      </c>
      <c r="J149" s="11" t="n">
        <f aca="false">IF(I149=0,0,C149/I149)</f>
        <v>0.382814143539121</v>
      </c>
      <c r="K149" s="11" t="n">
        <f aca="false">IF(I149=0,0,D149/I149)</f>
        <v>0.524168622056801</v>
      </c>
      <c r="L149" s="11" t="n">
        <f aca="false">IF(I149=0,0,E149/I149)</f>
        <v>0.0734889554171049</v>
      </c>
      <c r="M149" s="11" t="n">
        <f aca="false">IF(I149=0,0,H149/I149)</f>
        <v>0.018921433772959</v>
      </c>
      <c r="N149" s="4" t="str">
        <f aca="false">INDEX($C$3:$F$3,MATCH(MAX(C149:F149),C149:F149,0))</f>
        <v>Fuerza y Corazón por México (PAN-PRI-PRD)</v>
      </c>
      <c r="O149" s="17" t="n">
        <f aca="false">IF(I149=0,0,(MAX(C149:F149)-LARGE(C149:F149,2))/I149*100)</f>
        <v>14.1354478517679</v>
      </c>
      <c r="P149" s="4" t="s">
        <v>21</v>
      </c>
      <c r="Q149" s="4" t="s">
        <v>20</v>
      </c>
    </row>
    <row r="150" customFormat="false" ht="15" hidden="false" customHeight="false" outlineLevel="0" collapsed="false">
      <c r="A150" s="4" t="s">
        <v>67</v>
      </c>
      <c r="B150" s="4" t="n">
        <v>23</v>
      </c>
      <c r="C150" s="5" t="n">
        <v>123688</v>
      </c>
      <c r="D150" s="5" t="n">
        <v>63566</v>
      </c>
      <c r="E150" s="5" t="n">
        <v>20248</v>
      </c>
      <c r="F150" s="5" t="n">
        <v>0</v>
      </c>
      <c r="G150" s="5" t="n">
        <v>274</v>
      </c>
      <c r="H150" s="5" t="n">
        <v>6291</v>
      </c>
      <c r="I150" s="5" t="n">
        <v>214067</v>
      </c>
      <c r="J150" s="11" t="n">
        <f aca="false">IF(I150=0,0,C150/I150)</f>
        <v>0.577800408283388</v>
      </c>
      <c r="K150" s="11" t="n">
        <f aca="false">IF(I150=0,0,D150/I150)</f>
        <v>0.296944414599168</v>
      </c>
      <c r="L150" s="11" t="n">
        <f aca="false">IF(I150=0,0,E150/I150)</f>
        <v>0.094587208677657</v>
      </c>
      <c r="M150" s="11" t="n">
        <f aca="false">IF(I150=0,0,H150/I150)</f>
        <v>0.0293879953472511</v>
      </c>
      <c r="N150" s="4" t="str">
        <f aca="false">INDEX($C$3:$F$3,MATCH(MAX(C150:F150),C150:F150,0))</f>
        <v>Sigamos Haciendo Historia (PVEM-PT-Morena)</v>
      </c>
      <c r="O150" s="17" t="n">
        <f aca="false">IF(I150=0,0,(MAX(C150:F150)-LARGE(C150:F150,2))/I150*100)</f>
        <v>28.085599368422</v>
      </c>
      <c r="P150" s="4" t="s">
        <v>20</v>
      </c>
      <c r="Q150" s="4" t="s">
        <v>21</v>
      </c>
    </row>
    <row r="151" customFormat="false" ht="15" hidden="false" customHeight="false" outlineLevel="0" collapsed="false">
      <c r="A151" s="4" t="s">
        <v>67</v>
      </c>
      <c r="B151" s="4" t="n">
        <v>24</v>
      </c>
      <c r="C151" s="5" t="n">
        <v>148411</v>
      </c>
      <c r="D151" s="5" t="n">
        <v>73946</v>
      </c>
      <c r="E151" s="5" t="n">
        <v>23641</v>
      </c>
      <c r="F151" s="5" t="n">
        <v>0</v>
      </c>
      <c r="G151" s="5" t="n">
        <v>200</v>
      </c>
      <c r="H151" s="5" t="n">
        <v>6387</v>
      </c>
      <c r="I151" s="5" t="n">
        <v>252585</v>
      </c>
      <c r="J151" s="11" t="n">
        <f aca="false">IF(I151=0,0,C151/I151)</f>
        <v>0.587568541283132</v>
      </c>
      <c r="K151" s="11" t="n">
        <f aca="false">IF(I151=0,0,D151/I151)</f>
        <v>0.292756893718946</v>
      </c>
      <c r="L151" s="11" t="n">
        <f aca="false">IF(I151=0,0,E151/I151)</f>
        <v>0.0935962151354989</v>
      </c>
      <c r="M151" s="11" t="n">
        <f aca="false">IF(I151=0,0,H151/I151)</f>
        <v>0.0252865372052972</v>
      </c>
      <c r="N151" s="4" t="str">
        <f aca="false">INDEX($C$3:$F$3,MATCH(MAX(C151:F151),C151:F151,0))</f>
        <v>Sigamos Haciendo Historia (PVEM-PT-Morena)</v>
      </c>
      <c r="O151" s="17" t="n">
        <f aca="false">IF(I151=0,0,(MAX(C151:F151)-LARGE(C151:F151,2))/I151*100)</f>
        <v>29.4811647564186</v>
      </c>
      <c r="P151" s="4" t="s">
        <v>20</v>
      </c>
      <c r="Q151" s="4" t="s">
        <v>21</v>
      </c>
    </row>
    <row r="152" customFormat="false" ht="15" hidden="false" customHeight="false" outlineLevel="0" collapsed="false">
      <c r="A152" s="4" t="s">
        <v>67</v>
      </c>
      <c r="B152" s="4" t="n">
        <v>25</v>
      </c>
      <c r="C152" s="5" t="n">
        <v>99658</v>
      </c>
      <c r="D152" s="5" t="n">
        <v>45039</v>
      </c>
      <c r="E152" s="5" t="n">
        <v>12215</v>
      </c>
      <c r="F152" s="5" t="n">
        <v>0</v>
      </c>
      <c r="G152" s="5" t="n">
        <v>116</v>
      </c>
      <c r="H152" s="5" t="n">
        <v>5735</v>
      </c>
      <c r="I152" s="5" t="n">
        <v>162763</v>
      </c>
      <c r="J152" s="11" t="n">
        <f aca="false">IF(I152=0,0,C152/I152)</f>
        <v>0.612289033748456</v>
      </c>
      <c r="K152" s="11" t="n">
        <f aca="false">IF(I152=0,0,D152/I152)</f>
        <v>0.276715223975965</v>
      </c>
      <c r="L152" s="11" t="n">
        <f aca="false">IF(I152=0,0,E152/I152)</f>
        <v>0.0750477688418129</v>
      </c>
      <c r="M152" s="11" t="n">
        <f aca="false">IF(I152=0,0,H152/I152)</f>
        <v>0.035235280745624</v>
      </c>
      <c r="N152" s="4" t="str">
        <f aca="false">INDEX($C$3:$F$3,MATCH(MAX(C152:F152),C152:F152,0))</f>
        <v>Sigamos Haciendo Historia (PVEM-PT-Morena)</v>
      </c>
      <c r="O152" s="17" t="n">
        <f aca="false">IF(I152=0,0,(MAX(C152:F152)-LARGE(C152:F152,2))/I152*100)</f>
        <v>33.5573809772491</v>
      </c>
      <c r="P152" s="4" t="s">
        <v>20</v>
      </c>
      <c r="Q152" s="4" t="s">
        <v>68</v>
      </c>
    </row>
    <row r="153" customFormat="false" ht="15" hidden="false" customHeight="false" outlineLevel="0" collapsed="false">
      <c r="A153" s="4" t="s">
        <v>67</v>
      </c>
      <c r="B153" s="4" t="n">
        <v>26</v>
      </c>
      <c r="C153" s="5" t="n">
        <v>117472</v>
      </c>
      <c r="D153" s="5" t="n">
        <v>72271</v>
      </c>
      <c r="E153" s="5" t="n">
        <v>22369</v>
      </c>
      <c r="F153" s="5" t="n">
        <v>0</v>
      </c>
      <c r="G153" s="5" t="n">
        <v>209</v>
      </c>
      <c r="H153" s="5" t="n">
        <v>5327</v>
      </c>
      <c r="I153" s="5" t="n">
        <v>217648</v>
      </c>
      <c r="J153" s="11" t="n">
        <f aca="false">IF(I153=0,0,C153/I153)</f>
        <v>0.539733882231861</v>
      </c>
      <c r="K153" s="11" t="n">
        <f aca="false">IF(I153=0,0,D153/I153)</f>
        <v>0.332054510034551</v>
      </c>
      <c r="L153" s="11" t="n">
        <f aca="false">IF(I153=0,0,E153/I153)</f>
        <v>0.102776042049548</v>
      </c>
      <c r="M153" s="11" t="n">
        <f aca="false">IF(I153=0,0,H153/I153)</f>
        <v>0.0244752995662721</v>
      </c>
      <c r="N153" s="4" t="str">
        <f aca="false">INDEX($C$3:$F$3,MATCH(MAX(C153:F153),C153:F153,0))</f>
        <v>Sigamos Haciendo Historia (PVEM-PT-Morena)</v>
      </c>
      <c r="O153" s="17" t="n">
        <f aca="false">IF(I153=0,0,(MAX(C153:F153)-LARGE(C153:F153,2))/I153*100)</f>
        <v>20.7679372197309</v>
      </c>
      <c r="P153" s="4" t="s">
        <v>20</v>
      </c>
      <c r="Q153" s="4" t="s">
        <v>21</v>
      </c>
    </row>
    <row r="154" customFormat="false" ht="15" hidden="false" customHeight="false" outlineLevel="0" collapsed="false">
      <c r="A154" s="4" t="s">
        <v>67</v>
      </c>
      <c r="B154" s="4" t="n">
        <v>27</v>
      </c>
      <c r="C154" s="5" t="n">
        <v>121709</v>
      </c>
      <c r="D154" s="5" t="n">
        <v>108783</v>
      </c>
      <c r="E154" s="5" t="n">
        <v>24591</v>
      </c>
      <c r="F154" s="5" t="n">
        <v>0</v>
      </c>
      <c r="G154" s="5" t="n">
        <v>185</v>
      </c>
      <c r="H154" s="5" t="n">
        <v>5151</v>
      </c>
      <c r="I154" s="5" t="n">
        <v>260419</v>
      </c>
      <c r="J154" s="11" t="n">
        <f aca="false">IF(I154=0,0,C154/I154)</f>
        <v>0.467358372468983</v>
      </c>
      <c r="K154" s="11" t="n">
        <f aca="false">IF(I154=0,0,D154/I154)</f>
        <v>0.417722977202124</v>
      </c>
      <c r="L154" s="11" t="n">
        <f aca="false">IF(I154=0,0,E154/I154)</f>
        <v>0.0944285939197985</v>
      </c>
      <c r="M154" s="11" t="n">
        <f aca="false">IF(I154=0,0,H154/I154)</f>
        <v>0.0197796627742215</v>
      </c>
      <c r="N154" s="4" t="str">
        <f aca="false">INDEX($C$3:$F$3,MATCH(MAX(C154:F154),C154:F154,0))</f>
        <v>Sigamos Haciendo Historia (PVEM-PT-Morena)</v>
      </c>
      <c r="O154" s="17" t="n">
        <f aca="false">IF(I154=0,0,(MAX(C154:F154)-LARGE(C154:F154,2))/I154*100)</f>
        <v>4.96353952668584</v>
      </c>
      <c r="P154" s="4" t="s">
        <v>20</v>
      </c>
      <c r="Q154" s="4" t="s">
        <v>21</v>
      </c>
    </row>
    <row r="155" customFormat="false" ht="15" hidden="false" customHeight="false" outlineLevel="0" collapsed="false">
      <c r="A155" s="4" t="s">
        <v>67</v>
      </c>
      <c r="B155" s="4" t="n">
        <v>28</v>
      </c>
      <c r="C155" s="5" t="n">
        <v>91417</v>
      </c>
      <c r="D155" s="5" t="n">
        <v>42124</v>
      </c>
      <c r="E155" s="5" t="n">
        <v>22310</v>
      </c>
      <c r="F155" s="5" t="n">
        <v>0</v>
      </c>
      <c r="G155" s="5" t="n">
        <v>121</v>
      </c>
      <c r="H155" s="5" t="n">
        <v>5411</v>
      </c>
      <c r="I155" s="5" t="n">
        <v>161383</v>
      </c>
      <c r="J155" s="11" t="n">
        <f aca="false">IF(I155=0,0,C155/I155)</f>
        <v>0.566459912134488</v>
      </c>
      <c r="K155" s="11" t="n">
        <f aca="false">IF(I155=0,0,D155/I155)</f>
        <v>0.26101881858684</v>
      </c>
      <c r="L155" s="11" t="n">
        <f aca="false">IF(I155=0,0,E155/I155)</f>
        <v>0.138242565821679</v>
      </c>
      <c r="M155" s="11" t="n">
        <f aca="false">IF(I155=0,0,H155/I155)</f>
        <v>0.033528934274366</v>
      </c>
      <c r="N155" s="4" t="str">
        <f aca="false">INDEX($C$3:$F$3,MATCH(MAX(C155:F155),C155:F155,0))</f>
        <v>Sigamos Haciendo Historia (PVEM-PT-Morena)</v>
      </c>
      <c r="O155" s="17" t="n">
        <f aca="false">IF(I155=0,0,(MAX(C155:F155)-LARGE(C155:F155,2))/I155*100)</f>
        <v>30.5441093547648</v>
      </c>
      <c r="P155" s="4" t="s">
        <v>20</v>
      </c>
      <c r="Q155" s="4" t="s">
        <v>21</v>
      </c>
    </row>
    <row r="156" customFormat="false" ht="15" hidden="false" customHeight="false" outlineLevel="0" collapsed="false">
      <c r="A156" s="4" t="s">
        <v>67</v>
      </c>
      <c r="B156" s="4" t="n">
        <v>29</v>
      </c>
      <c r="C156" s="5" t="n">
        <v>134184</v>
      </c>
      <c r="D156" s="5" t="n">
        <v>52828</v>
      </c>
      <c r="E156" s="5" t="n">
        <v>29077</v>
      </c>
      <c r="F156" s="5" t="n">
        <v>0</v>
      </c>
      <c r="G156" s="5" t="n">
        <v>171</v>
      </c>
      <c r="H156" s="5" t="n">
        <v>12579</v>
      </c>
      <c r="I156" s="5" t="n">
        <v>228839</v>
      </c>
      <c r="J156" s="11" t="n">
        <f aca="false">IF(I156=0,0,C156/I156)</f>
        <v>0.58636858227837</v>
      </c>
      <c r="K156" s="11" t="n">
        <f aca="false">IF(I156=0,0,D156/I156)</f>
        <v>0.230852258574806</v>
      </c>
      <c r="L156" s="11" t="n">
        <f aca="false">IF(I156=0,0,E156/I156)</f>
        <v>0.127063131721429</v>
      </c>
      <c r="M156" s="11" t="n">
        <f aca="false">IF(I156=0,0,H156/I156)</f>
        <v>0.0549687771752193</v>
      </c>
      <c r="N156" s="4" t="str">
        <f aca="false">INDEX($C$3:$F$3,MATCH(MAX(C156:F156),C156:F156,0))</f>
        <v>Sigamos Haciendo Historia (PVEM-PT-Morena)</v>
      </c>
      <c r="O156" s="17" t="n">
        <f aca="false">IF(I156=0,0,(MAX(C156:F156)-LARGE(C156:F156,2))/I156*100)</f>
        <v>35.5516323703565</v>
      </c>
      <c r="P156" s="4" t="s">
        <v>22</v>
      </c>
      <c r="Q156" s="4" t="s">
        <v>21</v>
      </c>
    </row>
    <row r="157" customFormat="false" ht="15" hidden="false" customHeight="false" outlineLevel="0" collapsed="false">
      <c r="A157" s="4" t="s">
        <v>67</v>
      </c>
      <c r="B157" s="4" t="n">
        <v>30</v>
      </c>
      <c r="C157" s="5" t="n">
        <v>94201</v>
      </c>
      <c r="D157" s="5" t="n">
        <v>45751</v>
      </c>
      <c r="E157" s="5" t="n">
        <v>13721</v>
      </c>
      <c r="F157" s="5" t="n">
        <v>0</v>
      </c>
      <c r="G157" s="5" t="n">
        <v>127</v>
      </c>
      <c r="H157" s="5" t="n">
        <v>4700</v>
      </c>
      <c r="I157" s="5" t="n">
        <v>158500</v>
      </c>
      <c r="J157" s="11" t="n">
        <f aca="false">IF(I157=0,0,C157/I157)</f>
        <v>0.594328075709779</v>
      </c>
      <c r="K157" s="11" t="n">
        <f aca="false">IF(I157=0,0,D157/I157)</f>
        <v>0.288649842271293</v>
      </c>
      <c r="L157" s="11" t="n">
        <f aca="false">IF(I157=0,0,E157/I157)</f>
        <v>0.0865678233438486</v>
      </c>
      <c r="M157" s="11" t="n">
        <f aca="false">IF(I157=0,0,H157/I157)</f>
        <v>0.0296529968454259</v>
      </c>
      <c r="N157" s="4" t="str">
        <f aca="false">INDEX($C$3:$F$3,MATCH(MAX(C157:F157),C157:F157,0))</f>
        <v>Sigamos Haciendo Historia (PVEM-PT-Morena)</v>
      </c>
      <c r="O157" s="17" t="n">
        <f aca="false">IF(I157=0,0,(MAX(C157:F157)-LARGE(C157:F157,2))/I157*100)</f>
        <v>30.5678233438486</v>
      </c>
      <c r="P157" s="4" t="s">
        <v>20</v>
      </c>
      <c r="Q157" s="4" t="s">
        <v>21</v>
      </c>
    </row>
    <row r="158" customFormat="false" ht="15" hidden="false" customHeight="false" outlineLevel="0" collapsed="false">
      <c r="A158" s="4" t="s">
        <v>67</v>
      </c>
      <c r="B158" s="4" t="n">
        <v>31</v>
      </c>
      <c r="C158" s="5" t="n">
        <v>137215</v>
      </c>
      <c r="D158" s="5" t="n">
        <v>50660</v>
      </c>
      <c r="E158" s="5" t="n">
        <v>28971</v>
      </c>
      <c r="F158" s="5" t="n">
        <v>0</v>
      </c>
      <c r="G158" s="5" t="n">
        <v>211</v>
      </c>
      <c r="H158" s="5" t="n">
        <v>12985</v>
      </c>
      <c r="I158" s="5" t="n">
        <v>230042</v>
      </c>
      <c r="J158" s="11" t="n">
        <f aca="false">IF(I158=0,0,C158/I158)</f>
        <v>0.596478034445884</v>
      </c>
      <c r="K158" s="11" t="n">
        <f aca="false">IF(I158=0,0,D158/I158)</f>
        <v>0.220220655358587</v>
      </c>
      <c r="L158" s="11" t="n">
        <f aca="false">IF(I158=0,0,E158/I158)</f>
        <v>0.125937872214639</v>
      </c>
      <c r="M158" s="11" t="n">
        <f aca="false">IF(I158=0,0,H158/I158)</f>
        <v>0.0564462141695864</v>
      </c>
      <c r="N158" s="4" t="str">
        <f aca="false">INDEX($C$3:$F$3,MATCH(MAX(C158:F158),C158:F158,0))</f>
        <v>Sigamos Haciendo Historia (PVEM-PT-Morena)</v>
      </c>
      <c r="O158" s="17" t="n">
        <f aca="false">IF(I158=0,0,(MAX(C158:F158)-LARGE(C158:F158,2))/I158*100)</f>
        <v>37.6257379087297</v>
      </c>
      <c r="P158" s="4" t="s">
        <v>22</v>
      </c>
      <c r="Q158" s="4" t="s">
        <v>21</v>
      </c>
    </row>
    <row r="159" customFormat="false" ht="15" hidden="false" customHeight="false" outlineLevel="0" collapsed="false">
      <c r="A159" s="4" t="s">
        <v>67</v>
      </c>
      <c r="B159" s="4" t="n">
        <v>32</v>
      </c>
      <c r="C159" s="5" t="n">
        <v>108312</v>
      </c>
      <c r="D159" s="5" t="n">
        <v>34584</v>
      </c>
      <c r="E159" s="5" t="n">
        <v>15534</v>
      </c>
      <c r="F159" s="5" t="n">
        <v>0</v>
      </c>
      <c r="G159" s="5" t="n">
        <v>116</v>
      </c>
      <c r="H159" s="5" t="n">
        <v>6825</v>
      </c>
      <c r="I159" s="5" t="n">
        <v>165371</v>
      </c>
      <c r="J159" s="11" t="n">
        <f aca="false">IF(I159=0,0,C159/I159)</f>
        <v>0.654963687708244</v>
      </c>
      <c r="K159" s="11" t="n">
        <f aca="false">IF(I159=0,0,D159/I159)</f>
        <v>0.209129774869838</v>
      </c>
      <c r="L159" s="11" t="n">
        <f aca="false">IF(I159=0,0,E159/I159)</f>
        <v>0.0939342448192247</v>
      </c>
      <c r="M159" s="11" t="n">
        <f aca="false">IF(I159=0,0,H159/I159)</f>
        <v>0.0412708395063222</v>
      </c>
      <c r="N159" s="4" t="str">
        <f aca="false">INDEX($C$3:$F$3,MATCH(MAX(C159:F159),C159:F159,0))</f>
        <v>Sigamos Haciendo Historia (PVEM-PT-Morena)</v>
      </c>
      <c r="O159" s="17" t="n">
        <f aca="false">IF(I159=0,0,(MAX(C159:F159)-LARGE(C159:F159,2))/I159*100)</f>
        <v>44.5833912838406</v>
      </c>
      <c r="P159" s="4" t="s">
        <v>20</v>
      </c>
      <c r="Q159" s="4" t="s">
        <v>68</v>
      </c>
    </row>
    <row r="160" customFormat="false" ht="15" hidden="false" customHeight="false" outlineLevel="0" collapsed="false">
      <c r="A160" s="4" t="s">
        <v>67</v>
      </c>
      <c r="B160" s="4" t="n">
        <v>33</v>
      </c>
      <c r="C160" s="5" t="n">
        <v>117194</v>
      </c>
      <c r="D160" s="5" t="n">
        <v>28265</v>
      </c>
      <c r="E160" s="5" t="n">
        <v>12314</v>
      </c>
      <c r="F160" s="5" t="n">
        <v>0</v>
      </c>
      <c r="G160" s="5" t="n">
        <v>117</v>
      </c>
      <c r="H160" s="5" t="n">
        <v>9947</v>
      </c>
      <c r="I160" s="5" t="n">
        <v>167837</v>
      </c>
      <c r="J160" s="11" t="n">
        <f aca="false">IF(I160=0,0,C160/I160)</f>
        <v>0.698260812574105</v>
      </c>
      <c r="K160" s="11" t="n">
        <f aca="false">IF(I160=0,0,D160/I160)</f>
        <v>0.168407442935705</v>
      </c>
      <c r="L160" s="11" t="n">
        <f aca="false">IF(I160=0,0,E160/I160)</f>
        <v>0.0733688042565108</v>
      </c>
      <c r="M160" s="11" t="n">
        <f aca="false">IF(I160=0,0,H160/I160)</f>
        <v>0.0592658353044919</v>
      </c>
      <c r="N160" s="4" t="str">
        <f aca="false">INDEX($C$3:$F$3,MATCH(MAX(C160:F160),C160:F160,0))</f>
        <v>Sigamos Haciendo Historia (PVEM-PT-Morena)</v>
      </c>
      <c r="O160" s="17" t="n">
        <f aca="false">IF(I160=0,0,(MAX(C160:F160)-LARGE(C160:F160,2))/I160*100)</f>
        <v>52.9853369638399</v>
      </c>
      <c r="P160" s="4" t="s">
        <v>22</v>
      </c>
      <c r="Q160" s="4" t="s">
        <v>21</v>
      </c>
    </row>
    <row r="161" customFormat="false" ht="15" hidden="false" customHeight="false" outlineLevel="0" collapsed="false">
      <c r="A161" s="4" t="s">
        <v>67</v>
      </c>
      <c r="B161" s="4" t="n">
        <v>34</v>
      </c>
      <c r="C161" s="5" t="n">
        <v>121818</v>
      </c>
      <c r="D161" s="5" t="n">
        <v>107464</v>
      </c>
      <c r="E161" s="5" t="n">
        <v>28493</v>
      </c>
      <c r="F161" s="5" t="n">
        <v>0</v>
      </c>
      <c r="G161" s="5" t="n">
        <v>188</v>
      </c>
      <c r="H161" s="5" t="n">
        <v>5646</v>
      </c>
      <c r="I161" s="5" t="n">
        <v>263609</v>
      </c>
      <c r="J161" s="11" t="n">
        <f aca="false">IF(I161=0,0,C161/I161)</f>
        <v>0.462116240340808</v>
      </c>
      <c r="K161" s="11" t="n">
        <f aca="false">IF(I161=0,0,D161/I161)</f>
        <v>0.407664381716861</v>
      </c>
      <c r="L161" s="11" t="n">
        <f aca="false">IF(I161=0,0,E161/I161)</f>
        <v>0.108088115352662</v>
      </c>
      <c r="M161" s="11" t="n">
        <f aca="false">IF(I161=0,0,H161/I161)</f>
        <v>0.0214180851184899</v>
      </c>
      <c r="N161" s="4" t="str">
        <f aca="false">INDEX($C$3:$F$3,MATCH(MAX(C161:F161),C161:F161,0))</f>
        <v>Sigamos Haciendo Historia (PVEM-PT-Morena)</v>
      </c>
      <c r="O161" s="17" t="n">
        <f aca="false">IF(I161=0,0,(MAX(C161:F161)-LARGE(C161:F161,2))/I161*100)</f>
        <v>5.44518586239468</v>
      </c>
      <c r="P161" s="4" t="s">
        <v>20</v>
      </c>
      <c r="Q161" s="4" t="s">
        <v>21</v>
      </c>
    </row>
    <row r="162" customFormat="false" ht="15" hidden="false" customHeight="false" outlineLevel="0" collapsed="false">
      <c r="A162" s="4" t="s">
        <v>67</v>
      </c>
      <c r="B162" s="4" t="n">
        <v>35</v>
      </c>
      <c r="C162" s="5" t="n">
        <v>119718</v>
      </c>
      <c r="D162" s="5" t="n">
        <v>54117</v>
      </c>
      <c r="E162" s="5" t="n">
        <v>34695</v>
      </c>
      <c r="F162" s="5" t="n">
        <v>0</v>
      </c>
      <c r="G162" s="5" t="n">
        <v>150</v>
      </c>
      <c r="H162" s="5" t="n">
        <v>9043</v>
      </c>
      <c r="I162" s="5" t="n">
        <v>217723</v>
      </c>
      <c r="J162" s="11" t="n">
        <f aca="false">IF(I162=0,0,C162/I162)</f>
        <v>0.549863817786821</v>
      </c>
      <c r="K162" s="11" t="n">
        <f aca="false">IF(I162=0,0,D162/I162)</f>
        <v>0.248558948755988</v>
      </c>
      <c r="L162" s="11" t="n">
        <f aca="false">IF(I162=0,0,E162/I162)</f>
        <v>0.159353857883641</v>
      </c>
      <c r="M162" s="11" t="n">
        <f aca="false">IF(I162=0,0,H162/I162)</f>
        <v>0.0415344267716318</v>
      </c>
      <c r="N162" s="4" t="str">
        <f aca="false">INDEX($C$3:$F$3,MATCH(MAX(C162:F162),C162:F162,0))</f>
        <v>Sigamos Haciendo Historia (PVEM-PT-Morena)</v>
      </c>
      <c r="O162" s="17" t="n">
        <f aca="false">IF(I162=0,0,(MAX(C162:F162)-LARGE(C162:F162,2))/I162*100)</f>
        <v>30.1304869030833</v>
      </c>
      <c r="P162" s="4" t="s">
        <v>20</v>
      </c>
      <c r="Q162" s="4" t="s">
        <v>21</v>
      </c>
    </row>
    <row r="163" customFormat="false" ht="15" hidden="false" customHeight="false" outlineLevel="0" collapsed="false">
      <c r="A163" s="4" t="s">
        <v>67</v>
      </c>
      <c r="B163" s="4" t="n">
        <v>36</v>
      </c>
      <c r="C163" s="5" t="n">
        <v>123285</v>
      </c>
      <c r="D163" s="5" t="n">
        <v>62976</v>
      </c>
      <c r="E163" s="5" t="n">
        <v>19038</v>
      </c>
      <c r="F163" s="5" t="n">
        <v>0</v>
      </c>
      <c r="G163" s="5" t="n">
        <v>222</v>
      </c>
      <c r="H163" s="5" t="n">
        <v>9491</v>
      </c>
      <c r="I163" s="5" t="n">
        <v>215012</v>
      </c>
      <c r="J163" s="11" t="n">
        <f aca="false">IF(I163=0,0,C163/I163)</f>
        <v>0.573386601678046</v>
      </c>
      <c r="K163" s="11" t="n">
        <f aca="false">IF(I163=0,0,D163/I163)</f>
        <v>0.292895280263427</v>
      </c>
      <c r="L163" s="11" t="n">
        <f aca="false">IF(I163=0,0,E163/I163)</f>
        <v>0.0885438952244526</v>
      </c>
      <c r="M163" s="11" t="n">
        <f aca="false">IF(I163=0,0,H163/I163)</f>
        <v>0.044141722322475</v>
      </c>
      <c r="N163" s="4" t="str">
        <f aca="false">INDEX($C$3:$F$3,MATCH(MAX(C163:F163),C163:F163,0))</f>
        <v>Sigamos Haciendo Historia (PVEM-PT-Morena)</v>
      </c>
      <c r="O163" s="17" t="n">
        <f aca="false">IF(I163=0,0,(MAX(C163:F163)-LARGE(C163:F163,2))/I163*100)</f>
        <v>28.0491321414619</v>
      </c>
      <c r="P163" s="4" t="s">
        <v>20</v>
      </c>
      <c r="Q163" s="4" t="s">
        <v>21</v>
      </c>
    </row>
    <row r="164" customFormat="false" ht="15" hidden="false" customHeight="false" outlineLevel="0" collapsed="false">
      <c r="A164" s="4" t="s">
        <v>67</v>
      </c>
      <c r="B164" s="4" t="n">
        <v>37</v>
      </c>
      <c r="C164" s="5" t="n">
        <v>127144</v>
      </c>
      <c r="D164" s="5" t="n">
        <v>52225</v>
      </c>
      <c r="E164" s="5" t="n">
        <v>25017</v>
      </c>
      <c r="F164" s="5" t="n">
        <v>0</v>
      </c>
      <c r="G164" s="5" t="n">
        <v>448</v>
      </c>
      <c r="H164" s="5" t="n">
        <v>6676</v>
      </c>
      <c r="I164" s="5" t="n">
        <v>211510</v>
      </c>
      <c r="J164" s="11" t="n">
        <f aca="false">IF(I164=0,0,C164/I164)</f>
        <v>0.601125242305328</v>
      </c>
      <c r="K164" s="11" t="n">
        <f aca="false">IF(I164=0,0,D164/I164)</f>
        <v>0.246915039478039</v>
      </c>
      <c r="L164" s="11" t="n">
        <f aca="false">IF(I164=0,0,E164/I164)</f>
        <v>0.118278095598317</v>
      </c>
      <c r="M164" s="11" t="n">
        <f aca="false">IF(I164=0,0,H164/I164)</f>
        <v>0.0315635194553449</v>
      </c>
      <c r="N164" s="4" t="str">
        <f aca="false">INDEX($C$3:$F$3,MATCH(MAX(C164:F164),C164:F164,0))</f>
        <v>Sigamos Haciendo Historia (PVEM-PT-Morena)</v>
      </c>
      <c r="O164" s="17" t="n">
        <f aca="false">IF(I164=0,0,(MAX(C164:F164)-LARGE(C164:F164,2))/I164*100)</f>
        <v>35.4210202827289</v>
      </c>
      <c r="P164" s="4" t="s">
        <v>20</v>
      </c>
      <c r="Q164" s="4" t="s">
        <v>21</v>
      </c>
    </row>
    <row r="165" customFormat="false" ht="15" hidden="false" customHeight="false" outlineLevel="0" collapsed="false">
      <c r="A165" s="4" t="s">
        <v>67</v>
      </c>
      <c r="B165" s="4" t="n">
        <v>38</v>
      </c>
      <c r="C165" s="5" t="n">
        <v>110093</v>
      </c>
      <c r="D165" s="5" t="n">
        <v>46458</v>
      </c>
      <c r="E165" s="5" t="n">
        <v>19086</v>
      </c>
      <c r="F165" s="5" t="n">
        <v>0</v>
      </c>
      <c r="G165" s="5" t="n">
        <v>203</v>
      </c>
      <c r="H165" s="5" t="n">
        <v>4961</v>
      </c>
      <c r="I165" s="5" t="n">
        <v>180801</v>
      </c>
      <c r="J165" s="11" t="n">
        <f aca="false">IF(I165=0,0,C165/I165)</f>
        <v>0.608918092267189</v>
      </c>
      <c r="K165" s="11" t="n">
        <f aca="false">IF(I165=0,0,D165/I165)</f>
        <v>0.25695654338195</v>
      </c>
      <c r="L165" s="11" t="n">
        <f aca="false">IF(I165=0,0,E165/I165)</f>
        <v>0.105563575422702</v>
      </c>
      <c r="M165" s="11" t="n">
        <f aca="false">IF(I165=0,0,H165/I165)</f>
        <v>0.0274390075276132</v>
      </c>
      <c r="N165" s="4" t="str">
        <f aca="false">INDEX($C$3:$F$3,MATCH(MAX(C165:F165),C165:F165,0))</f>
        <v>Sigamos Haciendo Historia (PVEM-PT-Morena)</v>
      </c>
      <c r="O165" s="17" t="n">
        <f aca="false">IF(I165=0,0,(MAX(C165:F165)-LARGE(C165:F165,2))/I165*100)</f>
        <v>35.1961548885238</v>
      </c>
      <c r="P165" s="4" t="s">
        <v>20</v>
      </c>
      <c r="Q165" s="4" t="s">
        <v>21</v>
      </c>
    </row>
    <row r="166" customFormat="false" ht="15" hidden="false" customHeight="false" outlineLevel="0" collapsed="false">
      <c r="A166" s="4" t="s">
        <v>67</v>
      </c>
      <c r="B166" s="4" t="n">
        <v>39</v>
      </c>
      <c r="C166" s="5" t="n">
        <v>99956</v>
      </c>
      <c r="D166" s="5" t="n">
        <v>53088</v>
      </c>
      <c r="E166" s="5" t="n">
        <v>12306</v>
      </c>
      <c r="F166" s="5" t="n">
        <v>0</v>
      </c>
      <c r="G166" s="5" t="n">
        <v>152</v>
      </c>
      <c r="H166" s="5" t="n">
        <v>4779</v>
      </c>
      <c r="I166" s="5" t="n">
        <v>170281</v>
      </c>
      <c r="J166" s="11" t="n">
        <f aca="false">IF(I166=0,0,C166/I166)</f>
        <v>0.587006183896031</v>
      </c>
      <c r="K166" s="11" t="n">
        <f aca="false">IF(I166=0,0,D166/I166)</f>
        <v>0.311767020395699</v>
      </c>
      <c r="L166" s="11" t="n">
        <f aca="false">IF(I166=0,0,E166/I166)</f>
        <v>0.0722687792531169</v>
      </c>
      <c r="M166" s="11" t="n">
        <f aca="false">IF(I166=0,0,H166/I166)</f>
        <v>0.0280653742930803</v>
      </c>
      <c r="N166" s="4" t="str">
        <f aca="false">INDEX($C$3:$F$3,MATCH(MAX(C166:F166),C166:F166,0))</f>
        <v>Sigamos Haciendo Historia (PVEM-PT-Morena)</v>
      </c>
      <c r="O166" s="17" t="n">
        <f aca="false">IF(I166=0,0,(MAX(C166:F166)-LARGE(C166:F166,2))/I166*100)</f>
        <v>27.5239163500332</v>
      </c>
      <c r="P166" s="4" t="s">
        <v>20</v>
      </c>
      <c r="Q166" s="4" t="s">
        <v>21</v>
      </c>
    </row>
    <row r="167" customFormat="false" ht="15" hidden="false" customHeight="false" outlineLevel="0" collapsed="false">
      <c r="A167" s="4" t="s">
        <v>67</v>
      </c>
      <c r="B167" s="4" t="n">
        <v>40</v>
      </c>
      <c r="C167" s="5" t="n">
        <v>119809</v>
      </c>
      <c r="D167" s="5" t="n">
        <v>79419</v>
      </c>
      <c r="E167" s="5" t="n">
        <v>28927</v>
      </c>
      <c r="F167" s="5" t="n">
        <v>0</v>
      </c>
      <c r="G167" s="5" t="n">
        <v>193</v>
      </c>
      <c r="H167" s="5" t="n">
        <v>7814</v>
      </c>
      <c r="I167" s="5" t="n">
        <v>236162</v>
      </c>
      <c r="J167" s="11" t="n">
        <f aca="false">IF(I167=0,0,C167/I167)</f>
        <v>0.507317011204173</v>
      </c>
      <c r="K167" s="11" t="n">
        <f aca="false">IF(I167=0,0,D167/I167)</f>
        <v>0.336290343069588</v>
      </c>
      <c r="L167" s="11" t="n">
        <f aca="false">IF(I167=0,0,E167/I167)</f>
        <v>0.122487953184678</v>
      </c>
      <c r="M167" s="11" t="n">
        <f aca="false">IF(I167=0,0,H167/I167)</f>
        <v>0.0330874569151684</v>
      </c>
      <c r="N167" s="4" t="str">
        <f aca="false">INDEX($C$3:$F$3,MATCH(MAX(C167:F167),C167:F167,0))</f>
        <v>Sigamos Haciendo Historia (PVEM-PT-Morena)</v>
      </c>
      <c r="O167" s="17" t="n">
        <f aca="false">IF(I167=0,0,(MAX(C167:F167)-LARGE(C167:F167,2))/I167*100)</f>
        <v>17.1026668134586</v>
      </c>
      <c r="P167" s="4" t="s">
        <v>20</v>
      </c>
      <c r="Q167" s="4" t="s">
        <v>21</v>
      </c>
    </row>
    <row r="168" customFormat="false" ht="15" hidden="false" customHeight="false" outlineLevel="0" collapsed="false">
      <c r="A168" s="4" t="s">
        <v>69</v>
      </c>
      <c r="B168" s="4" t="n">
        <v>1</v>
      </c>
      <c r="C168" s="5" t="n">
        <v>110207</v>
      </c>
      <c r="D168" s="5" t="n">
        <v>33496</v>
      </c>
      <c r="E168" s="5" t="n">
        <v>12691</v>
      </c>
      <c r="F168" s="5" t="n">
        <v>0</v>
      </c>
      <c r="G168" s="5" t="n">
        <v>106</v>
      </c>
      <c r="H168" s="5" t="n">
        <v>13513</v>
      </c>
      <c r="I168" s="5" t="n">
        <v>170013</v>
      </c>
      <c r="J168" s="11" t="n">
        <f aca="false">IF(I168=0,0,C168/I168)</f>
        <v>0.64822690029586</v>
      </c>
      <c r="K168" s="11" t="n">
        <f aca="false">IF(I168=0,0,D168/I168)</f>
        <v>0.197020227864928</v>
      </c>
      <c r="L168" s="11" t="n">
        <f aca="false">IF(I168=0,0,E168/I168)</f>
        <v>0.0746472328586638</v>
      </c>
      <c r="M168" s="11" t="n">
        <f aca="false">IF(I168=0,0,H168/I168)</f>
        <v>0.0794821572467988</v>
      </c>
      <c r="N168" s="4" t="str">
        <f aca="false">INDEX($C$3:$F$3,MATCH(MAX(C168:F168),C168:F168,0))</f>
        <v>Sigamos Haciendo Historia (PVEM-PT-Morena)</v>
      </c>
      <c r="O168" s="17" t="n">
        <f aca="false">IF(I168=0,0,(MAX(C168:F168)-LARGE(C168:F168,2))/I168*100)</f>
        <v>45.1206672430932</v>
      </c>
      <c r="P168" s="4" t="s">
        <v>22</v>
      </c>
      <c r="Q168" s="4" t="s">
        <v>21</v>
      </c>
    </row>
    <row r="169" customFormat="false" ht="15" hidden="false" customHeight="false" outlineLevel="0" collapsed="false">
      <c r="A169" s="4" t="s">
        <v>69</v>
      </c>
      <c r="B169" s="4" t="n">
        <v>2</v>
      </c>
      <c r="C169" s="5" t="n">
        <v>71361</v>
      </c>
      <c r="D169" s="5" t="n">
        <v>52832</v>
      </c>
      <c r="E169" s="5" t="n">
        <v>19571</v>
      </c>
      <c r="F169" s="5" t="n">
        <v>0</v>
      </c>
      <c r="G169" s="5" t="n">
        <v>928</v>
      </c>
      <c r="H169" s="5" t="n">
        <v>7274</v>
      </c>
      <c r="I169" s="5" t="n">
        <v>151966</v>
      </c>
      <c r="J169" s="11" t="n">
        <f aca="false">IF(I169=0,0,C169/I169)</f>
        <v>0.469585301975442</v>
      </c>
      <c r="K169" s="11" t="n">
        <f aca="false">IF(I169=0,0,D169/I169)</f>
        <v>0.347656712685732</v>
      </c>
      <c r="L169" s="11" t="n">
        <f aca="false">IF(I169=0,0,E169/I169)</f>
        <v>0.128785386204809</v>
      </c>
      <c r="M169" s="11" t="n">
        <f aca="false">IF(I169=0,0,H169/I169)</f>
        <v>0.0478659700196097</v>
      </c>
      <c r="N169" s="4" t="str">
        <f aca="false">INDEX($C$3:$F$3,MATCH(MAX(C169:F169),C169:F169,0))</f>
        <v>Sigamos Haciendo Historia (PVEM-PT-Morena)</v>
      </c>
      <c r="O169" s="17" t="n">
        <f aca="false">IF(I169=0,0,(MAX(C169:F169)-LARGE(C169:F169,2))/I169*100)</f>
        <v>12.192858928971</v>
      </c>
      <c r="P169" s="4" t="s">
        <v>20</v>
      </c>
      <c r="Q169" s="4" t="s">
        <v>21</v>
      </c>
    </row>
    <row r="170" customFormat="false" ht="15" hidden="false" customHeight="false" outlineLevel="0" collapsed="false">
      <c r="A170" s="4" t="s">
        <v>69</v>
      </c>
      <c r="B170" s="4" t="n">
        <v>3</v>
      </c>
      <c r="C170" s="5" t="n">
        <v>114141</v>
      </c>
      <c r="D170" s="5" t="n">
        <v>55076</v>
      </c>
      <c r="E170" s="5" t="n">
        <v>24422</v>
      </c>
      <c r="F170" s="5" t="n">
        <v>0</v>
      </c>
      <c r="G170" s="5" t="n">
        <v>186</v>
      </c>
      <c r="H170" s="5" t="n">
        <v>11513</v>
      </c>
      <c r="I170" s="5" t="n">
        <v>205338</v>
      </c>
      <c r="J170" s="11" t="n">
        <f aca="false">IF(I170=0,0,C170/I170)</f>
        <v>0.555868860123309</v>
      </c>
      <c r="K170" s="11" t="n">
        <f aca="false">IF(I170=0,0,D170/I170)</f>
        <v>0.268221176791437</v>
      </c>
      <c r="L170" s="11" t="n">
        <f aca="false">IF(I170=0,0,E170/I170)</f>
        <v>0.118935608606298</v>
      </c>
      <c r="M170" s="11" t="n">
        <f aca="false">IF(I170=0,0,H170/I170)</f>
        <v>0.0560685309100118</v>
      </c>
      <c r="N170" s="4" t="str">
        <f aca="false">INDEX($C$3:$F$3,MATCH(MAX(C170:F170),C170:F170,0))</f>
        <v>Sigamos Haciendo Historia (PVEM-PT-Morena)</v>
      </c>
      <c r="O170" s="17" t="n">
        <f aca="false">IF(I170=0,0,(MAX(C170:F170)-LARGE(C170:F170,2))/I170*100)</f>
        <v>28.7647683331872</v>
      </c>
      <c r="P170" s="4" t="s">
        <v>20</v>
      </c>
      <c r="Q170" s="4" t="s">
        <v>21</v>
      </c>
    </row>
    <row r="171" customFormat="false" ht="15" hidden="false" customHeight="false" outlineLevel="0" collapsed="false">
      <c r="A171" s="4" t="s">
        <v>69</v>
      </c>
      <c r="B171" s="4" t="n">
        <v>4</v>
      </c>
      <c r="C171" s="5" t="n">
        <v>77640</v>
      </c>
      <c r="D171" s="5" t="n">
        <v>65484</v>
      </c>
      <c r="E171" s="5" t="n">
        <v>22357</v>
      </c>
      <c r="F171" s="5" t="n">
        <v>0</v>
      </c>
      <c r="G171" s="5" t="n">
        <v>102</v>
      </c>
      <c r="H171" s="5" t="n">
        <v>6432</v>
      </c>
      <c r="I171" s="5" t="n">
        <v>172015</v>
      </c>
      <c r="J171" s="11" t="n">
        <f aca="false">IF(I171=0,0,C171/I171)</f>
        <v>0.451355986396535</v>
      </c>
      <c r="K171" s="11" t="n">
        <f aca="false">IF(I171=0,0,D171/I171)</f>
        <v>0.380687730721158</v>
      </c>
      <c r="L171" s="11" t="n">
        <f aca="false">IF(I171=0,0,E171/I171)</f>
        <v>0.129971223439816</v>
      </c>
      <c r="M171" s="11" t="n">
        <f aca="false">IF(I171=0,0,H171/I171)</f>
        <v>0.0373920878993111</v>
      </c>
      <c r="N171" s="4" t="str">
        <f aca="false">INDEX($C$3:$F$3,MATCH(MAX(C171:F171),C171:F171,0))</f>
        <v>Sigamos Haciendo Historia (PVEM-PT-Morena)</v>
      </c>
      <c r="O171" s="17" t="n">
        <f aca="false">IF(I171=0,0,(MAX(C171:F171)-LARGE(C171:F171,2))/I171*100)</f>
        <v>7.06682556753771</v>
      </c>
      <c r="P171" s="4" t="s">
        <v>20</v>
      </c>
      <c r="Q171" s="4" t="s">
        <v>21</v>
      </c>
    </row>
    <row r="172" customFormat="false" ht="15" hidden="false" customHeight="false" outlineLevel="0" collapsed="false">
      <c r="A172" s="4" t="s">
        <v>69</v>
      </c>
      <c r="B172" s="4" t="n">
        <v>5</v>
      </c>
      <c r="C172" s="5" t="n">
        <v>85703</v>
      </c>
      <c r="D172" s="5" t="n">
        <v>74998</v>
      </c>
      <c r="E172" s="5" t="n">
        <v>14615</v>
      </c>
      <c r="F172" s="5" t="n">
        <v>0</v>
      </c>
      <c r="G172" s="5" t="n">
        <v>144</v>
      </c>
      <c r="H172" s="5" t="n">
        <v>6213</v>
      </c>
      <c r="I172" s="5" t="n">
        <v>181673</v>
      </c>
      <c r="J172" s="11" t="n">
        <f aca="false">IF(I172=0,0,C172/I172)</f>
        <v>0.471743186934767</v>
      </c>
      <c r="K172" s="11" t="n">
        <f aca="false">IF(I172=0,0,D172/I172)</f>
        <v>0.412818635680591</v>
      </c>
      <c r="L172" s="11" t="n">
        <f aca="false">IF(I172=0,0,E172/I172)</f>
        <v>0.0804467367192703</v>
      </c>
      <c r="M172" s="11" t="n">
        <f aca="false">IF(I172=0,0,H172/I172)</f>
        <v>0.0341988077479868</v>
      </c>
      <c r="N172" s="4" t="str">
        <f aca="false">INDEX($C$3:$F$3,MATCH(MAX(C172:F172),C172:F172,0))</f>
        <v>Sigamos Haciendo Historia (PVEM-PT-Morena)</v>
      </c>
      <c r="O172" s="17" t="n">
        <f aca="false">IF(I172=0,0,(MAX(C172:F172)-LARGE(C172:F172,2))/I172*100)</f>
        <v>5.89245512541765</v>
      </c>
      <c r="P172" s="4" t="s">
        <v>20</v>
      </c>
      <c r="Q172" s="4" t="s">
        <v>21</v>
      </c>
    </row>
    <row r="173" customFormat="false" ht="15" hidden="false" customHeight="false" outlineLevel="0" collapsed="false">
      <c r="A173" s="4" t="s">
        <v>69</v>
      </c>
      <c r="B173" s="4" t="n">
        <v>6</v>
      </c>
      <c r="C173" s="5" t="n">
        <v>95388</v>
      </c>
      <c r="D173" s="5" t="n">
        <v>71229</v>
      </c>
      <c r="E173" s="5" t="n">
        <v>28069</v>
      </c>
      <c r="F173" s="5" t="n">
        <v>0</v>
      </c>
      <c r="G173" s="5" t="n">
        <v>181</v>
      </c>
      <c r="H173" s="5" t="n">
        <v>10584</v>
      </c>
      <c r="I173" s="5" t="n">
        <v>205451</v>
      </c>
      <c r="J173" s="11" t="n">
        <f aca="false">IF(I173=0,0,C173/I173)</f>
        <v>0.464285888119308</v>
      </c>
      <c r="K173" s="11" t="n">
        <f aca="false">IF(I173=0,0,D173/I173)</f>
        <v>0.346695805812578</v>
      </c>
      <c r="L173" s="11" t="n">
        <f aca="false">IF(I173=0,0,E173/I173)</f>
        <v>0.136621384174329</v>
      </c>
      <c r="M173" s="11" t="n">
        <f aca="false">IF(I173=0,0,H173/I173)</f>
        <v>0.0515159332395559</v>
      </c>
      <c r="N173" s="4" t="str">
        <f aca="false">INDEX($C$3:$F$3,MATCH(MAX(C173:F173),C173:F173,0))</f>
        <v>Sigamos Haciendo Historia (PVEM-PT-Morena)</v>
      </c>
      <c r="O173" s="17" t="n">
        <f aca="false">IF(I173=0,0,(MAX(C173:F173)-LARGE(C173:F173,2))/I173*100)</f>
        <v>11.759008230673</v>
      </c>
      <c r="P173" s="4" t="s">
        <v>20</v>
      </c>
      <c r="Q173" s="4" t="s">
        <v>21</v>
      </c>
    </row>
    <row r="174" customFormat="false" ht="15" hidden="false" customHeight="false" outlineLevel="0" collapsed="false">
      <c r="A174" s="4" t="s">
        <v>69</v>
      </c>
      <c r="B174" s="4" t="n">
        <v>7</v>
      </c>
      <c r="C174" s="5" t="n">
        <v>108606</v>
      </c>
      <c r="D174" s="5" t="n">
        <v>51085</v>
      </c>
      <c r="E174" s="5" t="n">
        <v>30725</v>
      </c>
      <c r="F174" s="5" t="n">
        <v>0</v>
      </c>
      <c r="G174" s="5" t="n">
        <v>149</v>
      </c>
      <c r="H174" s="5" t="n">
        <v>12118</v>
      </c>
      <c r="I174" s="5" t="n">
        <v>202683</v>
      </c>
      <c r="J174" s="11" t="n">
        <f aca="false">IF(I174=0,0,C174/I174)</f>
        <v>0.535841683811667</v>
      </c>
      <c r="K174" s="11" t="n">
        <f aca="false">IF(I174=0,0,D174/I174)</f>
        <v>0.252043831993803</v>
      </c>
      <c r="L174" s="11" t="n">
        <f aca="false">IF(I174=0,0,E174/I174)</f>
        <v>0.151591401350878</v>
      </c>
      <c r="M174" s="11" t="n">
        <f aca="false">IF(I174=0,0,H174/I174)</f>
        <v>0.0597879447215603</v>
      </c>
      <c r="N174" s="4" t="str">
        <f aca="false">INDEX($C$3:$F$3,MATCH(MAX(C174:F174),C174:F174,0))</f>
        <v>Sigamos Haciendo Historia (PVEM-PT-Morena)</v>
      </c>
      <c r="O174" s="17" t="n">
        <f aca="false">IF(I174=0,0,(MAX(C174:F174)-LARGE(C174:F174,2))/I174*100)</f>
        <v>28.3797851817863</v>
      </c>
      <c r="P174" s="4" t="s">
        <v>20</v>
      </c>
      <c r="Q174" s="4" t="s">
        <v>21</v>
      </c>
    </row>
    <row r="175" customFormat="false" ht="15" hidden="false" customHeight="false" outlineLevel="0" collapsed="false">
      <c r="A175" s="4" t="s">
        <v>69</v>
      </c>
      <c r="B175" s="4" t="n">
        <v>8</v>
      </c>
      <c r="C175" s="5" t="n">
        <v>91408</v>
      </c>
      <c r="D175" s="5" t="n">
        <v>65092</v>
      </c>
      <c r="E175" s="5" t="n">
        <v>19435</v>
      </c>
      <c r="F175" s="5" t="n">
        <v>0</v>
      </c>
      <c r="G175" s="5" t="n">
        <v>236</v>
      </c>
      <c r="H175" s="5" t="n">
        <v>7732</v>
      </c>
      <c r="I175" s="5" t="n">
        <v>183903</v>
      </c>
      <c r="J175" s="11" t="n">
        <f aca="false">IF(I175=0,0,C175/I175)</f>
        <v>0.497044637662246</v>
      </c>
      <c r="K175" s="11" t="n">
        <f aca="false">IF(I175=0,0,D175/I175)</f>
        <v>0.353947461433473</v>
      </c>
      <c r="L175" s="11" t="n">
        <f aca="false">IF(I175=0,0,E175/I175)</f>
        <v>0.105680712114539</v>
      </c>
      <c r="M175" s="11" t="n">
        <f aca="false">IF(I175=0,0,H175/I175)</f>
        <v>0.0420439035796045</v>
      </c>
      <c r="N175" s="4" t="str">
        <f aca="false">INDEX($C$3:$F$3,MATCH(MAX(C175:F175),C175:F175,0))</f>
        <v>Sigamos Haciendo Historia (PVEM-PT-Morena)</v>
      </c>
      <c r="O175" s="17" t="n">
        <f aca="false">IF(I175=0,0,(MAX(C175:F175)-LARGE(C175:F175,2))/I175*100)</f>
        <v>14.3097176228773</v>
      </c>
      <c r="P175" s="4" t="s">
        <v>20</v>
      </c>
      <c r="Q175" s="4" t="s">
        <v>21</v>
      </c>
    </row>
    <row r="176" customFormat="false" ht="15" hidden="false" customHeight="false" outlineLevel="0" collapsed="false">
      <c r="A176" s="4" t="s">
        <v>69</v>
      </c>
      <c r="B176" s="4" t="n">
        <v>9</v>
      </c>
      <c r="C176" s="5" t="n">
        <v>60268</v>
      </c>
      <c r="D176" s="5" t="n">
        <v>37434</v>
      </c>
      <c r="E176" s="5" t="n">
        <v>9643</v>
      </c>
      <c r="F176" s="5" t="n">
        <v>61980</v>
      </c>
      <c r="G176" s="5" t="n">
        <v>92</v>
      </c>
      <c r="H176" s="5" t="n">
        <v>7938</v>
      </c>
      <c r="I176" s="5" t="n">
        <v>177355</v>
      </c>
      <c r="J176" s="11" t="n">
        <f aca="false">IF(I176=0,0,C176/I176)</f>
        <v>0.339815624030899</v>
      </c>
      <c r="K176" s="11" t="n">
        <f aca="false">IF(I176=0,0,D176/I176)</f>
        <v>0.211068196554932</v>
      </c>
      <c r="L176" s="11" t="n">
        <f aca="false">IF(I176=0,0,E176/I176)</f>
        <v>0.0543711764540047</v>
      </c>
      <c r="M176" s="11" t="n">
        <f aca="false">IF(I176=0,0,H176/I176)</f>
        <v>0.044757689380057</v>
      </c>
      <c r="N176" s="4" t="str">
        <f aca="false">INDEX($C$3:$F$3,MATCH(MAX(C176:F176),C176:F176,0))</f>
        <v>Independientes</v>
      </c>
      <c r="O176" s="17" t="n">
        <f aca="false">IF(I176=0,0,(MAX(C176:F176)-LARGE(C176:F176,2))/I176*100)</f>
        <v>0.965295593583491</v>
      </c>
      <c r="P176" s="4" t="s">
        <v>24</v>
      </c>
      <c r="Q176" s="4" t="s">
        <v>20</v>
      </c>
    </row>
    <row r="177" customFormat="false" ht="15" hidden="false" customHeight="false" outlineLevel="0" collapsed="false">
      <c r="A177" s="4" t="s">
        <v>69</v>
      </c>
      <c r="B177" s="4" t="n">
        <v>10</v>
      </c>
      <c r="C177" s="5" t="n">
        <v>77735</v>
      </c>
      <c r="D177" s="5" t="n">
        <v>100730</v>
      </c>
      <c r="E177" s="5" t="n">
        <v>17777</v>
      </c>
      <c r="F177" s="5" t="n">
        <v>0</v>
      </c>
      <c r="G177" s="5" t="n">
        <v>212</v>
      </c>
      <c r="H177" s="5" t="n">
        <v>7238</v>
      </c>
      <c r="I177" s="5" t="n">
        <v>203692</v>
      </c>
      <c r="J177" s="11" t="n">
        <f aca="false">IF(I177=0,0,C177/I177)</f>
        <v>0.38163010820258</v>
      </c>
      <c r="K177" s="11" t="n">
        <f aca="false">IF(I177=0,0,D177/I177)</f>
        <v>0.49452113976003</v>
      </c>
      <c r="L177" s="11" t="n">
        <f aca="false">IF(I177=0,0,E177/I177)</f>
        <v>0.0872739233745066</v>
      </c>
      <c r="M177" s="11" t="n">
        <f aca="false">IF(I177=0,0,H177/I177)</f>
        <v>0.0355340415922078</v>
      </c>
      <c r="N177" s="4" t="str">
        <f aca="false">INDEX($C$3:$F$3,MATCH(MAX(C177:F177),C177:F177,0))</f>
        <v>Fuerza y Corazón por México (PAN-PRI-PRD)</v>
      </c>
      <c r="O177" s="17" t="n">
        <f aca="false">IF(I177=0,0,(MAX(C177:F177)-LARGE(C177:F177,2))/I177*100)</f>
        <v>11.2891031557449</v>
      </c>
      <c r="P177" s="4" t="s">
        <v>21</v>
      </c>
      <c r="Q177" s="4" t="s">
        <v>20</v>
      </c>
    </row>
    <row r="178" customFormat="false" ht="15" hidden="false" customHeight="false" outlineLevel="0" collapsed="false">
      <c r="A178" s="4" t="s">
        <v>69</v>
      </c>
      <c r="B178" s="4" t="n">
        <v>11</v>
      </c>
      <c r="C178" s="5" t="n">
        <v>102230</v>
      </c>
      <c r="D178" s="5" t="n">
        <v>57205</v>
      </c>
      <c r="E178" s="5" t="n">
        <v>20861</v>
      </c>
      <c r="F178" s="5" t="n">
        <v>0</v>
      </c>
      <c r="G178" s="5" t="n">
        <v>149</v>
      </c>
      <c r="H178" s="5" t="n">
        <v>12874</v>
      </c>
      <c r="I178" s="5" t="n">
        <v>193319</v>
      </c>
      <c r="J178" s="11" t="n">
        <f aca="false">IF(I178=0,0,C178/I178)</f>
        <v>0.528815067323957</v>
      </c>
      <c r="K178" s="11" t="n">
        <f aca="false">IF(I178=0,0,D178/I178)</f>
        <v>0.295909869179956</v>
      </c>
      <c r="L178" s="11" t="n">
        <f aca="false">IF(I178=0,0,E178/I178)</f>
        <v>0.107909724341632</v>
      </c>
      <c r="M178" s="11" t="n">
        <f aca="false">IF(I178=0,0,H178/I178)</f>
        <v>0.0665945923577093</v>
      </c>
      <c r="N178" s="4" t="str">
        <f aca="false">INDEX($C$3:$F$3,MATCH(MAX(C178:F178),C178:F178,0))</f>
        <v>Sigamos Haciendo Historia (PVEM-PT-Morena)</v>
      </c>
      <c r="O178" s="17" t="n">
        <f aca="false">IF(I178=0,0,(MAX(C178:F178)-LARGE(C178:F178,2))/I178*100)</f>
        <v>23.2905198144</v>
      </c>
      <c r="P178" s="4" t="s">
        <v>20</v>
      </c>
      <c r="Q178" s="4" t="s">
        <v>21</v>
      </c>
    </row>
    <row r="179" customFormat="false" ht="15" hidden="false" customHeight="false" outlineLevel="0" collapsed="false">
      <c r="A179" s="4" t="s">
        <v>70</v>
      </c>
      <c r="B179" s="4" t="n">
        <v>1</v>
      </c>
      <c r="C179" s="5" t="n">
        <v>96638</v>
      </c>
      <c r="D179" s="5" t="n">
        <v>76549</v>
      </c>
      <c r="E179" s="5" t="n">
        <v>27900</v>
      </c>
      <c r="F179" s="5" t="n">
        <v>0</v>
      </c>
      <c r="G179" s="5" t="n">
        <v>293</v>
      </c>
      <c r="H179" s="5" t="n">
        <v>6750</v>
      </c>
      <c r="I179" s="5" t="n">
        <v>208130</v>
      </c>
      <c r="J179" s="11" t="n">
        <f aca="false">IF(I179=0,0,C179/I179)</f>
        <v>0.46431557199827</v>
      </c>
      <c r="K179" s="11" t="n">
        <f aca="false">IF(I179=0,0,D179/I179)</f>
        <v>0.367794167107097</v>
      </c>
      <c r="L179" s="11" t="n">
        <f aca="false">IF(I179=0,0,E179/I179)</f>
        <v>0.134050833613607</v>
      </c>
      <c r="M179" s="11" t="n">
        <f aca="false">IF(I179=0,0,H179/I179)</f>
        <v>0.0324316532936146</v>
      </c>
      <c r="N179" s="4" t="str">
        <f aca="false">INDEX($C$3:$F$3,MATCH(MAX(C179:F179),C179:F179,0))</f>
        <v>Sigamos Haciendo Historia (PVEM-PT-Morena)</v>
      </c>
      <c r="O179" s="17" t="n">
        <f aca="false">IF(I179=0,0,(MAX(C179:F179)-LARGE(C179:F179,2))/I179*100)</f>
        <v>9.65214048911738</v>
      </c>
      <c r="P179" s="4" t="s">
        <v>20</v>
      </c>
      <c r="Q179" s="4" t="s">
        <v>21</v>
      </c>
    </row>
    <row r="180" customFormat="false" ht="15" hidden="false" customHeight="false" outlineLevel="0" collapsed="false">
      <c r="A180" s="4" t="s">
        <v>70</v>
      </c>
      <c r="B180" s="4" t="n">
        <v>2</v>
      </c>
      <c r="C180" s="5" t="n">
        <v>122579</v>
      </c>
      <c r="D180" s="5" t="n">
        <v>54925</v>
      </c>
      <c r="E180" s="5" t="n">
        <v>23217</v>
      </c>
      <c r="F180" s="5" t="n">
        <v>0</v>
      </c>
      <c r="G180" s="5" t="n">
        <v>170</v>
      </c>
      <c r="H180" s="5" t="n">
        <v>7880</v>
      </c>
      <c r="I180" s="5" t="n">
        <v>208771</v>
      </c>
      <c r="J180" s="11" t="n">
        <f aca="false">IF(I180=0,0,C180/I180)</f>
        <v>0.587145724262469</v>
      </c>
      <c r="K180" s="11" t="n">
        <f aca="false">IF(I180=0,0,D180/I180)</f>
        <v>0.263087306187162</v>
      </c>
      <c r="L180" s="11" t="n">
        <f aca="false">IF(I180=0,0,E180/I180)</f>
        <v>0.111207974287617</v>
      </c>
      <c r="M180" s="11" t="n">
        <f aca="false">IF(I180=0,0,H180/I180)</f>
        <v>0.0377447059217995</v>
      </c>
      <c r="N180" s="4" t="str">
        <f aca="false">INDEX($C$3:$F$3,MATCH(MAX(C180:F180),C180:F180,0))</f>
        <v>Sigamos Haciendo Historia (PVEM-PT-Morena)</v>
      </c>
      <c r="O180" s="17" t="n">
        <f aca="false">IF(I180=0,0,(MAX(C180:F180)-LARGE(C180:F180,2))/I180*100)</f>
        <v>32.4058418075307</v>
      </c>
      <c r="P180" s="4" t="s">
        <v>20</v>
      </c>
      <c r="Q180" s="4" t="s">
        <v>21</v>
      </c>
    </row>
    <row r="181" customFormat="false" ht="15" hidden="false" customHeight="false" outlineLevel="0" collapsed="false">
      <c r="A181" s="4" t="s">
        <v>70</v>
      </c>
      <c r="B181" s="4" t="n">
        <v>3</v>
      </c>
      <c r="C181" s="5" t="n">
        <v>105954</v>
      </c>
      <c r="D181" s="5" t="n">
        <v>45924</v>
      </c>
      <c r="E181" s="5" t="n">
        <v>28475</v>
      </c>
      <c r="F181" s="5" t="n">
        <v>0</v>
      </c>
      <c r="G181" s="5" t="n">
        <v>122</v>
      </c>
      <c r="H181" s="5" t="n">
        <v>8982</v>
      </c>
      <c r="I181" s="5" t="n">
        <v>189457</v>
      </c>
      <c r="J181" s="11" t="n">
        <f aca="false">IF(I181=0,0,C181/I181)</f>
        <v>0.559250911816402</v>
      </c>
      <c r="K181" s="11" t="n">
        <f aca="false">IF(I181=0,0,D181/I181)</f>
        <v>0.242398011158205</v>
      </c>
      <c r="L181" s="11" t="n">
        <f aca="false">IF(I181=0,0,E181/I181)</f>
        <v>0.150297956792306</v>
      </c>
      <c r="M181" s="11" t="n">
        <f aca="false">IF(I181=0,0,H181/I181)</f>
        <v>0.0474091746412115</v>
      </c>
      <c r="N181" s="4" t="str">
        <f aca="false">INDEX($C$3:$F$3,MATCH(MAX(C181:F181),C181:F181,0))</f>
        <v>Sigamos Haciendo Historia (PVEM-PT-Morena)</v>
      </c>
      <c r="O181" s="17" t="n">
        <f aca="false">IF(I181=0,0,(MAX(C181:F181)-LARGE(C181:F181,2))/I181*100)</f>
        <v>31.6852900658197</v>
      </c>
      <c r="P181" s="4" t="s">
        <v>20</v>
      </c>
      <c r="Q181" s="4" t="s">
        <v>21</v>
      </c>
    </row>
    <row r="182" customFormat="false" ht="15" hidden="false" customHeight="false" outlineLevel="0" collapsed="false">
      <c r="A182" s="4" t="s">
        <v>70</v>
      </c>
      <c r="B182" s="4" t="n">
        <v>4</v>
      </c>
      <c r="C182" s="5" t="n">
        <v>139795</v>
      </c>
      <c r="D182" s="5" t="n">
        <v>30677</v>
      </c>
      <c r="E182" s="5" t="n">
        <v>17688</v>
      </c>
      <c r="F182" s="5" t="n">
        <v>0</v>
      </c>
      <c r="G182" s="5" t="n">
        <v>121</v>
      </c>
      <c r="H182" s="5" t="n">
        <v>7772</v>
      </c>
      <c r="I182" s="5" t="n">
        <v>196053</v>
      </c>
      <c r="J182" s="11" t="n">
        <f aca="false">IF(I182=0,0,C182/I182)</f>
        <v>0.713046982193591</v>
      </c>
      <c r="K182" s="11" t="n">
        <f aca="false">IF(I182=0,0,D182/I182)</f>
        <v>0.156472994547393</v>
      </c>
      <c r="L182" s="11" t="n">
        <f aca="false">IF(I182=0,0,E182/I182)</f>
        <v>0.0902205015990574</v>
      </c>
      <c r="M182" s="11" t="n">
        <f aca="false">IF(I182=0,0,H182/I182)</f>
        <v>0.039642341611707</v>
      </c>
      <c r="N182" s="4" t="str">
        <f aca="false">INDEX($C$3:$F$3,MATCH(MAX(C182:F182),C182:F182,0))</f>
        <v>Sigamos Haciendo Historia (PVEM-PT-Morena)</v>
      </c>
      <c r="O182" s="17" t="n">
        <f aca="false">IF(I182=0,0,(MAX(C182:F182)-LARGE(C182:F182,2))/I182*100)</f>
        <v>55.6573987646198</v>
      </c>
      <c r="P182" s="4" t="s">
        <v>20</v>
      </c>
      <c r="Q182" s="4" t="s">
        <v>21</v>
      </c>
    </row>
    <row r="183" customFormat="false" ht="15" hidden="false" customHeight="false" outlineLevel="0" collapsed="false">
      <c r="A183" s="4" t="s">
        <v>70</v>
      </c>
      <c r="B183" s="4" t="n">
        <v>5</v>
      </c>
      <c r="C183" s="5" t="n">
        <v>108685</v>
      </c>
      <c r="D183" s="5" t="n">
        <v>30634</v>
      </c>
      <c r="E183" s="5" t="n">
        <v>26209</v>
      </c>
      <c r="F183" s="5" t="n">
        <v>0</v>
      </c>
      <c r="G183" s="5" t="n">
        <v>144</v>
      </c>
      <c r="H183" s="5" t="n">
        <v>8507</v>
      </c>
      <c r="I183" s="5" t="n">
        <v>174179</v>
      </c>
      <c r="J183" s="11" t="n">
        <f aca="false">IF(I183=0,0,C183/I183)</f>
        <v>0.623984521670236</v>
      </c>
      <c r="K183" s="11" t="n">
        <f aca="false">IF(I183=0,0,D183/I183)</f>
        <v>0.175876540799982</v>
      </c>
      <c r="L183" s="11" t="n">
        <f aca="false">IF(I183=0,0,E183/I183)</f>
        <v>0.15047164124263</v>
      </c>
      <c r="M183" s="11" t="n">
        <f aca="false">IF(I183=0,0,H183/I183)</f>
        <v>0.0488405605727441</v>
      </c>
      <c r="N183" s="4" t="str">
        <f aca="false">INDEX($C$3:$F$3,MATCH(MAX(C183:F183),C183:F183,0))</f>
        <v>Sigamos Haciendo Historia (PVEM-PT-Morena)</v>
      </c>
      <c r="O183" s="17" t="n">
        <f aca="false">IF(I183=0,0,(MAX(C183:F183)-LARGE(C183:F183,2))/I183*100)</f>
        <v>44.8107980870254</v>
      </c>
      <c r="P183" s="4" t="s">
        <v>20</v>
      </c>
      <c r="Q183" s="4" t="s">
        <v>21</v>
      </c>
    </row>
    <row r="184" customFormat="false" ht="15" hidden="false" customHeight="false" outlineLevel="0" collapsed="false">
      <c r="A184" s="4" t="s">
        <v>71</v>
      </c>
      <c r="B184" s="4" t="n">
        <v>1</v>
      </c>
      <c r="C184" s="5" t="n">
        <v>97648</v>
      </c>
      <c r="D184" s="5" t="n">
        <v>29261</v>
      </c>
      <c r="E184" s="5" t="n">
        <v>33149</v>
      </c>
      <c r="F184" s="5" t="n">
        <v>0</v>
      </c>
      <c r="G184" s="5" t="n">
        <v>232</v>
      </c>
      <c r="H184" s="5" t="n">
        <v>8733</v>
      </c>
      <c r="I184" s="5" t="n">
        <v>169023</v>
      </c>
      <c r="J184" s="11" t="n">
        <f aca="false">IF(I184=0,0,C184/I184)</f>
        <v>0.577720191926543</v>
      </c>
      <c r="K184" s="11" t="n">
        <f aca="false">IF(I184=0,0,D184/I184)</f>
        <v>0.173118451335025</v>
      </c>
      <c r="L184" s="11" t="n">
        <f aca="false">IF(I184=0,0,E184/I184)</f>
        <v>0.196121237938032</v>
      </c>
      <c r="M184" s="11" t="n">
        <f aca="false">IF(I184=0,0,H184/I184)</f>
        <v>0.0516675245380806</v>
      </c>
      <c r="N184" s="4" t="str">
        <f aca="false">INDEX($C$3:$F$3,MATCH(MAX(C184:F184),C184:F184,0))</f>
        <v>Sigamos Haciendo Historia (PVEM-PT-Morena)</v>
      </c>
      <c r="O184" s="17" t="n">
        <f aca="false">IF(I184=0,0,(MAX(C184:F184)-LARGE(C184:F184,2))/I184*100)</f>
        <v>38.1598953988511</v>
      </c>
      <c r="P184" s="4" t="s">
        <v>20</v>
      </c>
      <c r="Q184" s="4" t="s">
        <v>10</v>
      </c>
    </row>
    <row r="185" customFormat="false" ht="15" hidden="false" customHeight="false" outlineLevel="0" collapsed="false">
      <c r="A185" s="4" t="s">
        <v>71</v>
      </c>
      <c r="B185" s="4" t="n">
        <v>2</v>
      </c>
      <c r="C185" s="5" t="n">
        <v>97032</v>
      </c>
      <c r="D185" s="5" t="n">
        <v>42663</v>
      </c>
      <c r="E185" s="5" t="n">
        <v>33979</v>
      </c>
      <c r="F185" s="5" t="n">
        <v>0</v>
      </c>
      <c r="G185" s="5" t="n">
        <v>175</v>
      </c>
      <c r="H185" s="5" t="n">
        <v>5864</v>
      </c>
      <c r="I185" s="5" t="n">
        <v>179713</v>
      </c>
      <c r="J185" s="11" t="n">
        <f aca="false">IF(I185=0,0,C185/I185)</f>
        <v>0.539927551151002</v>
      </c>
      <c r="K185" s="11" t="n">
        <f aca="false">IF(I185=0,0,D185/I185)</f>
        <v>0.237395180092703</v>
      </c>
      <c r="L185" s="11" t="n">
        <f aca="false">IF(I185=0,0,E185/I185)</f>
        <v>0.189073689716381</v>
      </c>
      <c r="M185" s="11" t="n">
        <f aca="false">IF(I185=0,0,H185/I185)</f>
        <v>0.0326298041877883</v>
      </c>
      <c r="N185" s="4" t="str">
        <f aca="false">INDEX($C$3:$F$3,MATCH(MAX(C185:F185),C185:F185,0))</f>
        <v>Sigamos Haciendo Historia (PVEM-PT-Morena)</v>
      </c>
      <c r="O185" s="17" t="n">
        <f aca="false">IF(I185=0,0,(MAX(C185:F185)-LARGE(C185:F185,2))/I185*100)</f>
        <v>30.2532371058299</v>
      </c>
      <c r="P185" s="4" t="s">
        <v>20</v>
      </c>
      <c r="Q185" s="4" t="s">
        <v>21</v>
      </c>
    </row>
    <row r="186" customFormat="false" ht="15" hidden="false" customHeight="false" outlineLevel="0" collapsed="false">
      <c r="A186" s="4" t="s">
        <v>71</v>
      </c>
      <c r="B186" s="4" t="n">
        <v>3</v>
      </c>
      <c r="C186" s="5" t="n">
        <v>107945</v>
      </c>
      <c r="D186" s="5" t="n">
        <v>42295</v>
      </c>
      <c r="E186" s="5" t="n">
        <v>25579</v>
      </c>
      <c r="F186" s="5" t="n">
        <v>0</v>
      </c>
      <c r="G186" s="5" t="n">
        <v>95</v>
      </c>
      <c r="H186" s="5" t="n">
        <v>8437</v>
      </c>
      <c r="I186" s="5" t="n">
        <v>184351</v>
      </c>
      <c r="J186" s="11" t="n">
        <f aca="false">IF(I186=0,0,C186/I186)</f>
        <v>0.585540626305255</v>
      </c>
      <c r="K186" s="11" t="n">
        <f aca="false">IF(I186=0,0,D186/I186)</f>
        <v>0.229426474497019</v>
      </c>
      <c r="L186" s="11" t="n">
        <f aca="false">IF(I186=0,0,E186/I186)</f>
        <v>0.138751620549929</v>
      </c>
      <c r="M186" s="11" t="n">
        <f aca="false">IF(I186=0,0,H186/I186)</f>
        <v>0.045765957331395</v>
      </c>
      <c r="N186" s="4" t="str">
        <f aca="false">INDEX($C$3:$F$3,MATCH(MAX(C186:F186),C186:F186,0))</f>
        <v>Sigamos Haciendo Historia (PVEM-PT-Morena)</v>
      </c>
      <c r="O186" s="17" t="n">
        <f aca="false">IF(I186=0,0,(MAX(C186:F186)-LARGE(C186:F186,2))/I186*100)</f>
        <v>35.6114151808235</v>
      </c>
      <c r="P186" s="4" t="s">
        <v>20</v>
      </c>
      <c r="Q186" s="4" t="s">
        <v>21</v>
      </c>
    </row>
    <row r="187" customFormat="false" ht="15" hidden="false" customHeight="false" outlineLevel="0" collapsed="false">
      <c r="A187" s="4" t="s">
        <v>72</v>
      </c>
      <c r="B187" s="4" t="n">
        <v>1</v>
      </c>
      <c r="C187" s="5" t="n">
        <v>51649</v>
      </c>
      <c r="D187" s="5" t="n">
        <v>105767</v>
      </c>
      <c r="E187" s="5" t="n">
        <v>53826</v>
      </c>
      <c r="F187" s="5" t="n">
        <v>0</v>
      </c>
      <c r="G187" s="5" t="n">
        <v>120</v>
      </c>
      <c r="H187" s="5" t="n">
        <v>4392</v>
      </c>
      <c r="I187" s="5" t="n">
        <v>215754</v>
      </c>
      <c r="J187" s="11" t="n">
        <f aca="false">IF(I187=0,0,C187/I187)</f>
        <v>0.239388377504009</v>
      </c>
      <c r="K187" s="11" t="n">
        <f aca="false">IF(I187=0,0,D187/I187)</f>
        <v>0.490220343539401</v>
      </c>
      <c r="L187" s="11" t="n">
        <f aca="false">IF(I187=0,0,E187/I187)</f>
        <v>0.249478572819044</v>
      </c>
      <c r="M187" s="11" t="n">
        <f aca="false">IF(I187=0,0,H187/I187)</f>
        <v>0.0203565171445257</v>
      </c>
      <c r="N187" s="4" t="str">
        <f aca="false">INDEX($C$3:$F$3,MATCH(MAX(C187:F187),C187:F187,0))</f>
        <v>Fuerza y Corazón por México (PAN-PRI-PRD)</v>
      </c>
      <c r="O187" s="17" t="n">
        <f aca="false">IF(I187=0,0,(MAX(C187:F187)-LARGE(C187:F187,2))/I187*100)</f>
        <v>24.0741770720357</v>
      </c>
      <c r="P187" s="4" t="s">
        <v>21</v>
      </c>
      <c r="Q187" s="4" t="s">
        <v>10</v>
      </c>
    </row>
    <row r="188" customFormat="false" ht="15" hidden="false" customHeight="false" outlineLevel="0" collapsed="false">
      <c r="A188" s="4" t="s">
        <v>72</v>
      </c>
      <c r="B188" s="4" t="n">
        <v>2</v>
      </c>
      <c r="C188" s="5" t="n">
        <v>68209</v>
      </c>
      <c r="D188" s="5" t="n">
        <v>79337</v>
      </c>
      <c r="E188" s="5" t="n">
        <v>37457</v>
      </c>
      <c r="F188" s="5" t="n">
        <v>0</v>
      </c>
      <c r="G188" s="5" t="n">
        <v>147</v>
      </c>
      <c r="H188" s="5" t="n">
        <v>3762</v>
      </c>
      <c r="I188" s="5" t="n">
        <v>188912</v>
      </c>
      <c r="J188" s="11" t="n">
        <f aca="false">IF(I188=0,0,C188/I188)</f>
        <v>0.361062293554671</v>
      </c>
      <c r="K188" s="11" t="n">
        <f aca="false">IF(I188=0,0,D188/I188)</f>
        <v>0.419968027441348</v>
      </c>
      <c r="L188" s="11" t="n">
        <f aca="false">IF(I188=0,0,E188/I188)</f>
        <v>0.198277504869992</v>
      </c>
      <c r="M188" s="11" t="n">
        <f aca="false">IF(I188=0,0,H188/I188)</f>
        <v>0.0199140340475989</v>
      </c>
      <c r="N188" s="4" t="str">
        <f aca="false">INDEX($C$3:$F$3,MATCH(MAX(C188:F188),C188:F188,0))</f>
        <v>Fuerza y Corazón por México (PAN-PRI-PRD)</v>
      </c>
      <c r="O188" s="17" t="n">
        <f aca="false">IF(I188=0,0,(MAX(C188:F188)-LARGE(C188:F188,2))/I188*100)</f>
        <v>5.89057338866774</v>
      </c>
      <c r="P188" s="4" t="s">
        <v>21</v>
      </c>
      <c r="Q188" s="4" t="s">
        <v>20</v>
      </c>
    </row>
    <row r="189" customFormat="false" ht="15" hidden="false" customHeight="false" outlineLevel="0" collapsed="false">
      <c r="A189" s="4" t="s">
        <v>72</v>
      </c>
      <c r="B189" s="4" t="n">
        <v>3</v>
      </c>
      <c r="C189" s="5" t="n">
        <v>82832</v>
      </c>
      <c r="D189" s="5" t="n">
        <v>34754</v>
      </c>
      <c r="E189" s="5" t="n">
        <v>43851</v>
      </c>
      <c r="F189" s="5" t="n">
        <v>0</v>
      </c>
      <c r="G189" s="5" t="n">
        <v>138</v>
      </c>
      <c r="H189" s="5" t="n">
        <v>3833</v>
      </c>
      <c r="I189" s="5" t="n">
        <v>165408</v>
      </c>
      <c r="J189" s="11" t="n">
        <f aca="false">IF(I189=0,0,C189/I189)</f>
        <v>0.50077384407042</v>
      </c>
      <c r="K189" s="11" t="n">
        <f aca="false">IF(I189=0,0,D189/I189)</f>
        <v>0.210110756432579</v>
      </c>
      <c r="L189" s="11" t="n">
        <f aca="false">IF(I189=0,0,E189/I189)</f>
        <v>0.265108096343587</v>
      </c>
      <c r="M189" s="11" t="n">
        <f aca="false">IF(I189=0,0,H189/I189)</f>
        <v>0.0231730025149932</v>
      </c>
      <c r="N189" s="4" t="str">
        <f aca="false">INDEX($C$3:$F$3,MATCH(MAX(C189:F189),C189:F189,0))</f>
        <v>Sigamos Haciendo Historia (PVEM-PT-Morena)</v>
      </c>
      <c r="O189" s="17" t="n">
        <f aca="false">IF(I189=0,0,(MAX(C189:F189)-LARGE(C189:F189,2))/I189*100)</f>
        <v>23.5665747726833</v>
      </c>
      <c r="P189" s="4" t="s">
        <v>20</v>
      </c>
      <c r="Q189" s="4" t="s">
        <v>10</v>
      </c>
    </row>
    <row r="190" customFormat="false" ht="15" hidden="false" customHeight="false" outlineLevel="0" collapsed="false">
      <c r="A190" s="4" t="s">
        <v>72</v>
      </c>
      <c r="B190" s="4" t="n">
        <v>4</v>
      </c>
      <c r="C190" s="5" t="n">
        <v>67447</v>
      </c>
      <c r="D190" s="5" t="n">
        <v>101399</v>
      </c>
      <c r="E190" s="5" t="n">
        <v>62163</v>
      </c>
      <c r="F190" s="5" t="n">
        <v>0</v>
      </c>
      <c r="G190" s="5" t="n">
        <v>126</v>
      </c>
      <c r="H190" s="5" t="n">
        <v>4479</v>
      </c>
      <c r="I190" s="5" t="n">
        <v>235614</v>
      </c>
      <c r="J190" s="11" t="n">
        <f aca="false">IF(I190=0,0,C190/I190)</f>
        <v>0.286260578743199</v>
      </c>
      <c r="K190" s="11" t="n">
        <f aca="false">IF(I190=0,0,D190/I190)</f>
        <v>0.430360674662796</v>
      </c>
      <c r="L190" s="11" t="n">
        <f aca="false">IF(I190=0,0,E190/I190)</f>
        <v>0.263834067585118</v>
      </c>
      <c r="M190" s="11" t="n">
        <f aca="false">IF(I190=0,0,H190/I190)</f>
        <v>0.0190099060327485</v>
      </c>
      <c r="N190" s="4" t="str">
        <f aca="false">INDEX($C$3:$F$3,MATCH(MAX(C190:F190),C190:F190,0))</f>
        <v>Fuerza y Corazón por México (PAN-PRI-PRD)</v>
      </c>
      <c r="O190" s="17" t="n">
        <f aca="false">IF(I190=0,0,(MAX(C190:F190)-LARGE(C190:F190,2))/I190*100)</f>
        <v>14.4100095919597</v>
      </c>
      <c r="P190" s="4" t="s">
        <v>21</v>
      </c>
      <c r="Q190" s="4" t="s">
        <v>20</v>
      </c>
    </row>
    <row r="191" customFormat="false" ht="15" hidden="false" customHeight="false" outlineLevel="0" collapsed="false">
      <c r="A191" s="4" t="s">
        <v>72</v>
      </c>
      <c r="B191" s="4" t="n">
        <v>5</v>
      </c>
      <c r="C191" s="5" t="n">
        <v>71409</v>
      </c>
      <c r="D191" s="5" t="n">
        <v>44478</v>
      </c>
      <c r="E191" s="5" t="n">
        <v>45247</v>
      </c>
      <c r="F191" s="5" t="n">
        <v>0</v>
      </c>
      <c r="G191" s="5" t="n">
        <v>149</v>
      </c>
      <c r="H191" s="5" t="n">
        <v>5646</v>
      </c>
      <c r="I191" s="5" t="n">
        <v>166929</v>
      </c>
      <c r="J191" s="11" t="n">
        <f aca="false">IF(I191=0,0,C191/I191)</f>
        <v>0.427780673220351</v>
      </c>
      <c r="K191" s="11" t="n">
        <f aca="false">IF(I191=0,0,D191/I191)</f>
        <v>0.266448609888036</v>
      </c>
      <c r="L191" s="11" t="n">
        <f aca="false">IF(I191=0,0,E191/I191)</f>
        <v>0.271055358865146</v>
      </c>
      <c r="M191" s="11" t="n">
        <f aca="false">IF(I191=0,0,H191/I191)</f>
        <v>0.0338227629710835</v>
      </c>
      <c r="N191" s="4" t="str">
        <f aca="false">INDEX($C$3:$F$3,MATCH(MAX(C191:F191),C191:F191,0))</f>
        <v>Sigamos Haciendo Historia (PVEM-PT-Morena)</v>
      </c>
      <c r="O191" s="17" t="n">
        <f aca="false">IF(I191=0,0,(MAX(C191:F191)-LARGE(C191:F191,2))/I191*100)</f>
        <v>15.6725314355205</v>
      </c>
      <c r="P191" s="4" t="s">
        <v>20</v>
      </c>
      <c r="Q191" s="4" t="s">
        <v>10</v>
      </c>
    </row>
    <row r="192" customFormat="false" ht="15" hidden="false" customHeight="false" outlineLevel="0" collapsed="false">
      <c r="A192" s="4" t="s">
        <v>72</v>
      </c>
      <c r="B192" s="4" t="n">
        <v>6</v>
      </c>
      <c r="C192" s="5" t="n">
        <v>49291</v>
      </c>
      <c r="D192" s="5" t="n">
        <v>113032</v>
      </c>
      <c r="E192" s="5" t="n">
        <v>49864</v>
      </c>
      <c r="F192" s="5" t="n">
        <v>0</v>
      </c>
      <c r="G192" s="5" t="n">
        <v>176</v>
      </c>
      <c r="H192" s="5" t="n">
        <v>3967</v>
      </c>
      <c r="I192" s="5" t="n">
        <v>216330</v>
      </c>
      <c r="J192" s="11" t="n">
        <f aca="false">IF(I192=0,0,C192/I192)</f>
        <v>0.227850968427865</v>
      </c>
      <c r="K192" s="11" t="n">
        <f aca="false">IF(I192=0,0,D192/I192)</f>
        <v>0.522498035408866</v>
      </c>
      <c r="L192" s="11" t="n">
        <f aca="false">IF(I192=0,0,E192/I192)</f>
        <v>0.230499699533121</v>
      </c>
      <c r="M192" s="11" t="n">
        <f aca="false">IF(I192=0,0,H192/I192)</f>
        <v>0.0183377247723386</v>
      </c>
      <c r="N192" s="4" t="str">
        <f aca="false">INDEX($C$3:$F$3,MATCH(MAX(C192:F192),C192:F192,0))</f>
        <v>Fuerza y Corazón por México (PAN-PRI-PRD)</v>
      </c>
      <c r="O192" s="17" t="n">
        <f aca="false">IF(I192=0,0,(MAX(C192:F192)-LARGE(C192:F192,2))/I192*100)</f>
        <v>29.1998335875745</v>
      </c>
      <c r="P192" s="4" t="s">
        <v>21</v>
      </c>
      <c r="Q192" s="4" t="s">
        <v>10</v>
      </c>
    </row>
    <row r="193" customFormat="false" ht="15" hidden="false" customHeight="false" outlineLevel="0" collapsed="false">
      <c r="A193" s="4" t="s">
        <v>72</v>
      </c>
      <c r="B193" s="4" t="n">
        <v>7</v>
      </c>
      <c r="C193" s="5" t="n">
        <v>58493</v>
      </c>
      <c r="D193" s="5" t="n">
        <v>17662</v>
      </c>
      <c r="E193" s="5" t="n">
        <v>39425</v>
      </c>
      <c r="F193" s="5" t="n">
        <v>0</v>
      </c>
      <c r="G193" s="5" t="n">
        <v>136</v>
      </c>
      <c r="H193" s="5" t="n">
        <v>2520</v>
      </c>
      <c r="I193" s="5" t="n">
        <v>118236</v>
      </c>
      <c r="J193" s="11" t="n">
        <f aca="false">IF(I193=0,0,C193/I193)</f>
        <v>0.494713961906695</v>
      </c>
      <c r="K193" s="11" t="n">
        <f aca="false">IF(I193=0,0,D193/I193)</f>
        <v>0.149379207686322</v>
      </c>
      <c r="L193" s="11" t="n">
        <f aca="false">IF(I193=0,0,E193/I193)</f>
        <v>0.333443282925674</v>
      </c>
      <c r="M193" s="11" t="n">
        <f aca="false">IF(I193=0,0,H193/I193)</f>
        <v>0.0213133055922054</v>
      </c>
      <c r="N193" s="4" t="str">
        <f aca="false">INDEX($C$3:$F$3,MATCH(MAX(C193:F193),C193:F193,0))</f>
        <v>Sigamos Haciendo Historia (PVEM-PT-Morena)</v>
      </c>
      <c r="O193" s="17" t="n">
        <f aca="false">IF(I193=0,0,(MAX(C193:F193)-LARGE(C193:F193,2))/I193*100)</f>
        <v>16.1270678981021</v>
      </c>
      <c r="P193" s="4" t="s">
        <v>20</v>
      </c>
      <c r="Q193" s="4" t="s">
        <v>10</v>
      </c>
    </row>
    <row r="194" customFormat="false" ht="15" hidden="false" customHeight="false" outlineLevel="0" collapsed="false">
      <c r="A194" s="4" t="s">
        <v>72</v>
      </c>
      <c r="B194" s="4" t="n">
        <v>8</v>
      </c>
      <c r="C194" s="5" t="n">
        <v>78214</v>
      </c>
      <c r="D194" s="5" t="n">
        <v>59650</v>
      </c>
      <c r="E194" s="5" t="n">
        <v>43620</v>
      </c>
      <c r="F194" s="5" t="n">
        <v>0</v>
      </c>
      <c r="G194" s="5" t="n">
        <v>129</v>
      </c>
      <c r="H194" s="5" t="n">
        <v>4752</v>
      </c>
      <c r="I194" s="5" t="n">
        <v>186365</v>
      </c>
      <c r="J194" s="11" t="n">
        <f aca="false">IF(I194=0,0,C194/I194)</f>
        <v>0.419681807206289</v>
      </c>
      <c r="K194" s="11" t="n">
        <f aca="false">IF(I194=0,0,D194/I194)</f>
        <v>0.320070828750034</v>
      </c>
      <c r="L194" s="11" t="n">
        <f aca="false">IF(I194=0,0,E194/I194)</f>
        <v>0.234056823974459</v>
      </c>
      <c r="M194" s="11" t="n">
        <f aca="false">IF(I194=0,0,H194/I194)</f>
        <v>0.0254983500120731</v>
      </c>
      <c r="N194" s="4" t="str">
        <f aca="false">INDEX($C$3:$F$3,MATCH(MAX(C194:F194),C194:F194,0))</f>
        <v>Sigamos Haciendo Historia (PVEM-PT-Morena)</v>
      </c>
      <c r="O194" s="17" t="n">
        <f aca="false">IF(I194=0,0,(MAX(C194:F194)-LARGE(C194:F194,2))/I194*100)</f>
        <v>9.96109784562552</v>
      </c>
      <c r="P194" s="4" t="s">
        <v>20</v>
      </c>
      <c r="Q194" s="4" t="s">
        <v>21</v>
      </c>
    </row>
    <row r="195" customFormat="false" ht="15" hidden="false" customHeight="false" outlineLevel="0" collapsed="false">
      <c r="A195" s="4" t="s">
        <v>72</v>
      </c>
      <c r="B195" s="4" t="n">
        <v>9</v>
      </c>
      <c r="C195" s="5" t="n">
        <v>56849</v>
      </c>
      <c r="D195" s="5" t="n">
        <v>80186</v>
      </c>
      <c r="E195" s="5" t="n">
        <v>43605</v>
      </c>
      <c r="F195" s="5" t="n">
        <v>0</v>
      </c>
      <c r="G195" s="5" t="n">
        <v>59</v>
      </c>
      <c r="H195" s="5" t="n">
        <v>7451</v>
      </c>
      <c r="I195" s="5" t="n">
        <v>188150</v>
      </c>
      <c r="J195" s="11" t="n">
        <f aca="false">IF(I195=0,0,C195/I195)</f>
        <v>0.302147222960404</v>
      </c>
      <c r="K195" s="11" t="n">
        <f aca="false">IF(I195=0,0,D195/I195)</f>
        <v>0.426181238373638</v>
      </c>
      <c r="L195" s="11" t="n">
        <f aca="false">IF(I195=0,0,E195/I195)</f>
        <v>0.231756577199043</v>
      </c>
      <c r="M195" s="11" t="n">
        <f aca="false">IF(I195=0,0,H195/I195)</f>
        <v>0.0396013818761626</v>
      </c>
      <c r="N195" s="4" t="str">
        <f aca="false">INDEX($C$3:$F$3,MATCH(MAX(C195:F195),C195:F195,0))</f>
        <v>Fuerza y Corazón por México (PAN-PRI-PRD)</v>
      </c>
      <c r="O195" s="17" t="n">
        <f aca="false">IF(I195=0,0,(MAX(C195:F195)-LARGE(C195:F195,2))/I195*100)</f>
        <v>12.4034015413234</v>
      </c>
      <c r="P195" s="4" t="s">
        <v>21</v>
      </c>
      <c r="Q195" s="4" t="s">
        <v>20</v>
      </c>
    </row>
    <row r="196" customFormat="false" ht="15" hidden="false" customHeight="false" outlineLevel="0" collapsed="false">
      <c r="A196" s="4" t="s">
        <v>72</v>
      </c>
      <c r="B196" s="4" t="n">
        <v>10</v>
      </c>
      <c r="C196" s="5" t="n">
        <v>44465</v>
      </c>
      <c r="D196" s="5" t="n">
        <v>101241</v>
      </c>
      <c r="E196" s="5" t="n">
        <v>53200</v>
      </c>
      <c r="F196" s="5" t="n">
        <v>0</v>
      </c>
      <c r="G196" s="5" t="n">
        <v>152</v>
      </c>
      <c r="H196" s="5" t="n">
        <v>4258</v>
      </c>
      <c r="I196" s="5" t="n">
        <v>203316</v>
      </c>
      <c r="J196" s="11" t="n">
        <f aca="false">IF(I196=0,0,C196/I196)</f>
        <v>0.218698971059828</v>
      </c>
      <c r="K196" s="11" t="n">
        <f aca="false">IF(I196=0,0,D196/I196)</f>
        <v>0.497949005488993</v>
      </c>
      <c r="L196" s="11" t="n">
        <f aca="false">IF(I196=0,0,E196/I196)</f>
        <v>0.261661649845561</v>
      </c>
      <c r="M196" s="11" t="n">
        <f aca="false">IF(I196=0,0,H196/I196)</f>
        <v>0.0209427688917744</v>
      </c>
      <c r="N196" s="4" t="str">
        <f aca="false">INDEX($C$3:$F$3,MATCH(MAX(C196:F196),C196:F196,0))</f>
        <v>Fuerza y Corazón por México (PAN-PRI-PRD)</v>
      </c>
      <c r="O196" s="17" t="n">
        <f aca="false">IF(I196=0,0,(MAX(C196:F196)-LARGE(C196:F196,2))/I196*100)</f>
        <v>23.6287355643432</v>
      </c>
      <c r="P196" s="4" t="s">
        <v>21</v>
      </c>
      <c r="Q196" s="4" t="s">
        <v>10</v>
      </c>
    </row>
    <row r="197" customFormat="false" ht="15" hidden="false" customHeight="false" outlineLevel="0" collapsed="false">
      <c r="A197" s="4" t="s">
        <v>72</v>
      </c>
      <c r="B197" s="4" t="n">
        <v>11</v>
      </c>
      <c r="C197" s="5" t="n">
        <v>79834</v>
      </c>
      <c r="D197" s="5" t="n">
        <v>80428</v>
      </c>
      <c r="E197" s="5" t="n">
        <v>56871</v>
      </c>
      <c r="F197" s="5" t="n">
        <v>0</v>
      </c>
      <c r="G197" s="5" t="n">
        <v>162</v>
      </c>
      <c r="H197" s="5" t="n">
        <v>4988</v>
      </c>
      <c r="I197" s="5" t="n">
        <v>222283</v>
      </c>
      <c r="J197" s="11" t="n">
        <f aca="false">IF(I197=0,0,C197/I197)</f>
        <v>0.359154771170085</v>
      </c>
      <c r="K197" s="11" t="n">
        <f aca="false">IF(I197=0,0,D197/I197)</f>
        <v>0.361827040304477</v>
      </c>
      <c r="L197" s="11" t="n">
        <f aca="false">IF(I197=0,0,E197/I197)</f>
        <v>0.25584952515487</v>
      </c>
      <c r="M197" s="11" t="n">
        <f aca="false">IF(I197=0,0,H197/I197)</f>
        <v>0.0224398626975522</v>
      </c>
      <c r="N197" s="4" t="str">
        <f aca="false">INDEX($C$3:$F$3,MATCH(MAX(C197:F197),C197:F197,0))</f>
        <v>Fuerza y Corazón por México (PAN-PRI-PRD)</v>
      </c>
      <c r="O197" s="17" t="n">
        <f aca="false">IF(I197=0,0,(MAX(C197:F197)-LARGE(C197:F197,2))/I197*100)</f>
        <v>0.267226913439174</v>
      </c>
      <c r="P197" s="4" t="s">
        <v>21</v>
      </c>
      <c r="Q197" s="4" t="s">
        <v>20</v>
      </c>
    </row>
    <row r="198" customFormat="false" ht="15" hidden="false" customHeight="false" outlineLevel="0" collapsed="false">
      <c r="A198" s="4" t="s">
        <v>72</v>
      </c>
      <c r="B198" s="4" t="n">
        <v>12</v>
      </c>
      <c r="C198" s="5" t="n">
        <v>57263</v>
      </c>
      <c r="D198" s="5" t="n">
        <v>33580</v>
      </c>
      <c r="E198" s="5" t="n">
        <v>49264</v>
      </c>
      <c r="F198" s="5" t="n">
        <v>0</v>
      </c>
      <c r="G198" s="5" t="n">
        <v>65</v>
      </c>
      <c r="H198" s="5" t="n">
        <v>3489</v>
      </c>
      <c r="I198" s="5" t="n">
        <v>143661</v>
      </c>
      <c r="J198" s="11" t="n">
        <f aca="false">IF(I198=0,0,C198/I198)</f>
        <v>0.398598088555697</v>
      </c>
      <c r="K198" s="11" t="n">
        <f aca="false">IF(I198=0,0,D198/I198)</f>
        <v>0.233744718469174</v>
      </c>
      <c r="L198" s="11" t="n">
        <f aca="false">IF(I198=0,0,E198/I198)</f>
        <v>0.342918398173478</v>
      </c>
      <c r="M198" s="11" t="n">
        <f aca="false">IF(I198=0,0,H198/I198)</f>
        <v>0.0242863407605404</v>
      </c>
      <c r="N198" s="4" t="str">
        <f aca="false">INDEX($C$3:$F$3,MATCH(MAX(C198:F198),C198:F198,0))</f>
        <v>Sigamos Haciendo Historia (PVEM-PT-Morena)</v>
      </c>
      <c r="O198" s="17" t="n">
        <f aca="false">IF(I198=0,0,(MAX(C198:F198)-LARGE(C198:F198,2))/I198*100)</f>
        <v>5.56796903822193</v>
      </c>
      <c r="P198" s="4" t="s">
        <v>20</v>
      </c>
      <c r="Q198" s="4" t="s">
        <v>10</v>
      </c>
    </row>
    <row r="199" customFormat="false" ht="15" hidden="false" customHeight="false" outlineLevel="0" collapsed="false">
      <c r="A199" s="4" t="s">
        <v>72</v>
      </c>
      <c r="B199" s="4" t="n">
        <v>13</v>
      </c>
      <c r="C199" s="5" t="n">
        <v>50912</v>
      </c>
      <c r="D199" s="5" t="n">
        <v>28936</v>
      </c>
      <c r="E199" s="5" t="n">
        <v>46332</v>
      </c>
      <c r="F199" s="5" t="n">
        <v>0</v>
      </c>
      <c r="G199" s="5" t="n">
        <v>74</v>
      </c>
      <c r="H199" s="5" t="n">
        <v>4200</v>
      </c>
      <c r="I199" s="5" t="n">
        <v>130454</v>
      </c>
      <c r="J199" s="11" t="n">
        <f aca="false">IF(I199=0,0,C199/I199)</f>
        <v>0.390267833872476</v>
      </c>
      <c r="K199" s="11" t="n">
        <f aca="false">IF(I199=0,0,D199/I199)</f>
        <v>0.221809986661965</v>
      </c>
      <c r="L199" s="11" t="n">
        <f aca="false">IF(I199=0,0,E199/I199)</f>
        <v>0.355159673141491</v>
      </c>
      <c r="M199" s="11" t="n">
        <f aca="false">IF(I199=0,0,H199/I199)</f>
        <v>0.0321952565655327</v>
      </c>
      <c r="N199" s="4" t="str">
        <f aca="false">INDEX($C$3:$F$3,MATCH(MAX(C199:F199),C199:F199,0))</f>
        <v>Sigamos Haciendo Historia (PVEM-PT-Morena)</v>
      </c>
      <c r="O199" s="17" t="n">
        <f aca="false">IF(I199=0,0,(MAX(C199:F199)-LARGE(C199:F199,2))/I199*100)</f>
        <v>3.51081607309856</v>
      </c>
      <c r="P199" s="4" t="s">
        <v>20</v>
      </c>
      <c r="Q199" s="4" t="s">
        <v>10</v>
      </c>
    </row>
    <row r="200" customFormat="false" ht="15" hidden="false" customHeight="false" outlineLevel="0" collapsed="false">
      <c r="A200" s="4" t="s">
        <v>72</v>
      </c>
      <c r="B200" s="4" t="n">
        <v>14</v>
      </c>
      <c r="C200" s="5" t="n">
        <v>58988</v>
      </c>
      <c r="D200" s="5" t="n">
        <v>48906</v>
      </c>
      <c r="E200" s="5" t="n">
        <v>33926</v>
      </c>
      <c r="F200" s="5" t="n">
        <v>0</v>
      </c>
      <c r="G200" s="5" t="n">
        <v>66</v>
      </c>
      <c r="H200" s="5" t="n">
        <v>4496</v>
      </c>
      <c r="I200" s="5" t="n">
        <v>146382</v>
      </c>
      <c r="J200" s="11" t="n">
        <f aca="false">IF(I200=0,0,C200/I200)</f>
        <v>0.402973043133719</v>
      </c>
      <c r="K200" s="11" t="n">
        <f aca="false">IF(I200=0,0,D200/I200)</f>
        <v>0.33409845472804</v>
      </c>
      <c r="L200" s="11" t="n">
        <f aca="false">IF(I200=0,0,E200/I200)</f>
        <v>0.231763468185979</v>
      </c>
      <c r="M200" s="11" t="n">
        <f aca="false">IF(I200=0,0,H200/I200)</f>
        <v>0.0307141588446667</v>
      </c>
      <c r="N200" s="4" t="str">
        <f aca="false">INDEX($C$3:$F$3,MATCH(MAX(C200:F200),C200:F200,0))</f>
        <v>Sigamos Haciendo Historia (PVEM-PT-Morena)</v>
      </c>
      <c r="O200" s="17" t="n">
        <f aca="false">IF(I200=0,0,(MAX(C200:F200)-LARGE(C200:F200,2))/I200*100)</f>
        <v>6.88745884056783</v>
      </c>
      <c r="P200" s="4" t="s">
        <v>20</v>
      </c>
      <c r="Q200" s="4" t="s">
        <v>21</v>
      </c>
    </row>
    <row r="201" customFormat="false" ht="15" hidden="false" customHeight="false" outlineLevel="0" collapsed="false">
      <c r="A201" s="4" t="s">
        <v>73</v>
      </c>
      <c r="B201" s="4" t="n">
        <v>1</v>
      </c>
      <c r="C201" s="5" t="n">
        <v>150116</v>
      </c>
      <c r="D201" s="5" t="n">
        <v>31449</v>
      </c>
      <c r="E201" s="5" t="n">
        <v>17508</v>
      </c>
      <c r="F201" s="5" t="n">
        <v>0</v>
      </c>
      <c r="G201" s="5" t="n">
        <v>164</v>
      </c>
      <c r="H201" s="5" t="n">
        <v>8521</v>
      </c>
      <c r="I201" s="5" t="n">
        <v>207758</v>
      </c>
      <c r="J201" s="11" t="n">
        <f aca="false">IF(I201=0,0,C201/I201)</f>
        <v>0.722552200155951</v>
      </c>
      <c r="K201" s="11" t="n">
        <f aca="false">IF(I201=0,0,D201/I201)</f>
        <v>0.15137323231837</v>
      </c>
      <c r="L201" s="11" t="n">
        <f aca="false">IF(I201=0,0,E201/I201)</f>
        <v>0.0842711231336459</v>
      </c>
      <c r="M201" s="11" t="n">
        <f aca="false">IF(I201=0,0,H201/I201)</f>
        <v>0.0410140644403585</v>
      </c>
      <c r="N201" s="4" t="str">
        <f aca="false">INDEX($C$3:$F$3,MATCH(MAX(C201:F201),C201:F201,0))</f>
        <v>Sigamos Haciendo Historia (PVEM-PT-Morena)</v>
      </c>
      <c r="O201" s="17" t="n">
        <f aca="false">IF(I201=0,0,(MAX(C201:F201)-LARGE(C201:F201,2))/I201*100)</f>
        <v>57.117896783758</v>
      </c>
      <c r="P201" s="4" t="s">
        <v>20</v>
      </c>
      <c r="Q201" s="4" t="s">
        <v>21</v>
      </c>
    </row>
    <row r="202" customFormat="false" ht="15" hidden="false" customHeight="false" outlineLevel="0" collapsed="false">
      <c r="A202" s="4" t="s">
        <v>73</v>
      </c>
      <c r="B202" s="4" t="n">
        <v>2</v>
      </c>
      <c r="C202" s="5" t="n">
        <v>117528</v>
      </c>
      <c r="D202" s="5" t="n">
        <v>40641</v>
      </c>
      <c r="E202" s="5" t="n">
        <v>17591</v>
      </c>
      <c r="F202" s="5" t="n">
        <v>0</v>
      </c>
      <c r="G202" s="5" t="n">
        <v>110</v>
      </c>
      <c r="H202" s="5" t="n">
        <v>10149</v>
      </c>
      <c r="I202" s="5" t="n">
        <v>186019</v>
      </c>
      <c r="J202" s="11" t="n">
        <f aca="false">IF(I202=0,0,C202/I202)</f>
        <v>0.631806428375596</v>
      </c>
      <c r="K202" s="11" t="n">
        <f aca="false">IF(I202=0,0,D202/I202)</f>
        <v>0.218477682387283</v>
      </c>
      <c r="L202" s="11" t="n">
        <f aca="false">IF(I202=0,0,E202/I202)</f>
        <v>0.0945656088894145</v>
      </c>
      <c r="M202" s="11" t="n">
        <f aca="false">IF(I202=0,0,H202/I202)</f>
        <v>0.0545589429036819</v>
      </c>
      <c r="N202" s="4" t="str">
        <f aca="false">INDEX($C$3:$F$3,MATCH(MAX(C202:F202),C202:F202,0))</f>
        <v>Sigamos Haciendo Historia (PVEM-PT-Morena)</v>
      </c>
      <c r="O202" s="17" t="n">
        <f aca="false">IF(I202=0,0,(MAX(C202:F202)-LARGE(C202:F202,2))/I202*100)</f>
        <v>41.3328745988313</v>
      </c>
      <c r="P202" s="4" t="s">
        <v>20</v>
      </c>
      <c r="Q202" s="4" t="s">
        <v>21</v>
      </c>
    </row>
    <row r="203" customFormat="false" ht="15" hidden="false" customHeight="false" outlineLevel="0" collapsed="false">
      <c r="A203" s="4" t="s">
        <v>73</v>
      </c>
      <c r="B203" s="4" t="n">
        <v>3</v>
      </c>
      <c r="C203" s="5" t="n">
        <v>144712</v>
      </c>
      <c r="D203" s="5" t="n">
        <v>38660</v>
      </c>
      <c r="E203" s="5" t="n">
        <v>17842</v>
      </c>
      <c r="F203" s="5" t="n">
        <v>0</v>
      </c>
      <c r="G203" s="5" t="n">
        <v>160</v>
      </c>
      <c r="H203" s="5" t="n">
        <v>9263</v>
      </c>
      <c r="I203" s="5" t="n">
        <v>210637</v>
      </c>
      <c r="J203" s="11" t="n">
        <f aca="false">IF(I203=0,0,C203/I203)</f>
        <v>0.687020798815023</v>
      </c>
      <c r="K203" s="11" t="n">
        <f aca="false">IF(I203=0,0,D203/I203)</f>
        <v>0.18353850463119</v>
      </c>
      <c r="L203" s="11" t="n">
        <f aca="false">IF(I203=0,0,E203/I203)</f>
        <v>0.0847049663639342</v>
      </c>
      <c r="M203" s="11" t="n">
        <f aca="false">IF(I203=0,0,H203/I203)</f>
        <v>0.0439761295498891</v>
      </c>
      <c r="N203" s="4" t="str">
        <f aca="false">INDEX($C$3:$F$3,MATCH(MAX(C203:F203),C203:F203,0))</f>
        <v>Sigamos Haciendo Historia (PVEM-PT-Morena)</v>
      </c>
      <c r="O203" s="17" t="n">
        <f aca="false">IF(I203=0,0,(MAX(C203:F203)-LARGE(C203:F203,2))/I203*100)</f>
        <v>50.3482294183833</v>
      </c>
      <c r="P203" s="4" t="s">
        <v>20</v>
      </c>
      <c r="Q203" s="4" t="s">
        <v>21</v>
      </c>
    </row>
    <row r="204" customFormat="false" ht="15" hidden="false" customHeight="false" outlineLevel="0" collapsed="false">
      <c r="A204" s="4" t="s">
        <v>73</v>
      </c>
      <c r="B204" s="4" t="n">
        <v>4</v>
      </c>
      <c r="C204" s="5" t="n">
        <v>133485</v>
      </c>
      <c r="D204" s="5" t="n">
        <v>20965</v>
      </c>
      <c r="E204" s="5" t="n">
        <v>9682</v>
      </c>
      <c r="F204" s="5" t="n">
        <v>0</v>
      </c>
      <c r="G204" s="5" t="n">
        <v>162</v>
      </c>
      <c r="H204" s="5" t="n">
        <v>13632</v>
      </c>
      <c r="I204" s="5" t="n">
        <v>177926</v>
      </c>
      <c r="J204" s="11" t="n">
        <f aca="false">IF(I204=0,0,C204/I204)</f>
        <v>0.750227622719558</v>
      </c>
      <c r="K204" s="11" t="n">
        <f aca="false">IF(I204=0,0,D204/I204)</f>
        <v>0.117829884333937</v>
      </c>
      <c r="L204" s="11" t="n">
        <f aca="false">IF(I204=0,0,E204/I204)</f>
        <v>0.0544158807594168</v>
      </c>
      <c r="M204" s="11" t="n">
        <f aca="false">IF(I204=0,0,H204/I204)</f>
        <v>0.0766161213088587</v>
      </c>
      <c r="N204" s="4" t="str">
        <f aca="false">INDEX($C$3:$F$3,MATCH(MAX(C204:F204),C204:F204,0))</f>
        <v>Sigamos Haciendo Historia (PVEM-PT-Morena)</v>
      </c>
      <c r="O204" s="17" t="n">
        <f aca="false">IF(I204=0,0,(MAX(C204:F204)-LARGE(C204:F204,2))/I204*100)</f>
        <v>63.2397738385621</v>
      </c>
      <c r="P204" s="4" t="s">
        <v>22</v>
      </c>
      <c r="Q204" s="4" t="s">
        <v>53</v>
      </c>
    </row>
    <row r="205" customFormat="false" ht="15" hidden="false" customHeight="false" outlineLevel="0" collapsed="false">
      <c r="A205" s="4" t="s">
        <v>73</v>
      </c>
      <c r="B205" s="4" t="n">
        <v>5</v>
      </c>
      <c r="C205" s="5" t="n">
        <v>143666</v>
      </c>
      <c r="D205" s="5" t="n">
        <v>13672</v>
      </c>
      <c r="E205" s="5" t="n">
        <v>7441</v>
      </c>
      <c r="F205" s="5" t="n">
        <v>0</v>
      </c>
      <c r="G205" s="5" t="n">
        <v>57</v>
      </c>
      <c r="H205" s="5" t="n">
        <v>9453</v>
      </c>
      <c r="I205" s="5" t="n">
        <v>174289</v>
      </c>
      <c r="J205" s="11" t="n">
        <f aca="false">IF(I205=0,0,C205/I205)</f>
        <v>0.824297574717854</v>
      </c>
      <c r="K205" s="11" t="n">
        <f aca="false">IF(I205=0,0,D205/I205)</f>
        <v>0.0784444227690789</v>
      </c>
      <c r="L205" s="11" t="n">
        <f aca="false">IF(I205=0,0,E205/I205)</f>
        <v>0.0426934574184257</v>
      </c>
      <c r="M205" s="11" t="n">
        <f aca="false">IF(I205=0,0,H205/I205)</f>
        <v>0.0542375020798788</v>
      </c>
      <c r="N205" s="4" t="str">
        <f aca="false">INDEX($C$3:$F$3,MATCH(MAX(C205:F205),C205:F205,0))</f>
        <v>Sigamos Haciendo Historia (PVEM-PT-Morena)</v>
      </c>
      <c r="O205" s="17" t="n">
        <f aca="false">IF(I205=0,0,(MAX(C205:F205)-LARGE(C205:F205,2))/I205*100)</f>
        <v>74.5853151948775</v>
      </c>
      <c r="P205" s="4" t="s">
        <v>22</v>
      </c>
      <c r="Q205" s="4" t="s">
        <v>59</v>
      </c>
    </row>
    <row r="206" customFormat="false" ht="15" hidden="false" customHeight="false" outlineLevel="0" collapsed="false">
      <c r="A206" s="4" t="s">
        <v>73</v>
      </c>
      <c r="B206" s="4" t="n">
        <v>6</v>
      </c>
      <c r="C206" s="5" t="n">
        <v>128549</v>
      </c>
      <c r="D206" s="5" t="n">
        <v>17511</v>
      </c>
      <c r="E206" s="5" t="n">
        <v>6495</v>
      </c>
      <c r="F206" s="5" t="n">
        <v>0</v>
      </c>
      <c r="G206" s="5" t="n">
        <v>170</v>
      </c>
      <c r="H206" s="5" t="n">
        <v>8297</v>
      </c>
      <c r="I206" s="5" t="n">
        <v>161022</v>
      </c>
      <c r="J206" s="11" t="n">
        <f aca="false">IF(I206=0,0,C206/I206)</f>
        <v>0.798331904957087</v>
      </c>
      <c r="K206" s="11" t="n">
        <f aca="false">IF(I206=0,0,D206/I206)</f>
        <v>0.10874911502776</v>
      </c>
      <c r="L206" s="11" t="n">
        <f aca="false">IF(I206=0,0,E206/I206)</f>
        <v>0.0403361031411857</v>
      </c>
      <c r="M206" s="11" t="n">
        <f aca="false">IF(I206=0,0,H206/I206)</f>
        <v>0.0515271205176932</v>
      </c>
      <c r="N206" s="4" t="str">
        <f aca="false">INDEX($C$3:$F$3,MATCH(MAX(C206:F206),C206:F206,0))</f>
        <v>Sigamos Haciendo Historia (PVEM-PT-Morena)</v>
      </c>
      <c r="O206" s="17" t="n">
        <f aca="false">IF(I206=0,0,(MAX(C206:F206)-LARGE(C206:F206,2))/I206*100)</f>
        <v>68.9582789929327</v>
      </c>
      <c r="P206" s="4" t="s">
        <v>20</v>
      </c>
      <c r="Q206" s="4" t="s">
        <v>21</v>
      </c>
    </row>
    <row r="207" customFormat="false" ht="15" hidden="false" customHeight="false" outlineLevel="0" collapsed="false">
      <c r="A207" s="4" t="s">
        <v>73</v>
      </c>
      <c r="B207" s="4" t="n">
        <v>7</v>
      </c>
      <c r="C207" s="5" t="n">
        <v>128660</v>
      </c>
      <c r="D207" s="5" t="n">
        <v>16452</v>
      </c>
      <c r="E207" s="5" t="n">
        <v>18747</v>
      </c>
      <c r="F207" s="5" t="n">
        <v>0</v>
      </c>
      <c r="G207" s="5" t="n">
        <v>79</v>
      </c>
      <c r="H207" s="5" t="n">
        <v>8523</v>
      </c>
      <c r="I207" s="5" t="n">
        <v>172461</v>
      </c>
      <c r="J207" s="11" t="n">
        <f aca="false">IF(I207=0,0,C207/I207)</f>
        <v>0.746023738700344</v>
      </c>
      <c r="K207" s="11" t="n">
        <f aca="false">IF(I207=0,0,D207/I207)</f>
        <v>0.0953954807173796</v>
      </c>
      <c r="L207" s="11" t="n">
        <f aca="false">IF(I207=0,0,E207/I207)</f>
        <v>0.108702837163185</v>
      </c>
      <c r="M207" s="11" t="n">
        <f aca="false">IF(I207=0,0,H207/I207)</f>
        <v>0.0494198688399116</v>
      </c>
      <c r="N207" s="4" t="str">
        <f aca="false">INDEX($C$3:$F$3,MATCH(MAX(C207:F207),C207:F207,0))</f>
        <v>Sigamos Haciendo Historia (PVEM-PT-Morena)</v>
      </c>
      <c r="O207" s="17" t="n">
        <f aca="false">IF(I207=0,0,(MAX(C207:F207)-LARGE(C207:F207,2))/I207*100)</f>
        <v>63.7320901537159</v>
      </c>
      <c r="P207" s="4" t="s">
        <v>20</v>
      </c>
      <c r="Q207" s="4" t="s">
        <v>10</v>
      </c>
    </row>
    <row r="208" customFormat="false" ht="15" hidden="false" customHeight="false" outlineLevel="0" collapsed="false">
      <c r="A208" s="4" t="s">
        <v>73</v>
      </c>
      <c r="B208" s="4" t="n">
        <v>8</v>
      </c>
      <c r="C208" s="5" t="n">
        <v>129515</v>
      </c>
      <c r="D208" s="5" t="n">
        <v>51825</v>
      </c>
      <c r="E208" s="5" t="n">
        <v>30234</v>
      </c>
      <c r="F208" s="5" t="n">
        <v>0</v>
      </c>
      <c r="G208" s="5" t="n">
        <v>287</v>
      </c>
      <c r="H208" s="5" t="n">
        <v>8749</v>
      </c>
      <c r="I208" s="5" t="n">
        <v>220610</v>
      </c>
      <c r="J208" s="11" t="n">
        <f aca="false">IF(I208=0,0,C208/I208)</f>
        <v>0.58707674176148</v>
      </c>
      <c r="K208" s="11" t="n">
        <f aca="false">IF(I208=0,0,D208/I208)</f>
        <v>0.234916821540275</v>
      </c>
      <c r="L208" s="11" t="n">
        <f aca="false">IF(I208=0,0,E208/I208)</f>
        <v>0.137047278001904</v>
      </c>
      <c r="M208" s="11" t="n">
        <f aca="false">IF(I208=0,0,H208/I208)</f>
        <v>0.0396582203889216</v>
      </c>
      <c r="N208" s="4" t="str">
        <f aca="false">INDEX($C$3:$F$3,MATCH(MAX(C208:F208),C208:F208,0))</f>
        <v>Sigamos Haciendo Historia (PVEM-PT-Morena)</v>
      </c>
      <c r="O208" s="17" t="n">
        <f aca="false">IF(I208=0,0,(MAX(C208:F208)-LARGE(C208:F208,2))/I208*100)</f>
        <v>35.2159920221205</v>
      </c>
      <c r="P208" s="4" t="s">
        <v>20</v>
      </c>
      <c r="Q208" s="4" t="s">
        <v>21</v>
      </c>
    </row>
    <row r="209" customFormat="false" ht="15" hidden="false" customHeight="false" outlineLevel="0" collapsed="false">
      <c r="A209" s="4" t="s">
        <v>73</v>
      </c>
      <c r="B209" s="4" t="n">
        <v>9</v>
      </c>
      <c r="C209" s="5" t="n">
        <v>121546</v>
      </c>
      <c r="D209" s="5" t="n">
        <v>37222</v>
      </c>
      <c r="E209" s="5" t="n">
        <v>5729</v>
      </c>
      <c r="F209" s="5" t="n">
        <v>0</v>
      </c>
      <c r="G209" s="5" t="n">
        <v>134</v>
      </c>
      <c r="H209" s="5" t="n">
        <v>8571</v>
      </c>
      <c r="I209" s="5" t="n">
        <v>173202</v>
      </c>
      <c r="J209" s="11" t="n">
        <f aca="false">IF(I209=0,0,C209/I209)</f>
        <v>0.70175864020046</v>
      </c>
      <c r="K209" s="11" t="n">
        <f aca="false">IF(I209=0,0,D209/I209)</f>
        <v>0.214905139663514</v>
      </c>
      <c r="L209" s="11" t="n">
        <f aca="false">IF(I209=0,0,E209/I209)</f>
        <v>0.0330769852542118</v>
      </c>
      <c r="M209" s="11" t="n">
        <f aca="false">IF(I209=0,0,H209/I209)</f>
        <v>0.0494855717601413</v>
      </c>
      <c r="N209" s="4" t="str">
        <f aca="false">INDEX($C$3:$F$3,MATCH(MAX(C209:F209),C209:F209,0))</f>
        <v>Sigamos Haciendo Historia (PVEM-PT-Morena)</v>
      </c>
      <c r="O209" s="17" t="n">
        <f aca="false">IF(I209=0,0,(MAX(C209:F209)-LARGE(C209:F209,2))/I209*100)</f>
        <v>48.6853500536945</v>
      </c>
      <c r="P209" s="4" t="s">
        <v>20</v>
      </c>
      <c r="Q209" s="4" t="s">
        <v>21</v>
      </c>
    </row>
    <row r="210" customFormat="false" ht="15" hidden="false" customHeight="false" outlineLevel="0" collapsed="false">
      <c r="A210" s="4" t="s">
        <v>73</v>
      </c>
      <c r="B210" s="4" t="n">
        <v>10</v>
      </c>
      <c r="C210" s="5" t="n">
        <v>133519</v>
      </c>
      <c r="D210" s="5" t="n">
        <v>23156</v>
      </c>
      <c r="E210" s="5" t="n">
        <v>11210</v>
      </c>
      <c r="F210" s="5" t="n">
        <v>0</v>
      </c>
      <c r="G210" s="5" t="n">
        <v>136</v>
      </c>
      <c r="H210" s="5" t="n">
        <v>14241</v>
      </c>
      <c r="I210" s="5" t="n">
        <v>182262</v>
      </c>
      <c r="J210" s="11" t="n">
        <f aca="false">IF(I210=0,0,C210/I210)</f>
        <v>0.732566305647914</v>
      </c>
      <c r="K210" s="11" t="n">
        <f aca="false">IF(I210=0,0,D210/I210)</f>
        <v>0.127047876134356</v>
      </c>
      <c r="L210" s="11" t="n">
        <f aca="false">IF(I210=0,0,E210/I210)</f>
        <v>0.0615048666205792</v>
      </c>
      <c r="M210" s="11" t="n">
        <f aca="false">IF(I210=0,0,H210/I210)</f>
        <v>0.0781347730190605</v>
      </c>
      <c r="N210" s="4" t="str">
        <f aca="false">INDEX($C$3:$F$3,MATCH(MAX(C210:F210),C210:F210,0))</f>
        <v>Sigamos Haciendo Historia (PVEM-PT-Morena)</v>
      </c>
      <c r="O210" s="17" t="n">
        <f aca="false">IF(I210=0,0,(MAX(C210:F210)-LARGE(C210:F210,2))/I210*100)</f>
        <v>60.5518429513557</v>
      </c>
      <c r="P210" s="4" t="s">
        <v>22</v>
      </c>
      <c r="Q210" s="4" t="s">
        <v>53</v>
      </c>
    </row>
    <row r="211" customFormat="false" ht="15" hidden="false" customHeight="false" outlineLevel="0" collapsed="false">
      <c r="A211" s="4" t="s">
        <v>74</v>
      </c>
      <c r="B211" s="4" t="n">
        <v>1</v>
      </c>
      <c r="C211" s="5" t="n">
        <v>121351</v>
      </c>
      <c r="D211" s="5" t="n">
        <v>51246</v>
      </c>
      <c r="E211" s="5" t="n">
        <v>15419</v>
      </c>
      <c r="F211" s="5" t="n">
        <v>0</v>
      </c>
      <c r="G211" s="5" t="n">
        <v>122</v>
      </c>
      <c r="H211" s="5" t="n">
        <v>12542</v>
      </c>
      <c r="I211" s="5" t="n">
        <v>200680</v>
      </c>
      <c r="J211" s="11" t="n">
        <f aca="false">IF(I211=0,0,C211/I211)</f>
        <v>0.60469902332071</v>
      </c>
      <c r="K211" s="11" t="n">
        <f aca="false">IF(I211=0,0,D211/I211)</f>
        <v>0.255361769982061</v>
      </c>
      <c r="L211" s="11" t="n">
        <f aca="false">IF(I211=0,0,E211/I211)</f>
        <v>0.0768337651983257</v>
      </c>
      <c r="M211" s="11" t="n">
        <f aca="false">IF(I211=0,0,H211/I211)</f>
        <v>0.0624975084711979</v>
      </c>
      <c r="N211" s="4" t="str">
        <f aca="false">INDEX($C$3:$F$3,MATCH(MAX(C211:F211),C211:F211,0))</f>
        <v>Sigamos Haciendo Historia (PVEM-PT-Morena)</v>
      </c>
      <c r="O211" s="17" t="n">
        <f aca="false">IF(I211=0,0,(MAX(C211:F211)-LARGE(C211:F211,2))/I211*100)</f>
        <v>34.9337253338649</v>
      </c>
      <c r="P211" s="4" t="s">
        <v>20</v>
      </c>
      <c r="Q211" s="4" t="s">
        <v>21</v>
      </c>
    </row>
    <row r="212" customFormat="false" ht="15" hidden="false" customHeight="false" outlineLevel="0" collapsed="false">
      <c r="A212" s="4" t="s">
        <v>74</v>
      </c>
      <c r="B212" s="4" t="n">
        <v>2</v>
      </c>
      <c r="C212" s="5" t="n">
        <v>120368</v>
      </c>
      <c r="D212" s="5" t="n">
        <v>69334</v>
      </c>
      <c r="E212" s="5" t="n">
        <v>11520</v>
      </c>
      <c r="F212" s="5" t="n">
        <v>0</v>
      </c>
      <c r="G212" s="5" t="n">
        <v>152</v>
      </c>
      <c r="H212" s="5" t="n">
        <v>12121</v>
      </c>
      <c r="I212" s="5" t="n">
        <v>213495</v>
      </c>
      <c r="J212" s="11" t="n">
        <f aca="false">IF(I212=0,0,C212/I212)</f>
        <v>0.563797747019837</v>
      </c>
      <c r="K212" s="11" t="n">
        <f aca="false">IF(I212=0,0,D212/I212)</f>
        <v>0.324757020070728</v>
      </c>
      <c r="L212" s="11" t="n">
        <f aca="false">IF(I212=0,0,E212/I212)</f>
        <v>0.0539591091126256</v>
      </c>
      <c r="M212" s="11" t="n">
        <f aca="false">IF(I212=0,0,H212/I212)</f>
        <v>0.056774163329352</v>
      </c>
      <c r="N212" s="4" t="str">
        <f aca="false">INDEX($C$3:$F$3,MATCH(MAX(C212:F212),C212:F212,0))</f>
        <v>Sigamos Haciendo Historia (PVEM-PT-Morena)</v>
      </c>
      <c r="O212" s="17" t="n">
        <f aca="false">IF(I212=0,0,(MAX(C212:F212)-LARGE(C212:F212,2))/I212*100)</f>
        <v>23.9040726949109</v>
      </c>
      <c r="P212" s="4" t="s">
        <v>20</v>
      </c>
      <c r="Q212" s="4" t="s">
        <v>21</v>
      </c>
    </row>
    <row r="213" customFormat="false" ht="15" hidden="false" customHeight="false" outlineLevel="0" collapsed="false">
      <c r="A213" s="4" t="s">
        <v>74</v>
      </c>
      <c r="B213" s="4" t="n">
        <v>3</v>
      </c>
      <c r="C213" s="5" t="n">
        <v>134625</v>
      </c>
      <c r="D213" s="5" t="n">
        <v>46440</v>
      </c>
      <c r="E213" s="5" t="n">
        <v>18646</v>
      </c>
      <c r="F213" s="5" t="n">
        <v>0</v>
      </c>
      <c r="G213" s="5" t="n">
        <v>109</v>
      </c>
      <c r="H213" s="5" t="n">
        <v>10981</v>
      </c>
      <c r="I213" s="5" t="n">
        <v>210801</v>
      </c>
      <c r="J213" s="11" t="n">
        <f aca="false">IF(I213=0,0,C213/I213)</f>
        <v>0.638635490343974</v>
      </c>
      <c r="K213" s="11" t="n">
        <f aca="false">IF(I213=0,0,D213/I213)</f>
        <v>0.220302560234534</v>
      </c>
      <c r="L213" s="11" t="n">
        <f aca="false">IF(I213=0,0,E213/I213)</f>
        <v>0.0884530908297399</v>
      </c>
      <c r="M213" s="11" t="n">
        <f aca="false">IF(I213=0,0,H213/I213)</f>
        <v>0.05209178324581</v>
      </c>
      <c r="N213" s="4" t="str">
        <f aca="false">INDEX($C$3:$F$3,MATCH(MAX(C213:F213),C213:F213,0))</f>
        <v>Sigamos Haciendo Historia (PVEM-PT-Morena)</v>
      </c>
      <c r="O213" s="17" t="n">
        <f aca="false">IF(I213=0,0,(MAX(C213:F213)-LARGE(C213:F213,2))/I213*100)</f>
        <v>41.833293010944</v>
      </c>
      <c r="P213" s="4" t="s">
        <v>20</v>
      </c>
      <c r="Q213" s="4" t="s">
        <v>21</v>
      </c>
    </row>
    <row r="214" customFormat="false" ht="15" hidden="false" customHeight="false" outlineLevel="0" collapsed="false">
      <c r="A214" s="4" t="s">
        <v>74</v>
      </c>
      <c r="B214" s="4" t="n">
        <v>4</v>
      </c>
      <c r="C214" s="5" t="n">
        <v>129761</v>
      </c>
      <c r="D214" s="5" t="n">
        <v>44309</v>
      </c>
      <c r="E214" s="5" t="n">
        <v>25664</v>
      </c>
      <c r="F214" s="5" t="n">
        <v>0</v>
      </c>
      <c r="G214" s="5" t="n">
        <v>85</v>
      </c>
      <c r="H214" s="5" t="n">
        <v>11824</v>
      </c>
      <c r="I214" s="5" t="n">
        <v>211643</v>
      </c>
      <c r="J214" s="11" t="n">
        <f aca="false">IF(I214=0,0,C214/I214)</f>
        <v>0.613112647240873</v>
      </c>
      <c r="K214" s="11" t="n">
        <f aca="false">IF(I214=0,0,D214/I214)</f>
        <v>0.209357266718011</v>
      </c>
      <c r="L214" s="11" t="n">
        <f aca="false">IF(I214=0,0,E214/I214)</f>
        <v>0.121260802388929</v>
      </c>
      <c r="M214" s="11" t="n">
        <f aca="false">IF(I214=0,0,H214/I214)</f>
        <v>0.0558676639435275</v>
      </c>
      <c r="N214" s="4" t="str">
        <f aca="false">INDEX($C$3:$F$3,MATCH(MAX(C214:F214),C214:F214,0))</f>
        <v>Sigamos Haciendo Historia (PVEM-PT-Morena)</v>
      </c>
      <c r="O214" s="17" t="n">
        <f aca="false">IF(I214=0,0,(MAX(C214:F214)-LARGE(C214:F214,2))/I214*100)</f>
        <v>40.3755380522862</v>
      </c>
      <c r="P214" s="4" t="s">
        <v>20</v>
      </c>
      <c r="Q214" s="4" t="s">
        <v>21</v>
      </c>
    </row>
    <row r="215" customFormat="false" ht="15" hidden="false" customHeight="false" outlineLevel="0" collapsed="false">
      <c r="A215" s="4" t="s">
        <v>74</v>
      </c>
      <c r="B215" s="4" t="n">
        <v>5</v>
      </c>
      <c r="C215" s="5" t="n">
        <v>121538</v>
      </c>
      <c r="D215" s="5" t="n">
        <v>39358</v>
      </c>
      <c r="E215" s="5" t="n">
        <v>26816</v>
      </c>
      <c r="F215" s="5" t="n">
        <v>0</v>
      </c>
      <c r="G215" s="5" t="n">
        <v>146</v>
      </c>
      <c r="H215" s="5" t="n">
        <v>8922</v>
      </c>
      <c r="I215" s="5" t="n">
        <v>196780</v>
      </c>
      <c r="J215" s="11" t="n">
        <f aca="false">IF(I215=0,0,C215/I215)</f>
        <v>0.617633905884744</v>
      </c>
      <c r="K215" s="11" t="n">
        <f aca="false">IF(I215=0,0,D215/I215)</f>
        <v>0.200010163634516</v>
      </c>
      <c r="L215" s="11" t="n">
        <f aca="false">IF(I215=0,0,E215/I215)</f>
        <v>0.136274011586543</v>
      </c>
      <c r="M215" s="11" t="n">
        <f aca="false">IF(I215=0,0,H215/I215)</f>
        <v>0.0453399735745503</v>
      </c>
      <c r="N215" s="4" t="str">
        <f aca="false">INDEX($C$3:$F$3,MATCH(MAX(C215:F215),C215:F215,0))</f>
        <v>Sigamos Haciendo Historia (PVEM-PT-Morena)</v>
      </c>
      <c r="O215" s="17" t="n">
        <f aca="false">IF(I215=0,0,(MAX(C215:F215)-LARGE(C215:F215,2))/I215*100)</f>
        <v>41.7623742250229</v>
      </c>
      <c r="P215" s="4" t="s">
        <v>20</v>
      </c>
      <c r="Q215" s="4" t="s">
        <v>21</v>
      </c>
    </row>
    <row r="216" customFormat="false" ht="15" hidden="false" customHeight="false" outlineLevel="0" collapsed="false">
      <c r="A216" s="4" t="s">
        <v>74</v>
      </c>
      <c r="B216" s="4" t="n">
        <v>6</v>
      </c>
      <c r="C216" s="5" t="n">
        <v>122070</v>
      </c>
      <c r="D216" s="5" t="n">
        <v>53654</v>
      </c>
      <c r="E216" s="5" t="n">
        <v>15426</v>
      </c>
      <c r="F216" s="5" t="n">
        <v>0</v>
      </c>
      <c r="G216" s="5" t="n">
        <v>123</v>
      </c>
      <c r="H216" s="5" t="n">
        <v>6112</v>
      </c>
      <c r="I216" s="5" t="n">
        <v>197385</v>
      </c>
      <c r="J216" s="11" t="n">
        <f aca="false">IF(I216=0,0,C216/I216)</f>
        <v>0.618436051371685</v>
      </c>
      <c r="K216" s="11" t="n">
        <f aca="false">IF(I216=0,0,D216/I216)</f>
        <v>0.271824100108924</v>
      </c>
      <c r="L216" s="11" t="n">
        <f aca="false">IF(I216=0,0,E216/I216)</f>
        <v>0.0781518352458394</v>
      </c>
      <c r="M216" s="11" t="n">
        <f aca="false">IF(I216=0,0,H216/I216)</f>
        <v>0.0309648656179548</v>
      </c>
      <c r="N216" s="4" t="str">
        <f aca="false">INDEX($C$3:$F$3,MATCH(MAX(C216:F216),C216:F216,0))</f>
        <v>Sigamos Haciendo Historia (PVEM-PT-Morena)</v>
      </c>
      <c r="O216" s="17" t="n">
        <f aca="false">IF(I216=0,0,(MAX(C216:F216)-LARGE(C216:F216,2))/I216*100)</f>
        <v>34.6611951262761</v>
      </c>
      <c r="P216" s="4" t="s">
        <v>20</v>
      </c>
      <c r="Q216" s="4" t="s">
        <v>21</v>
      </c>
    </row>
    <row r="217" customFormat="false" ht="15" hidden="false" customHeight="false" outlineLevel="0" collapsed="false">
      <c r="A217" s="4" t="s">
        <v>74</v>
      </c>
      <c r="B217" s="4" t="n">
        <v>7</v>
      </c>
      <c r="C217" s="5" t="n">
        <v>124745</v>
      </c>
      <c r="D217" s="5" t="n">
        <v>33571</v>
      </c>
      <c r="E217" s="5" t="n">
        <v>15546</v>
      </c>
      <c r="F217" s="5" t="n">
        <v>0</v>
      </c>
      <c r="G217" s="5" t="n">
        <v>108</v>
      </c>
      <c r="H217" s="5" t="n">
        <v>8096</v>
      </c>
      <c r="I217" s="5" t="n">
        <v>182066</v>
      </c>
      <c r="J217" s="11" t="n">
        <f aca="false">IF(I217=0,0,C217/I217)</f>
        <v>0.685163621983237</v>
      </c>
      <c r="K217" s="11" t="n">
        <f aca="false">IF(I217=0,0,D217/I217)</f>
        <v>0.184389177550998</v>
      </c>
      <c r="L217" s="11" t="n">
        <f aca="false">IF(I217=0,0,E217/I217)</f>
        <v>0.085386618039612</v>
      </c>
      <c r="M217" s="11" t="n">
        <f aca="false">IF(I217=0,0,H217/I217)</f>
        <v>0.0444673909461404</v>
      </c>
      <c r="N217" s="4" t="str">
        <f aca="false">INDEX($C$3:$F$3,MATCH(MAX(C217:F217),C217:F217,0))</f>
        <v>Sigamos Haciendo Historia (PVEM-PT-Morena)</v>
      </c>
      <c r="O217" s="17" t="n">
        <f aca="false">IF(I217=0,0,(MAX(C217:F217)-LARGE(C217:F217,2))/I217*100)</f>
        <v>50.0774444432239</v>
      </c>
      <c r="P217" s="4" t="s">
        <v>20</v>
      </c>
      <c r="Q217" s="4" t="s">
        <v>21</v>
      </c>
    </row>
    <row r="218" customFormat="false" ht="15" hidden="false" customHeight="false" outlineLevel="0" collapsed="false">
      <c r="A218" s="4" t="s">
        <v>74</v>
      </c>
      <c r="B218" s="4" t="n">
        <v>8</v>
      </c>
      <c r="C218" s="5" t="n">
        <v>117264</v>
      </c>
      <c r="D218" s="5" t="n">
        <v>32941</v>
      </c>
      <c r="E218" s="5" t="n">
        <v>23985</v>
      </c>
      <c r="F218" s="5" t="n">
        <v>0</v>
      </c>
      <c r="G218" s="5" t="n">
        <v>140</v>
      </c>
      <c r="H218" s="5" t="n">
        <v>11176</v>
      </c>
      <c r="I218" s="5" t="n">
        <v>185506</v>
      </c>
      <c r="J218" s="11" t="n">
        <f aca="false">IF(I218=0,0,C218/I218)</f>
        <v>0.632130497126778</v>
      </c>
      <c r="K218" s="11" t="n">
        <f aca="false">IF(I218=0,0,D218/I218)</f>
        <v>0.177573771198775</v>
      </c>
      <c r="L218" s="11" t="n">
        <f aca="false">IF(I218=0,0,E218/I218)</f>
        <v>0.129295009325844</v>
      </c>
      <c r="M218" s="11" t="n">
        <f aca="false">IF(I218=0,0,H218/I218)</f>
        <v>0.0602460297780126</v>
      </c>
      <c r="N218" s="4" t="str">
        <f aca="false">INDEX($C$3:$F$3,MATCH(MAX(C218:F218),C218:F218,0))</f>
        <v>Sigamos Haciendo Historia (PVEM-PT-Morena)</v>
      </c>
      <c r="O218" s="17" t="n">
        <f aca="false">IF(I218=0,0,(MAX(C218:F218)-LARGE(C218:F218,2))/I218*100)</f>
        <v>45.4556725928002</v>
      </c>
      <c r="P218" s="4" t="s">
        <v>20</v>
      </c>
      <c r="Q218" s="4" t="s">
        <v>21</v>
      </c>
    </row>
    <row r="219" customFormat="false" ht="15" hidden="false" customHeight="false" outlineLevel="0" collapsed="false">
      <c r="A219" s="4" t="s">
        <v>74</v>
      </c>
      <c r="B219" s="4" t="n">
        <v>9</v>
      </c>
      <c r="C219" s="5" t="n">
        <v>130092</v>
      </c>
      <c r="D219" s="5" t="n">
        <v>81775</v>
      </c>
      <c r="E219" s="5" t="n">
        <v>18138</v>
      </c>
      <c r="F219" s="5" t="n">
        <v>0</v>
      </c>
      <c r="G219" s="5" t="n">
        <v>208</v>
      </c>
      <c r="H219" s="5" t="n">
        <v>6404</v>
      </c>
      <c r="I219" s="5" t="n">
        <v>236617</v>
      </c>
      <c r="J219" s="11" t="n">
        <f aca="false">IF(I219=0,0,C219/I219)</f>
        <v>0.549799887582042</v>
      </c>
      <c r="K219" s="11" t="n">
        <f aca="false">IF(I219=0,0,D219/I219)</f>
        <v>0.345600696484192</v>
      </c>
      <c r="L219" s="11" t="n">
        <f aca="false">IF(I219=0,0,E219/I219)</f>
        <v>0.0766555234830972</v>
      </c>
      <c r="M219" s="11" t="n">
        <f aca="false">IF(I219=0,0,H219/I219)</f>
        <v>0.0270648347329228</v>
      </c>
      <c r="N219" s="4" t="str">
        <f aca="false">INDEX($C$3:$F$3,MATCH(MAX(C219:F219),C219:F219,0))</f>
        <v>Sigamos Haciendo Historia (PVEM-PT-Morena)</v>
      </c>
      <c r="O219" s="17" t="n">
        <f aca="false">IF(I219=0,0,(MAX(C219:F219)-LARGE(C219:F219,2))/I219*100)</f>
        <v>20.419919109785</v>
      </c>
      <c r="P219" s="4" t="s">
        <v>20</v>
      </c>
      <c r="Q219" s="4" t="s">
        <v>21</v>
      </c>
    </row>
    <row r="220" customFormat="false" ht="15" hidden="false" customHeight="false" outlineLevel="0" collapsed="false">
      <c r="A220" s="4" t="s">
        <v>74</v>
      </c>
      <c r="B220" s="4" t="n">
        <v>10</v>
      </c>
      <c r="C220" s="5" t="n">
        <v>102980</v>
      </c>
      <c r="D220" s="5" t="n">
        <v>83696</v>
      </c>
      <c r="E220" s="5" t="n">
        <v>23846</v>
      </c>
      <c r="F220" s="5" t="n">
        <v>0</v>
      </c>
      <c r="G220" s="5" t="n">
        <v>190</v>
      </c>
      <c r="H220" s="5" t="n">
        <v>6452</v>
      </c>
      <c r="I220" s="5" t="n">
        <v>217164</v>
      </c>
      <c r="J220" s="11" t="n">
        <f aca="false">IF(I220=0,0,C220/I220)</f>
        <v>0.474203827522057</v>
      </c>
      <c r="K220" s="11" t="n">
        <f aca="false">IF(I220=0,0,D220/I220)</f>
        <v>0.385404579027832</v>
      </c>
      <c r="L220" s="11" t="n">
        <f aca="false">IF(I220=0,0,E220/I220)</f>
        <v>0.109806413586046</v>
      </c>
      <c r="M220" s="11" t="n">
        <f aca="false">IF(I220=0,0,H220/I220)</f>
        <v>0.0297102650531396</v>
      </c>
      <c r="N220" s="4" t="str">
        <f aca="false">INDEX($C$3:$F$3,MATCH(MAX(C220:F220),C220:F220,0))</f>
        <v>Sigamos Haciendo Historia (PVEM-PT-Morena)</v>
      </c>
      <c r="O220" s="17" t="n">
        <f aca="false">IF(I220=0,0,(MAX(C220:F220)-LARGE(C220:F220,2))/I220*100)</f>
        <v>8.87992484942256</v>
      </c>
      <c r="P220" s="4" t="s">
        <v>20</v>
      </c>
      <c r="Q220" s="4" t="s">
        <v>21</v>
      </c>
    </row>
    <row r="221" customFormat="false" ht="15" hidden="false" customHeight="false" outlineLevel="0" collapsed="false">
      <c r="A221" s="4" t="s">
        <v>74</v>
      </c>
      <c r="B221" s="4" t="n">
        <v>11</v>
      </c>
      <c r="C221" s="5" t="n">
        <v>110372</v>
      </c>
      <c r="D221" s="5" t="n">
        <v>70174</v>
      </c>
      <c r="E221" s="5" t="n">
        <v>16390</v>
      </c>
      <c r="F221" s="5" t="n">
        <v>0</v>
      </c>
      <c r="G221" s="5" t="n">
        <v>173</v>
      </c>
      <c r="H221" s="5" t="n">
        <v>6240</v>
      </c>
      <c r="I221" s="5" t="n">
        <v>203349</v>
      </c>
      <c r="J221" s="11" t="n">
        <f aca="false">IF(I221=0,0,C221/I221)</f>
        <v>0.542771294670739</v>
      </c>
      <c r="K221" s="11" t="n">
        <f aca="false">IF(I221=0,0,D221/I221)</f>
        <v>0.345091443774004</v>
      </c>
      <c r="L221" s="11" t="n">
        <f aca="false">IF(I221=0,0,E221/I221)</f>
        <v>0.0806003471863643</v>
      </c>
      <c r="M221" s="11" t="n">
        <f aca="false">IF(I221=0,0,H221/I221)</f>
        <v>0.0306861602466695</v>
      </c>
      <c r="N221" s="4" t="str">
        <f aca="false">INDEX($C$3:$F$3,MATCH(MAX(C221:F221),C221:F221,0))</f>
        <v>Sigamos Haciendo Historia (PVEM-PT-Morena)</v>
      </c>
      <c r="O221" s="17" t="n">
        <f aca="false">IF(I221=0,0,(MAX(C221:F221)-LARGE(C221:F221,2))/I221*100)</f>
        <v>19.7679850896734</v>
      </c>
      <c r="P221" s="4" t="s">
        <v>20</v>
      </c>
      <c r="Q221" s="4" t="s">
        <v>21</v>
      </c>
    </row>
    <row r="222" customFormat="false" ht="15" hidden="false" customHeight="false" outlineLevel="0" collapsed="false">
      <c r="A222" s="4" t="s">
        <v>74</v>
      </c>
      <c r="B222" s="4" t="n">
        <v>12</v>
      </c>
      <c r="C222" s="5" t="n">
        <v>110815</v>
      </c>
      <c r="D222" s="5" t="n">
        <v>77161</v>
      </c>
      <c r="E222" s="5" t="n">
        <v>15390</v>
      </c>
      <c r="F222" s="5" t="n">
        <v>0</v>
      </c>
      <c r="G222" s="5" t="n">
        <v>142</v>
      </c>
      <c r="H222" s="5" t="n">
        <v>6310</v>
      </c>
      <c r="I222" s="5" t="n">
        <v>209818</v>
      </c>
      <c r="J222" s="11" t="n">
        <f aca="false">IF(I222=0,0,C222/I222)</f>
        <v>0.528148204634493</v>
      </c>
      <c r="K222" s="11" t="n">
        <f aca="false">IF(I222=0,0,D222/I222)</f>
        <v>0.367752051778208</v>
      </c>
      <c r="L222" s="11" t="n">
        <f aca="false">IF(I222=0,0,E222/I222)</f>
        <v>0.0733492836648905</v>
      </c>
      <c r="M222" s="11" t="n">
        <f aca="false">IF(I222=0,0,H222/I222)</f>
        <v>0.0300736829061377</v>
      </c>
      <c r="N222" s="4" t="str">
        <f aca="false">INDEX($C$3:$F$3,MATCH(MAX(C222:F222),C222:F222,0))</f>
        <v>Sigamos Haciendo Historia (PVEM-PT-Morena)</v>
      </c>
      <c r="O222" s="17" t="n">
        <f aca="false">IF(I222=0,0,(MAX(C222:F222)-LARGE(C222:F222,2))/I222*100)</f>
        <v>16.0396152856285</v>
      </c>
      <c r="P222" s="4" t="s">
        <v>20</v>
      </c>
      <c r="Q222" s="4" t="s">
        <v>21</v>
      </c>
    </row>
    <row r="223" customFormat="false" ht="15" hidden="false" customHeight="false" outlineLevel="0" collapsed="false">
      <c r="A223" s="4" t="s">
        <v>74</v>
      </c>
      <c r="B223" s="4" t="n">
        <v>13</v>
      </c>
      <c r="C223" s="5" t="n">
        <v>113902</v>
      </c>
      <c r="D223" s="5" t="n">
        <v>46644</v>
      </c>
      <c r="E223" s="5" t="n">
        <v>15104</v>
      </c>
      <c r="F223" s="5" t="n">
        <v>0</v>
      </c>
      <c r="G223" s="5" t="n">
        <v>191</v>
      </c>
      <c r="H223" s="5" t="n">
        <v>9192</v>
      </c>
      <c r="I223" s="5" t="n">
        <v>185033</v>
      </c>
      <c r="J223" s="11" t="n">
        <f aca="false">IF(I223=0,0,C223/I223)</f>
        <v>0.615576680916377</v>
      </c>
      <c r="K223" s="11" t="n">
        <f aca="false">IF(I223=0,0,D223/I223)</f>
        <v>0.252084763258446</v>
      </c>
      <c r="L223" s="11" t="n">
        <f aca="false">IF(I223=0,0,E223/I223)</f>
        <v>0.0816286824512384</v>
      </c>
      <c r="M223" s="11" t="n">
        <f aca="false">IF(I223=0,0,H223/I223)</f>
        <v>0.0496776250722844</v>
      </c>
      <c r="N223" s="4" t="str">
        <f aca="false">INDEX($C$3:$F$3,MATCH(MAX(C223:F223),C223:F223,0))</f>
        <v>Sigamos Haciendo Historia (PVEM-PT-Morena)</v>
      </c>
      <c r="O223" s="17" t="n">
        <f aca="false">IF(I223=0,0,(MAX(C223:F223)-LARGE(C223:F223,2))/I223*100)</f>
        <v>36.3491917657931</v>
      </c>
      <c r="P223" s="4" t="s">
        <v>20</v>
      </c>
      <c r="Q223" s="4" t="s">
        <v>21</v>
      </c>
    </row>
    <row r="224" customFormat="false" ht="15" hidden="false" customHeight="false" outlineLevel="0" collapsed="false">
      <c r="A224" s="4" t="s">
        <v>74</v>
      </c>
      <c r="B224" s="4" t="n">
        <v>14</v>
      </c>
      <c r="C224" s="5" t="n">
        <v>135658</v>
      </c>
      <c r="D224" s="5" t="n">
        <v>46318</v>
      </c>
      <c r="E224" s="5" t="n">
        <v>8786</v>
      </c>
      <c r="F224" s="5" t="n">
        <v>0</v>
      </c>
      <c r="G224" s="5" t="n">
        <v>102</v>
      </c>
      <c r="H224" s="5" t="n">
        <v>7970</v>
      </c>
      <c r="I224" s="5" t="n">
        <v>198834</v>
      </c>
      <c r="J224" s="11" t="n">
        <f aca="false">IF(I224=0,0,C224/I224)</f>
        <v>0.682267620225917</v>
      </c>
      <c r="K224" s="11" t="n">
        <f aca="false">IF(I224=0,0,D224/I224)</f>
        <v>0.232948087349246</v>
      </c>
      <c r="L224" s="11" t="n">
        <f aca="false">IF(I224=0,0,E224/I224)</f>
        <v>0.0441876137883863</v>
      </c>
      <c r="M224" s="11" t="n">
        <f aca="false">IF(I224=0,0,H224/I224)</f>
        <v>0.0400836879004597</v>
      </c>
      <c r="N224" s="4" t="str">
        <f aca="false">INDEX($C$3:$F$3,MATCH(MAX(C224:F224),C224:F224,0))</f>
        <v>Sigamos Haciendo Historia (PVEM-PT-Morena)</v>
      </c>
      <c r="O224" s="17" t="n">
        <f aca="false">IF(I224=0,0,(MAX(C224:F224)-LARGE(C224:F224,2))/I224*100)</f>
        <v>44.9319532876671</v>
      </c>
      <c r="P224" s="4" t="s">
        <v>20</v>
      </c>
      <c r="Q224" s="4" t="s">
        <v>21</v>
      </c>
    </row>
    <row r="225" customFormat="false" ht="15" hidden="false" customHeight="false" outlineLevel="0" collapsed="false">
      <c r="A225" s="4" t="s">
        <v>74</v>
      </c>
      <c r="B225" s="4" t="n">
        <v>15</v>
      </c>
      <c r="C225" s="5" t="n">
        <v>124702</v>
      </c>
      <c r="D225" s="5" t="n">
        <v>41002</v>
      </c>
      <c r="E225" s="5" t="n">
        <v>15776</v>
      </c>
      <c r="F225" s="5" t="n">
        <v>0</v>
      </c>
      <c r="G225" s="5" t="n">
        <v>124</v>
      </c>
      <c r="H225" s="5" t="n">
        <v>7828</v>
      </c>
      <c r="I225" s="5" t="n">
        <v>189432</v>
      </c>
      <c r="J225" s="11" t="n">
        <f aca="false">IF(I225=0,0,C225/I225)</f>
        <v>0.658294269183665</v>
      </c>
      <c r="K225" s="11" t="n">
        <f aca="false">IF(I225=0,0,D225/I225)</f>
        <v>0.21644706279826</v>
      </c>
      <c r="L225" s="11" t="n">
        <f aca="false">IF(I225=0,0,E225/I225)</f>
        <v>0.0832805439418894</v>
      </c>
      <c r="M225" s="11" t="n">
        <f aca="false">IF(I225=0,0,H225/I225)</f>
        <v>0.0413235356222813</v>
      </c>
      <c r="N225" s="4" t="str">
        <f aca="false">INDEX($C$3:$F$3,MATCH(MAX(C225:F225),C225:F225,0))</f>
        <v>Sigamos Haciendo Historia (PVEM-PT-Morena)</v>
      </c>
      <c r="O225" s="17" t="n">
        <f aca="false">IF(I225=0,0,(MAX(C225:F225)-LARGE(C225:F225,2))/I225*100)</f>
        <v>44.1847206385405</v>
      </c>
      <c r="P225" s="4" t="s">
        <v>20</v>
      </c>
      <c r="Q225" s="4" t="s">
        <v>21</v>
      </c>
    </row>
    <row r="226" customFormat="false" ht="15" hidden="false" customHeight="false" outlineLevel="0" collapsed="false">
      <c r="A226" s="4" t="s">
        <v>74</v>
      </c>
      <c r="B226" s="4" t="n">
        <v>16</v>
      </c>
      <c r="C226" s="5" t="n">
        <v>129223</v>
      </c>
      <c r="D226" s="5" t="n">
        <v>54210</v>
      </c>
      <c r="E226" s="5" t="n">
        <v>15459</v>
      </c>
      <c r="F226" s="5" t="n">
        <v>0</v>
      </c>
      <c r="G226" s="5" t="n">
        <v>74</v>
      </c>
      <c r="H226" s="5" t="n">
        <v>14119</v>
      </c>
      <c r="I226" s="5" t="n">
        <v>213085</v>
      </c>
      <c r="J226" s="11" t="n">
        <f aca="false">IF(I226=0,0,C226/I226)</f>
        <v>0.60643874510172</v>
      </c>
      <c r="K226" s="11" t="n">
        <f aca="false">IF(I226=0,0,D226/I226)</f>
        <v>0.254405518924373</v>
      </c>
      <c r="L226" s="11" t="n">
        <f aca="false">IF(I226=0,0,E226/I226)</f>
        <v>0.0725485135040008</v>
      </c>
      <c r="M226" s="11" t="n">
        <f aca="false">IF(I226=0,0,H226/I226)</f>
        <v>0.0662599432151489</v>
      </c>
      <c r="N226" s="4" t="str">
        <f aca="false">INDEX($C$3:$F$3,MATCH(MAX(C226:F226),C226:F226,0))</f>
        <v>Sigamos Haciendo Historia (PVEM-PT-Morena)</v>
      </c>
      <c r="O226" s="17" t="n">
        <f aca="false">IF(I226=0,0,(MAX(C226:F226)-LARGE(C226:F226,2))/I226*100)</f>
        <v>35.2033226177347</v>
      </c>
      <c r="P226" s="4" t="s">
        <v>20</v>
      </c>
      <c r="Q226" s="4" t="s">
        <v>21</v>
      </c>
    </row>
    <row r="227" customFormat="false" ht="15" hidden="false" customHeight="false" outlineLevel="0" collapsed="false">
      <c r="A227" s="4" t="s">
        <v>75</v>
      </c>
      <c r="B227" s="4" t="n">
        <v>1</v>
      </c>
      <c r="C227" s="5" t="n">
        <v>112486</v>
      </c>
      <c r="D227" s="5" t="n">
        <v>75023</v>
      </c>
      <c r="E227" s="5" t="n">
        <v>14621</v>
      </c>
      <c r="F227" s="5" t="n">
        <v>0</v>
      </c>
      <c r="G227" s="5" t="n">
        <v>120</v>
      </c>
      <c r="H227" s="5" t="n">
        <v>9468</v>
      </c>
      <c r="I227" s="5" t="n">
        <v>211718</v>
      </c>
      <c r="J227" s="11" t="n">
        <f aca="false">IF(I227=0,0,C227/I227)</f>
        <v>0.531301070291614</v>
      </c>
      <c r="K227" s="11" t="n">
        <f aca="false">IF(I227=0,0,D227/I227)</f>
        <v>0.354353432395923</v>
      </c>
      <c r="L227" s="11" t="n">
        <f aca="false">IF(I227=0,0,E227/I227)</f>
        <v>0.0690588424224676</v>
      </c>
      <c r="M227" s="11" t="n">
        <f aca="false">IF(I227=0,0,H227/I227)</f>
        <v>0.0447198632142756</v>
      </c>
      <c r="N227" s="4" t="str">
        <f aca="false">INDEX($C$3:$F$3,MATCH(MAX(C227:F227),C227:F227,0))</f>
        <v>Sigamos Haciendo Historia (PVEM-PT-Morena)</v>
      </c>
      <c r="O227" s="17" t="n">
        <f aca="false">IF(I227=0,0,(MAX(C227:F227)-LARGE(C227:F227,2))/I227*100)</f>
        <v>17.6947637895691</v>
      </c>
      <c r="P227" s="4" t="s">
        <v>20</v>
      </c>
      <c r="Q227" s="4" t="s">
        <v>21</v>
      </c>
    </row>
    <row r="228" customFormat="false" ht="15" hidden="false" customHeight="false" outlineLevel="0" collapsed="false">
      <c r="A228" s="4" t="s">
        <v>75</v>
      </c>
      <c r="B228" s="4" t="n">
        <v>2</v>
      </c>
      <c r="C228" s="5" t="n">
        <v>83940</v>
      </c>
      <c r="D228" s="5" t="n">
        <v>70666</v>
      </c>
      <c r="E228" s="5" t="n">
        <v>13673</v>
      </c>
      <c r="F228" s="5" t="n">
        <v>0</v>
      </c>
      <c r="G228" s="5" t="n">
        <v>183</v>
      </c>
      <c r="H228" s="5" t="n">
        <v>6242</v>
      </c>
      <c r="I228" s="5" t="n">
        <v>174704</v>
      </c>
      <c r="J228" s="11" t="n">
        <f aca="false">IF(I228=0,0,C228/I228)</f>
        <v>0.480469823243887</v>
      </c>
      <c r="K228" s="11" t="n">
        <f aca="false">IF(I228=0,0,D228/I228)</f>
        <v>0.404489880025643</v>
      </c>
      <c r="L228" s="11" t="n">
        <f aca="false">IF(I228=0,0,E228/I228)</f>
        <v>0.0782638062093598</v>
      </c>
      <c r="M228" s="11" t="n">
        <f aca="false">IF(I228=0,0,H228/I228)</f>
        <v>0.0357290044875904</v>
      </c>
      <c r="N228" s="4" t="str">
        <f aca="false">INDEX($C$3:$F$3,MATCH(MAX(C228:F228),C228:F228,0))</f>
        <v>Sigamos Haciendo Historia (PVEM-PT-Morena)</v>
      </c>
      <c r="O228" s="17" t="n">
        <f aca="false">IF(I228=0,0,(MAX(C228:F228)-LARGE(C228:F228,2))/I228*100)</f>
        <v>7.59799432182434</v>
      </c>
      <c r="P228" s="4" t="s">
        <v>20</v>
      </c>
      <c r="Q228" s="4" t="s">
        <v>21</v>
      </c>
    </row>
    <row r="229" customFormat="false" ht="15" hidden="false" customHeight="false" outlineLevel="0" collapsed="false">
      <c r="A229" s="4" t="s">
        <v>75</v>
      </c>
      <c r="B229" s="4" t="n">
        <v>3</v>
      </c>
      <c r="C229" s="5" t="n">
        <v>92692</v>
      </c>
      <c r="D229" s="5" t="n">
        <v>98955</v>
      </c>
      <c r="E229" s="5" t="n">
        <v>15436</v>
      </c>
      <c r="F229" s="5" t="n">
        <v>0</v>
      </c>
      <c r="G229" s="5" t="n">
        <v>248</v>
      </c>
      <c r="H229" s="5" t="n">
        <v>10579</v>
      </c>
      <c r="I229" s="5" t="n">
        <v>217910</v>
      </c>
      <c r="J229" s="11" t="n">
        <f aca="false">IF(I229=0,0,C229/I229)</f>
        <v>0.425368271304667</v>
      </c>
      <c r="K229" s="11" t="n">
        <f aca="false">IF(I229=0,0,D229/I229)</f>
        <v>0.454109494745537</v>
      </c>
      <c r="L229" s="11" t="n">
        <f aca="false">IF(I229=0,0,E229/I229)</f>
        <v>0.0708365839107889</v>
      </c>
      <c r="M229" s="11" t="n">
        <f aca="false">IF(I229=0,0,H229/I229)</f>
        <v>0.0485475655086963</v>
      </c>
      <c r="N229" s="4" t="str">
        <f aca="false">INDEX($C$3:$F$3,MATCH(MAX(C229:F229),C229:F229,0))</f>
        <v>Fuerza y Corazón por México (PAN-PRI-PRD)</v>
      </c>
      <c r="O229" s="17" t="n">
        <f aca="false">IF(I229=0,0,(MAX(C229:F229)-LARGE(C229:F229,2))/I229*100)</f>
        <v>2.87412234408701</v>
      </c>
      <c r="P229" s="4" t="s">
        <v>21</v>
      </c>
      <c r="Q229" s="4" t="s">
        <v>22</v>
      </c>
    </row>
    <row r="230" customFormat="false" ht="15" hidden="false" customHeight="false" outlineLevel="0" collapsed="false">
      <c r="A230" s="4" t="s">
        <v>75</v>
      </c>
      <c r="B230" s="4" t="n">
        <v>4</v>
      </c>
      <c r="C230" s="5" t="n">
        <v>78037</v>
      </c>
      <c r="D230" s="5" t="n">
        <v>137511</v>
      </c>
      <c r="E230" s="5" t="n">
        <v>12796</v>
      </c>
      <c r="F230" s="5" t="n">
        <v>0</v>
      </c>
      <c r="G230" s="5" t="n">
        <v>199</v>
      </c>
      <c r="H230" s="5" t="n">
        <v>8879</v>
      </c>
      <c r="I230" s="5" t="n">
        <v>237422</v>
      </c>
      <c r="J230" s="11" t="n">
        <f aca="false">IF(I230=0,0,C230/I230)</f>
        <v>0.328684789109687</v>
      </c>
      <c r="K230" s="11" t="n">
        <f aca="false">IF(I230=0,0,D230/I230)</f>
        <v>0.579183900396762</v>
      </c>
      <c r="L230" s="11" t="n">
        <f aca="false">IF(I230=0,0,E230/I230)</f>
        <v>0.053895595184945</v>
      </c>
      <c r="M230" s="11" t="n">
        <f aca="false">IF(I230=0,0,H230/I230)</f>
        <v>0.0373975452990877</v>
      </c>
      <c r="N230" s="4" t="str">
        <f aca="false">INDEX($C$3:$F$3,MATCH(MAX(C230:F230),C230:F230,0))</f>
        <v>Fuerza y Corazón por México (PAN-PRI-PRD)</v>
      </c>
      <c r="O230" s="17" t="n">
        <f aca="false">IF(I230=0,0,(MAX(C230:F230)-LARGE(C230:F230,2))/I230*100)</f>
        <v>25.0499111287075</v>
      </c>
      <c r="P230" s="4" t="s">
        <v>21</v>
      </c>
      <c r="Q230" s="4" t="s">
        <v>22</v>
      </c>
    </row>
    <row r="231" customFormat="false" ht="15" hidden="false" customHeight="false" outlineLevel="0" collapsed="false">
      <c r="A231" s="4" t="s">
        <v>75</v>
      </c>
      <c r="B231" s="4" t="n">
        <v>5</v>
      </c>
      <c r="C231" s="5" t="n">
        <v>75349</v>
      </c>
      <c r="D231" s="5" t="n">
        <v>79033</v>
      </c>
      <c r="E231" s="5" t="n">
        <v>9016</v>
      </c>
      <c r="F231" s="5" t="n">
        <v>0</v>
      </c>
      <c r="G231" s="5" t="n">
        <v>137</v>
      </c>
      <c r="H231" s="5" t="n">
        <v>5016</v>
      </c>
      <c r="I231" s="5" t="n">
        <v>168551</v>
      </c>
      <c r="J231" s="11" t="n">
        <f aca="false">IF(I231=0,0,C231/I231)</f>
        <v>0.44703976837871</v>
      </c>
      <c r="K231" s="11" t="n">
        <f aca="false">IF(I231=0,0,D231/I231)</f>
        <v>0.46889665442507</v>
      </c>
      <c r="L231" s="11" t="n">
        <f aca="false">IF(I231=0,0,E231/I231)</f>
        <v>0.0534912281742618</v>
      </c>
      <c r="M231" s="11" t="n">
        <f aca="false">IF(I231=0,0,H231/I231)</f>
        <v>0.0297595386559558</v>
      </c>
      <c r="N231" s="4" t="str">
        <f aca="false">INDEX($C$3:$F$3,MATCH(MAX(C231:F231),C231:F231,0))</f>
        <v>Fuerza y Corazón por México (PAN-PRI-PRD)</v>
      </c>
      <c r="O231" s="17" t="n">
        <f aca="false">IF(I231=0,0,(MAX(C231:F231)-LARGE(C231:F231,2))/I231*100)</f>
        <v>2.18568860463599</v>
      </c>
      <c r="P231" s="4" t="s">
        <v>21</v>
      </c>
      <c r="Q231" s="4" t="s">
        <v>20</v>
      </c>
    </row>
    <row r="232" customFormat="false" ht="15" hidden="false" customHeight="false" outlineLevel="0" collapsed="false">
      <c r="A232" s="4" t="s">
        <v>75</v>
      </c>
      <c r="B232" s="4" t="n">
        <v>6</v>
      </c>
      <c r="C232" s="5" t="n">
        <v>87017</v>
      </c>
      <c r="D232" s="5" t="n">
        <v>71203</v>
      </c>
      <c r="E232" s="5" t="n">
        <v>11926</v>
      </c>
      <c r="F232" s="5" t="n">
        <v>0</v>
      </c>
      <c r="G232" s="5" t="n">
        <v>157</v>
      </c>
      <c r="H232" s="5" t="n">
        <v>4174</v>
      </c>
      <c r="I232" s="5" t="n">
        <v>174477</v>
      </c>
      <c r="J232" s="11" t="n">
        <f aca="false">IF(I232=0,0,C232/I232)</f>
        <v>0.498730491698046</v>
      </c>
      <c r="K232" s="11" t="n">
        <f aca="false">IF(I232=0,0,D232/I232)</f>
        <v>0.408093903494443</v>
      </c>
      <c r="L232" s="11" t="n">
        <f aca="false">IF(I232=0,0,E232/I232)</f>
        <v>0.0683528487995553</v>
      </c>
      <c r="M232" s="11" t="n">
        <f aca="false">IF(I232=0,0,H232/I232)</f>
        <v>0.0239229239383988</v>
      </c>
      <c r="N232" s="4" t="str">
        <f aca="false">INDEX($C$3:$F$3,MATCH(MAX(C232:F232),C232:F232,0))</f>
        <v>Sigamos Haciendo Historia (PVEM-PT-Morena)</v>
      </c>
      <c r="O232" s="17" t="n">
        <f aca="false">IF(I232=0,0,(MAX(C232:F232)-LARGE(C232:F232,2))/I232*100)</f>
        <v>9.06365882036028</v>
      </c>
      <c r="P232" s="4" t="s">
        <v>20</v>
      </c>
      <c r="Q232" s="4" t="s">
        <v>21</v>
      </c>
    </row>
    <row r="233" customFormat="false" ht="15" hidden="false" customHeight="false" outlineLevel="0" collapsed="false">
      <c r="A233" s="4" t="s">
        <v>76</v>
      </c>
      <c r="B233" s="4" t="n">
        <v>1</v>
      </c>
      <c r="C233" s="5" t="n">
        <v>140647</v>
      </c>
      <c r="D233" s="5" t="n">
        <v>52751</v>
      </c>
      <c r="E233" s="5" t="n">
        <v>10753</v>
      </c>
      <c r="F233" s="5" t="n">
        <v>0</v>
      </c>
      <c r="G233" s="5" t="n">
        <v>221</v>
      </c>
      <c r="H233" s="5" t="n">
        <v>7314</v>
      </c>
      <c r="I233" s="5" t="n">
        <v>211686</v>
      </c>
      <c r="J233" s="11" t="n">
        <f aca="false">IF(I233=0,0,C233/I233)</f>
        <v>0.664413329176233</v>
      </c>
      <c r="K233" s="11" t="n">
        <f aca="false">IF(I233=0,0,D233/I233)</f>
        <v>0.249194561756564</v>
      </c>
      <c r="L233" s="11" t="n">
        <f aca="false">IF(I233=0,0,E233/I233)</f>
        <v>0.0507969350830948</v>
      </c>
      <c r="M233" s="11" t="n">
        <f aca="false">IF(I233=0,0,H233/I233)</f>
        <v>0.0345511748533205</v>
      </c>
      <c r="N233" s="4" t="str">
        <f aca="false">INDEX($C$3:$F$3,MATCH(MAX(C233:F233),C233:F233,0))</f>
        <v>Sigamos Haciendo Historia (PVEM-PT-Morena)</v>
      </c>
      <c r="O233" s="17" t="n">
        <f aca="false">IF(I233=0,0,(MAX(C233:F233)-LARGE(C233:F233,2))/I233*100)</f>
        <v>41.5218767419669</v>
      </c>
      <c r="P233" s="4" t="s">
        <v>20</v>
      </c>
      <c r="Q233" s="4" t="s">
        <v>21</v>
      </c>
    </row>
    <row r="234" customFormat="false" ht="15" hidden="false" customHeight="false" outlineLevel="0" collapsed="false">
      <c r="A234" s="4" t="s">
        <v>76</v>
      </c>
      <c r="B234" s="4" t="n">
        <v>2</v>
      </c>
      <c r="C234" s="5" t="n">
        <v>141503</v>
      </c>
      <c r="D234" s="5" t="n">
        <v>30029</v>
      </c>
      <c r="E234" s="5" t="n">
        <v>36431</v>
      </c>
      <c r="F234" s="5" t="n">
        <v>0</v>
      </c>
      <c r="G234" s="5" t="n">
        <v>155</v>
      </c>
      <c r="H234" s="5" t="n">
        <v>9002</v>
      </c>
      <c r="I234" s="5" t="n">
        <v>217120</v>
      </c>
      <c r="J234" s="11" t="n">
        <f aca="false">IF(I234=0,0,C234/I234)</f>
        <v>0.651727155490052</v>
      </c>
      <c r="K234" s="11" t="n">
        <f aca="false">IF(I234=0,0,D234/I234)</f>
        <v>0.138306005895357</v>
      </c>
      <c r="L234" s="11" t="n">
        <f aca="false">IF(I234=0,0,E234/I234)</f>
        <v>0.167792004421518</v>
      </c>
      <c r="M234" s="11" t="n">
        <f aca="false">IF(I234=0,0,H234/I234)</f>
        <v>0.041460943257185</v>
      </c>
      <c r="N234" s="4" t="str">
        <f aca="false">INDEX($C$3:$F$3,MATCH(MAX(C234:F234),C234:F234,0))</f>
        <v>Sigamos Haciendo Historia (PVEM-PT-Morena)</v>
      </c>
      <c r="O234" s="17" t="n">
        <f aca="false">IF(I234=0,0,(MAX(C234:F234)-LARGE(C234:F234,2))/I234*100)</f>
        <v>48.3935151068534</v>
      </c>
      <c r="P234" s="4" t="s">
        <v>20</v>
      </c>
      <c r="Q234" s="4" t="s">
        <v>10</v>
      </c>
    </row>
    <row r="235" customFormat="false" ht="15" hidden="false" customHeight="false" outlineLevel="0" collapsed="false">
      <c r="A235" s="4" t="s">
        <v>76</v>
      </c>
      <c r="B235" s="4" t="n">
        <v>3</v>
      </c>
      <c r="C235" s="5" t="n">
        <v>156136</v>
      </c>
      <c r="D235" s="5" t="n">
        <v>26476</v>
      </c>
      <c r="E235" s="5" t="n">
        <v>16138</v>
      </c>
      <c r="F235" s="5" t="n">
        <v>0</v>
      </c>
      <c r="G235" s="5" t="n">
        <v>424</v>
      </c>
      <c r="H235" s="5" t="n">
        <v>13872</v>
      </c>
      <c r="I235" s="5" t="n">
        <v>213046</v>
      </c>
      <c r="J235" s="11" t="n">
        <f aca="false">IF(I235=0,0,C235/I235)</f>
        <v>0.732874590464031</v>
      </c>
      <c r="K235" s="11" t="n">
        <f aca="false">IF(I235=0,0,D235/I235)</f>
        <v>0.124273631046816</v>
      </c>
      <c r="L235" s="11" t="n">
        <f aca="false">IF(I235=0,0,E235/I235)</f>
        <v>0.075748899298743</v>
      </c>
      <c r="M235" s="11" t="n">
        <f aca="false">IF(I235=0,0,H235/I235)</f>
        <v>0.0651126986660158</v>
      </c>
      <c r="N235" s="4" t="str">
        <f aca="false">INDEX($C$3:$F$3,MATCH(MAX(C235:F235),C235:F235,0))</f>
        <v>Sigamos Haciendo Historia (PVEM-PT-Morena)</v>
      </c>
      <c r="O235" s="17" t="n">
        <f aca="false">IF(I235=0,0,(MAX(C235:F235)-LARGE(C235:F235,2))/I235*100)</f>
        <v>60.8600959417215</v>
      </c>
      <c r="P235" s="4" t="s">
        <v>22</v>
      </c>
      <c r="Q235" s="4" t="s">
        <v>59</v>
      </c>
    </row>
    <row r="236" customFormat="false" ht="15" hidden="false" customHeight="false" outlineLevel="0" collapsed="false">
      <c r="A236" s="4" t="s">
        <v>76</v>
      </c>
      <c r="B236" s="4" t="n">
        <v>4</v>
      </c>
      <c r="C236" s="5" t="n">
        <v>113066</v>
      </c>
      <c r="D236" s="5" t="n">
        <v>46172</v>
      </c>
      <c r="E236" s="5" t="n">
        <v>12031</v>
      </c>
      <c r="F236" s="5" t="n">
        <v>0</v>
      </c>
      <c r="G236" s="5" t="n">
        <v>223</v>
      </c>
      <c r="H236" s="5" t="n">
        <v>4464</v>
      </c>
      <c r="I236" s="5" t="n">
        <v>175956</v>
      </c>
      <c r="J236" s="11" t="n">
        <f aca="false">IF(I236=0,0,C236/I236)</f>
        <v>0.64258109982041</v>
      </c>
      <c r="K236" s="11" t="n">
        <f aca="false">IF(I236=0,0,D236/I236)</f>
        <v>0.262406510718589</v>
      </c>
      <c r="L236" s="11" t="n">
        <f aca="false">IF(I236=0,0,E236/I236)</f>
        <v>0.0683750483075314</v>
      </c>
      <c r="M236" s="11" t="n">
        <f aca="false">IF(I236=0,0,H236/I236)</f>
        <v>0.025369978858351</v>
      </c>
      <c r="N236" s="4" t="str">
        <f aca="false">INDEX($C$3:$F$3,MATCH(MAX(C236:F236),C236:F236,0))</f>
        <v>Sigamos Haciendo Historia (PVEM-PT-Morena)</v>
      </c>
      <c r="O236" s="17" t="n">
        <f aca="false">IF(I236=0,0,(MAX(C236:F236)-LARGE(C236:F236,2))/I236*100)</f>
        <v>38.0174589101821</v>
      </c>
      <c r="P236" s="4" t="s">
        <v>20</v>
      </c>
      <c r="Q236" s="4" t="s">
        <v>21</v>
      </c>
    </row>
    <row r="237" customFormat="false" ht="15" hidden="false" customHeight="false" outlineLevel="0" collapsed="false">
      <c r="A237" s="4" t="s">
        <v>77</v>
      </c>
      <c r="B237" s="4" t="n">
        <v>1</v>
      </c>
      <c r="C237" s="5" t="n">
        <v>112070</v>
      </c>
      <c r="D237" s="5" t="n">
        <v>35331</v>
      </c>
      <c r="E237" s="5" t="n">
        <v>23369</v>
      </c>
      <c r="F237" s="5" t="n">
        <v>0</v>
      </c>
      <c r="G237" s="5" t="n">
        <v>117</v>
      </c>
      <c r="H237" s="5" t="n">
        <v>12633</v>
      </c>
      <c r="I237" s="5" t="n">
        <v>183520</v>
      </c>
      <c r="J237" s="11" t="n">
        <f aca="false">IF(I237=0,0,C237/I237)</f>
        <v>0.610669136878814</v>
      </c>
      <c r="K237" s="11" t="n">
        <f aca="false">IF(I237=0,0,D237/I237)</f>
        <v>0.192518526591107</v>
      </c>
      <c r="L237" s="11" t="n">
        <f aca="false">IF(I237=0,0,E237/I237)</f>
        <v>0.127337619877942</v>
      </c>
      <c r="M237" s="11" t="n">
        <f aca="false">IF(I237=0,0,H237/I237)</f>
        <v>0.0688371839581517</v>
      </c>
      <c r="N237" s="4" t="str">
        <f aca="false">INDEX($C$3:$F$3,MATCH(MAX(C237:F237),C237:F237,0))</f>
        <v>Sigamos Haciendo Historia (PVEM-PT-Morena)</v>
      </c>
      <c r="O237" s="17" t="n">
        <f aca="false">IF(I237=0,0,(MAX(C237:F237)-LARGE(C237:F237,2))/I237*100)</f>
        <v>41.8150610287707</v>
      </c>
      <c r="P237" s="4" t="s">
        <v>20</v>
      </c>
      <c r="Q237" s="4" t="s">
        <v>21</v>
      </c>
    </row>
    <row r="238" customFormat="false" ht="15" hidden="false" customHeight="false" outlineLevel="0" collapsed="false">
      <c r="A238" s="4" t="s">
        <v>77</v>
      </c>
      <c r="B238" s="4" t="n">
        <v>2</v>
      </c>
      <c r="C238" s="5" t="n">
        <v>103700</v>
      </c>
      <c r="D238" s="5" t="n">
        <v>36162</v>
      </c>
      <c r="E238" s="5" t="n">
        <v>16148</v>
      </c>
      <c r="F238" s="5" t="n">
        <v>0</v>
      </c>
      <c r="G238" s="5" t="n">
        <v>208</v>
      </c>
      <c r="H238" s="5" t="n">
        <v>6179</v>
      </c>
      <c r="I238" s="5" t="n">
        <v>162397</v>
      </c>
      <c r="J238" s="11" t="n">
        <f aca="false">IF(I238=0,0,C238/I238)</f>
        <v>0.638558594062698</v>
      </c>
      <c r="K238" s="11" t="n">
        <f aca="false">IF(I238=0,0,D238/I238)</f>
        <v>0.22267652727575</v>
      </c>
      <c r="L238" s="11" t="n">
        <f aca="false">IF(I238=0,0,E238/I238)</f>
        <v>0.0994353343965714</v>
      </c>
      <c r="M238" s="11" t="n">
        <f aca="false">IF(I238=0,0,H238/I238)</f>
        <v>0.0380487324273232</v>
      </c>
      <c r="N238" s="4" t="str">
        <f aca="false">INDEX($C$3:$F$3,MATCH(MAX(C238:F238),C238:F238,0))</f>
        <v>Sigamos Haciendo Historia (PVEM-PT-Morena)</v>
      </c>
      <c r="O238" s="17" t="n">
        <f aca="false">IF(I238=0,0,(MAX(C238:F238)-LARGE(C238:F238,2))/I238*100)</f>
        <v>41.5882066786948</v>
      </c>
      <c r="P238" s="4" t="s">
        <v>20</v>
      </c>
      <c r="Q238" s="4" t="s">
        <v>21</v>
      </c>
    </row>
    <row r="239" customFormat="false" ht="15" hidden="false" customHeight="false" outlineLevel="0" collapsed="false">
      <c r="A239" s="4" t="s">
        <v>77</v>
      </c>
      <c r="B239" s="4" t="n">
        <v>3</v>
      </c>
      <c r="C239" s="5" t="n">
        <v>98021</v>
      </c>
      <c r="D239" s="5" t="n">
        <v>44410</v>
      </c>
      <c r="E239" s="5" t="n">
        <v>23124</v>
      </c>
      <c r="F239" s="5" t="n">
        <v>0</v>
      </c>
      <c r="G239" s="5" t="n">
        <v>153</v>
      </c>
      <c r="H239" s="5" t="n">
        <v>10455</v>
      </c>
      <c r="I239" s="5" t="n">
        <v>176163</v>
      </c>
      <c r="J239" s="11" t="n">
        <f aca="false">IF(I239=0,0,C239/I239)</f>
        <v>0.556422177188172</v>
      </c>
      <c r="K239" s="11" t="n">
        <f aca="false">IF(I239=0,0,D239/I239)</f>
        <v>0.25209607011688</v>
      </c>
      <c r="L239" s="11" t="n">
        <f aca="false">IF(I239=0,0,E239/I239)</f>
        <v>0.131264794536878</v>
      </c>
      <c r="M239" s="11" t="n">
        <f aca="false">IF(I239=0,0,H239/I239)</f>
        <v>0.059348444338482</v>
      </c>
      <c r="N239" s="4" t="str">
        <f aca="false">INDEX($C$3:$F$3,MATCH(MAX(C239:F239),C239:F239,0))</f>
        <v>Sigamos Haciendo Historia (PVEM-PT-Morena)</v>
      </c>
      <c r="O239" s="17" t="n">
        <f aca="false">IF(I239=0,0,(MAX(C239:F239)-LARGE(C239:F239,2))/I239*100)</f>
        <v>30.4326107071292</v>
      </c>
      <c r="P239" s="4" t="s">
        <v>20</v>
      </c>
      <c r="Q239" s="4" t="s">
        <v>21</v>
      </c>
    </row>
    <row r="240" customFormat="false" ht="15" hidden="false" customHeight="false" outlineLevel="0" collapsed="false">
      <c r="A240" s="4" t="s">
        <v>77</v>
      </c>
      <c r="B240" s="4" t="n">
        <v>4</v>
      </c>
      <c r="C240" s="5" t="n">
        <v>116827</v>
      </c>
      <c r="D240" s="5" t="n">
        <v>63496</v>
      </c>
      <c r="E240" s="5" t="n">
        <v>12644</v>
      </c>
      <c r="F240" s="5" t="n">
        <v>0</v>
      </c>
      <c r="G240" s="5" t="n">
        <v>133</v>
      </c>
      <c r="H240" s="5" t="n">
        <v>11933</v>
      </c>
      <c r="I240" s="5" t="n">
        <v>205033</v>
      </c>
      <c r="J240" s="11" t="n">
        <f aca="false">IF(I240=0,0,C240/I240)</f>
        <v>0.569796081606376</v>
      </c>
      <c r="K240" s="11" t="n">
        <f aca="false">IF(I240=0,0,D240/I240)</f>
        <v>0.309686733355118</v>
      </c>
      <c r="L240" s="11" t="n">
        <f aca="false">IF(I240=0,0,E240/I240)</f>
        <v>0.0616681217169919</v>
      </c>
      <c r="M240" s="11" t="n">
        <f aca="false">IF(I240=0,0,H240/I240)</f>
        <v>0.0582003872547346</v>
      </c>
      <c r="N240" s="4" t="str">
        <f aca="false">INDEX($C$3:$F$3,MATCH(MAX(C240:F240),C240:F240,0))</f>
        <v>Sigamos Haciendo Historia (PVEM-PT-Morena)</v>
      </c>
      <c r="O240" s="17" t="n">
        <f aca="false">IF(I240=0,0,(MAX(C240:F240)-LARGE(C240:F240,2))/I240*100)</f>
        <v>26.0109348251257</v>
      </c>
      <c r="P240" s="4" t="s">
        <v>20</v>
      </c>
      <c r="Q240" s="4" t="s">
        <v>21</v>
      </c>
    </row>
    <row r="241" customFormat="false" ht="15" hidden="false" customHeight="false" outlineLevel="0" collapsed="false">
      <c r="A241" s="4" t="s">
        <v>77</v>
      </c>
      <c r="B241" s="4" t="n">
        <v>5</v>
      </c>
      <c r="C241" s="5" t="n">
        <v>90179</v>
      </c>
      <c r="D241" s="5" t="n">
        <v>102448</v>
      </c>
      <c r="E241" s="5" t="n">
        <v>18644</v>
      </c>
      <c r="F241" s="5" t="n">
        <v>0</v>
      </c>
      <c r="G241" s="5" t="n">
        <v>292</v>
      </c>
      <c r="H241" s="5" t="n">
        <v>6246</v>
      </c>
      <c r="I241" s="5" t="n">
        <v>217809</v>
      </c>
      <c r="J241" s="11" t="n">
        <f aca="false">IF(I241=0,0,C241/I241)</f>
        <v>0.414027886818267</v>
      </c>
      <c r="K241" s="11" t="n">
        <f aca="false">IF(I241=0,0,D241/I241)</f>
        <v>0.470357055952693</v>
      </c>
      <c r="L241" s="11" t="n">
        <f aca="false">IF(I241=0,0,E241/I241)</f>
        <v>0.0855979321331993</v>
      </c>
      <c r="M241" s="11" t="n">
        <f aca="false">IF(I241=0,0,H241/I241)</f>
        <v>0.0286765009710343</v>
      </c>
      <c r="N241" s="4" t="str">
        <f aca="false">INDEX($C$3:$F$3,MATCH(MAX(C241:F241),C241:F241,0))</f>
        <v>Fuerza y Corazón por México (PAN-PRI-PRD)</v>
      </c>
      <c r="O241" s="17" t="n">
        <f aca="false">IF(I241=0,0,(MAX(C241:F241)-LARGE(C241:F241,2))/I241*100)</f>
        <v>5.63291691344251</v>
      </c>
      <c r="P241" s="4" t="s">
        <v>21</v>
      </c>
      <c r="Q241" s="4" t="s">
        <v>20</v>
      </c>
    </row>
    <row r="242" customFormat="false" ht="15" hidden="false" customHeight="false" outlineLevel="0" collapsed="false">
      <c r="A242" s="4" t="s">
        <v>77</v>
      </c>
      <c r="B242" s="4" t="n">
        <v>6</v>
      </c>
      <c r="C242" s="5" t="n">
        <v>119997</v>
      </c>
      <c r="D242" s="5" t="n">
        <v>53600</v>
      </c>
      <c r="E242" s="5" t="n">
        <v>22097</v>
      </c>
      <c r="F242" s="5" t="n">
        <v>0</v>
      </c>
      <c r="G242" s="5" t="n">
        <v>287</v>
      </c>
      <c r="H242" s="5" t="n">
        <v>6709</v>
      </c>
      <c r="I242" s="5" t="n">
        <v>202690</v>
      </c>
      <c r="J242" s="11" t="n">
        <f aca="false">IF(I242=0,0,C242/I242)</f>
        <v>0.592022300064137</v>
      </c>
      <c r="K242" s="11" t="n">
        <f aca="false">IF(I242=0,0,D242/I242)</f>
        <v>0.264443238442942</v>
      </c>
      <c r="L242" s="11" t="n">
        <f aca="false">IF(I242=0,0,E242/I242)</f>
        <v>0.109018698505106</v>
      </c>
      <c r="M242" s="11" t="n">
        <f aca="false">IF(I242=0,0,H242/I242)</f>
        <v>0.0330998075879422</v>
      </c>
      <c r="N242" s="4" t="str">
        <f aca="false">INDEX($C$3:$F$3,MATCH(MAX(C242:F242),C242:F242,0))</f>
        <v>Sigamos Haciendo Historia (PVEM-PT-Morena)</v>
      </c>
      <c r="O242" s="17" t="n">
        <f aca="false">IF(I242=0,0,(MAX(C242:F242)-LARGE(C242:F242,2))/I242*100)</f>
        <v>32.7579061621195</v>
      </c>
      <c r="P242" s="4" t="s">
        <v>20</v>
      </c>
      <c r="Q242" s="4" t="s">
        <v>21</v>
      </c>
    </row>
    <row r="243" customFormat="false" ht="15" hidden="false" customHeight="false" outlineLevel="0" collapsed="false">
      <c r="A243" s="4" t="s">
        <v>77</v>
      </c>
      <c r="B243" s="4" t="n">
        <v>7</v>
      </c>
      <c r="C243" s="5" t="n">
        <v>143750</v>
      </c>
      <c r="D243" s="5" t="n">
        <v>32837</v>
      </c>
      <c r="E243" s="5" t="n">
        <v>13609</v>
      </c>
      <c r="F243" s="5" t="n">
        <v>0</v>
      </c>
      <c r="G243" s="5" t="n">
        <v>117</v>
      </c>
      <c r="H243" s="5" t="n">
        <v>15150</v>
      </c>
      <c r="I243" s="5" t="n">
        <v>205463</v>
      </c>
      <c r="J243" s="11" t="n">
        <f aca="false">IF(I243=0,0,C243/I243)</f>
        <v>0.699639351124047</v>
      </c>
      <c r="K243" s="11" t="n">
        <f aca="false">IF(I243=0,0,D243/I243)</f>
        <v>0.159819529550333</v>
      </c>
      <c r="L243" s="11" t="n">
        <f aca="false">IF(I243=0,0,E243/I243)</f>
        <v>0.0662357699439802</v>
      </c>
      <c r="M243" s="11" t="n">
        <f aca="false">IF(I243=0,0,H243/I243)</f>
        <v>0.07373590378803</v>
      </c>
      <c r="N243" s="4" t="str">
        <f aca="false">INDEX($C$3:$F$3,MATCH(MAX(C243:F243),C243:F243,0))</f>
        <v>Sigamos Haciendo Historia (PVEM-PT-Morena)</v>
      </c>
      <c r="O243" s="17" t="n">
        <f aca="false">IF(I243=0,0,(MAX(C243:F243)-LARGE(C243:F243,2))/I243*100)</f>
        <v>53.9819821573714</v>
      </c>
      <c r="P243" s="4" t="s">
        <v>20</v>
      </c>
      <c r="Q243" s="4" t="s">
        <v>21</v>
      </c>
    </row>
    <row r="244" customFormat="false" ht="15" hidden="false" customHeight="false" outlineLevel="0" collapsed="false">
      <c r="A244" s="4" t="s">
        <v>78</v>
      </c>
      <c r="B244" s="4" t="n">
        <v>1</v>
      </c>
      <c r="C244" s="5" t="n">
        <v>122167</v>
      </c>
      <c r="D244" s="5" t="n">
        <v>36463</v>
      </c>
      <c r="E244" s="5" t="n">
        <v>8212</v>
      </c>
      <c r="F244" s="5" t="n">
        <v>0</v>
      </c>
      <c r="G244" s="5" t="n">
        <v>121</v>
      </c>
      <c r="H244" s="5" t="n">
        <v>5001</v>
      </c>
      <c r="I244" s="5" t="n">
        <v>171964</v>
      </c>
      <c r="J244" s="11" t="n">
        <f aca="false">IF(I244=0,0,C244/I244)</f>
        <v>0.710421948779977</v>
      </c>
      <c r="K244" s="11" t="n">
        <f aca="false">IF(I244=0,0,D244/I244)</f>
        <v>0.212038566211533</v>
      </c>
      <c r="L244" s="11" t="n">
        <f aca="false">IF(I244=0,0,E244/I244)</f>
        <v>0.0477541811076737</v>
      </c>
      <c r="M244" s="11" t="n">
        <f aca="false">IF(I244=0,0,H244/I244)</f>
        <v>0.0290816682561466</v>
      </c>
      <c r="N244" s="4" t="str">
        <f aca="false">INDEX($C$3:$F$3,MATCH(MAX(C244:F244),C244:F244,0))</f>
        <v>Sigamos Haciendo Historia (PVEM-PT-Morena)</v>
      </c>
      <c r="O244" s="17" t="n">
        <f aca="false">IF(I244=0,0,(MAX(C244:F244)-LARGE(C244:F244,2))/I244*100)</f>
        <v>49.8383382568445</v>
      </c>
      <c r="P244" s="4" t="s">
        <v>20</v>
      </c>
      <c r="Q244" s="4" t="s">
        <v>21</v>
      </c>
    </row>
    <row r="245" customFormat="false" ht="15" hidden="false" customHeight="false" outlineLevel="0" collapsed="false">
      <c r="A245" s="4" t="s">
        <v>78</v>
      </c>
      <c r="B245" s="4" t="n">
        <v>2</v>
      </c>
      <c r="C245" s="5" t="n">
        <v>124401</v>
      </c>
      <c r="D245" s="5" t="n">
        <v>52793</v>
      </c>
      <c r="E245" s="5" t="n">
        <v>15846</v>
      </c>
      <c r="F245" s="5" t="n">
        <v>0</v>
      </c>
      <c r="G245" s="5" t="n">
        <v>90</v>
      </c>
      <c r="H245" s="5" t="n">
        <v>10788</v>
      </c>
      <c r="I245" s="5" t="n">
        <v>203918</v>
      </c>
      <c r="J245" s="11" t="n">
        <f aca="false">IF(I245=0,0,C245/I245)</f>
        <v>0.610054041330339</v>
      </c>
      <c r="K245" s="11" t="n">
        <f aca="false">IF(I245=0,0,D245/I245)</f>
        <v>0.258893280632411</v>
      </c>
      <c r="L245" s="11" t="n">
        <f aca="false">IF(I245=0,0,E245/I245)</f>
        <v>0.0777077060387018</v>
      </c>
      <c r="M245" s="11" t="n">
        <f aca="false">IF(I245=0,0,H245/I245)</f>
        <v>0.0529036181210094</v>
      </c>
      <c r="N245" s="4" t="str">
        <f aca="false">INDEX($C$3:$F$3,MATCH(MAX(C245:F245),C245:F245,0))</f>
        <v>Sigamos Haciendo Historia (PVEM-PT-Morena)</v>
      </c>
      <c r="O245" s="17" t="n">
        <f aca="false">IF(I245=0,0,(MAX(C245:F245)-LARGE(C245:F245,2))/I245*100)</f>
        <v>35.1160760697928</v>
      </c>
      <c r="P245" s="4" t="s">
        <v>22</v>
      </c>
      <c r="Q245" s="4" t="s">
        <v>21</v>
      </c>
    </row>
    <row r="246" customFormat="false" ht="15" hidden="false" customHeight="false" outlineLevel="0" collapsed="false">
      <c r="A246" s="4" t="s">
        <v>78</v>
      </c>
      <c r="B246" s="4" t="n">
        <v>3</v>
      </c>
      <c r="C246" s="5" t="n">
        <v>124762</v>
      </c>
      <c r="D246" s="5" t="n">
        <v>49202</v>
      </c>
      <c r="E246" s="5" t="n">
        <v>13795</v>
      </c>
      <c r="F246" s="5" t="n">
        <v>0</v>
      </c>
      <c r="G246" s="5" t="n">
        <v>91</v>
      </c>
      <c r="H246" s="5" t="n">
        <v>6512</v>
      </c>
      <c r="I246" s="5" t="n">
        <v>194362</v>
      </c>
      <c r="J246" s="11" t="n">
        <f aca="false">IF(I246=0,0,C246/I246)</f>
        <v>0.641905310708884</v>
      </c>
      <c r="K246" s="11" t="n">
        <f aca="false">IF(I246=0,0,D246/I246)</f>
        <v>0.253146191127895</v>
      </c>
      <c r="L246" s="11" t="n">
        <f aca="false">IF(I246=0,0,E246/I246)</f>
        <v>0.0709758080283183</v>
      </c>
      <c r="M246" s="11" t="n">
        <f aca="false">IF(I246=0,0,H246/I246)</f>
        <v>0.0335044916187321</v>
      </c>
      <c r="N246" s="4" t="str">
        <f aca="false">INDEX($C$3:$F$3,MATCH(MAX(C246:F246),C246:F246,0))</f>
        <v>Sigamos Haciendo Historia (PVEM-PT-Morena)</v>
      </c>
      <c r="O246" s="17" t="n">
        <f aca="false">IF(I246=0,0,(MAX(C246:F246)-LARGE(C246:F246,2))/I246*100)</f>
        <v>38.8759119580988</v>
      </c>
      <c r="P246" s="4" t="s">
        <v>20</v>
      </c>
      <c r="Q246" s="4" t="s">
        <v>21</v>
      </c>
    </row>
    <row r="247" customFormat="false" ht="15" hidden="false" customHeight="false" outlineLevel="0" collapsed="false">
      <c r="A247" s="4" t="s">
        <v>78</v>
      </c>
      <c r="B247" s="4" t="n">
        <v>4</v>
      </c>
      <c r="C247" s="5" t="n">
        <v>129671</v>
      </c>
      <c r="D247" s="5" t="n">
        <v>35672</v>
      </c>
      <c r="E247" s="5" t="n">
        <v>13822</v>
      </c>
      <c r="F247" s="5" t="n">
        <v>0</v>
      </c>
      <c r="G247" s="5" t="n">
        <v>91</v>
      </c>
      <c r="H247" s="5" t="n">
        <v>5376</v>
      </c>
      <c r="I247" s="5" t="n">
        <v>184632</v>
      </c>
      <c r="J247" s="11" t="n">
        <f aca="false">IF(I247=0,0,C247/I247)</f>
        <v>0.702321374409637</v>
      </c>
      <c r="K247" s="11" t="n">
        <f aca="false">IF(I247=0,0,D247/I247)</f>
        <v>0.193205944798302</v>
      </c>
      <c r="L247" s="11" t="n">
        <f aca="false">IF(I247=0,0,E247/I247)</f>
        <v>0.0748624290480524</v>
      </c>
      <c r="M247" s="11" t="n">
        <f aca="false">IF(I247=0,0,H247/I247)</f>
        <v>0.0291173794358508</v>
      </c>
      <c r="N247" s="4" t="str">
        <f aca="false">INDEX($C$3:$F$3,MATCH(MAX(C247:F247),C247:F247,0))</f>
        <v>Sigamos Haciendo Historia (PVEM-PT-Morena)</v>
      </c>
      <c r="O247" s="17" t="n">
        <f aca="false">IF(I247=0,0,(MAX(C247:F247)-LARGE(C247:F247,2))/I247*100)</f>
        <v>50.9115429611335</v>
      </c>
      <c r="P247" s="4" t="s">
        <v>20</v>
      </c>
      <c r="Q247" s="4" t="s">
        <v>21</v>
      </c>
    </row>
    <row r="248" customFormat="false" ht="15" hidden="false" customHeight="false" outlineLevel="0" collapsed="false">
      <c r="A248" s="4" t="s">
        <v>78</v>
      </c>
      <c r="B248" s="4" t="n">
        <v>5</v>
      </c>
      <c r="C248" s="5" t="n">
        <v>112975</v>
      </c>
      <c r="D248" s="5" t="n">
        <v>65300</v>
      </c>
      <c r="E248" s="5" t="n">
        <v>14982</v>
      </c>
      <c r="F248" s="5" t="n">
        <v>0</v>
      </c>
      <c r="G248" s="5" t="n">
        <v>157</v>
      </c>
      <c r="H248" s="5" t="n">
        <v>4126</v>
      </c>
      <c r="I248" s="5" t="n">
        <v>197540</v>
      </c>
      <c r="J248" s="11" t="n">
        <f aca="false">IF(I248=0,0,C248/I248)</f>
        <v>0.571909486686241</v>
      </c>
      <c r="K248" s="11" t="n">
        <f aca="false">IF(I248=0,0,D248/I248)</f>
        <v>0.330565961324289</v>
      </c>
      <c r="L248" s="11" t="n">
        <f aca="false">IF(I248=0,0,E248/I248)</f>
        <v>0.0758428672673889</v>
      </c>
      <c r="M248" s="11" t="n">
        <f aca="false">IF(I248=0,0,H248/I248)</f>
        <v>0.0208869089804597</v>
      </c>
      <c r="N248" s="4" t="str">
        <f aca="false">INDEX($C$3:$F$3,MATCH(MAX(C248:F248),C248:F248,0))</f>
        <v>Sigamos Haciendo Historia (PVEM-PT-Morena)</v>
      </c>
      <c r="O248" s="17" t="n">
        <f aca="false">IF(I248=0,0,(MAX(C248:F248)-LARGE(C248:F248,2))/I248*100)</f>
        <v>24.1343525361952</v>
      </c>
      <c r="P248" s="4" t="s">
        <v>20</v>
      </c>
      <c r="Q248" s="4" t="s">
        <v>21</v>
      </c>
    </row>
    <row r="249" customFormat="false" ht="15" hidden="false" customHeight="false" outlineLevel="0" collapsed="false">
      <c r="A249" s="4" t="s">
        <v>78</v>
      </c>
      <c r="B249" s="4" t="n">
        <v>6</v>
      </c>
      <c r="C249" s="5" t="n">
        <v>113291</v>
      </c>
      <c r="D249" s="5" t="n">
        <v>56908</v>
      </c>
      <c r="E249" s="5" t="n">
        <v>13291</v>
      </c>
      <c r="F249" s="5" t="n">
        <v>0</v>
      </c>
      <c r="G249" s="5" t="n">
        <v>150</v>
      </c>
      <c r="H249" s="5" t="n">
        <v>10348</v>
      </c>
      <c r="I249" s="5" t="n">
        <v>193988</v>
      </c>
      <c r="J249" s="11" t="n">
        <f aca="false">IF(I249=0,0,C249/I249)</f>
        <v>0.584010351155742</v>
      </c>
      <c r="K249" s="11" t="n">
        <f aca="false">IF(I249=0,0,D249/I249)</f>
        <v>0.293358352063014</v>
      </c>
      <c r="L249" s="11" t="n">
        <f aca="false">IF(I249=0,0,E249/I249)</f>
        <v>0.068514547291585</v>
      </c>
      <c r="M249" s="11" t="n">
        <f aca="false">IF(I249=0,0,H249/I249)</f>
        <v>0.0533435057838629</v>
      </c>
      <c r="N249" s="4" t="str">
        <f aca="false">INDEX($C$3:$F$3,MATCH(MAX(C249:F249),C249:F249,0))</f>
        <v>Sigamos Haciendo Historia (PVEM-PT-Morena)</v>
      </c>
      <c r="O249" s="17" t="n">
        <f aca="false">IF(I249=0,0,(MAX(C249:F249)-LARGE(C249:F249,2))/I249*100)</f>
        <v>29.0651999092727</v>
      </c>
      <c r="P249" s="4" t="s">
        <v>22</v>
      </c>
      <c r="Q249" s="4" t="s">
        <v>21</v>
      </c>
    </row>
    <row r="250" customFormat="false" ht="15" hidden="false" customHeight="false" outlineLevel="0" collapsed="false">
      <c r="A250" s="4" t="s">
        <v>78</v>
      </c>
      <c r="B250" s="4" t="n">
        <v>7</v>
      </c>
      <c r="C250" s="5" t="n">
        <v>108408</v>
      </c>
      <c r="D250" s="5" t="n">
        <v>51009</v>
      </c>
      <c r="E250" s="5" t="n">
        <v>11122</v>
      </c>
      <c r="F250" s="5" t="n">
        <v>0</v>
      </c>
      <c r="G250" s="5" t="n">
        <v>141</v>
      </c>
      <c r="H250" s="5" t="n">
        <v>4442</v>
      </c>
      <c r="I250" s="5" t="n">
        <v>175122</v>
      </c>
      <c r="J250" s="11" t="n">
        <f aca="false">IF(I250=0,0,C250/I250)</f>
        <v>0.619042724500634</v>
      </c>
      <c r="K250" s="11" t="n">
        <f aca="false">IF(I250=0,0,D250/I250)</f>
        <v>0.29127693836297</v>
      </c>
      <c r="L250" s="11" t="n">
        <f aca="false">IF(I250=0,0,E250/I250)</f>
        <v>0.0635100101643426</v>
      </c>
      <c r="M250" s="11" t="n">
        <f aca="false">IF(I250=0,0,H250/I250)</f>
        <v>0.0253651739929877</v>
      </c>
      <c r="N250" s="4" t="str">
        <f aca="false">INDEX($C$3:$F$3,MATCH(MAX(C250:F250),C250:F250,0))</f>
        <v>Sigamos Haciendo Historia (PVEM-PT-Morena)</v>
      </c>
      <c r="O250" s="17" t="n">
        <f aca="false">IF(I250=0,0,(MAX(C250:F250)-LARGE(C250:F250,2))/I250*100)</f>
        <v>32.7765786137664</v>
      </c>
      <c r="P250" s="4" t="s">
        <v>20</v>
      </c>
      <c r="Q250" s="4" t="s">
        <v>21</v>
      </c>
    </row>
    <row r="251" customFormat="false" ht="15" hidden="false" customHeight="false" outlineLevel="0" collapsed="false">
      <c r="A251" s="4" t="s">
        <v>79</v>
      </c>
      <c r="B251" s="4" t="n">
        <v>1</v>
      </c>
      <c r="C251" s="5" t="n">
        <v>78945</v>
      </c>
      <c r="D251" s="5" t="n">
        <v>39515</v>
      </c>
      <c r="E251" s="5" t="n">
        <v>21926</v>
      </c>
      <c r="F251" s="5" t="n">
        <v>0</v>
      </c>
      <c r="G251" s="5" t="n">
        <v>141</v>
      </c>
      <c r="H251" s="5" t="n">
        <v>4904</v>
      </c>
      <c r="I251" s="5" t="n">
        <v>145431</v>
      </c>
      <c r="J251" s="11" t="n">
        <f aca="false">IF(I251=0,0,C251/I251)</f>
        <v>0.542834746374569</v>
      </c>
      <c r="K251" s="11" t="n">
        <f aca="false">IF(I251=0,0,D251/I251)</f>
        <v>0.271709607992794</v>
      </c>
      <c r="L251" s="11" t="n">
        <f aca="false">IF(I251=0,0,E251/I251)</f>
        <v>0.150765655190434</v>
      </c>
      <c r="M251" s="11" t="n">
        <f aca="false">IF(I251=0,0,H251/I251)</f>
        <v>0.0337204584992196</v>
      </c>
      <c r="N251" s="4" t="str">
        <f aca="false">INDEX($C$3:$F$3,MATCH(MAX(C251:F251),C251:F251,0))</f>
        <v>Sigamos Haciendo Historia (PVEM-PT-Morena)</v>
      </c>
      <c r="O251" s="17" t="n">
        <f aca="false">IF(I251=0,0,(MAX(C251:F251)-LARGE(C251:F251,2))/I251*100)</f>
        <v>27.1125138381776</v>
      </c>
      <c r="P251" s="4" t="s">
        <v>20</v>
      </c>
      <c r="Q251" s="4" t="s">
        <v>21</v>
      </c>
    </row>
    <row r="252" customFormat="false" ht="15" hidden="false" customHeight="false" outlineLevel="0" collapsed="false">
      <c r="A252" s="4" t="s">
        <v>79</v>
      </c>
      <c r="B252" s="4" t="n">
        <v>2</v>
      </c>
      <c r="C252" s="5" t="n">
        <v>98023</v>
      </c>
      <c r="D252" s="5" t="n">
        <v>40915</v>
      </c>
      <c r="E252" s="5" t="n">
        <v>22220</v>
      </c>
      <c r="F252" s="5" t="n">
        <v>0</v>
      </c>
      <c r="G252" s="5" t="n">
        <v>195</v>
      </c>
      <c r="H252" s="5" t="n">
        <v>6078</v>
      </c>
      <c r="I252" s="5" t="n">
        <v>167431</v>
      </c>
      <c r="J252" s="11" t="n">
        <f aca="false">IF(I252=0,0,C252/I252)</f>
        <v>0.585453112028239</v>
      </c>
      <c r="K252" s="11" t="n">
        <f aca="false">IF(I252=0,0,D252/I252)</f>
        <v>0.244369322287987</v>
      </c>
      <c r="L252" s="11" t="n">
        <f aca="false">IF(I252=0,0,E252/I252)</f>
        <v>0.132711385585704</v>
      </c>
      <c r="M252" s="11" t="n">
        <f aca="false">IF(I252=0,0,H252/I252)</f>
        <v>0.0363015212236683</v>
      </c>
      <c r="N252" s="4" t="str">
        <f aca="false">INDEX($C$3:$F$3,MATCH(MAX(C252:F252),C252:F252,0))</f>
        <v>Sigamos Haciendo Historia (PVEM-PT-Morena)</v>
      </c>
      <c r="O252" s="17" t="n">
        <f aca="false">IF(I252=0,0,(MAX(C252:F252)-LARGE(C252:F252,2))/I252*100)</f>
        <v>34.1083789740251</v>
      </c>
      <c r="P252" s="4" t="s">
        <v>20</v>
      </c>
      <c r="Q252" s="4" t="s">
        <v>21</v>
      </c>
    </row>
    <row r="253" customFormat="false" ht="15" hidden="false" customHeight="false" outlineLevel="0" collapsed="false">
      <c r="A253" s="4" t="s">
        <v>79</v>
      </c>
      <c r="B253" s="4" t="n">
        <v>3</v>
      </c>
      <c r="C253" s="5" t="n">
        <v>95510</v>
      </c>
      <c r="D253" s="5" t="n">
        <v>45974</v>
      </c>
      <c r="E253" s="5" t="n">
        <v>15141</v>
      </c>
      <c r="F253" s="5" t="n">
        <v>0</v>
      </c>
      <c r="G253" s="5" t="n">
        <v>125</v>
      </c>
      <c r="H253" s="5" t="n">
        <v>4201</v>
      </c>
      <c r="I253" s="5" t="n">
        <v>160951</v>
      </c>
      <c r="J253" s="11" t="n">
        <f aca="false">IF(I253=0,0,C253/I253)</f>
        <v>0.593410416834937</v>
      </c>
      <c r="K253" s="11" t="n">
        <f aca="false">IF(I253=0,0,D253/I253)</f>
        <v>0.285639728861579</v>
      </c>
      <c r="L253" s="11" t="n">
        <f aca="false">IF(I253=0,0,E253/I253)</f>
        <v>0.0940721089027095</v>
      </c>
      <c r="M253" s="11" t="n">
        <f aca="false">IF(I253=0,0,H253/I253)</f>
        <v>0.0261011115184124</v>
      </c>
      <c r="N253" s="4" t="str">
        <f aca="false">INDEX($C$3:$F$3,MATCH(MAX(C253:F253),C253:F253,0))</f>
        <v>Sigamos Haciendo Historia (PVEM-PT-Morena)</v>
      </c>
      <c r="O253" s="17" t="n">
        <f aca="false">IF(I253=0,0,(MAX(C253:F253)-LARGE(C253:F253,2))/I253*100)</f>
        <v>30.7770687973358</v>
      </c>
      <c r="P253" s="4" t="s">
        <v>20</v>
      </c>
      <c r="Q253" s="4" t="s">
        <v>21</v>
      </c>
    </row>
    <row r="254" customFormat="false" ht="15" hidden="false" customHeight="false" outlineLevel="0" collapsed="false">
      <c r="A254" s="4" t="s">
        <v>79</v>
      </c>
      <c r="B254" s="4" t="n">
        <v>4</v>
      </c>
      <c r="C254" s="5" t="n">
        <v>105524</v>
      </c>
      <c r="D254" s="5" t="n">
        <v>44064</v>
      </c>
      <c r="E254" s="5" t="n">
        <v>15326</v>
      </c>
      <c r="F254" s="5" t="n">
        <v>0</v>
      </c>
      <c r="G254" s="5" t="n">
        <v>72</v>
      </c>
      <c r="H254" s="5" t="n">
        <v>6067</v>
      </c>
      <c r="I254" s="5" t="n">
        <v>171053</v>
      </c>
      <c r="J254" s="11" t="n">
        <f aca="false">IF(I254=0,0,C254/I254)</f>
        <v>0.616908209736164</v>
      </c>
      <c r="K254" s="11" t="n">
        <f aca="false">IF(I254=0,0,D254/I254)</f>
        <v>0.257604368236745</v>
      </c>
      <c r="L254" s="11" t="n">
        <f aca="false">IF(I254=0,0,E254/I254)</f>
        <v>0.0895979608659304</v>
      </c>
      <c r="M254" s="11" t="n">
        <f aca="false">IF(I254=0,0,H254/I254)</f>
        <v>0.0354685389908391</v>
      </c>
      <c r="N254" s="4" t="str">
        <f aca="false">INDEX($C$3:$F$3,MATCH(MAX(C254:F254),C254:F254,0))</f>
        <v>Sigamos Haciendo Historia (PVEM-PT-Morena)</v>
      </c>
      <c r="O254" s="17" t="n">
        <f aca="false">IF(I254=0,0,(MAX(C254:F254)-LARGE(C254:F254,2))/I254*100)</f>
        <v>35.9303841499418</v>
      </c>
      <c r="P254" s="4" t="s">
        <v>20</v>
      </c>
      <c r="Q254" s="4" t="s">
        <v>21</v>
      </c>
    </row>
    <row r="255" customFormat="false" ht="15" hidden="false" customHeight="false" outlineLevel="0" collapsed="false">
      <c r="A255" s="4" t="s">
        <v>79</v>
      </c>
      <c r="B255" s="4" t="n">
        <v>5</v>
      </c>
      <c r="C255" s="5" t="n">
        <v>91112</v>
      </c>
      <c r="D255" s="5" t="n">
        <v>78726</v>
      </c>
      <c r="E255" s="5" t="n">
        <v>15742</v>
      </c>
      <c r="F255" s="5" t="n">
        <v>0</v>
      </c>
      <c r="G255" s="5" t="n">
        <v>135</v>
      </c>
      <c r="H255" s="5" t="n">
        <v>3905</v>
      </c>
      <c r="I255" s="5" t="n">
        <v>189620</v>
      </c>
      <c r="J255" s="11" t="n">
        <f aca="false">IF(I255=0,0,C255/I255)</f>
        <v>0.480497837780825</v>
      </c>
      <c r="K255" s="11" t="n">
        <f aca="false">IF(I255=0,0,D255/I255)</f>
        <v>0.41517772386879</v>
      </c>
      <c r="L255" s="11" t="n">
        <f aca="false">IF(I255=0,0,E255/I255)</f>
        <v>0.0830186689167809</v>
      </c>
      <c r="M255" s="11" t="n">
        <f aca="false">IF(I255=0,0,H255/I255)</f>
        <v>0.0205938192173821</v>
      </c>
      <c r="N255" s="4" t="str">
        <f aca="false">INDEX($C$3:$F$3,MATCH(MAX(C255:F255),C255:F255,0))</f>
        <v>Sigamos Haciendo Historia (PVEM-PT-Morena)</v>
      </c>
      <c r="O255" s="17" t="n">
        <f aca="false">IF(I255=0,0,(MAX(C255:F255)-LARGE(C255:F255,2))/I255*100)</f>
        <v>6.53201139120346</v>
      </c>
      <c r="P255" s="4" t="s">
        <v>20</v>
      </c>
      <c r="Q255" s="4" t="s">
        <v>21</v>
      </c>
    </row>
    <row r="256" customFormat="false" ht="15" hidden="false" customHeight="false" outlineLevel="0" collapsed="false">
      <c r="A256" s="4" t="s">
        <v>79</v>
      </c>
      <c r="B256" s="4" t="n">
        <v>6</v>
      </c>
      <c r="C256" s="5" t="n">
        <v>113574</v>
      </c>
      <c r="D256" s="5" t="n">
        <v>33730</v>
      </c>
      <c r="E256" s="5" t="n">
        <v>20330</v>
      </c>
      <c r="F256" s="5" t="n">
        <v>0</v>
      </c>
      <c r="G256" s="5" t="n">
        <v>108</v>
      </c>
      <c r="H256" s="5" t="n">
        <v>3490</v>
      </c>
      <c r="I256" s="5" t="n">
        <v>171232</v>
      </c>
      <c r="J256" s="11" t="n">
        <f aca="false">IF(I256=0,0,C256/I256)</f>
        <v>0.663275555970847</v>
      </c>
      <c r="K256" s="11" t="n">
        <f aca="false">IF(I256=0,0,D256/I256)</f>
        <v>0.196984208559148</v>
      </c>
      <c r="L256" s="11" t="n">
        <f aca="false">IF(I256=0,0,E256/I256)</f>
        <v>0.118727807886376</v>
      </c>
      <c r="M256" s="11" t="n">
        <f aca="false">IF(I256=0,0,H256/I256)</f>
        <v>0.0203817043543263</v>
      </c>
      <c r="N256" s="4" t="str">
        <f aca="false">INDEX($C$3:$F$3,MATCH(MAX(C256:F256),C256:F256,0))</f>
        <v>Sigamos Haciendo Historia (PVEM-PT-Morena)</v>
      </c>
      <c r="O256" s="17" t="n">
        <f aca="false">IF(I256=0,0,(MAX(C256:F256)-LARGE(C256:F256,2))/I256*100)</f>
        <v>46.6291347411699</v>
      </c>
      <c r="P256" s="4" t="s">
        <v>20</v>
      </c>
      <c r="Q256" s="4" t="s">
        <v>21</v>
      </c>
    </row>
    <row r="257" customFormat="false" ht="15" hidden="false" customHeight="false" outlineLevel="0" collapsed="false">
      <c r="A257" s="4" t="s">
        <v>79</v>
      </c>
      <c r="B257" s="4" t="n">
        <v>7</v>
      </c>
      <c r="C257" s="5" t="n">
        <v>106256</v>
      </c>
      <c r="D257" s="5" t="n">
        <v>30846</v>
      </c>
      <c r="E257" s="5" t="n">
        <v>14992</v>
      </c>
      <c r="F257" s="5" t="n">
        <v>0</v>
      </c>
      <c r="G257" s="5" t="n">
        <v>51</v>
      </c>
      <c r="H257" s="5" t="n">
        <v>4802</v>
      </c>
      <c r="I257" s="5" t="n">
        <v>156947</v>
      </c>
      <c r="J257" s="11" t="n">
        <f aca="false">IF(I257=0,0,C257/I257)</f>
        <v>0.677018356515257</v>
      </c>
      <c r="K257" s="11" t="n">
        <f aca="false">IF(I257=0,0,D257/I257)</f>
        <v>0.196537684696108</v>
      </c>
      <c r="L257" s="11" t="n">
        <f aca="false">IF(I257=0,0,E257/I257)</f>
        <v>0.0955226923738587</v>
      </c>
      <c r="M257" s="11" t="n">
        <f aca="false">IF(I257=0,0,H257/I257)</f>
        <v>0.0305963159537933</v>
      </c>
      <c r="N257" s="4" t="str">
        <f aca="false">INDEX($C$3:$F$3,MATCH(MAX(C257:F257),C257:F257,0))</f>
        <v>Sigamos Haciendo Historia (PVEM-PT-Morena)</v>
      </c>
      <c r="O257" s="17" t="n">
        <f aca="false">IF(I257=0,0,(MAX(C257:F257)-LARGE(C257:F257,2))/I257*100)</f>
        <v>48.0480671819149</v>
      </c>
      <c r="P257" s="4" t="s">
        <v>20</v>
      </c>
      <c r="Q257" s="4" t="s">
        <v>21</v>
      </c>
    </row>
    <row r="258" customFormat="false" ht="15" hidden="false" customHeight="false" outlineLevel="0" collapsed="false">
      <c r="A258" s="4" t="s">
        <v>80</v>
      </c>
      <c r="B258" s="4" t="n">
        <v>1</v>
      </c>
      <c r="C258" s="5" t="n">
        <v>116007</v>
      </c>
      <c r="D258" s="5" t="n">
        <v>17909</v>
      </c>
      <c r="E258" s="5" t="n">
        <v>12934</v>
      </c>
      <c r="F258" s="5" t="n">
        <v>0</v>
      </c>
      <c r="G258" s="5" t="n">
        <v>74</v>
      </c>
      <c r="H258" s="5" t="n">
        <v>10310</v>
      </c>
      <c r="I258" s="5" t="n">
        <v>157234</v>
      </c>
      <c r="J258" s="11" t="n">
        <f aca="false">IF(I258=0,0,C258/I258)</f>
        <v>0.73779844054085</v>
      </c>
      <c r="K258" s="11" t="n">
        <f aca="false">IF(I258=0,0,D258/I258)</f>
        <v>0.113900301461516</v>
      </c>
      <c r="L258" s="11" t="n">
        <f aca="false">IF(I258=0,0,E258/I258)</f>
        <v>0.0822595621812076</v>
      </c>
      <c r="M258" s="11" t="n">
        <f aca="false">IF(I258=0,0,H258/I258)</f>
        <v>0.0655710596944681</v>
      </c>
      <c r="N258" s="4" t="str">
        <f aca="false">INDEX($C$3:$F$3,MATCH(MAX(C258:F258),C258:F258,0))</f>
        <v>Sigamos Haciendo Historia (PVEM-PT-Morena)</v>
      </c>
      <c r="O258" s="17" t="n">
        <f aca="false">IF(I258=0,0,(MAX(C258:F258)-LARGE(C258:F258,2))/I258*100)</f>
        <v>62.3898139079334</v>
      </c>
      <c r="P258" s="4" t="s">
        <v>22</v>
      </c>
      <c r="Q258" s="4" t="s">
        <v>21</v>
      </c>
    </row>
    <row r="259" customFormat="false" ht="15" hidden="false" customHeight="false" outlineLevel="0" collapsed="false">
      <c r="A259" s="4" t="s">
        <v>80</v>
      </c>
      <c r="B259" s="4" t="n">
        <v>2</v>
      </c>
      <c r="C259" s="5" t="n">
        <v>131858</v>
      </c>
      <c r="D259" s="5" t="n">
        <v>29182</v>
      </c>
      <c r="E259" s="5" t="n">
        <v>12359</v>
      </c>
      <c r="F259" s="5" t="n">
        <v>0</v>
      </c>
      <c r="G259" s="5" t="n">
        <v>134</v>
      </c>
      <c r="H259" s="5" t="n">
        <v>11817</v>
      </c>
      <c r="I259" s="5" t="n">
        <v>185350</v>
      </c>
      <c r="J259" s="11" t="n">
        <f aca="false">IF(I259=0,0,C259/I259)</f>
        <v>0.711400053951983</v>
      </c>
      <c r="K259" s="11" t="n">
        <f aca="false">IF(I259=0,0,D259/I259)</f>
        <v>0.157442676018344</v>
      </c>
      <c r="L259" s="11" t="n">
        <f aca="false">IF(I259=0,0,E259/I259)</f>
        <v>0.0666792554626383</v>
      </c>
      <c r="M259" s="11" t="n">
        <f aca="false">IF(I259=0,0,H259/I259)</f>
        <v>0.0637550579983814</v>
      </c>
      <c r="N259" s="4" t="str">
        <f aca="false">INDEX($C$3:$F$3,MATCH(MAX(C259:F259),C259:F259,0))</f>
        <v>Sigamos Haciendo Historia (PVEM-PT-Morena)</v>
      </c>
      <c r="O259" s="17" t="n">
        <f aca="false">IF(I259=0,0,(MAX(C259:F259)-LARGE(C259:F259,2))/I259*100)</f>
        <v>55.3957377933639</v>
      </c>
      <c r="P259" s="4" t="s">
        <v>22</v>
      </c>
      <c r="Q259" s="4" t="s">
        <v>21</v>
      </c>
    </row>
    <row r="260" customFormat="false" ht="15" hidden="false" customHeight="false" outlineLevel="0" collapsed="false">
      <c r="A260" s="4" t="s">
        <v>80</v>
      </c>
      <c r="B260" s="4" t="n">
        <v>3</v>
      </c>
      <c r="C260" s="5" t="n">
        <v>120944</v>
      </c>
      <c r="D260" s="5" t="n">
        <v>34242</v>
      </c>
      <c r="E260" s="5" t="n">
        <v>7217</v>
      </c>
      <c r="F260" s="5" t="n">
        <v>0</v>
      </c>
      <c r="G260" s="5" t="n">
        <v>102</v>
      </c>
      <c r="H260" s="5" t="n">
        <v>10146</v>
      </c>
      <c r="I260" s="5" t="n">
        <v>172651</v>
      </c>
      <c r="J260" s="11" t="n">
        <f aca="false">IF(I260=0,0,C260/I260)</f>
        <v>0.700511436365848</v>
      </c>
      <c r="K260" s="11" t="n">
        <f aca="false">IF(I260=0,0,D260/I260)</f>
        <v>0.198330736572623</v>
      </c>
      <c r="L260" s="11" t="n">
        <f aca="false">IF(I260=0,0,E260/I260)</f>
        <v>0.041801090060295</v>
      </c>
      <c r="M260" s="11" t="n">
        <f aca="false">IF(I260=0,0,H260/I260)</f>
        <v>0.0587659498062566</v>
      </c>
      <c r="N260" s="4" t="str">
        <f aca="false">INDEX($C$3:$F$3,MATCH(MAX(C260:F260),C260:F260,0))</f>
        <v>Sigamos Haciendo Historia (PVEM-PT-Morena)</v>
      </c>
      <c r="O260" s="17" t="n">
        <f aca="false">IF(I260=0,0,(MAX(C260:F260)-LARGE(C260:F260,2))/I260*100)</f>
        <v>50.2180699793224</v>
      </c>
      <c r="P260" s="4" t="s">
        <v>22</v>
      </c>
      <c r="Q260" s="4" t="s">
        <v>21</v>
      </c>
    </row>
    <row r="261" customFormat="false" ht="15" hidden="false" customHeight="false" outlineLevel="0" collapsed="false">
      <c r="A261" s="4" t="s">
        <v>80</v>
      </c>
      <c r="B261" s="4" t="n">
        <v>4</v>
      </c>
      <c r="C261" s="5" t="n">
        <v>145909</v>
      </c>
      <c r="D261" s="5" t="n">
        <v>25127</v>
      </c>
      <c r="E261" s="5" t="n">
        <v>14002</v>
      </c>
      <c r="F261" s="5" t="n">
        <v>0</v>
      </c>
      <c r="G261" s="5" t="n">
        <v>229</v>
      </c>
      <c r="H261" s="5" t="n">
        <v>12952</v>
      </c>
      <c r="I261" s="5" t="n">
        <v>198219</v>
      </c>
      <c r="J261" s="11" t="n">
        <f aca="false">IF(I261=0,0,C261/I261)</f>
        <v>0.736099970234942</v>
      </c>
      <c r="K261" s="11" t="n">
        <f aca="false">IF(I261=0,0,D261/I261)</f>
        <v>0.126763831923277</v>
      </c>
      <c r="L261" s="11" t="n">
        <f aca="false">IF(I261=0,0,E261/I261)</f>
        <v>0.070639040657051</v>
      </c>
      <c r="M261" s="11" t="n">
        <f aca="false">IF(I261=0,0,H261/I261)</f>
        <v>0.0653418693465309</v>
      </c>
      <c r="N261" s="4" t="str">
        <f aca="false">INDEX($C$3:$F$3,MATCH(MAX(C261:F261),C261:F261,0))</f>
        <v>Sigamos Haciendo Historia (PVEM-PT-Morena)</v>
      </c>
      <c r="O261" s="17" t="n">
        <f aca="false">IF(I261=0,0,(MAX(C261:F261)-LARGE(C261:F261,2))/I261*100)</f>
        <v>60.9336138311665</v>
      </c>
      <c r="P261" s="4" t="s">
        <v>22</v>
      </c>
      <c r="Q261" s="4" t="s">
        <v>21</v>
      </c>
    </row>
    <row r="262" customFormat="false" ht="15" hidden="false" customHeight="false" outlineLevel="0" collapsed="false">
      <c r="A262" s="4" t="s">
        <v>80</v>
      </c>
      <c r="B262" s="4" t="n">
        <v>5</v>
      </c>
      <c r="C262" s="5" t="n">
        <v>160588</v>
      </c>
      <c r="D262" s="5" t="n">
        <v>23491</v>
      </c>
      <c r="E262" s="5" t="n">
        <v>17471</v>
      </c>
      <c r="F262" s="5" t="n">
        <v>0</v>
      </c>
      <c r="G262" s="5" t="n">
        <v>93</v>
      </c>
      <c r="H262" s="5" t="n">
        <v>12325</v>
      </c>
      <c r="I262" s="5" t="n">
        <v>213968</v>
      </c>
      <c r="J262" s="11" t="n">
        <f aca="false">IF(I262=0,0,C262/I262)</f>
        <v>0.750523442757796</v>
      </c>
      <c r="K262" s="11" t="n">
        <f aca="false">IF(I262=0,0,D262/I262)</f>
        <v>0.109787444851567</v>
      </c>
      <c r="L262" s="11" t="n">
        <f aca="false">IF(I262=0,0,E262/I262)</f>
        <v>0.0816523966200553</v>
      </c>
      <c r="M262" s="11" t="n">
        <f aca="false">IF(I262=0,0,H262/I262)</f>
        <v>0.0576020713377701</v>
      </c>
      <c r="N262" s="4" t="str">
        <f aca="false">INDEX($C$3:$F$3,MATCH(MAX(C262:F262),C262:F262,0))</f>
        <v>Sigamos Haciendo Historia (PVEM-PT-Morena)</v>
      </c>
      <c r="O262" s="17" t="n">
        <f aca="false">IF(I262=0,0,(MAX(C262:F262)-LARGE(C262:F262,2))/I262*100)</f>
        <v>64.0735997906229</v>
      </c>
      <c r="P262" s="4" t="s">
        <v>22</v>
      </c>
      <c r="Q262" s="4" t="s">
        <v>21</v>
      </c>
    </row>
    <row r="263" customFormat="false" ht="15" hidden="false" customHeight="false" outlineLevel="0" collapsed="false">
      <c r="A263" s="4" t="s">
        <v>80</v>
      </c>
      <c r="B263" s="4" t="n">
        <v>6</v>
      </c>
      <c r="C263" s="5" t="n">
        <v>135711</v>
      </c>
      <c r="D263" s="5" t="n">
        <v>15136</v>
      </c>
      <c r="E263" s="5" t="n">
        <v>17264</v>
      </c>
      <c r="F263" s="5" t="n">
        <v>0</v>
      </c>
      <c r="G263" s="5" t="n">
        <v>111</v>
      </c>
      <c r="H263" s="5" t="n">
        <v>12111</v>
      </c>
      <c r="I263" s="5" t="n">
        <v>180333</v>
      </c>
      <c r="J263" s="11" t="n">
        <f aca="false">IF(I263=0,0,C263/I263)</f>
        <v>0.752557768128962</v>
      </c>
      <c r="K263" s="11" t="n">
        <f aca="false">IF(I263=0,0,D263/I263)</f>
        <v>0.0839336117072305</v>
      </c>
      <c r="L263" s="11" t="n">
        <f aca="false">IF(I263=0,0,E263/I263)</f>
        <v>0.0957340032051815</v>
      </c>
      <c r="M263" s="11" t="n">
        <f aca="false">IF(I263=0,0,H263/I263)</f>
        <v>0.0671590890186488</v>
      </c>
      <c r="N263" s="4" t="str">
        <f aca="false">INDEX($C$3:$F$3,MATCH(MAX(C263:F263),C263:F263,0))</f>
        <v>Sigamos Haciendo Historia (PVEM-PT-Morena)</v>
      </c>
      <c r="O263" s="17" t="n">
        <f aca="false">IF(I263=0,0,(MAX(C263:F263)-LARGE(C263:F263,2))/I263*100)</f>
        <v>65.682376492378</v>
      </c>
      <c r="P263" s="4" t="s">
        <v>22</v>
      </c>
      <c r="Q263" s="4" t="s">
        <v>10</v>
      </c>
    </row>
    <row r="264" customFormat="false" ht="15" hidden="false" customHeight="false" outlineLevel="0" collapsed="false">
      <c r="A264" s="4" t="s">
        <v>81</v>
      </c>
      <c r="B264" s="4" t="n">
        <v>1</v>
      </c>
      <c r="C264" s="5" t="n">
        <v>101216</v>
      </c>
      <c r="D264" s="5" t="n">
        <v>80779</v>
      </c>
      <c r="E264" s="5" t="n">
        <v>7221</v>
      </c>
      <c r="F264" s="5" t="n">
        <v>0</v>
      </c>
      <c r="G264" s="5" t="n">
        <v>60</v>
      </c>
      <c r="H264" s="5" t="n">
        <v>3705</v>
      </c>
      <c r="I264" s="5" t="n">
        <v>192981</v>
      </c>
      <c r="J264" s="11" t="n">
        <f aca="false">IF(I264=0,0,C264/I264)</f>
        <v>0.524486866582721</v>
      </c>
      <c r="K264" s="11" t="n">
        <f aca="false">IF(I264=0,0,D264/I264)</f>
        <v>0.418585249325063</v>
      </c>
      <c r="L264" s="11" t="n">
        <f aca="false">IF(I264=0,0,E264/I264)</f>
        <v>0.0374181914281717</v>
      </c>
      <c r="M264" s="11" t="n">
        <f aca="false">IF(I264=0,0,H264/I264)</f>
        <v>0.0191987812271674</v>
      </c>
      <c r="N264" s="4" t="str">
        <f aca="false">INDEX($C$3:$F$3,MATCH(MAX(C264:F264),C264:F264,0))</f>
        <v>Sigamos Haciendo Historia (PVEM-PT-Morena)</v>
      </c>
      <c r="O264" s="17" t="n">
        <f aca="false">IF(I264=0,0,(MAX(C264:F264)-LARGE(C264:F264,2))/I264*100)</f>
        <v>10.5901617257658</v>
      </c>
      <c r="P264" s="4" t="s">
        <v>20</v>
      </c>
      <c r="Q264" s="4" t="s">
        <v>21</v>
      </c>
    </row>
    <row r="265" customFormat="false" ht="15" hidden="false" customHeight="false" outlineLevel="0" collapsed="false">
      <c r="A265" s="4" t="s">
        <v>81</v>
      </c>
      <c r="B265" s="4" t="n">
        <v>2</v>
      </c>
      <c r="C265" s="5" t="n">
        <v>111858</v>
      </c>
      <c r="D265" s="5" t="n">
        <v>37807</v>
      </c>
      <c r="E265" s="5" t="n">
        <v>17087</v>
      </c>
      <c r="F265" s="5" t="n">
        <v>0</v>
      </c>
      <c r="G265" s="5" t="n">
        <v>107</v>
      </c>
      <c r="H265" s="5" t="n">
        <v>4449</v>
      </c>
      <c r="I265" s="5" t="n">
        <v>171308</v>
      </c>
      <c r="J265" s="11" t="n">
        <f aca="false">IF(I265=0,0,C265/I265)</f>
        <v>0.652964251523572</v>
      </c>
      <c r="K265" s="11" t="n">
        <f aca="false">IF(I265=0,0,D265/I265)</f>
        <v>0.220696056226212</v>
      </c>
      <c r="L265" s="11" t="n">
        <f aca="false">IF(I265=0,0,E265/I265)</f>
        <v>0.0997443201718542</v>
      </c>
      <c r="M265" s="11" t="n">
        <f aca="false">IF(I265=0,0,H265/I265)</f>
        <v>0.0259707661054942</v>
      </c>
      <c r="N265" s="4" t="str">
        <f aca="false">INDEX($C$3:$F$3,MATCH(MAX(C265:F265),C265:F265,0))</f>
        <v>Sigamos Haciendo Historia (PVEM-PT-Morena)</v>
      </c>
      <c r="O265" s="17" t="n">
        <f aca="false">IF(I265=0,0,(MAX(C265:F265)-LARGE(C265:F265,2))/I265*100)</f>
        <v>43.2268195297359</v>
      </c>
      <c r="P265" s="4" t="s">
        <v>20</v>
      </c>
      <c r="Q265" s="4" t="s">
        <v>21</v>
      </c>
    </row>
    <row r="266" customFormat="false" ht="15" hidden="false" customHeight="false" outlineLevel="0" collapsed="false">
      <c r="A266" s="4" t="s">
        <v>81</v>
      </c>
      <c r="B266" s="4" t="n">
        <v>3</v>
      </c>
      <c r="C266" s="5" t="n">
        <v>118330</v>
      </c>
      <c r="D266" s="5" t="n">
        <v>61437</v>
      </c>
      <c r="E266" s="5" t="n">
        <v>13704</v>
      </c>
      <c r="F266" s="5" t="n">
        <v>0</v>
      </c>
      <c r="G266" s="5" t="n">
        <v>115</v>
      </c>
      <c r="H266" s="5" t="n">
        <v>6703</v>
      </c>
      <c r="I266" s="5" t="n">
        <v>200289</v>
      </c>
      <c r="J266" s="11" t="n">
        <f aca="false">IF(I266=0,0,C266/I266)</f>
        <v>0.590796299347443</v>
      </c>
      <c r="K266" s="11" t="n">
        <f aca="false">IF(I266=0,0,D266/I266)</f>
        <v>0.30674175815946</v>
      </c>
      <c r="L266" s="11" t="n">
        <f aca="false">IF(I266=0,0,E266/I266)</f>
        <v>0.068421131465033</v>
      </c>
      <c r="M266" s="11" t="n">
        <f aca="false">IF(I266=0,0,H266/I266)</f>
        <v>0.0334666407041825</v>
      </c>
      <c r="N266" s="4" t="str">
        <f aca="false">INDEX($C$3:$F$3,MATCH(MAX(C266:F266),C266:F266,0))</f>
        <v>Sigamos Haciendo Historia (PVEM-PT-Morena)</v>
      </c>
      <c r="O266" s="17" t="n">
        <f aca="false">IF(I266=0,0,(MAX(C266:F266)-LARGE(C266:F266,2))/I266*100)</f>
        <v>28.4054541187983</v>
      </c>
      <c r="P266" s="4" t="s">
        <v>20</v>
      </c>
      <c r="Q266" s="4" t="s">
        <v>21</v>
      </c>
    </row>
    <row r="267" customFormat="false" ht="15" hidden="false" customHeight="false" outlineLevel="0" collapsed="false">
      <c r="A267" s="4" t="s">
        <v>81</v>
      </c>
      <c r="B267" s="4" t="n">
        <v>4</v>
      </c>
      <c r="C267" s="5" t="n">
        <v>99421</v>
      </c>
      <c r="D267" s="5" t="n">
        <v>43526</v>
      </c>
      <c r="E267" s="5" t="n">
        <v>31378</v>
      </c>
      <c r="F267" s="5" t="n">
        <v>0</v>
      </c>
      <c r="G267" s="5" t="n">
        <v>501</v>
      </c>
      <c r="H267" s="5" t="n">
        <v>6014</v>
      </c>
      <c r="I267" s="5" t="n">
        <v>180840</v>
      </c>
      <c r="J267" s="11" t="n">
        <f aca="false">IF(I267=0,0,C267/I267)</f>
        <v>0.549773280247733</v>
      </c>
      <c r="K267" s="11" t="n">
        <f aca="false">IF(I267=0,0,D267/I267)</f>
        <v>0.240687900906879</v>
      </c>
      <c r="L267" s="11" t="n">
        <f aca="false">IF(I267=0,0,E267/I267)</f>
        <v>0.173512497235125</v>
      </c>
      <c r="M267" s="11" t="n">
        <f aca="false">IF(I267=0,0,H267/I267)</f>
        <v>0.0332559168325592</v>
      </c>
      <c r="N267" s="4" t="str">
        <f aca="false">INDEX($C$3:$F$3,MATCH(MAX(C267:F267),C267:F267,0))</f>
        <v>Sigamos Haciendo Historia (PVEM-PT-Morena)</v>
      </c>
      <c r="O267" s="17" t="n">
        <f aca="false">IF(I267=0,0,(MAX(C267:F267)-LARGE(C267:F267,2))/I267*100)</f>
        <v>30.9085379340854</v>
      </c>
      <c r="P267" s="4" t="s">
        <v>20</v>
      </c>
      <c r="Q267" s="4" t="s">
        <v>21</v>
      </c>
    </row>
    <row r="268" customFormat="false" ht="15" hidden="false" customHeight="false" outlineLevel="0" collapsed="false">
      <c r="A268" s="4" t="s">
        <v>81</v>
      </c>
      <c r="B268" s="4" t="n">
        <v>5</v>
      </c>
      <c r="C268" s="5" t="n">
        <v>141857</v>
      </c>
      <c r="D268" s="5" t="n">
        <v>63909</v>
      </c>
      <c r="E268" s="5" t="n">
        <v>17995</v>
      </c>
      <c r="F268" s="5" t="n">
        <v>0</v>
      </c>
      <c r="G268" s="5" t="n">
        <v>140</v>
      </c>
      <c r="H268" s="5" t="n">
        <v>7714</v>
      </c>
      <c r="I268" s="5" t="n">
        <v>231615</v>
      </c>
      <c r="J268" s="11" t="n">
        <f aca="false">IF(I268=0,0,C268/I268)</f>
        <v>0.612468967899316</v>
      </c>
      <c r="K268" s="11" t="n">
        <f aca="false">IF(I268=0,0,D268/I268)</f>
        <v>0.275927724888284</v>
      </c>
      <c r="L268" s="11" t="n">
        <f aca="false">IF(I268=0,0,E268/I268)</f>
        <v>0.0776935863393994</v>
      </c>
      <c r="M268" s="11" t="n">
        <f aca="false">IF(I268=0,0,H268/I268)</f>
        <v>0.0333052695205406</v>
      </c>
      <c r="N268" s="4" t="str">
        <f aca="false">INDEX($C$3:$F$3,MATCH(MAX(C268:F268),C268:F268,0))</f>
        <v>Sigamos Haciendo Historia (PVEM-PT-Morena)</v>
      </c>
      <c r="O268" s="17" t="n">
        <f aca="false">IF(I268=0,0,(MAX(C268:F268)-LARGE(C268:F268,2))/I268*100)</f>
        <v>33.6541243011031</v>
      </c>
      <c r="P268" s="4" t="s">
        <v>20</v>
      </c>
      <c r="Q268" s="4" t="s">
        <v>21</v>
      </c>
    </row>
    <row r="269" customFormat="false" ht="15" hidden="false" customHeight="false" outlineLevel="0" collapsed="false">
      <c r="A269" s="4" t="s">
        <v>81</v>
      </c>
      <c r="B269" s="4" t="n">
        <v>6</v>
      </c>
      <c r="C269" s="5" t="n">
        <v>139279</v>
      </c>
      <c r="D269" s="5" t="n">
        <v>65657</v>
      </c>
      <c r="E269" s="5" t="n">
        <v>12853</v>
      </c>
      <c r="F269" s="5" t="n">
        <v>0</v>
      </c>
      <c r="G269" s="5" t="n">
        <v>120</v>
      </c>
      <c r="H269" s="5" t="n">
        <v>6412</v>
      </c>
      <c r="I269" s="5" t="n">
        <v>224321</v>
      </c>
      <c r="J269" s="11" t="n">
        <f aca="false">IF(I269=0,0,C269/I269)</f>
        <v>0.620891490319676</v>
      </c>
      <c r="K269" s="11" t="n">
        <f aca="false">IF(I269=0,0,D269/I269)</f>
        <v>0.292692168811658</v>
      </c>
      <c r="L269" s="11" t="n">
        <f aca="false">IF(I269=0,0,E269/I269)</f>
        <v>0.0572973551294796</v>
      </c>
      <c r="M269" s="11" t="n">
        <f aca="false">IF(I269=0,0,H269/I269)</f>
        <v>0.0285840380526121</v>
      </c>
      <c r="N269" s="4" t="str">
        <f aca="false">INDEX($C$3:$F$3,MATCH(MAX(C269:F269),C269:F269,0))</f>
        <v>Sigamos Haciendo Historia (PVEM-PT-Morena)</v>
      </c>
      <c r="O269" s="17" t="n">
        <f aca="false">IF(I269=0,0,(MAX(C269:F269)-LARGE(C269:F269,2))/I269*100)</f>
        <v>32.8199321508018</v>
      </c>
      <c r="P269" s="4" t="s">
        <v>20</v>
      </c>
      <c r="Q269" s="4" t="s">
        <v>21</v>
      </c>
    </row>
    <row r="270" customFormat="false" ht="15" hidden="false" customHeight="false" outlineLevel="0" collapsed="false">
      <c r="A270" s="4" t="s">
        <v>81</v>
      </c>
      <c r="B270" s="4" t="n">
        <v>7</v>
      </c>
      <c r="C270" s="5" t="n">
        <v>97505</v>
      </c>
      <c r="D270" s="5" t="n">
        <v>31670</v>
      </c>
      <c r="E270" s="5" t="n">
        <v>15181</v>
      </c>
      <c r="F270" s="5" t="n">
        <v>0</v>
      </c>
      <c r="G270" s="5" t="n">
        <v>96</v>
      </c>
      <c r="H270" s="5" t="n">
        <v>3793</v>
      </c>
      <c r="I270" s="5" t="n">
        <v>148245</v>
      </c>
      <c r="J270" s="11" t="n">
        <f aca="false">IF(I270=0,0,C270/I270)</f>
        <v>0.657728759823266</v>
      </c>
      <c r="K270" s="11" t="n">
        <f aca="false">IF(I270=0,0,D270/I270)</f>
        <v>0.213632837532463</v>
      </c>
      <c r="L270" s="11" t="n">
        <f aca="false">IF(I270=0,0,E270/I270)</f>
        <v>0.10240480286013</v>
      </c>
      <c r="M270" s="11" t="n">
        <f aca="false">IF(I270=0,0,H270/I270)</f>
        <v>0.0255860231373739</v>
      </c>
      <c r="N270" s="4" t="str">
        <f aca="false">INDEX($C$3:$F$3,MATCH(MAX(C270:F270),C270:F270,0))</f>
        <v>Sigamos Haciendo Historia (PVEM-PT-Morena)</v>
      </c>
      <c r="O270" s="17" t="n">
        <f aca="false">IF(I270=0,0,(MAX(C270:F270)-LARGE(C270:F270,2))/I270*100)</f>
        <v>44.4095922290802</v>
      </c>
      <c r="P270" s="4" t="s">
        <v>20</v>
      </c>
      <c r="Q270" s="4" t="s">
        <v>21</v>
      </c>
    </row>
    <row r="271" customFormat="false" ht="15" hidden="false" customHeight="false" outlineLevel="0" collapsed="false">
      <c r="A271" s="4" t="s">
        <v>81</v>
      </c>
      <c r="B271" s="4" t="n">
        <v>8</v>
      </c>
      <c r="C271" s="5" t="n">
        <v>123321</v>
      </c>
      <c r="D271" s="5" t="n">
        <v>125627</v>
      </c>
      <c r="E271" s="5" t="n">
        <v>11335</v>
      </c>
      <c r="F271" s="5" t="n">
        <v>0</v>
      </c>
      <c r="G271" s="5" t="n">
        <v>143</v>
      </c>
      <c r="H271" s="5" t="n">
        <v>4057</v>
      </c>
      <c r="I271" s="5" t="n">
        <v>264483</v>
      </c>
      <c r="J271" s="11" t="n">
        <f aca="false">IF(I271=0,0,C271/I271)</f>
        <v>0.466271934302016</v>
      </c>
      <c r="K271" s="11" t="n">
        <f aca="false">IF(I271=0,0,D271/I271)</f>
        <v>0.474990831168733</v>
      </c>
      <c r="L271" s="11" t="n">
        <f aca="false">IF(I271=0,0,E271/I271)</f>
        <v>0.0428571968708764</v>
      </c>
      <c r="M271" s="11" t="n">
        <f aca="false">IF(I271=0,0,H271/I271)</f>
        <v>0.0153393601857208</v>
      </c>
      <c r="N271" s="4" t="str">
        <f aca="false">INDEX($C$3:$F$3,MATCH(MAX(C271:F271),C271:F271,0))</f>
        <v>Fuerza y Corazón por México (PAN-PRI-PRD)</v>
      </c>
      <c r="O271" s="17" t="n">
        <f aca="false">IF(I271=0,0,(MAX(C271:F271)-LARGE(C271:F271,2))/I271*100)</f>
        <v>0.871889686671733</v>
      </c>
      <c r="P271" s="4" t="s">
        <v>21</v>
      </c>
      <c r="Q271" s="4" t="s">
        <v>20</v>
      </c>
    </row>
    <row r="272" customFormat="false" ht="15" hidden="false" customHeight="false" outlineLevel="0" collapsed="false">
      <c r="A272" s="4" t="s">
        <v>82</v>
      </c>
      <c r="B272" s="4" t="n">
        <v>1</v>
      </c>
      <c r="C272" s="5" t="n">
        <v>124121</v>
      </c>
      <c r="D272" s="5" t="n">
        <v>53091</v>
      </c>
      <c r="E272" s="5" t="n">
        <v>48261</v>
      </c>
      <c r="F272" s="5" t="n">
        <v>0</v>
      </c>
      <c r="G272" s="5" t="n">
        <v>172</v>
      </c>
      <c r="H272" s="5" t="n">
        <v>12814</v>
      </c>
      <c r="I272" s="5" t="n">
        <v>238459</v>
      </c>
      <c r="J272" s="11" t="n">
        <f aca="false">IF(I272=0,0,C272/I272)</f>
        <v>0.520512960299255</v>
      </c>
      <c r="K272" s="11" t="n">
        <f aca="false">IF(I272=0,0,D272/I272)</f>
        <v>0.22264204747986</v>
      </c>
      <c r="L272" s="11" t="n">
        <f aca="false">IF(I272=0,0,E272/I272)</f>
        <v>0.202386993151863</v>
      </c>
      <c r="M272" s="11" t="n">
        <f aca="false">IF(I272=0,0,H272/I272)</f>
        <v>0.0537367010681081</v>
      </c>
      <c r="N272" s="4" t="str">
        <f aca="false">INDEX($C$3:$F$3,MATCH(MAX(C272:F272),C272:F272,0))</f>
        <v>Sigamos Haciendo Historia (PVEM-PT-Morena)</v>
      </c>
      <c r="O272" s="17" t="n">
        <f aca="false">IF(I272=0,0,(MAX(C272:F272)-LARGE(C272:F272,2))/I272*100)</f>
        <v>29.7870912819395</v>
      </c>
      <c r="P272" s="4" t="s">
        <v>20</v>
      </c>
      <c r="Q272" s="4" t="s">
        <v>21</v>
      </c>
    </row>
    <row r="273" customFormat="false" ht="15" hidden="false" customHeight="false" outlineLevel="0" collapsed="false">
      <c r="A273" s="4" t="s">
        <v>82</v>
      </c>
      <c r="B273" s="4" t="n">
        <v>2</v>
      </c>
      <c r="C273" s="5" t="n">
        <v>150335</v>
      </c>
      <c r="D273" s="5" t="n">
        <v>49433</v>
      </c>
      <c r="E273" s="5" t="n">
        <v>30450</v>
      </c>
      <c r="F273" s="5" t="n">
        <v>0</v>
      </c>
      <c r="G273" s="5" t="n">
        <v>294</v>
      </c>
      <c r="H273" s="5" t="n">
        <v>14609</v>
      </c>
      <c r="I273" s="5" t="n">
        <v>245121</v>
      </c>
      <c r="J273" s="11" t="n">
        <f aca="false">IF(I273=0,0,C273/I273)</f>
        <v>0.613309345180544</v>
      </c>
      <c r="K273" s="11" t="n">
        <f aca="false">IF(I273=0,0,D273/I273)</f>
        <v>0.201667747765389</v>
      </c>
      <c r="L273" s="11" t="n">
        <f aca="false">IF(I273=0,0,E273/I273)</f>
        <v>0.124224362661706</v>
      </c>
      <c r="M273" s="11" t="n">
        <f aca="false">IF(I273=0,0,H273/I273)</f>
        <v>0.059599136752869</v>
      </c>
      <c r="N273" s="4" t="str">
        <f aca="false">INDEX($C$3:$F$3,MATCH(MAX(C273:F273),C273:F273,0))</f>
        <v>Sigamos Haciendo Historia (PVEM-PT-Morena)</v>
      </c>
      <c r="O273" s="17" t="n">
        <f aca="false">IF(I273=0,0,(MAX(C273:F273)-LARGE(C273:F273,2))/I273*100)</f>
        <v>41.1641597415154</v>
      </c>
      <c r="P273" s="4" t="s">
        <v>20</v>
      </c>
      <c r="Q273" s="4" t="s">
        <v>21</v>
      </c>
    </row>
    <row r="274" customFormat="false" ht="15" hidden="false" customHeight="false" outlineLevel="0" collapsed="false">
      <c r="A274" s="4" t="s">
        <v>82</v>
      </c>
      <c r="B274" s="4" t="n">
        <v>3</v>
      </c>
      <c r="C274" s="5" t="n">
        <v>155655</v>
      </c>
      <c r="D274" s="5" t="n">
        <v>55380</v>
      </c>
      <c r="E274" s="5" t="n">
        <v>26663</v>
      </c>
      <c r="F274" s="5" t="n">
        <v>0</v>
      </c>
      <c r="G274" s="5" t="n">
        <v>146</v>
      </c>
      <c r="H274" s="5" t="n">
        <v>13881</v>
      </c>
      <c r="I274" s="5" t="n">
        <v>251725</v>
      </c>
      <c r="J274" s="11" t="n">
        <f aca="false">IF(I274=0,0,C274/I274)</f>
        <v>0.618353361803556</v>
      </c>
      <c r="K274" s="11" t="n">
        <f aca="false">IF(I274=0,0,D274/I274)</f>
        <v>0.220001986294568</v>
      </c>
      <c r="L274" s="11" t="n">
        <f aca="false">IF(I274=0,0,E274/I274)</f>
        <v>0.105921144105671</v>
      </c>
      <c r="M274" s="11" t="n">
        <f aca="false">IF(I274=0,0,H274/I274)</f>
        <v>0.0551435097825007</v>
      </c>
      <c r="N274" s="4" t="str">
        <f aca="false">INDEX($C$3:$F$3,MATCH(MAX(C274:F274),C274:F274,0))</f>
        <v>Sigamos Haciendo Historia (PVEM-PT-Morena)</v>
      </c>
      <c r="O274" s="17" t="n">
        <f aca="false">IF(I274=0,0,(MAX(C274:F274)-LARGE(C274:F274,2))/I274*100)</f>
        <v>39.8351375508988</v>
      </c>
      <c r="P274" s="4" t="s">
        <v>20</v>
      </c>
      <c r="Q274" s="4" t="s">
        <v>21</v>
      </c>
    </row>
    <row r="275" customFormat="false" ht="15" hidden="false" customHeight="false" outlineLevel="0" collapsed="false">
      <c r="A275" s="4" t="s">
        <v>83</v>
      </c>
      <c r="B275" s="4" t="n">
        <v>1</v>
      </c>
      <c r="C275" s="5" t="n">
        <v>113374</v>
      </c>
      <c r="D275" s="5" t="n">
        <v>59842</v>
      </c>
      <c r="E275" s="5" t="n">
        <v>9727</v>
      </c>
      <c r="F275" s="5" t="n">
        <v>0</v>
      </c>
      <c r="G275" s="5" t="n">
        <v>58</v>
      </c>
      <c r="H275" s="5" t="n">
        <v>6389</v>
      </c>
      <c r="I275" s="5" t="n">
        <v>189390</v>
      </c>
      <c r="J275" s="11" t="n">
        <f aca="false">IF(I275=0,0,C275/I275)</f>
        <v>0.598627171445166</v>
      </c>
      <c r="K275" s="11" t="n">
        <f aca="false">IF(I275=0,0,D275/I275)</f>
        <v>0.31597233222451</v>
      </c>
      <c r="L275" s="11" t="n">
        <f aca="false">IF(I275=0,0,E275/I275)</f>
        <v>0.0513596282802682</v>
      </c>
      <c r="M275" s="11" t="n">
        <f aca="false">IF(I275=0,0,H275/I275)</f>
        <v>0.0337346216801309</v>
      </c>
      <c r="N275" s="4" t="str">
        <f aca="false">INDEX($C$3:$F$3,MATCH(MAX(C275:F275),C275:F275,0))</f>
        <v>Sigamos Haciendo Historia (PVEM-PT-Morena)</v>
      </c>
      <c r="O275" s="17" t="n">
        <f aca="false">IF(I275=0,0,(MAX(C275:F275)-LARGE(C275:F275,2))/I275*100)</f>
        <v>28.2654839220656</v>
      </c>
      <c r="P275" s="4" t="s">
        <v>20</v>
      </c>
      <c r="Q275" s="4" t="s">
        <v>21</v>
      </c>
    </row>
    <row r="276" customFormat="false" ht="15" hidden="false" customHeight="false" outlineLevel="0" collapsed="false">
      <c r="A276" s="4" t="s">
        <v>83</v>
      </c>
      <c r="B276" s="4" t="n">
        <v>2</v>
      </c>
      <c r="C276" s="5" t="n">
        <v>113531</v>
      </c>
      <c r="D276" s="5" t="n">
        <v>47075</v>
      </c>
      <c r="E276" s="5" t="n">
        <v>13098</v>
      </c>
      <c r="F276" s="5" t="n">
        <v>0</v>
      </c>
      <c r="G276" s="5" t="n">
        <v>106</v>
      </c>
      <c r="H276" s="5" t="n">
        <v>7481</v>
      </c>
      <c r="I276" s="5" t="n">
        <v>181291</v>
      </c>
      <c r="J276" s="11" t="n">
        <f aca="false">IF(I276=0,0,C276/I276)</f>
        <v>0.62623627207087</v>
      </c>
      <c r="K276" s="11" t="n">
        <f aca="false">IF(I276=0,0,D276/I276)</f>
        <v>0.259665399826798</v>
      </c>
      <c r="L276" s="11" t="n">
        <f aca="false">IF(I276=0,0,E276/I276)</f>
        <v>0.0722484844807519</v>
      </c>
      <c r="M276" s="11" t="n">
        <f aca="false">IF(I276=0,0,H276/I276)</f>
        <v>0.0412651482974886</v>
      </c>
      <c r="N276" s="4" t="str">
        <f aca="false">INDEX($C$3:$F$3,MATCH(MAX(C276:F276),C276:F276,0))</f>
        <v>Sigamos Haciendo Historia (PVEM-PT-Morena)</v>
      </c>
      <c r="O276" s="17" t="n">
        <f aca="false">IF(I276=0,0,(MAX(C276:F276)-LARGE(C276:F276,2))/I276*100)</f>
        <v>36.6570872244072</v>
      </c>
      <c r="P276" s="4" t="s">
        <v>20</v>
      </c>
      <c r="Q276" s="4" t="s">
        <v>21</v>
      </c>
    </row>
    <row r="277" customFormat="false" ht="15" hidden="false" customHeight="false" outlineLevel="0" collapsed="false">
      <c r="A277" s="4" t="s">
        <v>83</v>
      </c>
      <c r="B277" s="4" t="n">
        <v>3</v>
      </c>
      <c r="C277" s="5" t="n">
        <v>137495</v>
      </c>
      <c r="D277" s="5" t="n">
        <v>36611</v>
      </c>
      <c r="E277" s="5" t="n">
        <v>8919</v>
      </c>
      <c r="F277" s="5" t="n">
        <v>0</v>
      </c>
      <c r="G277" s="5" t="n">
        <v>69</v>
      </c>
      <c r="H277" s="5" t="n">
        <v>6181</v>
      </c>
      <c r="I277" s="5" t="n">
        <v>189275</v>
      </c>
      <c r="J277" s="11" t="n">
        <f aca="false">IF(I277=0,0,C277/I277)</f>
        <v>0.726429797913089</v>
      </c>
      <c r="K277" s="11" t="n">
        <f aca="false">IF(I277=0,0,D277/I277)</f>
        <v>0.193427552502972</v>
      </c>
      <c r="L277" s="11" t="n">
        <f aca="false">IF(I277=0,0,E277/I277)</f>
        <v>0.0471219125610884</v>
      </c>
      <c r="M277" s="11" t="n">
        <f aca="false">IF(I277=0,0,H277/I277)</f>
        <v>0.0326561880861181</v>
      </c>
      <c r="N277" s="4" t="str">
        <f aca="false">INDEX($C$3:$F$3,MATCH(MAX(C277:F277),C277:F277,0))</f>
        <v>Sigamos Haciendo Historia (PVEM-PT-Morena)</v>
      </c>
      <c r="O277" s="17" t="n">
        <f aca="false">IF(I277=0,0,(MAX(C277:F277)-LARGE(C277:F277,2))/I277*100)</f>
        <v>53.3002245410118</v>
      </c>
      <c r="P277" s="4" t="s">
        <v>20</v>
      </c>
      <c r="Q277" s="4" t="s">
        <v>21</v>
      </c>
    </row>
    <row r="278" customFormat="false" ht="15" hidden="false" customHeight="false" outlineLevel="0" collapsed="false">
      <c r="A278" s="4" t="s">
        <v>83</v>
      </c>
      <c r="B278" s="4" t="n">
        <v>4</v>
      </c>
      <c r="C278" s="5" t="n">
        <v>85796</v>
      </c>
      <c r="D278" s="5" t="n">
        <v>93886</v>
      </c>
      <c r="E278" s="5" t="n">
        <v>13896</v>
      </c>
      <c r="F278" s="5" t="n">
        <v>0</v>
      </c>
      <c r="G278" s="5" t="n">
        <v>93</v>
      </c>
      <c r="H278" s="5" t="n">
        <v>4192</v>
      </c>
      <c r="I278" s="5" t="n">
        <v>197863</v>
      </c>
      <c r="J278" s="11" t="n">
        <f aca="false">IF(I278=0,0,C278/I278)</f>
        <v>0.433613156578036</v>
      </c>
      <c r="K278" s="11" t="n">
        <f aca="false">IF(I278=0,0,D278/I278)</f>
        <v>0.474500032851013</v>
      </c>
      <c r="L278" s="11" t="n">
        <f aca="false">IF(I278=0,0,E278/I278)</f>
        <v>0.070230411951704</v>
      </c>
      <c r="M278" s="11" t="n">
        <f aca="false">IF(I278=0,0,H278/I278)</f>
        <v>0.0211863764321778</v>
      </c>
      <c r="N278" s="4" t="str">
        <f aca="false">INDEX($C$3:$F$3,MATCH(MAX(C278:F278),C278:F278,0))</f>
        <v>Fuerza y Corazón por México (PAN-PRI-PRD)</v>
      </c>
      <c r="O278" s="17" t="n">
        <f aca="false">IF(I278=0,0,(MAX(C278:F278)-LARGE(C278:F278,2))/I278*100)</f>
        <v>4.08868762729768</v>
      </c>
      <c r="P278" s="4" t="s">
        <v>21</v>
      </c>
      <c r="Q278" s="4" t="s">
        <v>20</v>
      </c>
    </row>
    <row r="279" customFormat="false" ht="15" hidden="false" customHeight="false" outlineLevel="0" collapsed="false">
      <c r="A279" s="4" t="s">
        <v>83</v>
      </c>
      <c r="B279" s="4" t="n">
        <v>5</v>
      </c>
      <c r="C279" s="5" t="n">
        <v>135589</v>
      </c>
      <c r="D279" s="5" t="n">
        <v>43444</v>
      </c>
      <c r="E279" s="5" t="n">
        <v>21068</v>
      </c>
      <c r="F279" s="5" t="n">
        <v>0</v>
      </c>
      <c r="G279" s="5" t="n">
        <v>132</v>
      </c>
      <c r="H279" s="5" t="n">
        <v>5666</v>
      </c>
      <c r="I279" s="5" t="n">
        <v>205899</v>
      </c>
      <c r="J279" s="11" t="n">
        <f aca="false">IF(I279=0,0,C279/I279)</f>
        <v>0.65852189665807</v>
      </c>
      <c r="K279" s="11" t="n">
        <f aca="false">IF(I279=0,0,D279/I279)</f>
        <v>0.210996653699144</v>
      </c>
      <c r="L279" s="11" t="n">
        <f aca="false">IF(I279=0,0,E279/I279)</f>
        <v>0.102322012248724</v>
      </c>
      <c r="M279" s="11" t="n">
        <f aca="false">IF(I279=0,0,H279/I279)</f>
        <v>0.0275183463737075</v>
      </c>
      <c r="N279" s="4" t="str">
        <f aca="false">INDEX($C$3:$F$3,MATCH(MAX(C279:F279),C279:F279,0))</f>
        <v>Sigamos Haciendo Historia (PVEM-PT-Morena)</v>
      </c>
      <c r="O279" s="17" t="n">
        <f aca="false">IF(I279=0,0,(MAX(C279:F279)-LARGE(C279:F279,2))/I279*100)</f>
        <v>44.7525242958927</v>
      </c>
      <c r="P279" s="4" t="s">
        <v>20</v>
      </c>
      <c r="Q279" s="4" t="s">
        <v>21</v>
      </c>
    </row>
    <row r="280" customFormat="false" ht="15" hidden="false" customHeight="false" outlineLevel="0" collapsed="false">
      <c r="A280" s="4" t="s">
        <v>83</v>
      </c>
      <c r="B280" s="4" t="n">
        <v>6</v>
      </c>
      <c r="C280" s="5" t="n">
        <v>115718</v>
      </c>
      <c r="D280" s="5" t="n">
        <v>47351</v>
      </c>
      <c r="E280" s="5" t="n">
        <v>17562</v>
      </c>
      <c r="F280" s="5" t="n">
        <v>0</v>
      </c>
      <c r="G280" s="5" t="n">
        <v>59</v>
      </c>
      <c r="H280" s="5" t="n">
        <v>6114</v>
      </c>
      <c r="I280" s="5" t="n">
        <v>186804</v>
      </c>
      <c r="J280" s="11" t="n">
        <f aca="false">IF(I280=0,0,C280/I280)</f>
        <v>0.619462110019057</v>
      </c>
      <c r="K280" s="11" t="n">
        <f aca="false">IF(I280=0,0,D280/I280)</f>
        <v>0.253479582878311</v>
      </c>
      <c r="L280" s="11" t="n">
        <f aca="false">IF(I280=0,0,E280/I280)</f>
        <v>0.0940129761675339</v>
      </c>
      <c r="M280" s="11" t="n">
        <f aca="false">IF(I280=0,0,H280/I280)</f>
        <v>0.0327294918738357</v>
      </c>
      <c r="N280" s="4" t="str">
        <f aca="false">INDEX($C$3:$F$3,MATCH(MAX(C280:F280),C280:F280,0))</f>
        <v>Sigamos Haciendo Historia (PVEM-PT-Morena)</v>
      </c>
      <c r="O280" s="17" t="n">
        <f aca="false">IF(I280=0,0,(MAX(C280:F280)-LARGE(C280:F280,2))/I280*100)</f>
        <v>36.5982527140747</v>
      </c>
      <c r="P280" s="4" t="s">
        <v>20</v>
      </c>
      <c r="Q280" s="4" t="s">
        <v>21</v>
      </c>
    </row>
    <row r="281" customFormat="false" ht="15" hidden="false" customHeight="false" outlineLevel="0" collapsed="false">
      <c r="A281" s="4" t="s">
        <v>83</v>
      </c>
      <c r="B281" s="4" t="n">
        <v>7</v>
      </c>
      <c r="C281" s="5" t="n">
        <v>119603</v>
      </c>
      <c r="D281" s="5" t="n">
        <v>46225</v>
      </c>
      <c r="E281" s="5" t="n">
        <v>12481</v>
      </c>
      <c r="F281" s="5" t="n">
        <v>0</v>
      </c>
      <c r="G281" s="5" t="n">
        <v>112</v>
      </c>
      <c r="H281" s="5" t="n">
        <v>6370</v>
      </c>
      <c r="I281" s="5" t="n">
        <v>184791</v>
      </c>
      <c r="J281" s="11" t="n">
        <f aca="false">IF(I281=0,0,C281/I281)</f>
        <v>0.647233902083976</v>
      </c>
      <c r="K281" s="11" t="n">
        <f aca="false">IF(I281=0,0,D281/I281)</f>
        <v>0.25014746389164</v>
      </c>
      <c r="L281" s="11" t="n">
        <f aca="false">IF(I281=0,0,E281/I281)</f>
        <v>0.0675411681304825</v>
      </c>
      <c r="M281" s="11" t="n">
        <f aca="false">IF(I281=0,0,H281/I281)</f>
        <v>0.034471375770465</v>
      </c>
      <c r="N281" s="4" t="str">
        <f aca="false">INDEX($C$3:$F$3,MATCH(MAX(C281:F281),C281:F281,0))</f>
        <v>Sigamos Haciendo Historia (PVEM-PT-Morena)</v>
      </c>
      <c r="O281" s="17" t="n">
        <f aca="false">IF(I281=0,0,(MAX(C281:F281)-LARGE(C281:F281,2))/I281*100)</f>
        <v>39.7086438192336</v>
      </c>
      <c r="P281" s="4" t="s">
        <v>20</v>
      </c>
      <c r="Q281" s="4" t="s">
        <v>21</v>
      </c>
    </row>
    <row r="282" customFormat="false" ht="15" hidden="false" customHeight="false" outlineLevel="0" collapsed="false">
      <c r="A282" s="4" t="s">
        <v>83</v>
      </c>
      <c r="B282" s="4" t="n">
        <v>8</v>
      </c>
      <c r="C282" s="5" t="n">
        <v>123993</v>
      </c>
      <c r="D282" s="5" t="n">
        <v>43898</v>
      </c>
      <c r="E282" s="5" t="n">
        <v>20248</v>
      </c>
      <c r="F282" s="5" t="n">
        <v>0</v>
      </c>
      <c r="G282" s="5" t="n">
        <v>115</v>
      </c>
      <c r="H282" s="5" t="n">
        <v>12737</v>
      </c>
      <c r="I282" s="5" t="n">
        <v>200991</v>
      </c>
      <c r="J282" s="11" t="n">
        <f aca="false">IF(I282=0,0,C282/I282)</f>
        <v>0.616908219771035</v>
      </c>
      <c r="K282" s="11" t="n">
        <f aca="false">IF(I282=0,0,D282/I282)</f>
        <v>0.218407789403506</v>
      </c>
      <c r="L282" s="11" t="n">
        <f aca="false">IF(I282=0,0,E282/I282)</f>
        <v>0.100740829191357</v>
      </c>
      <c r="M282" s="11" t="n">
        <f aca="false">IF(I282=0,0,H282/I282)</f>
        <v>0.0633709967112955</v>
      </c>
      <c r="N282" s="4" t="str">
        <f aca="false">INDEX($C$3:$F$3,MATCH(MAX(C282:F282),C282:F282,0))</f>
        <v>Sigamos Haciendo Historia (PVEM-PT-Morena)</v>
      </c>
      <c r="O282" s="17" t="n">
        <f aca="false">IF(I282=0,0,(MAX(C282:F282)-LARGE(C282:F282,2))/I282*100)</f>
        <v>39.8500430367529</v>
      </c>
      <c r="P282" s="4" t="s">
        <v>22</v>
      </c>
      <c r="Q282" s="4" t="s">
        <v>21</v>
      </c>
    </row>
    <row r="283" customFormat="false" ht="15" hidden="false" customHeight="false" outlineLevel="0" collapsed="false">
      <c r="A283" s="4" t="s">
        <v>83</v>
      </c>
      <c r="B283" s="4" t="n">
        <v>9</v>
      </c>
      <c r="C283" s="5" t="n">
        <v>115089</v>
      </c>
      <c r="D283" s="5" t="n">
        <v>57296</v>
      </c>
      <c r="E283" s="5" t="n">
        <v>14809</v>
      </c>
      <c r="F283" s="5" t="n">
        <v>0</v>
      </c>
      <c r="G283" s="5" t="n">
        <v>118</v>
      </c>
      <c r="H283" s="5" t="n">
        <v>6919</v>
      </c>
      <c r="I283" s="5" t="n">
        <v>194231</v>
      </c>
      <c r="J283" s="11" t="n">
        <f aca="false">IF(I283=0,0,C283/I283)</f>
        <v>0.592536721738548</v>
      </c>
      <c r="K283" s="11" t="n">
        <f aca="false">IF(I283=0,0,D283/I283)</f>
        <v>0.294988956448765</v>
      </c>
      <c r="L283" s="11" t="n">
        <f aca="false">IF(I283=0,0,E283/I283)</f>
        <v>0.076244265848397</v>
      </c>
      <c r="M283" s="11" t="n">
        <f aca="false">IF(I283=0,0,H283/I283)</f>
        <v>0.0356225319336254</v>
      </c>
      <c r="N283" s="4" t="str">
        <f aca="false">INDEX($C$3:$F$3,MATCH(MAX(C283:F283),C283:F283,0))</f>
        <v>Sigamos Haciendo Historia (PVEM-PT-Morena)</v>
      </c>
      <c r="O283" s="17" t="n">
        <f aca="false">IF(I283=0,0,(MAX(C283:F283)-LARGE(C283:F283,2))/I283*100)</f>
        <v>29.7547765289784</v>
      </c>
      <c r="P283" s="4" t="s">
        <v>20</v>
      </c>
      <c r="Q283" s="4" t="s">
        <v>21</v>
      </c>
    </row>
    <row r="284" customFormat="false" ht="15" hidden="false" customHeight="false" outlineLevel="0" collapsed="false">
      <c r="A284" s="4" t="s">
        <v>83</v>
      </c>
      <c r="B284" s="4" t="n">
        <v>10</v>
      </c>
      <c r="C284" s="5" t="n">
        <v>112617</v>
      </c>
      <c r="D284" s="5" t="n">
        <v>112111</v>
      </c>
      <c r="E284" s="5" t="n">
        <v>21744</v>
      </c>
      <c r="F284" s="5" t="n">
        <v>0</v>
      </c>
      <c r="G284" s="5" t="n">
        <v>212</v>
      </c>
      <c r="H284" s="5" t="n">
        <v>6225</v>
      </c>
      <c r="I284" s="5" t="n">
        <v>252909</v>
      </c>
      <c r="J284" s="11" t="n">
        <f aca="false">IF(I284=0,0,C284/I284)</f>
        <v>0.445286644603395</v>
      </c>
      <c r="K284" s="11" t="n">
        <f aca="false">IF(I284=0,0,D284/I284)</f>
        <v>0.443285924976968</v>
      </c>
      <c r="L284" s="11" t="n">
        <f aca="false">IF(I284=0,0,E284/I284)</f>
        <v>0.0859755880573645</v>
      </c>
      <c r="M284" s="11" t="n">
        <f aca="false">IF(I284=0,0,H284/I284)</f>
        <v>0.0246135961946787</v>
      </c>
      <c r="N284" s="4" t="str">
        <f aca="false">INDEX($C$3:$F$3,MATCH(MAX(C284:F284),C284:F284,0))</f>
        <v>Sigamos Haciendo Historia (PVEM-PT-Morena)</v>
      </c>
      <c r="O284" s="17" t="n">
        <f aca="false">IF(I284=0,0,(MAX(C284:F284)-LARGE(C284:F284,2))/I284*100)</f>
        <v>0.20007196264269</v>
      </c>
      <c r="P284" s="4" t="s">
        <v>20</v>
      </c>
      <c r="Q284" s="4" t="s">
        <v>21</v>
      </c>
    </row>
    <row r="285" customFormat="false" ht="15" hidden="false" customHeight="false" outlineLevel="0" collapsed="false">
      <c r="A285" s="4" t="s">
        <v>83</v>
      </c>
      <c r="B285" s="4" t="n">
        <v>11</v>
      </c>
      <c r="C285" s="5" t="n">
        <v>142298</v>
      </c>
      <c r="D285" s="5" t="n">
        <v>26937</v>
      </c>
      <c r="E285" s="5" t="n">
        <v>21767</v>
      </c>
      <c r="F285" s="5" t="n">
        <v>0</v>
      </c>
      <c r="G285" s="5" t="n">
        <v>133</v>
      </c>
      <c r="H285" s="5" t="n">
        <v>3968</v>
      </c>
      <c r="I285" s="5" t="n">
        <v>195103</v>
      </c>
      <c r="J285" s="11" t="n">
        <f aca="false">IF(I285=0,0,C285/I285)</f>
        <v>0.729348087933041</v>
      </c>
      <c r="K285" s="11" t="n">
        <f aca="false">IF(I285=0,0,D285/I285)</f>
        <v>0.138065534615049</v>
      </c>
      <c r="L285" s="11" t="n">
        <f aca="false">IF(I285=0,0,E285/I285)</f>
        <v>0.111566710916798</v>
      </c>
      <c r="M285" s="11" t="n">
        <f aca="false">IF(I285=0,0,H285/I285)</f>
        <v>0.0203379753258535</v>
      </c>
      <c r="N285" s="4" t="str">
        <f aca="false">INDEX($C$3:$F$3,MATCH(MAX(C285:F285),C285:F285,0))</f>
        <v>Sigamos Haciendo Historia (PVEM-PT-Morena)</v>
      </c>
      <c r="O285" s="17" t="n">
        <f aca="false">IF(I285=0,0,(MAX(C285:F285)-LARGE(C285:F285,2))/I285*100)</f>
        <v>59.1282553317991</v>
      </c>
      <c r="P285" s="4" t="s">
        <v>20</v>
      </c>
      <c r="Q285" s="4" t="s">
        <v>21</v>
      </c>
    </row>
    <row r="286" customFormat="false" ht="15" hidden="false" customHeight="false" outlineLevel="0" collapsed="false">
      <c r="A286" s="4" t="s">
        <v>83</v>
      </c>
      <c r="B286" s="4" t="n">
        <v>12</v>
      </c>
      <c r="C286" s="5" t="n">
        <v>99494</v>
      </c>
      <c r="D286" s="5" t="n">
        <v>59669</v>
      </c>
      <c r="E286" s="5" t="n">
        <v>13532</v>
      </c>
      <c r="F286" s="5" t="n">
        <v>0</v>
      </c>
      <c r="G286" s="5" t="n">
        <v>122</v>
      </c>
      <c r="H286" s="5" t="n">
        <v>3415</v>
      </c>
      <c r="I286" s="5" t="n">
        <v>176232</v>
      </c>
      <c r="J286" s="11" t="n">
        <f aca="false">IF(I286=0,0,C286/I286)</f>
        <v>0.564562621998275</v>
      </c>
      <c r="K286" s="11" t="n">
        <f aca="false">IF(I286=0,0,D286/I286)</f>
        <v>0.338582096327568</v>
      </c>
      <c r="L286" s="11" t="n">
        <f aca="false">IF(I286=0,0,E286/I286)</f>
        <v>0.0767851468518771</v>
      </c>
      <c r="M286" s="11" t="n">
        <f aca="false">IF(I286=0,0,H286/I286)</f>
        <v>0.0193778655408779</v>
      </c>
      <c r="N286" s="4" t="str">
        <f aca="false">INDEX($C$3:$F$3,MATCH(MAX(C286:F286),C286:F286,0))</f>
        <v>Sigamos Haciendo Historia (PVEM-PT-Morena)</v>
      </c>
      <c r="O286" s="17" t="n">
        <f aca="false">IF(I286=0,0,(MAX(C286:F286)-LARGE(C286:F286,2))/I286*100)</f>
        <v>22.5980525670707</v>
      </c>
      <c r="P286" s="4" t="s">
        <v>20</v>
      </c>
      <c r="Q286" s="4" t="s">
        <v>21</v>
      </c>
    </row>
    <row r="287" customFormat="false" ht="15" hidden="false" customHeight="false" outlineLevel="0" collapsed="false">
      <c r="A287" s="4" t="s">
        <v>83</v>
      </c>
      <c r="B287" s="4" t="n">
        <v>13</v>
      </c>
      <c r="C287" s="5" t="n">
        <v>98970</v>
      </c>
      <c r="D287" s="5" t="n">
        <v>59443</v>
      </c>
      <c r="E287" s="5" t="n">
        <v>10615</v>
      </c>
      <c r="F287" s="5" t="n">
        <v>0</v>
      </c>
      <c r="G287" s="5" t="n">
        <v>106</v>
      </c>
      <c r="H287" s="5" t="n">
        <v>5783</v>
      </c>
      <c r="I287" s="5" t="n">
        <v>174917</v>
      </c>
      <c r="J287" s="11" t="n">
        <f aca="false">IF(I287=0,0,C287/I287)</f>
        <v>0.565811213318317</v>
      </c>
      <c r="K287" s="11" t="n">
        <f aca="false">IF(I287=0,0,D287/I287)</f>
        <v>0.339835464820458</v>
      </c>
      <c r="L287" s="11" t="n">
        <f aca="false">IF(I287=0,0,E287/I287)</f>
        <v>0.0606859253245825</v>
      </c>
      <c r="M287" s="11" t="n">
        <f aca="false">IF(I287=0,0,H287/I287)</f>
        <v>0.0330613948329779</v>
      </c>
      <c r="N287" s="4" t="str">
        <f aca="false">INDEX($C$3:$F$3,MATCH(MAX(C287:F287),C287:F287,0))</f>
        <v>Sigamos Haciendo Historia (PVEM-PT-Morena)</v>
      </c>
      <c r="O287" s="17" t="n">
        <f aca="false">IF(I287=0,0,(MAX(C287:F287)-LARGE(C287:F287,2))/I287*100)</f>
        <v>22.5975748497859</v>
      </c>
      <c r="P287" s="4" t="s">
        <v>20</v>
      </c>
      <c r="Q287" s="4" t="s">
        <v>21</v>
      </c>
    </row>
    <row r="288" customFormat="false" ht="15" hidden="false" customHeight="false" outlineLevel="0" collapsed="false">
      <c r="A288" s="4" t="s">
        <v>83</v>
      </c>
      <c r="B288" s="4" t="n">
        <v>14</v>
      </c>
      <c r="C288" s="5" t="n">
        <v>128545</v>
      </c>
      <c r="D288" s="5" t="n">
        <v>23814</v>
      </c>
      <c r="E288" s="5" t="n">
        <v>16895</v>
      </c>
      <c r="F288" s="5" t="n">
        <v>0</v>
      </c>
      <c r="G288" s="5" t="n">
        <v>105</v>
      </c>
      <c r="H288" s="5" t="n">
        <v>5033</v>
      </c>
      <c r="I288" s="5" t="n">
        <v>174392</v>
      </c>
      <c r="J288" s="11" t="n">
        <f aca="false">IF(I288=0,0,C288/I288)</f>
        <v>0.737103766227809</v>
      </c>
      <c r="K288" s="11" t="n">
        <f aca="false">IF(I288=0,0,D288/I288)</f>
        <v>0.136554429102252</v>
      </c>
      <c r="L288" s="11" t="n">
        <f aca="false">IF(I288=0,0,E288/I288)</f>
        <v>0.0968794440111932</v>
      </c>
      <c r="M288" s="11" t="n">
        <f aca="false">IF(I288=0,0,H288/I288)</f>
        <v>0.0288602688196706</v>
      </c>
      <c r="N288" s="4" t="str">
        <f aca="false">INDEX($C$3:$F$3,MATCH(MAX(C288:F288),C288:F288,0))</f>
        <v>Sigamos Haciendo Historia (PVEM-PT-Morena)</v>
      </c>
      <c r="O288" s="17" t="n">
        <f aca="false">IF(I288=0,0,(MAX(C288:F288)-LARGE(C288:F288,2))/I288*100)</f>
        <v>60.0549337125556</v>
      </c>
      <c r="P288" s="4" t="s">
        <v>20</v>
      </c>
      <c r="Q288" s="4" t="s">
        <v>21</v>
      </c>
    </row>
    <row r="289" customFormat="false" ht="15" hidden="false" customHeight="false" outlineLevel="0" collapsed="false">
      <c r="A289" s="4" t="s">
        <v>83</v>
      </c>
      <c r="B289" s="4" t="n">
        <v>15</v>
      </c>
      <c r="C289" s="5" t="n">
        <v>100852</v>
      </c>
      <c r="D289" s="5" t="n">
        <v>55384</v>
      </c>
      <c r="E289" s="5" t="n">
        <v>20737</v>
      </c>
      <c r="F289" s="5" t="n">
        <v>0</v>
      </c>
      <c r="G289" s="5" t="n">
        <v>160</v>
      </c>
      <c r="H289" s="5" t="n">
        <v>6785</v>
      </c>
      <c r="I289" s="5" t="n">
        <v>183918</v>
      </c>
      <c r="J289" s="11" t="n">
        <f aca="false">IF(I289=0,0,C289/I289)</f>
        <v>0.548353070390065</v>
      </c>
      <c r="K289" s="11" t="n">
        <f aca="false">IF(I289=0,0,D289/I289)</f>
        <v>0.301134201111365</v>
      </c>
      <c r="L289" s="11" t="n">
        <f aca="false">IF(I289=0,0,E289/I289)</f>
        <v>0.112751334834002</v>
      </c>
      <c r="M289" s="11" t="n">
        <f aca="false">IF(I289=0,0,H289/I289)</f>
        <v>0.0368914407507694</v>
      </c>
      <c r="N289" s="4" t="str">
        <f aca="false">INDEX($C$3:$F$3,MATCH(MAX(C289:F289),C289:F289,0))</f>
        <v>Sigamos Haciendo Historia (PVEM-PT-Morena)</v>
      </c>
      <c r="O289" s="17" t="n">
        <f aca="false">IF(I289=0,0,(MAX(C289:F289)-LARGE(C289:F289,2))/I289*100)</f>
        <v>24.72188692787</v>
      </c>
      <c r="P289" s="4" t="s">
        <v>20</v>
      </c>
      <c r="Q289" s="4" t="s">
        <v>21</v>
      </c>
    </row>
    <row r="290" customFormat="false" ht="15" hidden="false" customHeight="false" outlineLevel="0" collapsed="false">
      <c r="A290" s="4" t="s">
        <v>83</v>
      </c>
      <c r="B290" s="4" t="n">
        <v>16</v>
      </c>
      <c r="C290" s="5" t="n">
        <v>128036</v>
      </c>
      <c r="D290" s="5" t="n">
        <v>53063</v>
      </c>
      <c r="E290" s="5" t="n">
        <v>21769</v>
      </c>
      <c r="F290" s="5" t="n">
        <v>0</v>
      </c>
      <c r="G290" s="5" t="n">
        <v>158</v>
      </c>
      <c r="H290" s="5" t="n">
        <v>5521</v>
      </c>
      <c r="I290" s="5" t="n">
        <v>208547</v>
      </c>
      <c r="J290" s="11" t="n">
        <f aca="false">IF(I290=0,0,C290/I290)</f>
        <v>0.613943139915703</v>
      </c>
      <c r="K290" s="11" t="n">
        <f aca="false">IF(I290=0,0,D290/I290)</f>
        <v>0.254441444854158</v>
      </c>
      <c r="L290" s="11" t="n">
        <f aca="false">IF(I290=0,0,E290/I290)</f>
        <v>0.104384143622301</v>
      </c>
      <c r="M290" s="11" t="n">
        <f aca="false">IF(I290=0,0,H290/I290)</f>
        <v>0.0264736486259692</v>
      </c>
      <c r="N290" s="4" t="str">
        <f aca="false">INDEX($C$3:$F$3,MATCH(MAX(C290:F290),C290:F290,0))</f>
        <v>Sigamos Haciendo Historia (PVEM-PT-Morena)</v>
      </c>
      <c r="O290" s="17" t="n">
        <f aca="false">IF(I290=0,0,(MAX(C290:F290)-LARGE(C290:F290,2))/I290*100)</f>
        <v>35.9501695061545</v>
      </c>
      <c r="P290" s="4" t="s">
        <v>20</v>
      </c>
      <c r="Q290" s="4" t="s">
        <v>21</v>
      </c>
    </row>
    <row r="291" customFormat="false" ht="15" hidden="false" customHeight="false" outlineLevel="0" collapsed="false">
      <c r="A291" s="4" t="s">
        <v>83</v>
      </c>
      <c r="B291" s="4" t="n">
        <v>17</v>
      </c>
      <c r="C291" s="5" t="n">
        <v>119211</v>
      </c>
      <c r="D291" s="5" t="n">
        <v>50415</v>
      </c>
      <c r="E291" s="5" t="n">
        <v>14122</v>
      </c>
      <c r="F291" s="5" t="n">
        <v>0</v>
      </c>
      <c r="G291" s="5" t="n">
        <v>130</v>
      </c>
      <c r="H291" s="5" t="n">
        <v>6697</v>
      </c>
      <c r="I291" s="5" t="n">
        <v>190575</v>
      </c>
      <c r="J291" s="11" t="n">
        <f aca="false">IF(I291=0,0,C291/I291)</f>
        <v>0.625533254624164</v>
      </c>
      <c r="K291" s="11" t="n">
        <f aca="false">IF(I291=0,0,D291/I291)</f>
        <v>0.264541519086974</v>
      </c>
      <c r="L291" s="11" t="n">
        <f aca="false">IF(I291=0,0,E291/I291)</f>
        <v>0.074102059556605</v>
      </c>
      <c r="M291" s="11" t="n">
        <f aca="false">IF(I291=0,0,H291/I291)</f>
        <v>0.0351410205955661</v>
      </c>
      <c r="N291" s="4" t="str">
        <f aca="false">INDEX($C$3:$F$3,MATCH(MAX(C291:F291),C291:F291,0))</f>
        <v>Sigamos Haciendo Historia (PVEM-PT-Morena)</v>
      </c>
      <c r="O291" s="17" t="n">
        <f aca="false">IF(I291=0,0,(MAX(C291:F291)-LARGE(C291:F291,2))/I291*100)</f>
        <v>36.099173553719</v>
      </c>
      <c r="P291" s="4" t="s">
        <v>20</v>
      </c>
      <c r="Q291" s="4" t="s">
        <v>21</v>
      </c>
    </row>
    <row r="292" customFormat="false" ht="15" hidden="false" customHeight="false" outlineLevel="0" collapsed="false">
      <c r="A292" s="4" t="s">
        <v>83</v>
      </c>
      <c r="B292" s="4" t="n">
        <v>18</v>
      </c>
      <c r="C292" s="5" t="n">
        <v>104113</v>
      </c>
      <c r="D292" s="5" t="n">
        <v>50122</v>
      </c>
      <c r="E292" s="5" t="n">
        <v>13552</v>
      </c>
      <c r="F292" s="5" t="n">
        <v>0</v>
      </c>
      <c r="G292" s="5" t="n">
        <v>106</v>
      </c>
      <c r="H292" s="5" t="n">
        <v>8305</v>
      </c>
      <c r="I292" s="5" t="n">
        <v>176198</v>
      </c>
      <c r="J292" s="11" t="n">
        <f aca="false">IF(I292=0,0,C292/I292)</f>
        <v>0.590886389175814</v>
      </c>
      <c r="K292" s="11" t="n">
        <f aca="false">IF(I292=0,0,D292/I292)</f>
        <v>0.284464068831655</v>
      </c>
      <c r="L292" s="11" t="n">
        <f aca="false">IF(I292=0,0,E292/I292)</f>
        <v>0.0769134723436134</v>
      </c>
      <c r="M292" s="11" t="n">
        <f aca="false">IF(I292=0,0,H292/I292)</f>
        <v>0.0471344737170683</v>
      </c>
      <c r="N292" s="4" t="str">
        <f aca="false">INDEX($C$3:$F$3,MATCH(MAX(C292:F292),C292:F292,0))</f>
        <v>Sigamos Haciendo Historia (PVEM-PT-Morena)</v>
      </c>
      <c r="O292" s="17" t="n">
        <f aca="false">IF(I292=0,0,(MAX(C292:F292)-LARGE(C292:F292,2))/I292*100)</f>
        <v>30.6422320344158</v>
      </c>
      <c r="P292" s="4" t="s">
        <v>20</v>
      </c>
      <c r="Q292" s="4" t="s">
        <v>21</v>
      </c>
    </row>
    <row r="293" customFormat="false" ht="15" hidden="false" customHeight="false" outlineLevel="0" collapsed="false">
      <c r="A293" s="4" t="s">
        <v>83</v>
      </c>
      <c r="B293" s="4" t="n">
        <v>19</v>
      </c>
      <c r="C293" s="5" t="n">
        <v>107817</v>
      </c>
      <c r="D293" s="5" t="n">
        <v>39418</v>
      </c>
      <c r="E293" s="5" t="n">
        <v>18551</v>
      </c>
      <c r="F293" s="5" t="n">
        <v>0</v>
      </c>
      <c r="G293" s="5" t="n">
        <v>93</v>
      </c>
      <c r="H293" s="5" t="n">
        <v>7822</v>
      </c>
      <c r="I293" s="5" t="n">
        <v>173701</v>
      </c>
      <c r="J293" s="11" t="n">
        <f aca="false">IF(I293=0,0,C293/I293)</f>
        <v>0.620704544015291</v>
      </c>
      <c r="K293" s="11" t="n">
        <f aca="false">IF(I293=0,0,D293/I293)</f>
        <v>0.226930184627607</v>
      </c>
      <c r="L293" s="11" t="n">
        <f aca="false">IF(I293=0,0,E293/I293)</f>
        <v>0.106798464027265</v>
      </c>
      <c r="M293" s="11" t="n">
        <f aca="false">IF(I293=0,0,H293/I293)</f>
        <v>0.0450314045399854</v>
      </c>
      <c r="N293" s="4" t="str">
        <f aca="false">INDEX($C$3:$F$3,MATCH(MAX(C293:F293),C293:F293,0))</f>
        <v>Sigamos Haciendo Historia (PVEM-PT-Morena)</v>
      </c>
      <c r="O293" s="17" t="n">
        <f aca="false">IF(I293=0,0,(MAX(C293:F293)-LARGE(C293:F293,2))/I293*100)</f>
        <v>39.3774359387683</v>
      </c>
      <c r="P293" s="4" t="s">
        <v>20</v>
      </c>
      <c r="Q293" s="4" t="s">
        <v>21</v>
      </c>
    </row>
    <row r="294" customFormat="false" ht="15" hidden="false" customHeight="false" outlineLevel="0" collapsed="false">
      <c r="A294" s="4" t="s">
        <v>84</v>
      </c>
      <c r="B294" s="4" t="n">
        <v>1</v>
      </c>
      <c r="C294" s="5" t="n">
        <v>113895</v>
      </c>
      <c r="D294" s="5" t="n">
        <v>91030</v>
      </c>
      <c r="E294" s="5" t="n">
        <v>4540</v>
      </c>
      <c r="F294" s="5" t="n">
        <v>0</v>
      </c>
      <c r="G294" s="5" t="n">
        <v>28</v>
      </c>
      <c r="H294" s="5" t="n">
        <v>5067</v>
      </c>
      <c r="I294" s="5" t="n">
        <v>214560</v>
      </c>
      <c r="J294" s="11" t="n">
        <f aca="false">IF(I294=0,0,C294/I294)</f>
        <v>0.530830536912752</v>
      </c>
      <c r="K294" s="11" t="n">
        <f aca="false">IF(I294=0,0,D294/I294)</f>
        <v>0.424263609246831</v>
      </c>
      <c r="L294" s="11" t="n">
        <f aca="false">IF(I294=0,0,E294/I294)</f>
        <v>0.0211595824011931</v>
      </c>
      <c r="M294" s="11" t="n">
        <f aca="false">IF(I294=0,0,H294/I294)</f>
        <v>0.0236157718120805</v>
      </c>
      <c r="N294" s="4" t="str">
        <f aca="false">INDEX($C$3:$F$3,MATCH(MAX(C294:F294),C294:F294,0))</f>
        <v>Sigamos Haciendo Historia (PVEM-PT-Morena)</v>
      </c>
      <c r="O294" s="17" t="n">
        <f aca="false">IF(I294=0,0,(MAX(C294:F294)-LARGE(C294:F294,2))/I294*100)</f>
        <v>10.6566927665921</v>
      </c>
      <c r="P294" s="4" t="s">
        <v>20</v>
      </c>
      <c r="Q294" s="4" t="s">
        <v>21</v>
      </c>
    </row>
    <row r="295" customFormat="false" ht="15" hidden="false" customHeight="false" outlineLevel="0" collapsed="false">
      <c r="A295" s="4" t="s">
        <v>84</v>
      </c>
      <c r="B295" s="4" t="n">
        <v>2</v>
      </c>
      <c r="C295" s="5" t="n">
        <v>130896</v>
      </c>
      <c r="D295" s="5" t="n">
        <v>100375</v>
      </c>
      <c r="E295" s="5" t="n">
        <v>12146</v>
      </c>
      <c r="F295" s="5" t="n">
        <v>0</v>
      </c>
      <c r="G295" s="5" t="n">
        <v>86</v>
      </c>
      <c r="H295" s="5" t="n">
        <v>8199</v>
      </c>
      <c r="I295" s="5" t="n">
        <v>251702</v>
      </c>
      <c r="J295" s="11" t="n">
        <f aca="false">IF(I295=0,0,C295/I295)</f>
        <v>0.520043543555474</v>
      </c>
      <c r="K295" s="11" t="n">
        <f aca="false">IF(I295=0,0,D295/I295)</f>
        <v>0.398785071235032</v>
      </c>
      <c r="L295" s="11" t="n">
        <f aca="false">IF(I295=0,0,E295/I295)</f>
        <v>0.0482554767145275</v>
      </c>
      <c r="M295" s="11" t="n">
        <f aca="false">IF(I295=0,0,H295/I295)</f>
        <v>0.0325742346107699</v>
      </c>
      <c r="N295" s="4" t="str">
        <f aca="false">INDEX($C$3:$F$3,MATCH(MAX(C295:F295),C295:F295,0))</f>
        <v>Sigamos Haciendo Historia (PVEM-PT-Morena)</v>
      </c>
      <c r="O295" s="17" t="n">
        <f aca="false">IF(I295=0,0,(MAX(C295:F295)-LARGE(C295:F295,2))/I295*100)</f>
        <v>12.1258472320442</v>
      </c>
      <c r="P295" s="4" t="s">
        <v>20</v>
      </c>
      <c r="Q295" s="4" t="s">
        <v>21</v>
      </c>
    </row>
    <row r="296" customFormat="false" ht="15" hidden="false" customHeight="false" outlineLevel="0" collapsed="false">
      <c r="A296" s="4" t="s">
        <v>84</v>
      </c>
      <c r="B296" s="4" t="n">
        <v>3</v>
      </c>
      <c r="C296" s="5" t="n">
        <v>98915</v>
      </c>
      <c r="D296" s="5" t="n">
        <v>72226</v>
      </c>
      <c r="E296" s="5" t="n">
        <v>11838</v>
      </c>
      <c r="F296" s="5" t="n">
        <v>0</v>
      </c>
      <c r="G296" s="5" t="n">
        <v>136</v>
      </c>
      <c r="H296" s="5" t="n">
        <v>5506</v>
      </c>
      <c r="I296" s="5" t="n">
        <v>188621</v>
      </c>
      <c r="J296" s="11" t="n">
        <f aca="false">IF(I296=0,0,C296/I296)</f>
        <v>0.524411385794795</v>
      </c>
      <c r="K296" s="11" t="n">
        <f aca="false">IF(I296=0,0,D296/I296)</f>
        <v>0.382916006171105</v>
      </c>
      <c r="L296" s="11" t="n">
        <f aca="false">IF(I296=0,0,E296/I296)</f>
        <v>0.0627607742510113</v>
      </c>
      <c r="M296" s="11" t="n">
        <f aca="false">IF(I296=0,0,H296/I296)</f>
        <v>0.0291908112034185</v>
      </c>
      <c r="N296" s="4" t="str">
        <f aca="false">INDEX($C$3:$F$3,MATCH(MAX(C296:F296),C296:F296,0))</f>
        <v>Sigamos Haciendo Historia (PVEM-PT-Morena)</v>
      </c>
      <c r="O296" s="17" t="n">
        <f aca="false">IF(I296=0,0,(MAX(C296:F296)-LARGE(C296:F296,2))/I296*100)</f>
        <v>14.149537962369</v>
      </c>
      <c r="P296" s="4" t="s">
        <v>20</v>
      </c>
      <c r="Q296" s="4" t="s">
        <v>21</v>
      </c>
    </row>
    <row r="297" customFormat="false" ht="15" hidden="false" customHeight="false" outlineLevel="0" collapsed="false">
      <c r="A297" s="4" t="s">
        <v>84</v>
      </c>
      <c r="B297" s="4" t="n">
        <v>4</v>
      </c>
      <c r="C297" s="5" t="n">
        <v>69479</v>
      </c>
      <c r="D297" s="5" t="n">
        <v>118186</v>
      </c>
      <c r="E297" s="5" t="n">
        <v>13386</v>
      </c>
      <c r="F297" s="5" t="n">
        <v>0</v>
      </c>
      <c r="G297" s="5" t="n">
        <v>177</v>
      </c>
      <c r="H297" s="5" t="n">
        <v>3870</v>
      </c>
      <c r="I297" s="5" t="n">
        <v>205098</v>
      </c>
      <c r="J297" s="11" t="n">
        <f aca="false">IF(I297=0,0,C297/I297)</f>
        <v>0.338760007411091</v>
      </c>
      <c r="K297" s="11" t="n">
        <f aca="false">IF(I297=0,0,D297/I297)</f>
        <v>0.576241601575832</v>
      </c>
      <c r="L297" s="11" t="n">
        <f aca="false">IF(I297=0,0,E297/I297)</f>
        <v>0.0652663604715794</v>
      </c>
      <c r="M297" s="11" t="n">
        <f aca="false">IF(I297=0,0,H297/I297)</f>
        <v>0.0188690284644414</v>
      </c>
      <c r="N297" s="4" t="str">
        <f aca="false">INDEX($C$3:$F$3,MATCH(MAX(C297:F297),C297:F297,0))</f>
        <v>Fuerza y Corazón por México (PAN-PRI-PRD)</v>
      </c>
      <c r="O297" s="17" t="n">
        <f aca="false">IF(I297=0,0,(MAX(C297:F297)-LARGE(C297:F297,2))/I297*100)</f>
        <v>23.7481594164741</v>
      </c>
      <c r="P297" s="4" t="s">
        <v>21</v>
      </c>
      <c r="Q297" s="4" t="s">
        <v>20</v>
      </c>
    </row>
    <row r="298" customFormat="false" ht="15" hidden="false" customHeight="false" outlineLevel="0" collapsed="false">
      <c r="A298" s="4" t="s">
        <v>84</v>
      </c>
      <c r="B298" s="4" t="n">
        <v>5</v>
      </c>
      <c r="C298" s="5" t="n">
        <v>140866</v>
      </c>
      <c r="D298" s="5" t="n">
        <v>75401</v>
      </c>
      <c r="E298" s="5" t="n">
        <v>11796</v>
      </c>
      <c r="F298" s="5" t="n">
        <v>0</v>
      </c>
      <c r="G298" s="5" t="n">
        <v>82</v>
      </c>
      <c r="H298" s="5" t="n">
        <v>8509</v>
      </c>
      <c r="I298" s="5" t="n">
        <v>236654</v>
      </c>
      <c r="J298" s="11" t="n">
        <f aca="false">IF(I298=0,0,C298/I298)</f>
        <v>0.595240308636237</v>
      </c>
      <c r="K298" s="11" t="n">
        <f aca="false">IF(I298=0,0,D298/I298)</f>
        <v>0.318612827165398</v>
      </c>
      <c r="L298" s="11" t="n">
        <f aca="false">IF(I298=0,0,E298/I298)</f>
        <v>0.0498449212774768</v>
      </c>
      <c r="M298" s="11" t="n">
        <f aca="false">IF(I298=0,0,H298/I298)</f>
        <v>0.035955445502717</v>
      </c>
      <c r="N298" s="4" t="str">
        <f aca="false">INDEX($C$3:$F$3,MATCH(MAX(C298:F298),C298:F298,0))</f>
        <v>Sigamos Haciendo Historia (PVEM-PT-Morena)</v>
      </c>
      <c r="O298" s="17" t="n">
        <f aca="false">IF(I298=0,0,(MAX(C298:F298)-LARGE(C298:F298,2))/I298*100)</f>
        <v>27.6627481470839</v>
      </c>
      <c r="P298" s="4" t="s">
        <v>20</v>
      </c>
      <c r="Q298" s="4" t="s">
        <v>21</v>
      </c>
    </row>
    <row r="299" customFormat="false" ht="15" hidden="false" customHeight="false" outlineLevel="0" collapsed="false">
      <c r="A299" s="4" t="s">
        <v>84</v>
      </c>
      <c r="B299" s="4" t="n">
        <v>6</v>
      </c>
      <c r="C299" s="5" t="n">
        <v>93487</v>
      </c>
      <c r="D299" s="5" t="n">
        <v>69864</v>
      </c>
      <c r="E299" s="5" t="n">
        <v>11881</v>
      </c>
      <c r="F299" s="5" t="n">
        <v>0</v>
      </c>
      <c r="G299" s="5" t="n">
        <v>108</v>
      </c>
      <c r="H299" s="5" t="n">
        <v>5410</v>
      </c>
      <c r="I299" s="5" t="n">
        <v>180750</v>
      </c>
      <c r="J299" s="11" t="n">
        <f aca="false">IF(I299=0,0,C299/I299)</f>
        <v>0.517217150760719</v>
      </c>
      <c r="K299" s="11" t="n">
        <f aca="false">IF(I299=0,0,D299/I299)</f>
        <v>0.386522821576764</v>
      </c>
      <c r="L299" s="11" t="n">
        <f aca="false">IF(I299=0,0,E299/I299)</f>
        <v>0.065731673582296</v>
      </c>
      <c r="M299" s="11" t="n">
        <f aca="false">IF(I299=0,0,H299/I299)</f>
        <v>0.0299308437067773</v>
      </c>
      <c r="N299" s="4" t="str">
        <f aca="false">INDEX($C$3:$F$3,MATCH(MAX(C299:F299),C299:F299,0))</f>
        <v>Sigamos Haciendo Historia (PVEM-PT-Morena)</v>
      </c>
      <c r="O299" s="17" t="n">
        <f aca="false">IF(I299=0,0,(MAX(C299:F299)-LARGE(C299:F299,2))/I299*100)</f>
        <v>13.0694329183956</v>
      </c>
      <c r="P299" s="4" t="s">
        <v>20</v>
      </c>
      <c r="Q299" s="4" t="s">
        <v>21</v>
      </c>
    </row>
    <row r="300" customFormat="false" ht="15" hidden="false" customHeight="false" outlineLevel="0" collapsed="false">
      <c r="A300" s="4" t="s">
        <v>85</v>
      </c>
      <c r="B300" s="4" t="n">
        <v>1</v>
      </c>
      <c r="C300" s="5" t="n">
        <v>80664</v>
      </c>
      <c r="D300" s="5" t="n">
        <v>73885</v>
      </c>
      <c r="E300" s="5" t="n">
        <v>19239</v>
      </c>
      <c r="F300" s="5" t="n">
        <v>0</v>
      </c>
      <c r="G300" s="5" t="n">
        <v>166</v>
      </c>
      <c r="H300" s="5" t="n">
        <v>6183</v>
      </c>
      <c r="I300" s="5" t="n">
        <v>180137</v>
      </c>
      <c r="J300" s="11" t="n">
        <f aca="false">IF(I300=0,0,C300/I300)</f>
        <v>0.447792513475854</v>
      </c>
      <c r="K300" s="11" t="n">
        <f aca="false">IF(I300=0,0,D300/I300)</f>
        <v>0.410160044854749</v>
      </c>
      <c r="L300" s="11" t="n">
        <f aca="false">IF(I300=0,0,E300/I300)</f>
        <v>0.106802045110111</v>
      </c>
      <c r="M300" s="11" t="n">
        <f aca="false">IF(I300=0,0,H300/I300)</f>
        <v>0.0343238757168155</v>
      </c>
      <c r="N300" s="4" t="str">
        <f aca="false">INDEX($C$3:$F$3,MATCH(MAX(C300:F300),C300:F300,0))</f>
        <v>Sigamos Haciendo Historia (PVEM-PT-Morena)</v>
      </c>
      <c r="O300" s="17" t="n">
        <f aca="false">IF(I300=0,0,(MAX(C300:F300)-LARGE(C300:F300,2))/I300*100)</f>
        <v>3.7632468621105</v>
      </c>
      <c r="P300" s="4" t="s">
        <v>20</v>
      </c>
      <c r="Q300" s="4" t="s">
        <v>21</v>
      </c>
    </row>
    <row r="301" customFormat="false" ht="15" hidden="false" customHeight="false" outlineLevel="0" collapsed="false">
      <c r="A301" s="4" t="s">
        <v>85</v>
      </c>
      <c r="B301" s="4" t="n">
        <v>2</v>
      </c>
      <c r="C301" s="5" t="n">
        <v>96474</v>
      </c>
      <c r="D301" s="5" t="n">
        <v>70884</v>
      </c>
      <c r="E301" s="5" t="n">
        <v>23636</v>
      </c>
      <c r="F301" s="5" t="n">
        <v>0</v>
      </c>
      <c r="G301" s="5" t="n">
        <v>134</v>
      </c>
      <c r="H301" s="5" t="n">
        <v>8908</v>
      </c>
      <c r="I301" s="5" t="n">
        <v>200036</v>
      </c>
      <c r="J301" s="11" t="n">
        <f aca="false">IF(I301=0,0,C301/I301)</f>
        <v>0.482283189025975</v>
      </c>
      <c r="K301" s="11" t="n">
        <f aca="false">IF(I301=0,0,D301/I301)</f>
        <v>0.354356215881141</v>
      </c>
      <c r="L301" s="11" t="n">
        <f aca="false">IF(I301=0,0,E301/I301)</f>
        <v>0.118158731428343</v>
      </c>
      <c r="M301" s="11" t="n">
        <f aca="false">IF(I301=0,0,H301/I301)</f>
        <v>0.0445319842428363</v>
      </c>
      <c r="N301" s="4" t="str">
        <f aca="false">INDEX($C$3:$F$3,MATCH(MAX(C301:F301),C301:F301,0))</f>
        <v>Sigamos Haciendo Historia (PVEM-PT-Morena)</v>
      </c>
      <c r="O301" s="17" t="n">
        <f aca="false">IF(I301=0,0,(MAX(C301:F301)-LARGE(C301:F301,2))/I301*100)</f>
        <v>12.7926973144834</v>
      </c>
      <c r="P301" s="4" t="s">
        <v>20</v>
      </c>
      <c r="Q301" s="4" t="s">
        <v>21</v>
      </c>
    </row>
    <row r="302" customFormat="false" ht="15" hidden="false" customHeight="false" outlineLevel="0" collapsed="false">
      <c r="A302" s="4" t="s">
        <v>85</v>
      </c>
      <c r="B302" s="4" t="n">
        <v>3</v>
      </c>
      <c r="C302" s="5" t="n">
        <v>99264</v>
      </c>
      <c r="D302" s="5" t="n">
        <v>70070</v>
      </c>
      <c r="E302" s="5" t="n">
        <v>25786</v>
      </c>
      <c r="F302" s="5" t="n">
        <v>0</v>
      </c>
      <c r="G302" s="5" t="n">
        <v>255</v>
      </c>
      <c r="H302" s="5" t="n">
        <v>8825</v>
      </c>
      <c r="I302" s="5" t="n">
        <v>204200</v>
      </c>
      <c r="J302" s="11" t="n">
        <f aca="false">IF(I302=0,0,C302/I302)</f>
        <v>0.486111655239961</v>
      </c>
      <c r="K302" s="11" t="n">
        <f aca="false">IF(I302=0,0,D302/I302)</f>
        <v>0.343143976493634</v>
      </c>
      <c r="L302" s="11" t="n">
        <f aca="false">IF(I302=0,0,E302/I302)</f>
        <v>0.126278158667973</v>
      </c>
      <c r="M302" s="11" t="n">
        <f aca="false">IF(I302=0,0,H302/I302)</f>
        <v>0.0432174338883448</v>
      </c>
      <c r="N302" s="4" t="str">
        <f aca="false">INDEX($C$3:$F$3,MATCH(MAX(C302:F302),C302:F302,0))</f>
        <v>Sigamos Haciendo Historia (PVEM-PT-Morena)</v>
      </c>
      <c r="O302" s="17" t="n">
        <f aca="false">IF(I302=0,0,(MAX(C302:F302)-LARGE(C302:F302,2))/I302*100)</f>
        <v>14.2967678746327</v>
      </c>
      <c r="P302" s="4" t="s">
        <v>20</v>
      </c>
      <c r="Q302" s="4" t="s">
        <v>21</v>
      </c>
    </row>
    <row r="303" customFormat="false" ht="15" hidden="false" customHeight="false" outlineLevel="0" collapsed="false">
      <c r="A303" s="4" t="s">
        <v>85</v>
      </c>
      <c r="B303" s="4" t="n">
        <v>4</v>
      </c>
      <c r="C303" s="5" t="n">
        <v>91486</v>
      </c>
      <c r="D303" s="5" t="n">
        <v>56558</v>
      </c>
      <c r="E303" s="5" t="n">
        <v>23638</v>
      </c>
      <c r="F303" s="5" t="n">
        <v>0</v>
      </c>
      <c r="G303" s="5" t="n">
        <v>156</v>
      </c>
      <c r="H303" s="5" t="n">
        <v>6688</v>
      </c>
      <c r="I303" s="5" t="n">
        <v>178526</v>
      </c>
      <c r="J303" s="11" t="n">
        <f aca="false">IF(I303=0,0,C303/I303)</f>
        <v>0.512451967780603</v>
      </c>
      <c r="K303" s="11" t="n">
        <f aca="false">IF(I303=0,0,D303/I303)</f>
        <v>0.316805395292562</v>
      </c>
      <c r="L303" s="11" t="n">
        <f aca="false">IF(I303=0,0,E303/I303)</f>
        <v>0.132406484209583</v>
      </c>
      <c r="M303" s="11" t="n">
        <f aca="false">IF(I303=0,0,H303/I303)</f>
        <v>0.0374623304168581</v>
      </c>
      <c r="N303" s="4" t="str">
        <f aca="false">INDEX($C$3:$F$3,MATCH(MAX(C303:F303),C303:F303,0))</f>
        <v>Sigamos Haciendo Historia (PVEM-PT-Morena)</v>
      </c>
      <c r="O303" s="17" t="n">
        <f aca="false">IF(I303=0,0,(MAX(C303:F303)-LARGE(C303:F303,2))/I303*100)</f>
        <v>19.5646572488041</v>
      </c>
      <c r="P303" s="4" t="s">
        <v>20</v>
      </c>
      <c r="Q303" s="4" t="s">
        <v>21</v>
      </c>
    </row>
  </sheetData>
  <autoFilter ref="A3:Q30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2" min="2" style="0" width="13"/>
  </cols>
  <sheetData>
    <row r="1" customFormat="false" ht="16.15" hidden="false" customHeight="false" outlineLevel="0" collapsed="false">
      <c r="A1" s="10" t="s">
        <v>86</v>
      </c>
    </row>
    <row r="3" customFormat="false" ht="31.5" hidden="false" customHeight="true" outlineLevel="0" collapsed="false">
      <c r="A3" s="3" t="s">
        <v>32</v>
      </c>
      <c r="B3" s="3" t="s">
        <v>17</v>
      </c>
      <c r="C3" s="3" t="s">
        <v>23</v>
      </c>
      <c r="D3" s="3" t="s">
        <v>68</v>
      </c>
      <c r="E3" s="3" t="s">
        <v>87</v>
      </c>
      <c r="F3" s="3" t="s">
        <v>59</v>
      </c>
      <c r="G3" s="3" t="s">
        <v>53</v>
      </c>
      <c r="H3" s="3" t="s">
        <v>10</v>
      </c>
      <c r="I3" s="3" t="s">
        <v>22</v>
      </c>
      <c r="J3" s="3" t="s">
        <v>11</v>
      </c>
      <c r="K3" s="3" t="s">
        <v>21</v>
      </c>
      <c r="L3" s="3" t="s">
        <v>88</v>
      </c>
      <c r="M3" s="3" t="s">
        <v>89</v>
      </c>
      <c r="N3" s="3" t="s">
        <v>90</v>
      </c>
      <c r="O3" s="3" t="s">
        <v>20</v>
      </c>
      <c r="P3" s="3" t="s">
        <v>91</v>
      </c>
      <c r="Q3" s="3" t="s">
        <v>92</v>
      </c>
      <c r="R3" s="3" t="s">
        <v>93</v>
      </c>
      <c r="S3" s="3" t="s">
        <v>12</v>
      </c>
      <c r="T3" s="3" t="s">
        <v>13</v>
      </c>
      <c r="U3" s="3" t="s">
        <v>33</v>
      </c>
      <c r="V3" s="3" t="s">
        <v>15</v>
      </c>
    </row>
    <row r="4" customFormat="false" ht="15" hidden="false" customHeight="false" outlineLevel="0" collapsed="false">
      <c r="A4" s="4" t="s">
        <v>51</v>
      </c>
      <c r="B4" s="5" t="n">
        <v>1855</v>
      </c>
      <c r="C4" s="5" t="n">
        <v>267539</v>
      </c>
      <c r="D4" s="5" t="n">
        <v>47309</v>
      </c>
      <c r="E4" s="5" t="n">
        <v>14867</v>
      </c>
      <c r="F4" s="5" t="n">
        <v>21022</v>
      </c>
      <c r="G4" s="5" t="n">
        <v>14694</v>
      </c>
      <c r="H4" s="5" t="n">
        <v>52943</v>
      </c>
      <c r="I4" s="5" t="n">
        <v>196673</v>
      </c>
      <c r="J4" s="5" t="n">
        <v>0</v>
      </c>
      <c r="K4" s="5" t="n">
        <v>5199</v>
      </c>
      <c r="L4" s="5" t="n">
        <v>2227</v>
      </c>
      <c r="M4" s="5" t="n">
        <v>418</v>
      </c>
      <c r="N4" s="5" t="n">
        <v>87</v>
      </c>
      <c r="O4" s="5" t="n">
        <v>7979</v>
      </c>
      <c r="P4" s="5" t="n">
        <v>667</v>
      </c>
      <c r="Q4" s="5" t="n">
        <v>2039</v>
      </c>
      <c r="R4" s="5" t="n">
        <v>1614</v>
      </c>
      <c r="S4" s="5" t="n">
        <v>585</v>
      </c>
      <c r="T4" s="5" t="n">
        <v>20860</v>
      </c>
      <c r="U4" s="5" t="n">
        <v>656722</v>
      </c>
      <c r="V4" s="5" t="n">
        <v>1097367</v>
      </c>
    </row>
    <row r="5" customFormat="false" ht="15" hidden="false" customHeight="false" outlineLevel="0" collapsed="false">
      <c r="A5" s="4" t="s">
        <v>52</v>
      </c>
      <c r="B5" s="5" t="n">
        <v>5424</v>
      </c>
      <c r="C5" s="5" t="n">
        <v>230778</v>
      </c>
      <c r="D5" s="5" t="n">
        <v>73766</v>
      </c>
      <c r="E5" s="5" t="n">
        <v>16796</v>
      </c>
      <c r="F5" s="5" t="n">
        <v>98690</v>
      </c>
      <c r="G5" s="5" t="n">
        <v>83933</v>
      </c>
      <c r="H5" s="5" t="n">
        <v>139375</v>
      </c>
      <c r="I5" s="5" t="n">
        <v>797014</v>
      </c>
      <c r="J5" s="5" t="n">
        <v>0</v>
      </c>
      <c r="K5" s="5" t="n">
        <v>9546</v>
      </c>
      <c r="L5" s="5" t="n">
        <v>2907</v>
      </c>
      <c r="M5" s="5" t="n">
        <v>342</v>
      </c>
      <c r="N5" s="5" t="n">
        <v>166</v>
      </c>
      <c r="O5" s="5" t="n">
        <v>3586</v>
      </c>
      <c r="P5" s="5" t="n">
        <v>459</v>
      </c>
      <c r="Q5" s="5" t="n">
        <v>1501</v>
      </c>
      <c r="R5" s="5" t="n">
        <v>857</v>
      </c>
      <c r="S5" s="5" t="n">
        <v>2073</v>
      </c>
      <c r="T5" s="5" t="n">
        <v>80640</v>
      </c>
      <c r="U5" s="5" t="n">
        <v>1542429</v>
      </c>
      <c r="V5" s="5" t="n">
        <v>3197828</v>
      </c>
    </row>
    <row r="6" customFormat="false" ht="15" hidden="false" customHeight="false" outlineLevel="0" collapsed="false">
      <c r="A6" s="4" t="s">
        <v>54</v>
      </c>
      <c r="B6" s="5" t="n">
        <v>1130</v>
      </c>
      <c r="C6" s="5" t="n">
        <v>87165</v>
      </c>
      <c r="D6" s="5" t="n">
        <v>12379</v>
      </c>
      <c r="E6" s="5" t="n">
        <v>3606</v>
      </c>
      <c r="F6" s="5" t="n">
        <v>16375</v>
      </c>
      <c r="G6" s="5" t="n">
        <v>24009</v>
      </c>
      <c r="H6" s="5" t="n">
        <v>24420</v>
      </c>
      <c r="I6" s="5" t="n">
        <v>133762</v>
      </c>
      <c r="J6" s="5" t="n">
        <v>0</v>
      </c>
      <c r="K6" s="5" t="n">
        <v>4741</v>
      </c>
      <c r="L6" s="5" t="n">
        <v>1403</v>
      </c>
      <c r="M6" s="5" t="n">
        <v>210</v>
      </c>
      <c r="N6" s="5" t="n">
        <v>60</v>
      </c>
      <c r="O6" s="5" t="n">
        <v>9922</v>
      </c>
      <c r="P6" s="5" t="n">
        <v>1487</v>
      </c>
      <c r="Q6" s="5" t="n">
        <v>1721</v>
      </c>
      <c r="R6" s="5" t="n">
        <v>2860</v>
      </c>
      <c r="S6" s="5" t="n">
        <v>323</v>
      </c>
      <c r="T6" s="5" t="n">
        <v>10798</v>
      </c>
      <c r="U6" s="5" t="n">
        <v>335241</v>
      </c>
      <c r="V6" s="5" t="n">
        <v>613630</v>
      </c>
    </row>
    <row r="7" customFormat="false" ht="15" hidden="false" customHeight="false" outlineLevel="0" collapsed="false">
      <c r="A7" s="4" t="s">
        <v>55</v>
      </c>
      <c r="B7" s="5" t="n">
        <v>1244</v>
      </c>
      <c r="C7" s="5" t="n">
        <v>19658</v>
      </c>
      <c r="D7" s="5" t="n">
        <v>43085</v>
      </c>
      <c r="E7" s="5" t="n">
        <v>2655</v>
      </c>
      <c r="F7" s="5" t="n">
        <v>13655</v>
      </c>
      <c r="G7" s="5" t="n">
        <v>14858</v>
      </c>
      <c r="H7" s="5" t="n">
        <v>141316</v>
      </c>
      <c r="I7" s="5" t="n">
        <v>179266</v>
      </c>
      <c r="J7" s="5" t="n">
        <v>0</v>
      </c>
      <c r="K7" s="5" t="n">
        <v>1732</v>
      </c>
      <c r="L7" s="5" t="n">
        <v>512</v>
      </c>
      <c r="M7" s="5" t="n">
        <v>62</v>
      </c>
      <c r="N7" s="5" t="n">
        <v>210</v>
      </c>
      <c r="O7" s="5" t="n">
        <v>10187</v>
      </c>
      <c r="P7" s="5" t="n">
        <v>1483</v>
      </c>
      <c r="Q7" s="5" t="n">
        <v>1729</v>
      </c>
      <c r="R7" s="5" t="n">
        <v>2117</v>
      </c>
      <c r="S7" s="5" t="n">
        <v>269</v>
      </c>
      <c r="T7" s="5" t="n">
        <v>13043</v>
      </c>
      <c r="U7" s="5" t="n">
        <v>445837</v>
      </c>
      <c r="V7" s="5" t="n">
        <v>694618</v>
      </c>
    </row>
    <row r="8" customFormat="false" ht="15" hidden="false" customHeight="false" outlineLevel="0" collapsed="false">
      <c r="A8" s="4" t="s">
        <v>56</v>
      </c>
      <c r="B8" s="5" t="n">
        <v>4177</v>
      </c>
      <c r="C8" s="5" t="n">
        <v>95454</v>
      </c>
      <c r="D8" s="5" t="n">
        <v>601850</v>
      </c>
      <c r="E8" s="5" t="n">
        <v>25384</v>
      </c>
      <c r="F8" s="5" t="n">
        <v>61134</v>
      </c>
      <c r="G8" s="5" t="n">
        <v>54193</v>
      </c>
      <c r="H8" s="5" t="n">
        <v>61004</v>
      </c>
      <c r="I8" s="5" t="n">
        <v>589025</v>
      </c>
      <c r="J8" s="5" t="n">
        <v>0</v>
      </c>
      <c r="K8" s="5" t="n">
        <v>7927</v>
      </c>
      <c r="L8" s="5" t="n">
        <v>3549</v>
      </c>
      <c r="M8" s="5" t="n">
        <v>228</v>
      </c>
      <c r="N8" s="5" t="n">
        <v>1569</v>
      </c>
      <c r="O8" s="5" t="n">
        <v>23136</v>
      </c>
      <c r="P8" s="5" t="n">
        <v>2595</v>
      </c>
      <c r="Q8" s="5" t="n">
        <v>6514</v>
      </c>
      <c r="R8" s="5" t="n">
        <v>7907</v>
      </c>
      <c r="S8" s="5" t="n">
        <v>526</v>
      </c>
      <c r="T8" s="5" t="n">
        <v>34620</v>
      </c>
      <c r="U8" s="5" t="n">
        <v>1576615</v>
      </c>
      <c r="V8" s="5" t="n">
        <v>2410804</v>
      </c>
    </row>
    <row r="9" customFormat="false" ht="15" hidden="false" customHeight="false" outlineLevel="0" collapsed="false">
      <c r="A9" s="4" t="s">
        <v>57</v>
      </c>
      <c r="B9" s="5" t="n">
        <v>1043</v>
      </c>
      <c r="C9" s="5" t="n">
        <v>46731</v>
      </c>
      <c r="D9" s="5" t="n">
        <v>47696</v>
      </c>
      <c r="E9" s="5" t="n">
        <v>6296</v>
      </c>
      <c r="F9" s="5" t="n">
        <v>20255</v>
      </c>
      <c r="G9" s="5" t="n">
        <v>10987</v>
      </c>
      <c r="H9" s="5" t="n">
        <v>54143</v>
      </c>
      <c r="I9" s="5" t="n">
        <v>121948</v>
      </c>
      <c r="J9" s="5" t="n">
        <v>0</v>
      </c>
      <c r="K9" s="5" t="n">
        <v>3876</v>
      </c>
      <c r="L9" s="5" t="n">
        <v>2689</v>
      </c>
      <c r="M9" s="5" t="n">
        <v>149</v>
      </c>
      <c r="N9" s="5" t="n">
        <v>91</v>
      </c>
      <c r="O9" s="5" t="n">
        <v>8174</v>
      </c>
      <c r="P9" s="5" t="n">
        <v>1094</v>
      </c>
      <c r="Q9" s="5" t="n">
        <v>2116</v>
      </c>
      <c r="R9" s="5" t="n">
        <v>1328</v>
      </c>
      <c r="S9" s="5" t="n">
        <v>305</v>
      </c>
      <c r="T9" s="5" t="n">
        <v>10704</v>
      </c>
      <c r="U9" s="5" t="n">
        <v>338582</v>
      </c>
      <c r="V9" s="5" t="n">
        <v>584287</v>
      </c>
    </row>
    <row r="10" customFormat="false" ht="15" hidden="false" customHeight="false" outlineLevel="0" collapsed="false">
      <c r="A10" s="4" t="s">
        <v>58</v>
      </c>
      <c r="B10" s="5" t="n">
        <v>6938</v>
      </c>
      <c r="C10" s="5" t="n">
        <v>108011</v>
      </c>
      <c r="D10" s="5" t="n">
        <v>219303</v>
      </c>
      <c r="E10" s="5" t="n">
        <v>36797</v>
      </c>
      <c r="F10" s="5" t="n">
        <v>485372</v>
      </c>
      <c r="G10" s="5" t="n">
        <v>262229</v>
      </c>
      <c r="H10" s="5" t="n">
        <v>149057</v>
      </c>
      <c r="I10" s="5" t="n">
        <v>965975</v>
      </c>
      <c r="J10" s="5" t="n">
        <v>10032</v>
      </c>
      <c r="K10" s="5" t="n">
        <v>9965</v>
      </c>
      <c r="L10" s="5" t="n">
        <v>2866</v>
      </c>
      <c r="M10" s="5" t="n">
        <v>644</v>
      </c>
      <c r="N10" s="5" t="n">
        <v>611</v>
      </c>
      <c r="O10" s="5" t="n">
        <v>14369</v>
      </c>
      <c r="P10" s="5" t="n">
        <v>4283</v>
      </c>
      <c r="Q10" s="5" t="n">
        <v>6563</v>
      </c>
      <c r="R10" s="5" t="n">
        <v>5523</v>
      </c>
      <c r="S10" s="5" t="n">
        <v>1812</v>
      </c>
      <c r="T10" s="5" t="n">
        <v>172347</v>
      </c>
      <c r="U10" s="5" t="n">
        <v>2455759</v>
      </c>
      <c r="V10" s="5" t="n">
        <v>3944561</v>
      </c>
    </row>
    <row r="11" customFormat="false" ht="15" hidden="false" customHeight="false" outlineLevel="0" collapsed="false">
      <c r="A11" s="4" t="s">
        <v>60</v>
      </c>
      <c r="B11" s="5" t="n">
        <v>5805</v>
      </c>
      <c r="C11" s="5" t="n">
        <v>396511</v>
      </c>
      <c r="D11" s="5" t="n">
        <v>160288</v>
      </c>
      <c r="E11" s="5" t="n">
        <v>21766</v>
      </c>
      <c r="F11" s="5" t="n">
        <v>64438</v>
      </c>
      <c r="G11" s="5" t="n">
        <v>51873</v>
      </c>
      <c r="H11" s="5" t="n">
        <v>138729</v>
      </c>
      <c r="I11" s="5" t="n">
        <v>652839</v>
      </c>
      <c r="J11" s="5" t="n">
        <v>0</v>
      </c>
      <c r="K11" s="5" t="n">
        <v>21855</v>
      </c>
      <c r="L11" s="5" t="n">
        <v>8552</v>
      </c>
      <c r="M11" s="5" t="n">
        <v>729</v>
      </c>
      <c r="N11" s="5" t="n">
        <v>514</v>
      </c>
      <c r="O11" s="5" t="n">
        <v>35802</v>
      </c>
      <c r="P11" s="5" t="n">
        <v>3664</v>
      </c>
      <c r="Q11" s="5" t="n">
        <v>9710</v>
      </c>
      <c r="R11" s="5" t="n">
        <v>10427</v>
      </c>
      <c r="S11" s="5" t="n">
        <v>1056</v>
      </c>
      <c r="T11" s="5" t="n">
        <v>46866</v>
      </c>
      <c r="U11" s="5" t="n">
        <v>1625619</v>
      </c>
      <c r="V11" s="5" t="n">
        <v>3082424</v>
      </c>
    </row>
    <row r="12" customFormat="false" ht="15" hidden="false" customHeight="false" outlineLevel="0" collapsed="false">
      <c r="A12" s="4" t="s">
        <v>61</v>
      </c>
      <c r="B12" s="5" t="n">
        <v>13497</v>
      </c>
      <c r="C12" s="5" t="n">
        <v>1329708</v>
      </c>
      <c r="D12" s="5" t="n">
        <v>455300</v>
      </c>
      <c r="E12" s="5" t="n">
        <v>146532</v>
      </c>
      <c r="F12" s="5" t="n">
        <v>265172</v>
      </c>
      <c r="G12" s="5" t="n">
        <v>173423</v>
      </c>
      <c r="H12" s="5" t="n">
        <v>473754</v>
      </c>
      <c r="I12" s="5" t="n">
        <v>2149156</v>
      </c>
      <c r="J12" s="5" t="n">
        <v>0</v>
      </c>
      <c r="K12" s="5" t="n">
        <v>117776</v>
      </c>
      <c r="L12" s="5" t="n">
        <v>20342</v>
      </c>
      <c r="M12" s="5" t="n">
        <v>4439</v>
      </c>
      <c r="N12" s="5" t="n">
        <v>2164</v>
      </c>
      <c r="O12" s="5" t="n">
        <v>178668</v>
      </c>
      <c r="P12" s="5" t="n">
        <v>11891</v>
      </c>
      <c r="Q12" s="5" t="n">
        <v>31998</v>
      </c>
      <c r="R12" s="5" t="n">
        <v>30073</v>
      </c>
      <c r="S12" s="5" t="n">
        <v>6549</v>
      </c>
      <c r="T12" s="5" t="n">
        <v>127438</v>
      </c>
      <c r="U12" s="5" t="n">
        <v>5524383</v>
      </c>
      <c r="V12" s="5" t="n">
        <v>7919037</v>
      </c>
    </row>
    <row r="13" customFormat="false" ht="15" hidden="false" customHeight="false" outlineLevel="0" collapsed="false">
      <c r="A13" s="4" t="s">
        <v>62</v>
      </c>
      <c r="B13" s="5" t="n">
        <v>2639</v>
      </c>
      <c r="C13" s="5" t="n">
        <v>99167</v>
      </c>
      <c r="D13" s="5" t="n">
        <v>173120</v>
      </c>
      <c r="E13" s="5" t="n">
        <v>14871</v>
      </c>
      <c r="F13" s="5" t="n">
        <v>34121</v>
      </c>
      <c r="G13" s="5" t="n">
        <v>36473</v>
      </c>
      <c r="H13" s="5" t="n">
        <v>53349</v>
      </c>
      <c r="I13" s="5" t="n">
        <v>291324</v>
      </c>
      <c r="J13" s="5" t="n">
        <v>0</v>
      </c>
      <c r="K13" s="5" t="n">
        <v>10031</v>
      </c>
      <c r="L13" s="5" t="n">
        <v>4571</v>
      </c>
      <c r="M13" s="5" t="n">
        <v>230</v>
      </c>
      <c r="N13" s="5" t="n">
        <v>329</v>
      </c>
      <c r="O13" s="5" t="n">
        <v>19475</v>
      </c>
      <c r="P13" s="5" t="n">
        <v>2488</v>
      </c>
      <c r="Q13" s="5" t="n">
        <v>4612</v>
      </c>
      <c r="R13" s="5" t="n">
        <v>4896</v>
      </c>
      <c r="S13" s="5" t="n">
        <v>399</v>
      </c>
      <c r="T13" s="5" t="n">
        <v>21183</v>
      </c>
      <c r="U13" s="5" t="n">
        <v>770639</v>
      </c>
      <c r="V13" s="5" t="n">
        <v>1397618</v>
      </c>
    </row>
    <row r="14" customFormat="false" ht="15" hidden="false" customHeight="false" outlineLevel="0" collapsed="false">
      <c r="A14" s="4" t="s">
        <v>63</v>
      </c>
      <c r="B14" s="5" t="n">
        <v>8200</v>
      </c>
      <c r="C14" s="5" t="n">
        <v>1025371</v>
      </c>
      <c r="D14" s="5" t="n">
        <v>173941</v>
      </c>
      <c r="E14" s="5" t="n">
        <v>27734</v>
      </c>
      <c r="F14" s="5" t="n">
        <v>137961</v>
      </c>
      <c r="G14" s="5" t="n">
        <v>56953</v>
      </c>
      <c r="H14" s="5" t="n">
        <v>209268</v>
      </c>
      <c r="I14" s="5" t="n">
        <v>932726</v>
      </c>
      <c r="J14" s="5" t="n">
        <v>0</v>
      </c>
      <c r="K14" s="5" t="n">
        <v>17272</v>
      </c>
      <c r="L14" s="5" t="n">
        <v>7685</v>
      </c>
      <c r="M14" s="5" t="n">
        <v>957</v>
      </c>
      <c r="N14" s="5" t="n">
        <v>372</v>
      </c>
      <c r="O14" s="5" t="n">
        <v>38091</v>
      </c>
      <c r="P14" s="5" t="n">
        <v>3699</v>
      </c>
      <c r="Q14" s="5" t="n">
        <v>11210</v>
      </c>
      <c r="R14" s="5" t="n">
        <v>6846</v>
      </c>
      <c r="S14" s="5" t="n">
        <v>1845</v>
      </c>
      <c r="T14" s="5" t="n">
        <v>72736</v>
      </c>
      <c r="U14" s="5" t="n">
        <v>2724667</v>
      </c>
      <c r="V14" s="5" t="n">
        <v>4831304</v>
      </c>
    </row>
    <row r="15" customFormat="false" ht="15" hidden="false" customHeight="false" outlineLevel="0" collapsed="false">
      <c r="A15" s="4" t="s">
        <v>64</v>
      </c>
      <c r="B15" s="5" t="n">
        <v>5158</v>
      </c>
      <c r="C15" s="5" t="n">
        <v>55522</v>
      </c>
      <c r="D15" s="5" t="n">
        <v>181366</v>
      </c>
      <c r="E15" s="5" t="n">
        <v>89832</v>
      </c>
      <c r="F15" s="5" t="n">
        <v>137643</v>
      </c>
      <c r="G15" s="5" t="n">
        <v>95738</v>
      </c>
      <c r="H15" s="5" t="n">
        <v>116383</v>
      </c>
      <c r="I15" s="5" t="n">
        <v>714871</v>
      </c>
      <c r="J15" s="5" t="n">
        <v>0</v>
      </c>
      <c r="K15" s="5" t="n">
        <v>9243</v>
      </c>
      <c r="L15" s="5" t="n">
        <v>1693</v>
      </c>
      <c r="M15" s="5" t="n">
        <v>834</v>
      </c>
      <c r="N15" s="5" t="n">
        <v>1558</v>
      </c>
      <c r="O15" s="5" t="n">
        <v>30532</v>
      </c>
      <c r="P15" s="5" t="n">
        <v>5712</v>
      </c>
      <c r="Q15" s="5" t="n">
        <v>9513</v>
      </c>
      <c r="R15" s="5" t="n">
        <v>5966</v>
      </c>
      <c r="S15" s="5" t="n">
        <v>1801</v>
      </c>
      <c r="T15" s="5" t="n">
        <v>77264</v>
      </c>
      <c r="U15" s="5" t="n">
        <v>1535471</v>
      </c>
      <c r="V15" s="5" t="n">
        <v>2643422</v>
      </c>
    </row>
    <row r="16" customFormat="false" ht="15" hidden="false" customHeight="false" outlineLevel="0" collapsed="false">
      <c r="A16" s="4" t="s">
        <v>65</v>
      </c>
      <c r="B16" s="5" t="n">
        <v>4240</v>
      </c>
      <c r="C16" s="5" t="n">
        <v>109223</v>
      </c>
      <c r="D16" s="5" t="n">
        <v>175858</v>
      </c>
      <c r="E16" s="5" t="n">
        <v>21427</v>
      </c>
      <c r="F16" s="5" t="n">
        <v>124336</v>
      </c>
      <c r="G16" s="5" t="n">
        <v>169196</v>
      </c>
      <c r="H16" s="5" t="n">
        <v>135293</v>
      </c>
      <c r="I16" s="5" t="n">
        <v>705869</v>
      </c>
      <c r="J16" s="5" t="n">
        <v>0</v>
      </c>
      <c r="K16" s="5" t="n">
        <v>8990</v>
      </c>
      <c r="L16" s="5" t="n">
        <v>2280</v>
      </c>
      <c r="M16" s="5" t="n">
        <v>346</v>
      </c>
      <c r="N16" s="5" t="n">
        <v>346</v>
      </c>
      <c r="O16" s="5" t="n">
        <v>2305</v>
      </c>
      <c r="P16" s="5" t="n">
        <v>547</v>
      </c>
      <c r="Q16" s="5" t="n">
        <v>856</v>
      </c>
      <c r="R16" s="5" t="n">
        <v>1030</v>
      </c>
      <c r="S16" s="5" t="n">
        <v>1139</v>
      </c>
      <c r="T16" s="5" t="n">
        <v>76440</v>
      </c>
      <c r="U16" s="5" t="n">
        <v>1535481</v>
      </c>
      <c r="V16" s="5" t="n">
        <v>2386371</v>
      </c>
    </row>
    <row r="17" customFormat="false" ht="15" hidden="false" customHeight="false" outlineLevel="0" collapsed="false">
      <c r="A17" s="4" t="s">
        <v>66</v>
      </c>
      <c r="B17" s="5" t="n">
        <v>10937</v>
      </c>
      <c r="C17" s="5" t="n">
        <v>664616</v>
      </c>
      <c r="D17" s="5" t="n">
        <v>339118</v>
      </c>
      <c r="E17" s="5" t="n">
        <v>33241</v>
      </c>
      <c r="F17" s="5" t="n">
        <v>206858</v>
      </c>
      <c r="G17" s="5" t="n">
        <v>91612</v>
      </c>
      <c r="H17" s="5" t="n">
        <v>1109336</v>
      </c>
      <c r="I17" s="5" t="n">
        <v>1133927</v>
      </c>
      <c r="J17" s="5" t="n">
        <v>0</v>
      </c>
      <c r="K17" s="5" t="n">
        <v>38120</v>
      </c>
      <c r="L17" s="5" t="n">
        <v>13086</v>
      </c>
      <c r="M17" s="5" t="n">
        <v>1137</v>
      </c>
      <c r="N17" s="5" t="n">
        <v>861</v>
      </c>
      <c r="O17" s="5" t="n">
        <v>55132</v>
      </c>
      <c r="P17" s="5" t="n">
        <v>4693</v>
      </c>
      <c r="Q17" s="5" t="n">
        <v>14668</v>
      </c>
      <c r="R17" s="5" t="n">
        <v>9862</v>
      </c>
      <c r="S17" s="5" t="n">
        <v>3300</v>
      </c>
      <c r="T17" s="5" t="n">
        <v>107224</v>
      </c>
      <c r="U17" s="5" t="n">
        <v>3826791</v>
      </c>
      <c r="V17" s="5" t="n">
        <v>6619608</v>
      </c>
    </row>
    <row r="18" customFormat="false" ht="15" hidden="false" customHeight="false" outlineLevel="0" collapsed="false">
      <c r="A18" s="4" t="s">
        <v>67</v>
      </c>
      <c r="B18" s="5" t="n">
        <v>21084</v>
      </c>
      <c r="C18" s="5" t="n">
        <v>1008474</v>
      </c>
      <c r="D18" s="5" t="n">
        <v>1342558</v>
      </c>
      <c r="E18" s="5" t="n">
        <v>147483</v>
      </c>
      <c r="F18" s="5" t="n">
        <v>539708</v>
      </c>
      <c r="G18" s="5" t="n">
        <v>301474</v>
      </c>
      <c r="H18" s="5" t="n">
        <v>844075</v>
      </c>
      <c r="I18" s="5" t="n">
        <v>3562899</v>
      </c>
      <c r="J18" s="5" t="n">
        <v>0</v>
      </c>
      <c r="K18" s="5" t="n">
        <v>85874</v>
      </c>
      <c r="L18" s="5" t="n">
        <v>24831</v>
      </c>
      <c r="M18" s="5" t="n">
        <v>2974</v>
      </c>
      <c r="N18" s="5" t="n">
        <v>3265</v>
      </c>
      <c r="O18" s="5" t="n">
        <v>163529</v>
      </c>
      <c r="P18" s="5" t="n">
        <v>14657</v>
      </c>
      <c r="Q18" s="5" t="n">
        <v>41956</v>
      </c>
      <c r="R18" s="5" t="n">
        <v>31948</v>
      </c>
      <c r="S18" s="5" t="n">
        <v>6969</v>
      </c>
      <c r="T18" s="5" t="n">
        <v>272496</v>
      </c>
      <c r="U18" s="5" t="n">
        <v>8395170</v>
      </c>
      <c r="V18" s="5" t="n">
        <v>13026931</v>
      </c>
    </row>
    <row r="19" customFormat="false" ht="15" hidden="false" customHeight="false" outlineLevel="0" collapsed="false">
      <c r="A19" s="4" t="s">
        <v>69</v>
      </c>
      <c r="B19" s="5" t="n">
        <v>6508</v>
      </c>
      <c r="C19" s="5" t="n">
        <v>302552</v>
      </c>
      <c r="D19" s="5" t="n">
        <v>195472</v>
      </c>
      <c r="E19" s="5" t="n">
        <v>127719</v>
      </c>
      <c r="F19" s="5" t="n">
        <v>151941</v>
      </c>
      <c r="G19" s="5" t="n">
        <v>149345</v>
      </c>
      <c r="H19" s="5" t="n">
        <v>220166</v>
      </c>
      <c r="I19" s="5" t="n">
        <v>624348</v>
      </c>
      <c r="J19" s="5" t="n">
        <v>61980</v>
      </c>
      <c r="K19" s="5" t="n">
        <v>26237</v>
      </c>
      <c r="L19" s="5" t="n">
        <v>7574</v>
      </c>
      <c r="M19" s="5" t="n">
        <v>2932</v>
      </c>
      <c r="N19" s="5" t="n">
        <v>2175</v>
      </c>
      <c r="O19" s="5" t="n">
        <v>40766</v>
      </c>
      <c r="P19" s="5" t="n">
        <v>8931</v>
      </c>
      <c r="Q19" s="5" t="n">
        <v>9452</v>
      </c>
      <c r="R19" s="5" t="n">
        <v>9904</v>
      </c>
      <c r="S19" s="5" t="n">
        <v>2485</v>
      </c>
      <c r="T19" s="5" t="n">
        <v>103429</v>
      </c>
      <c r="U19" s="5" t="n">
        <v>2047408</v>
      </c>
      <c r="V19" s="5" t="n">
        <v>3695978</v>
      </c>
    </row>
    <row r="20" customFormat="false" ht="15" hidden="false" customHeight="false" outlineLevel="0" collapsed="false">
      <c r="A20" s="4" t="s">
        <v>70</v>
      </c>
      <c r="B20" s="5" t="n">
        <v>2612</v>
      </c>
      <c r="C20" s="5" t="n">
        <v>137987</v>
      </c>
      <c r="D20" s="5" t="n">
        <v>61677</v>
      </c>
      <c r="E20" s="5" t="n">
        <v>25653</v>
      </c>
      <c r="F20" s="5" t="n">
        <v>87455</v>
      </c>
      <c r="G20" s="5" t="n">
        <v>67462</v>
      </c>
      <c r="H20" s="5" t="n">
        <v>123489</v>
      </c>
      <c r="I20" s="5" t="n">
        <v>388325</v>
      </c>
      <c r="J20" s="5" t="n">
        <v>0</v>
      </c>
      <c r="K20" s="5" t="n">
        <v>9905</v>
      </c>
      <c r="L20" s="5" t="n">
        <v>2463</v>
      </c>
      <c r="M20" s="5" t="n">
        <v>596</v>
      </c>
      <c r="N20" s="5" t="n">
        <v>428</v>
      </c>
      <c r="O20" s="5" t="n">
        <v>17862</v>
      </c>
      <c r="P20" s="5" t="n">
        <v>2994</v>
      </c>
      <c r="Q20" s="5" t="n">
        <v>4717</v>
      </c>
      <c r="R20" s="5" t="n">
        <v>4836</v>
      </c>
      <c r="S20" s="5" t="n">
        <v>850</v>
      </c>
      <c r="T20" s="5" t="n">
        <v>39891</v>
      </c>
      <c r="U20" s="5" t="n">
        <v>976590</v>
      </c>
      <c r="V20" s="5" t="n">
        <v>1549670</v>
      </c>
    </row>
    <row r="21" customFormat="false" ht="15" hidden="false" customHeight="false" outlineLevel="0" collapsed="false">
      <c r="A21" s="4" t="s">
        <v>71</v>
      </c>
      <c r="B21" s="5" t="n">
        <v>1829</v>
      </c>
      <c r="C21" s="5" t="n">
        <v>58460</v>
      </c>
      <c r="D21" s="5" t="n">
        <v>40789</v>
      </c>
      <c r="E21" s="5" t="n">
        <v>8474</v>
      </c>
      <c r="F21" s="5" t="n">
        <v>46649</v>
      </c>
      <c r="G21" s="5" t="n">
        <v>26363</v>
      </c>
      <c r="H21" s="5" t="n">
        <v>92707</v>
      </c>
      <c r="I21" s="5" t="n">
        <v>210195</v>
      </c>
      <c r="J21" s="5" t="n">
        <v>0</v>
      </c>
      <c r="K21" s="5" t="n">
        <v>4912</v>
      </c>
      <c r="L21" s="5" t="n">
        <v>1238</v>
      </c>
      <c r="M21" s="5" t="n">
        <v>229</v>
      </c>
      <c r="N21" s="5" t="n">
        <v>117</v>
      </c>
      <c r="O21" s="5" t="n">
        <v>11973</v>
      </c>
      <c r="P21" s="5" t="n">
        <v>2201</v>
      </c>
      <c r="Q21" s="5" t="n">
        <v>3152</v>
      </c>
      <c r="R21" s="5" t="n">
        <v>2092</v>
      </c>
      <c r="S21" s="5" t="n">
        <v>502</v>
      </c>
      <c r="T21" s="5" t="n">
        <v>23034</v>
      </c>
      <c r="U21" s="5" t="n">
        <v>533087</v>
      </c>
      <c r="V21" s="5" t="n">
        <v>950703</v>
      </c>
    </row>
    <row r="22" customFormat="false" ht="15" hidden="false" customHeight="false" outlineLevel="0" collapsed="false">
      <c r="A22" s="4" t="s">
        <v>72</v>
      </c>
      <c r="B22" s="5" t="n">
        <v>7502</v>
      </c>
      <c r="C22" s="5" t="n">
        <v>538605</v>
      </c>
      <c r="D22" s="5" t="n">
        <v>329505</v>
      </c>
      <c r="E22" s="5" t="n">
        <v>17314</v>
      </c>
      <c r="F22" s="5" t="n">
        <v>120694</v>
      </c>
      <c r="G22" s="5" t="n">
        <v>82578</v>
      </c>
      <c r="H22" s="5" t="n">
        <v>658651</v>
      </c>
      <c r="I22" s="5" t="n">
        <v>615215</v>
      </c>
      <c r="J22" s="5" t="n">
        <v>0</v>
      </c>
      <c r="K22" s="5" t="n">
        <v>32709</v>
      </c>
      <c r="L22" s="5" t="n">
        <v>9975</v>
      </c>
      <c r="M22" s="5" t="n">
        <v>656</v>
      </c>
      <c r="N22" s="5" t="n">
        <v>592</v>
      </c>
      <c r="O22" s="5" t="n">
        <v>36635</v>
      </c>
      <c r="P22" s="5" t="n">
        <v>4661</v>
      </c>
      <c r="Q22" s="5" t="n">
        <v>8599</v>
      </c>
      <c r="R22" s="5" t="n">
        <v>7473</v>
      </c>
      <c r="S22" s="5" t="n">
        <v>1699</v>
      </c>
      <c r="T22" s="5" t="n">
        <v>62233</v>
      </c>
      <c r="U22" s="5" t="n">
        <v>2527794</v>
      </c>
      <c r="V22" s="5" t="n">
        <v>4465849</v>
      </c>
    </row>
    <row r="23" customFormat="false" ht="15" hidden="false" customHeight="false" outlineLevel="0" collapsed="false">
      <c r="A23" s="4" t="s">
        <v>73</v>
      </c>
      <c r="B23" s="5" t="n">
        <v>5992</v>
      </c>
      <c r="C23" s="5" t="n">
        <v>79448</v>
      </c>
      <c r="D23" s="5" t="n">
        <v>150973</v>
      </c>
      <c r="E23" s="5" t="n">
        <v>52561</v>
      </c>
      <c r="F23" s="5" t="n">
        <v>202271</v>
      </c>
      <c r="G23" s="5" t="n">
        <v>210387</v>
      </c>
      <c r="H23" s="5" t="n">
        <v>142479</v>
      </c>
      <c r="I23" s="5" t="n">
        <v>887789</v>
      </c>
      <c r="J23" s="5" t="n">
        <v>0</v>
      </c>
      <c r="K23" s="5" t="n">
        <v>5384</v>
      </c>
      <c r="L23" s="5" t="n">
        <v>2134</v>
      </c>
      <c r="M23" s="5" t="n">
        <v>398</v>
      </c>
      <c r="N23" s="5" t="n">
        <v>655</v>
      </c>
      <c r="O23" s="5" t="n">
        <v>15293</v>
      </c>
      <c r="P23" s="5" t="n">
        <v>3611</v>
      </c>
      <c r="Q23" s="5" t="n">
        <v>6189</v>
      </c>
      <c r="R23" s="5" t="n">
        <v>5756</v>
      </c>
      <c r="S23" s="5" t="n">
        <v>1459</v>
      </c>
      <c r="T23" s="5" t="n">
        <v>99399</v>
      </c>
      <c r="U23" s="5" t="n">
        <v>1866186</v>
      </c>
      <c r="V23" s="5" t="n">
        <v>3111986</v>
      </c>
    </row>
    <row r="24" customFormat="false" ht="15" hidden="false" customHeight="false" outlineLevel="0" collapsed="false">
      <c r="A24" s="4" t="s">
        <v>74</v>
      </c>
      <c r="B24" s="5" t="n">
        <v>8410</v>
      </c>
      <c r="C24" s="5" t="n">
        <v>525577</v>
      </c>
      <c r="D24" s="5" t="n">
        <v>250938</v>
      </c>
      <c r="E24" s="5" t="n">
        <v>45946</v>
      </c>
      <c r="F24" s="5" t="n">
        <v>291738</v>
      </c>
      <c r="G24" s="5" t="n">
        <v>190835</v>
      </c>
      <c r="H24" s="5" t="n">
        <v>281911</v>
      </c>
      <c r="I24" s="5" t="n">
        <v>1350134</v>
      </c>
      <c r="J24" s="5" t="n">
        <v>0</v>
      </c>
      <c r="K24" s="5" t="n">
        <v>32044</v>
      </c>
      <c r="L24" s="5" t="n">
        <v>13739</v>
      </c>
      <c r="M24" s="5" t="n">
        <v>2542</v>
      </c>
      <c r="N24" s="5" t="n">
        <v>1047</v>
      </c>
      <c r="O24" s="5" t="n">
        <v>67516</v>
      </c>
      <c r="P24" s="5" t="n">
        <v>10124</v>
      </c>
      <c r="Q24" s="5" t="n">
        <v>21153</v>
      </c>
      <c r="R24" s="5" t="n">
        <v>17966</v>
      </c>
      <c r="S24" s="5" t="n">
        <v>2189</v>
      </c>
      <c r="T24" s="5" t="n">
        <v>146289</v>
      </c>
      <c r="U24" s="5" t="n">
        <v>3251688</v>
      </c>
      <c r="V24" s="5" t="n">
        <v>4978736</v>
      </c>
    </row>
    <row r="25" customFormat="false" ht="15" hidden="false" customHeight="false" outlineLevel="0" collapsed="false">
      <c r="A25" s="4" t="s">
        <v>75</v>
      </c>
      <c r="B25" s="5" t="n">
        <v>3201</v>
      </c>
      <c r="C25" s="5" t="n">
        <v>426282</v>
      </c>
      <c r="D25" s="5" t="n">
        <v>71490</v>
      </c>
      <c r="E25" s="5" t="n">
        <v>11354</v>
      </c>
      <c r="F25" s="5" t="n">
        <v>67644</v>
      </c>
      <c r="G25" s="5" t="n">
        <v>29543</v>
      </c>
      <c r="H25" s="5" t="n">
        <v>77468</v>
      </c>
      <c r="I25" s="5" t="n">
        <v>411972</v>
      </c>
      <c r="J25" s="5" t="n">
        <v>0</v>
      </c>
      <c r="K25" s="5" t="n">
        <v>15723</v>
      </c>
      <c r="L25" s="5" t="n">
        <v>6577</v>
      </c>
      <c r="M25" s="5" t="n">
        <v>704</v>
      </c>
      <c r="N25" s="5" t="n">
        <v>261</v>
      </c>
      <c r="O25" s="5" t="n">
        <v>11896</v>
      </c>
      <c r="P25" s="5" t="n">
        <v>1841</v>
      </c>
      <c r="Q25" s="5" t="n">
        <v>3729</v>
      </c>
      <c r="R25" s="5" t="n">
        <v>2896</v>
      </c>
      <c r="S25" s="5" t="n">
        <v>1044</v>
      </c>
      <c r="T25" s="5" t="n">
        <v>44358</v>
      </c>
      <c r="U25" s="5" t="n">
        <v>1184782</v>
      </c>
      <c r="V25" s="5" t="n">
        <v>1899151</v>
      </c>
    </row>
    <row r="26" customFormat="false" ht="15" hidden="false" customHeight="false" outlineLevel="0" collapsed="false">
      <c r="A26" s="4" t="s">
        <v>76</v>
      </c>
      <c r="B26" s="5" t="n">
        <v>2516</v>
      </c>
      <c r="C26" s="5" t="n">
        <v>92024</v>
      </c>
      <c r="D26" s="5" t="n">
        <v>38981</v>
      </c>
      <c r="E26" s="5" t="n">
        <v>15909</v>
      </c>
      <c r="F26" s="5" t="n">
        <v>133479</v>
      </c>
      <c r="G26" s="5" t="n">
        <v>27812</v>
      </c>
      <c r="H26" s="5" t="n">
        <v>75353</v>
      </c>
      <c r="I26" s="5" t="n">
        <v>370172</v>
      </c>
      <c r="J26" s="5" t="n">
        <v>0</v>
      </c>
      <c r="K26" s="5" t="n">
        <v>5190</v>
      </c>
      <c r="L26" s="5" t="n">
        <v>2894</v>
      </c>
      <c r="M26" s="5" t="n">
        <v>298</v>
      </c>
      <c r="N26" s="5" t="n">
        <v>132</v>
      </c>
      <c r="O26" s="5" t="n">
        <v>12020</v>
      </c>
      <c r="P26" s="5" t="n">
        <v>1158</v>
      </c>
      <c r="Q26" s="5" t="n">
        <v>3953</v>
      </c>
      <c r="R26" s="5" t="n">
        <v>2758</v>
      </c>
      <c r="S26" s="5" t="n">
        <v>1023</v>
      </c>
      <c r="T26" s="5" t="n">
        <v>34652</v>
      </c>
      <c r="U26" s="5" t="n">
        <v>817808</v>
      </c>
      <c r="V26" s="5" t="n">
        <v>1460102</v>
      </c>
    </row>
    <row r="27" customFormat="false" ht="15" hidden="false" customHeight="false" outlineLevel="0" collapsed="false">
      <c r="A27" s="4" t="s">
        <v>77</v>
      </c>
      <c r="B27" s="5" t="n">
        <v>3941</v>
      </c>
      <c r="C27" s="5" t="n">
        <v>206953</v>
      </c>
      <c r="D27" s="5" t="n">
        <v>107630</v>
      </c>
      <c r="E27" s="5" t="n">
        <v>31116</v>
      </c>
      <c r="F27" s="5" t="n">
        <v>426415</v>
      </c>
      <c r="G27" s="5" t="n">
        <v>33755</v>
      </c>
      <c r="H27" s="5" t="n">
        <v>129635</v>
      </c>
      <c r="I27" s="5" t="n">
        <v>288200</v>
      </c>
      <c r="J27" s="5" t="n">
        <v>0</v>
      </c>
      <c r="K27" s="5" t="n">
        <v>16651</v>
      </c>
      <c r="L27" s="5" t="n">
        <v>4653</v>
      </c>
      <c r="M27" s="5" t="n">
        <v>851</v>
      </c>
      <c r="N27" s="5" t="n">
        <v>430</v>
      </c>
      <c r="O27" s="5" t="n">
        <v>17984</v>
      </c>
      <c r="P27" s="5" t="n">
        <v>5263</v>
      </c>
      <c r="Q27" s="5" t="n">
        <v>10379</v>
      </c>
      <c r="R27" s="5" t="n">
        <v>2548</v>
      </c>
      <c r="S27" s="5" t="n">
        <v>1307</v>
      </c>
      <c r="T27" s="5" t="n">
        <v>69305</v>
      </c>
      <c r="U27" s="5" t="n">
        <v>1353075</v>
      </c>
      <c r="V27" s="5" t="n">
        <v>2185539</v>
      </c>
    </row>
    <row r="28" customFormat="false" ht="15" hidden="false" customHeight="false" outlineLevel="0" collapsed="false">
      <c r="A28" s="4" t="s">
        <v>78</v>
      </c>
      <c r="B28" s="5" t="n">
        <v>5202</v>
      </c>
      <c r="C28" s="5" t="n">
        <v>150764</v>
      </c>
      <c r="D28" s="5" t="n">
        <v>162068</v>
      </c>
      <c r="E28" s="5" t="n">
        <v>15504</v>
      </c>
      <c r="F28" s="5" t="n">
        <v>86028</v>
      </c>
      <c r="G28" s="5" t="n">
        <v>51816</v>
      </c>
      <c r="H28" s="5" t="n">
        <v>91070</v>
      </c>
      <c r="I28" s="5" t="n">
        <v>668725</v>
      </c>
      <c r="J28" s="5" t="n">
        <v>0</v>
      </c>
      <c r="K28" s="5" t="n">
        <v>14172</v>
      </c>
      <c r="L28" s="5" t="n">
        <v>4118</v>
      </c>
      <c r="M28" s="5" t="n">
        <v>390</v>
      </c>
      <c r="N28" s="5" t="n">
        <v>331</v>
      </c>
      <c r="O28" s="5" t="n">
        <v>16003</v>
      </c>
      <c r="P28" s="5" t="n">
        <v>2379</v>
      </c>
      <c r="Q28" s="5" t="n">
        <v>7315</v>
      </c>
      <c r="R28" s="5" t="n">
        <v>3409</v>
      </c>
      <c r="S28" s="5" t="n">
        <v>841</v>
      </c>
      <c r="T28" s="5" t="n">
        <v>46593</v>
      </c>
      <c r="U28" s="5" t="n">
        <v>1321526</v>
      </c>
      <c r="V28" s="5" t="n">
        <v>2360732</v>
      </c>
    </row>
    <row r="29" customFormat="false" ht="15" hidden="false" customHeight="false" outlineLevel="0" collapsed="false">
      <c r="A29" s="4" t="s">
        <v>79</v>
      </c>
      <c r="B29" s="5" t="n">
        <v>3934</v>
      </c>
      <c r="C29" s="5" t="n">
        <v>137262</v>
      </c>
      <c r="D29" s="5" t="n">
        <v>139959</v>
      </c>
      <c r="E29" s="5" t="n">
        <v>15792</v>
      </c>
      <c r="F29" s="5" t="n">
        <v>57671</v>
      </c>
      <c r="G29" s="5" t="n">
        <v>61857</v>
      </c>
      <c r="H29" s="5" t="n">
        <v>125677</v>
      </c>
      <c r="I29" s="5" t="n">
        <v>529179</v>
      </c>
      <c r="J29" s="5" t="n">
        <v>0</v>
      </c>
      <c r="K29" s="5" t="n">
        <v>15457</v>
      </c>
      <c r="L29" s="5" t="n">
        <v>4436</v>
      </c>
      <c r="M29" s="5" t="n">
        <v>473</v>
      </c>
      <c r="N29" s="5" t="n">
        <v>391</v>
      </c>
      <c r="O29" s="5" t="n">
        <v>23087</v>
      </c>
      <c r="P29" s="5" t="n">
        <v>4009</v>
      </c>
      <c r="Q29" s="5" t="n">
        <v>6194</v>
      </c>
      <c r="R29" s="5" t="n">
        <v>6947</v>
      </c>
      <c r="S29" s="5" t="n">
        <v>827</v>
      </c>
      <c r="T29" s="5" t="n">
        <v>33447</v>
      </c>
      <c r="U29" s="5" t="n">
        <v>1162665</v>
      </c>
      <c r="V29" s="5" t="n">
        <v>2291158</v>
      </c>
    </row>
    <row r="30" customFormat="false" ht="15" hidden="false" customHeight="false" outlineLevel="0" collapsed="false">
      <c r="A30" s="4" t="s">
        <v>80</v>
      </c>
      <c r="B30" s="5" t="n">
        <v>3157</v>
      </c>
      <c r="C30" s="5" t="n">
        <v>23948</v>
      </c>
      <c r="D30" s="5" t="n">
        <v>35676</v>
      </c>
      <c r="E30" s="5" t="n">
        <v>79932</v>
      </c>
      <c r="F30" s="5" t="n">
        <v>72809</v>
      </c>
      <c r="G30" s="5" t="n">
        <v>63519</v>
      </c>
      <c r="H30" s="5" t="n">
        <v>81247</v>
      </c>
      <c r="I30" s="5" t="n">
        <v>674689</v>
      </c>
      <c r="J30" s="5" t="n">
        <v>0</v>
      </c>
      <c r="K30" s="5" t="n">
        <v>3952</v>
      </c>
      <c r="L30" s="5" t="n">
        <v>747</v>
      </c>
      <c r="M30" s="5" t="n">
        <v>381</v>
      </c>
      <c r="N30" s="5" t="n">
        <v>451</v>
      </c>
      <c r="O30" s="5" t="n">
        <v>0</v>
      </c>
      <c r="P30" s="5" t="n">
        <v>0</v>
      </c>
      <c r="Q30" s="5" t="n">
        <v>0</v>
      </c>
      <c r="R30" s="5" t="n">
        <v>0</v>
      </c>
      <c r="S30" s="5" t="n">
        <v>743</v>
      </c>
      <c r="T30" s="5" t="n">
        <v>69661</v>
      </c>
      <c r="U30" s="5" t="n">
        <v>1107755</v>
      </c>
      <c r="V30" s="5" t="n">
        <v>1811627</v>
      </c>
    </row>
    <row r="31" customFormat="false" ht="15" hidden="false" customHeight="false" outlineLevel="0" collapsed="false">
      <c r="A31" s="4" t="s">
        <v>81</v>
      </c>
      <c r="B31" s="5" t="n">
        <v>4982</v>
      </c>
      <c r="C31" s="5" t="n">
        <v>405758</v>
      </c>
      <c r="D31" s="5" t="n">
        <v>67927</v>
      </c>
      <c r="E31" s="5" t="n">
        <v>14935</v>
      </c>
      <c r="F31" s="5" t="n">
        <v>86275</v>
      </c>
      <c r="G31" s="5" t="n">
        <v>44043</v>
      </c>
      <c r="H31" s="5" t="n">
        <v>126754</v>
      </c>
      <c r="I31" s="5" t="n">
        <v>754568</v>
      </c>
      <c r="J31" s="5" t="n">
        <v>0</v>
      </c>
      <c r="K31" s="5" t="n">
        <v>11263</v>
      </c>
      <c r="L31" s="5" t="n">
        <v>9751</v>
      </c>
      <c r="M31" s="5" t="n">
        <v>555</v>
      </c>
      <c r="N31" s="5" t="n">
        <v>223</v>
      </c>
      <c r="O31" s="5" t="n">
        <v>28787</v>
      </c>
      <c r="P31" s="5" t="n">
        <v>3445</v>
      </c>
      <c r="Q31" s="5" t="n">
        <v>9945</v>
      </c>
      <c r="R31" s="5" t="n">
        <v>5724</v>
      </c>
      <c r="S31" s="5" t="n">
        <v>1282</v>
      </c>
      <c r="T31" s="5" t="n">
        <v>42847</v>
      </c>
      <c r="U31" s="5" t="n">
        <v>1614082</v>
      </c>
      <c r="V31" s="5" t="n">
        <v>2849003</v>
      </c>
    </row>
    <row r="32" customFormat="false" ht="15" hidden="false" customHeight="false" outlineLevel="0" collapsed="false">
      <c r="A32" s="4" t="s">
        <v>82</v>
      </c>
      <c r="B32" s="5" t="n">
        <v>1732</v>
      </c>
      <c r="C32" s="5" t="n">
        <v>63259</v>
      </c>
      <c r="D32" s="5" t="n">
        <v>58868</v>
      </c>
      <c r="E32" s="5" t="n">
        <v>29831</v>
      </c>
      <c r="F32" s="5" t="n">
        <v>70281</v>
      </c>
      <c r="G32" s="5" t="n">
        <v>61117</v>
      </c>
      <c r="H32" s="5" t="n">
        <v>105374</v>
      </c>
      <c r="I32" s="5" t="n">
        <v>286178</v>
      </c>
      <c r="J32" s="5" t="n">
        <v>0</v>
      </c>
      <c r="K32" s="5" t="n">
        <v>3740</v>
      </c>
      <c r="L32" s="5" t="n">
        <v>1754</v>
      </c>
      <c r="M32" s="5" t="n">
        <v>246</v>
      </c>
      <c r="N32" s="5" t="n">
        <v>206</v>
      </c>
      <c r="O32" s="5" t="n">
        <v>6911</v>
      </c>
      <c r="P32" s="5" t="n">
        <v>1309</v>
      </c>
      <c r="Q32" s="5" t="n">
        <v>2188</v>
      </c>
      <c r="R32" s="5" t="n">
        <v>2127</v>
      </c>
      <c r="S32" s="5" t="n">
        <v>612</v>
      </c>
      <c r="T32" s="5" t="n">
        <v>41304</v>
      </c>
      <c r="U32" s="5" t="n">
        <v>735305</v>
      </c>
      <c r="V32" s="5" t="n">
        <v>1041394</v>
      </c>
    </row>
    <row r="33" customFormat="false" ht="15" hidden="false" customHeight="false" outlineLevel="0" collapsed="false">
      <c r="A33" s="4" t="s">
        <v>83</v>
      </c>
      <c r="B33" s="5" t="n">
        <v>11097</v>
      </c>
      <c r="C33" s="5" t="n">
        <v>551147</v>
      </c>
      <c r="D33" s="5" t="n">
        <v>315163</v>
      </c>
      <c r="E33" s="5" t="n">
        <v>75659</v>
      </c>
      <c r="F33" s="5" t="n">
        <v>205761</v>
      </c>
      <c r="G33" s="5" t="n">
        <v>109111</v>
      </c>
      <c r="H33" s="5" t="n">
        <v>305092</v>
      </c>
      <c r="I33" s="5" t="n">
        <v>1745468</v>
      </c>
      <c r="J33" s="5" t="n">
        <v>0</v>
      </c>
      <c r="K33" s="5" t="n">
        <v>47328</v>
      </c>
      <c r="L33" s="5" t="n">
        <v>13290</v>
      </c>
      <c r="M33" s="5" t="n">
        <v>2105</v>
      </c>
      <c r="N33" s="5" t="n">
        <v>1312</v>
      </c>
      <c r="O33" s="5" t="n">
        <v>92280</v>
      </c>
      <c r="P33" s="5" t="n">
        <v>11072</v>
      </c>
      <c r="Q33" s="5" t="n">
        <v>24323</v>
      </c>
      <c r="R33" s="5" t="n">
        <v>14126</v>
      </c>
      <c r="S33" s="5" t="n">
        <v>2187</v>
      </c>
      <c r="T33" s="5" t="n">
        <v>121603</v>
      </c>
      <c r="U33" s="5" t="n">
        <v>3637027</v>
      </c>
      <c r="V33" s="5" t="n">
        <v>6080765</v>
      </c>
    </row>
    <row r="34" customFormat="false" ht="15" hidden="false" customHeight="false" outlineLevel="0" collapsed="false">
      <c r="A34" s="4" t="s">
        <v>84</v>
      </c>
      <c r="B34" s="5" t="n">
        <v>2985</v>
      </c>
      <c r="C34" s="5" t="n">
        <v>402612</v>
      </c>
      <c r="D34" s="5" t="n">
        <v>99362</v>
      </c>
      <c r="E34" s="5" t="n">
        <v>9853</v>
      </c>
      <c r="F34" s="5" t="n">
        <v>62332</v>
      </c>
      <c r="G34" s="5" t="n">
        <v>38627</v>
      </c>
      <c r="H34" s="5" t="n">
        <v>65587</v>
      </c>
      <c r="I34" s="5" t="n">
        <v>513488</v>
      </c>
      <c r="J34" s="5" t="n">
        <v>0</v>
      </c>
      <c r="K34" s="5" t="n">
        <v>8472</v>
      </c>
      <c r="L34" s="5" t="n">
        <v>6091</v>
      </c>
      <c r="M34" s="5" t="n">
        <v>491</v>
      </c>
      <c r="N34" s="5" t="n">
        <v>201</v>
      </c>
      <c r="O34" s="5" t="n">
        <v>21597</v>
      </c>
      <c r="P34" s="5" t="n">
        <v>2089</v>
      </c>
      <c r="Q34" s="5" t="n">
        <v>5236</v>
      </c>
      <c r="R34" s="5" t="n">
        <v>4169</v>
      </c>
      <c r="S34" s="5" t="n">
        <v>617</v>
      </c>
      <c r="T34" s="5" t="n">
        <v>36561</v>
      </c>
      <c r="U34" s="5" t="n">
        <v>1277385</v>
      </c>
      <c r="V34" s="5" t="n">
        <v>1766109</v>
      </c>
    </row>
    <row r="35" customFormat="false" ht="15" hidden="false" customHeight="false" outlineLevel="0" collapsed="false">
      <c r="A35" s="4" t="s">
        <v>85</v>
      </c>
      <c r="B35" s="5" t="n">
        <v>2672</v>
      </c>
      <c r="C35" s="5" t="n">
        <v>86804</v>
      </c>
      <c r="D35" s="5" t="n">
        <v>137573</v>
      </c>
      <c r="E35" s="5" t="n">
        <v>32921</v>
      </c>
      <c r="F35" s="5" t="n">
        <v>52569</v>
      </c>
      <c r="G35" s="5" t="n">
        <v>48953</v>
      </c>
      <c r="H35" s="5" t="n">
        <v>92299</v>
      </c>
      <c r="I35" s="5" t="n">
        <v>248821</v>
      </c>
      <c r="J35" s="5" t="n">
        <v>0</v>
      </c>
      <c r="K35" s="5" t="n">
        <v>10654</v>
      </c>
      <c r="L35" s="5" t="n">
        <v>2483</v>
      </c>
      <c r="M35" s="5" t="n">
        <v>468</v>
      </c>
      <c r="N35" s="5" t="n">
        <v>494</v>
      </c>
      <c r="O35" s="5" t="n">
        <v>8692</v>
      </c>
      <c r="P35" s="5" t="n">
        <v>2124</v>
      </c>
      <c r="Q35" s="5" t="n">
        <v>3863</v>
      </c>
      <c r="R35" s="5" t="n">
        <v>2866</v>
      </c>
      <c r="S35" s="5" t="n">
        <v>711</v>
      </c>
      <c r="T35" s="5" t="n">
        <v>30604</v>
      </c>
      <c r="U35" s="5" t="n">
        <v>762899</v>
      </c>
      <c r="V35" s="5" t="n">
        <v>1265977</v>
      </c>
    </row>
    <row r="36" customFormat="false" ht="15" hidden="false" customHeight="false" outlineLevel="0" collapsed="false">
      <c r="A36" s="13" t="s">
        <v>44</v>
      </c>
      <c r="B36" s="14" t="n">
        <f aca="false">SUM(B4:B35)</f>
        <v>171643</v>
      </c>
      <c r="C36" s="14" t="n">
        <f aca="false">SUM(C4:C35)</f>
        <v>9733370</v>
      </c>
      <c r="D36" s="14" t="n">
        <f aca="false">SUM(D4:D35)</f>
        <v>6310988</v>
      </c>
      <c r="E36" s="14" t="n">
        <f aca="false">SUM(E4:E35)</f>
        <v>1219760</v>
      </c>
      <c r="F36" s="14" t="n">
        <f aca="false">SUM(F4:F35)</f>
        <v>4448752</v>
      </c>
      <c r="G36" s="14" t="n">
        <f aca="false">SUM(G4:G35)</f>
        <v>2738768</v>
      </c>
      <c r="H36" s="14" t="n">
        <f aca="false">SUM(H4:H35)</f>
        <v>6497404</v>
      </c>
      <c r="I36" s="14" t="n">
        <f aca="false">SUM(I4:I35)</f>
        <v>23694740</v>
      </c>
      <c r="J36" s="14" t="n">
        <f aca="false">SUM(J4:J35)</f>
        <v>72012</v>
      </c>
      <c r="K36" s="14" t="n">
        <f aca="false">SUM(K4:K35)</f>
        <v>615940</v>
      </c>
      <c r="L36" s="14" t="n">
        <f aca="false">SUM(L4:L35)</f>
        <v>193110</v>
      </c>
      <c r="M36" s="14" t="n">
        <f aca="false">SUM(M4:M35)</f>
        <v>28014</v>
      </c>
      <c r="N36" s="14" t="n">
        <f aca="false">SUM(N4:N35)</f>
        <v>21649</v>
      </c>
      <c r="O36" s="14" t="n">
        <f aca="false">SUM(O4:O35)</f>
        <v>1030189</v>
      </c>
      <c r="P36" s="14" t="n">
        <f aca="false">SUM(P4:P35)</f>
        <v>126630</v>
      </c>
      <c r="Q36" s="14" t="n">
        <f aca="false">SUM(Q4:Q35)</f>
        <v>277093</v>
      </c>
      <c r="R36" s="14" t="n">
        <f aca="false">SUM(R4:R35)</f>
        <v>218851</v>
      </c>
      <c r="S36" s="14" t="n">
        <f aca="false">SUM(S4:S35)</f>
        <v>49329</v>
      </c>
      <c r="T36" s="14" t="n">
        <f aca="false">SUM(T4:T35)</f>
        <v>2189869</v>
      </c>
      <c r="U36" s="14" t="n">
        <f aca="false">SUM(U4:U35)</f>
        <v>59466468</v>
      </c>
      <c r="V36" s="14" t="n">
        <f aca="false">SUM(V4:V35)</f>
        <v>98214289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2026-10-12T04:34:15Z</dcterms:created>
  <dc:creator>openpyxl</dc:creator>
  <dc:description/>
  <dc:language>en-US</dc:language>
  <cp:lastModifiedBy/>
  <dcterms:modified xsi:type="dcterms:W3CDTF">2026-10-12T04:34:15Z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