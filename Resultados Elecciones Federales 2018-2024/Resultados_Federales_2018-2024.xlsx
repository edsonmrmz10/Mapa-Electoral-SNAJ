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2.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Hallazgos" sheetId="1" state="visible" r:id="rId3"/>
    <sheet name="Nacional" sheetId="2" state="visible" r:id="rId4"/>
    <sheet name="Presidencia - Partidos" sheetId="3" state="visible" r:id="rId5"/>
    <sheet name="Presidencia - Bloques" sheetId="4" state="visible" r:id="rId6"/>
    <sheet name="Diputaciones - Partidos" sheetId="5" state="visible" r:id="rId7"/>
    <sheet name="Diputaciones - Bloques" sheetId="6" state="visible" r:id="rId8"/>
    <sheet name="Senadurías - Partidos" sheetId="7" state="visible" r:id="rId9"/>
    <sheet name="Senadurías - Bloques" sheetId="8" state="visible" r:id="rId10"/>
    <sheet name="Distritos 2018 vs 2021" sheetId="9" state="visible" r:id="rId11"/>
    <sheet name="Base votos" sheetId="10" state="visible" r:id="rId12"/>
    <sheet name="Metodología" sheetId="11" state="visible" r:id="rId13"/>
  </sheets>
  <definedNames>
    <definedName function="false" hidden="true" localSheetId="9" name="_xlnm._FilterDatabase" vbProcedure="false">'Base votos'!$A$3:$X$234</definedName>
    <definedName function="false" hidden="true" localSheetId="8" name="_xlnm._FilterDatabase" vbProcedure="false">'Distritos 2018 vs 2021'!$A$5:$AO$305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<sst xmlns="http://schemas.openxmlformats.org/spreadsheetml/2006/main" count="2714" uniqueCount="186">
  <si>
    <t xml:space="preserve">Hallazgos principales – Resultados federales 2018-2024</t>
  </si>
  <si>
    <t xml:space="preserve">Cifras calculadas con los archivos del PREP de cada elección; ver hojas de detalle y Metodología.</t>
  </si>
  <si>
    <t xml:space="preserve">Cómo leer este archivo</t>
  </si>
  <si>
    <t xml:space="preserve">Todas las cifras salen de los archivos del PREP de cada elección (presidencia, diputaciones y senadurías 2018 y 2024; diputaciones 2021). Los porcentajes son sobre el total de votos emitidos. Hay dos lecturas: "bloques como compitieron" (la coalición de cada año tal cual) y "partidos" (el voto de coalición repartido entre sus partidos, para ver el crecimiento real de cada uno). Ver hoja Metodología.</t>
  </si>
  <si>
    <t xml:space="preserve">Nacional</t>
  </si>
  <si>
    <t xml:space="preserve">Presidencia: el bloque de Morena y aliados pasó de 53.2% (2018) a 59.8% (2024). Hay que tener en cuenta que sus integrantes cambian: PES en 2018, PVEM en 2021 y 2024.</t>
  </si>
  <si>
    <t xml:space="preserve">Diputaciones: el bloque de Morena y aliados pasó de 43.6% (2018) a 42.8% (2021), 54.7% (2024). Hay que tener en cuenta que sus integrantes cambian: PES en 2018, PVEM en 2021 y 2024.</t>
  </si>
  <si>
    <t xml:space="preserve">Senadurías: el bloque de Morena y aliados pasó de 43.7% (2018) a 55.1% (2024). Hay que tener en cuenta que sus integrantes cambian: PES en 2018, PVEM en 2021 y 2024.</t>
  </si>
  <si>
    <t xml:space="preserve">Presidencia: PAN + PRI + PRD sumados fueron 34.3% (2018), 27.5% (2024).</t>
  </si>
  <si>
    <t xml:space="preserve">Diputaciones: PAN + PRI + PRD sumados fueron 39.9% (2018), 39.6% (2021), 30.5% (2024).</t>
  </si>
  <si>
    <t xml:space="preserve">Senadurías: PAN + PRI + PRD sumados fueron 38.9% (2018), 30.0% (2024).</t>
  </si>
  <si>
    <t xml:space="preserve">MC creció en todos los cargos: diputaciones 4.3% (2018), 7.0% (2021), 10.9% (2024); presidencia 1.7% (2018), 10.3% (2024) (en 2018 MC iba con PAN y PRD, por eso su voto propio aparece bajo en la presidencia); senadurías 4.6% (2018), 10.9% (2024).</t>
  </si>
  <si>
    <t xml:space="preserve">El PRI cayó en 2024: diputaciones 16.6% (2018), 17.8% (2021), 11.1% (2024); presidencia 13.7% (2018), 9.5% (2024). El PVEM, en cambio, subió en diputaciones: 4.8% (2018), 5.4% (2021), 8.3% (2024).</t>
  </si>
  <si>
    <t xml:space="preserve">Participación (votos emitidos entre lista nominal con dato): Presidencia 2018 63.5%, Presidencia 2024 61.0%, Diputaciones 2018 63.3%, Diputaciones 2021 52.7%, Diputaciones 2024 60.5%, Senadurías 2018 63.6%, Senadurías 2024 61.0%. La participación de 2021 (elección intermedia) fue la más baja de las siete.</t>
  </si>
  <si>
    <t xml:space="preserve">Votos nulos: Presidencia 2018 2.8%, Presidencia 2024 2.3%, Diputaciones 2018 4.0%, Diputaciones 2021 3.4%, Diputaciones 2024 3.7%, Senadurías 2018 4.1%, Senadurías 2024 3.9%.</t>
  </si>
  <si>
    <t xml:space="preserve">En 2024 el bloque de Morena y aliados sacó 59.8% en presidencia, 54.7% en diputaciones y 55.1% en senadurías: una diferencia de 5.0 puntos entre la candidatura presidencial y las diputaciones (en 2018 fue de 9.6 puntos).</t>
  </si>
  <si>
    <t xml:space="preserve">Por estado: crecimiento y caída</t>
  </si>
  <si>
    <t xml:space="preserve">Morena (solo, presidencia 2018 → 2024, puntos): mejor evolución en Yucatán (+15.3), Guanajuato (+13.9), Tamaulipas (+11.8); peor evolución en Tlaxcala (-9.6), Nayarit (-8.3), Baja California Sur (-7.5).</t>
  </si>
  <si>
    <t xml:space="preserve">Morena (solo, diputaciones 2018 → 2024, puntos): mejor evolución en Yucatán (+16.9), Tamaulipas (+15.7), Guanajuato (+14.6); peor evolución en Tlaxcala (-9.3), Nayarit (-4.1), Quintana Roo (-4.0).</t>
  </si>
  <si>
    <t xml:space="preserve">Morena (solo, senadurías 2018 → 2024, puntos): mejor evolución en Yucatán (+17.7), Guanajuato (+13.7), Chihuahua (+13.2); peor evolución en Tlaxcala (-10.3), Nayarit (-7.9), San Luis Potosí (-4.8).</t>
  </si>
  <si>
    <t xml:space="preserve">MC (diputaciones 2018 → 2024, puntos): mejor evolución en Campeche (+29.7), Nuevo León (+15.5), Nayarit (+11.7); peor evolución en Coahuila (+1.3), Yucatán (+3.1), Chiapas (+3.3).</t>
  </si>
  <si>
    <t xml:space="preserve">PRI (diputaciones 2018 → 2024, puntos): mejor evolución en Coahuila (+8.8), Durango (+1.3), Ciudad de México (-0.5); peor evolución en Yucatán (-21.7), Campeche (-16.9), Tamaulipas (-13.9).</t>
  </si>
  <si>
    <t xml:space="preserve">PAN + PRI + PRD (diputaciones 2018 → 2024, puntos): mejor evolución en Ciudad de México (+1.2), Baja California Sur (-2.2), Aguascalientes (-2.6); peor evolución en Campeche (-28.7), San Luis Potosí (-25.5), Tamaulipas (-21.6).</t>
  </si>
  <si>
    <t xml:space="preserve">Cambios de bloque ganador por estado</t>
  </si>
  <si>
    <t xml:space="preserve">Presidencia 2018 → 2024: cambiaron 2 estados: Aguascalientes (Morena y aliados → PAN y aliados); Guanajuato (PAN y aliados → Morena y aliados).</t>
  </si>
  <si>
    <t xml:space="preserve">Diputaciones 2018 → 2021: cambiaron 9 estados: Coahuila (Morena y aliados → PAN y aliados); Chihuahua (Morena y aliados → PAN y aliados); Ciudad de México (Morena y aliados → PAN y aliados); Durango (Morena y aliados → PAN y aliados); Jalisco (PAN y aliados → MC); México (Morena y aliados → PAN y aliados); San Luis Potosí (PAN y aliados → Morena y aliados); Tamaulipas (Morena y aliados → PAN y aliados); Yucatán (PRI y aliados → PAN y aliados).</t>
  </si>
  <si>
    <t xml:space="preserve">Diputaciones 2021 → 2024: cambiaron 8 estados: Coahuila (PAN y aliados → Morena y aliados); Chihuahua (PAN y aliados → Morena y aliados); Ciudad de México (PAN y aliados → Morena y aliados); Durango (PAN y aliados → Morena y aliados); Jalisco (MC → Morena y aliados); México (PAN y aliados → Morena y aliados); Tamaulipas (PAN y aliados → Morena y aliados); Yucatán (PAN y aliados → Morena y aliados).</t>
  </si>
  <si>
    <t xml:space="preserve">Diputaciones 2018 → 2024: cambiaron 3 estados: Jalisco (PAN y aliados → Morena y aliados); San Luis Potosí (PAN y aliados → Morena y aliados); Yucatán (PRI y aliados → Morena y aliados).</t>
  </si>
  <si>
    <t xml:space="preserve">Senadurías 2018 → 2024: cambiaron 4 estados: Jalisco (PAN y aliados → Morena y aliados); Nuevo León (PAN y aliados → Morena y aliados); San Luis Potosí (PAN y aliados → Morena y aliados); Yucatán (PRI y aliados → Morena y aliados).</t>
  </si>
  <si>
    <t xml:space="preserve">Estados más volátiles (rango del voto de Morena y aliados entre las tres elecciones de diputaciones): San Luis Potosí (29.0 pts), Yucatán (23.5 pts), Chiapas (20.8 pts), Tamaulipas (20.7 pts), Guanajuato (18.7 pts). Los más estables: Colima (5.6 pts), Campeche (6.3 pts), Aguascalientes (6.3 pts).</t>
  </si>
  <si>
    <t xml:space="preserve">Distritos: diputaciones 2018 vs 2021 (mismo mapa)</t>
  </si>
  <si>
    <t xml:space="preserve">Ganadores por distrito en 2018: {'Morena y aliados': 214, 'PAN y aliados': 68, 'PRI y aliados': 18}; en 2021: {'Morena y aliados': 182, 'PAN y aliados': 111, 'MC': 7}.</t>
  </si>
  <si>
    <t xml:space="preserve">86 de los 300 distritos cambiaron de bloque ganador entre 2018 y 2021 (detalle en la hoja Distritos 2018 vs 2021).</t>
  </si>
  <si>
    <t xml:space="preserve">Mayor caída del bloque de Morena y aliados 2018 → 2021 por distrito: Chiapas 9 (-23.4 pts), Quintana Roo 4 (-16.1 pts), Quintana Roo 3 (-15.5 pts); mayor alza: Chiapas 3 (+40.6 pts), Chiapas 11 (+30.2 pts), San Luis Potosí 2 (+25.8 pts).</t>
  </si>
  <si>
    <t xml:space="preserve">Limitaciones</t>
  </si>
  <si>
    <t xml:space="preserve">No se incluyen las diputaciones y senadurías de representación proporcional ni los cómputos oficiales. Los nombres de los bloques son una asignación mía a partir de las coaliciones de cada archivo. Al repartir el voto de coalición entre partidos se usa la regla de división en partes iguales con el residuo al partido con más votos propios en la casilla; es una aproximación, no el resultado oficial por partido.</t>
  </si>
  <si>
    <t xml:space="preserve">Resumen nacional 2018-2024: presidencia, diputaciones y senadurías</t>
  </si>
  <si>
    <t xml:space="preserve">% sobre el total de votos emitidos, voto de coalición repartido entre sus partidos. Δ en puntos porcentuales (votos en cifras absolutas).</t>
  </si>
  <si>
    <t xml:space="preserve">Presidencia</t>
  </si>
  <si>
    <t xml:space="preserve">Diputaciones</t>
  </si>
  <si>
    <t xml:space="preserve">Senadurías</t>
  </si>
  <si>
    <t xml:space="preserve">Cambio</t>
  </si>
  <si>
    <t xml:space="preserve">Indicador</t>
  </si>
  <si>
    <t xml:space="preserve">2018</t>
  </si>
  <si>
    <t xml:space="preserve">2024</t>
  </si>
  <si>
    <t xml:space="preserve">2021</t>
  </si>
  <si>
    <t xml:space="preserve">Presidencia
Δ 2024 vs 2018</t>
  </si>
  <si>
    <t xml:space="preserve">Diputaciones
Δ 2021 vs 2018</t>
  </si>
  <si>
    <t xml:space="preserve">Diputaciones
Δ 2024 vs 2021</t>
  </si>
  <si>
    <t xml:space="preserve">Diputaciones
Δ 2024 vs 2018</t>
  </si>
  <si>
    <t xml:space="preserve">Senadurías
Δ 2024 vs 2018</t>
  </si>
  <si>
    <t xml:space="preserve">Votos emitidos</t>
  </si>
  <si>
    <t xml:space="preserve">Lista nominal (con dato)</t>
  </si>
  <si>
    <t xml:space="preserve">Participación</t>
  </si>
  <si>
    <t xml:space="preserve">Votos nulos %</t>
  </si>
  <si>
    <t xml:space="preserve">Morena</t>
  </si>
  <si>
    <t xml:space="preserve">PT</t>
  </si>
  <si>
    <t xml:space="preserve">PVEM</t>
  </si>
  <si>
    <t xml:space="preserve">PES</t>
  </si>
  <si>
    <t xml:space="preserve">PAN</t>
  </si>
  <si>
    <t xml:space="preserve">PRI</t>
  </si>
  <si>
    <t xml:space="preserve">PRD</t>
  </si>
  <si>
    <t xml:space="preserve">MC</t>
  </si>
  <si>
    <t xml:space="preserve">Nueva Alianza</t>
  </si>
  <si>
    <t xml:space="preserve">RSP</t>
  </si>
  <si>
    <t xml:space="preserve">FXM</t>
  </si>
  <si>
    <t xml:space="preserve">Independientes</t>
  </si>
  <si>
    <t xml:space="preserve">No registrados</t>
  </si>
  <si>
    <t xml:space="preserve">Morena + PT</t>
  </si>
  <si>
    <t xml:space="preserve">PAN + PRI + PRD</t>
  </si>
  <si>
    <t xml:space="preserve">Bloque de Morena y aliados (como compitió)</t>
  </si>
  <si>
    <t xml:space="preserve">Bloque del PAN y aliados (como compitió)</t>
  </si>
  <si>
    <t xml:space="preserve">Tercer bloque (PRI en 2018 / MC en 2021-24)</t>
  </si>
  <si>
    <t xml:space="preserve">Bloque ganador (nacional)</t>
  </si>
  <si>
    <t xml:space="preserve">Morena y aliados</t>
  </si>
  <si>
    <t xml:space="preserve">Estados ganados por Morena y aliados (de 32)</t>
  </si>
  <si>
    <t xml:space="preserve">Estados ganados por el bloque del PAN</t>
  </si>
  <si>
    <t xml:space="preserve">Estados ganados por el tercer bloque</t>
  </si>
  <si>
    <t xml:space="preserve">Presidencia: voto por partido y cambio por estado (2018 – 2024)</t>
  </si>
  <si>
    <t xml:space="preserve">% sobre el total de votos emitidos. El voto de coalición se reparte entre sus partidos (ver Metodología). Las columnas Δ están en puntos porcentuales: verde = sube, rojo = baja.</t>
  </si>
  <si>
    <t xml:space="preserve">Estado</t>
  </si>
  <si>
    <t xml:space="preserve">Δ 2024 vs 2018 (pts)</t>
  </si>
  <si>
    <t xml:space="preserve">Aguascalientes</t>
  </si>
  <si>
    <t xml:space="preserve">Baja California</t>
  </si>
  <si>
    <t xml:space="preserve">Baja California Sur</t>
  </si>
  <si>
    <t xml:space="preserve">Campeche</t>
  </si>
  <si>
    <t xml:space="preserve">Coahuila</t>
  </si>
  <si>
    <t xml:space="preserve">Colima</t>
  </si>
  <si>
    <t xml:space="preserve">Chiapas</t>
  </si>
  <si>
    <t xml:space="preserve">Chihuahua</t>
  </si>
  <si>
    <t xml:space="preserve">Ciudad de México</t>
  </si>
  <si>
    <t xml:space="preserve">Durango</t>
  </si>
  <si>
    <t xml:space="preserve">Guanajuato</t>
  </si>
  <si>
    <t xml:space="preserve">Guerrero</t>
  </si>
  <si>
    <t xml:space="preserve">Hidalgo</t>
  </si>
  <si>
    <t xml:space="preserve">Jalisco</t>
  </si>
  <si>
    <t xml:space="preserve">México</t>
  </si>
  <si>
    <t xml:space="preserve">Michoacán</t>
  </si>
  <si>
    <t xml:space="preserve">Morelos</t>
  </si>
  <si>
    <t xml:space="preserve">Nayarit</t>
  </si>
  <si>
    <t xml:space="preserve">Nuevo León</t>
  </si>
  <si>
    <t xml:space="preserve">Oaxaca</t>
  </si>
  <si>
    <t xml:space="preserve">Puebla</t>
  </si>
  <si>
    <t xml:space="preserve">Querétaro</t>
  </si>
  <si>
    <t xml:space="preserve">Quintana Roo</t>
  </si>
  <si>
    <t xml:space="preserve">San Luis Potosí</t>
  </si>
  <si>
    <t xml:space="preserve">Sinaloa</t>
  </si>
  <si>
    <t xml:space="preserve">Sonora</t>
  </si>
  <si>
    <t xml:space="preserve">Tabasco</t>
  </si>
  <si>
    <t xml:space="preserve">Tamaulipas</t>
  </si>
  <si>
    <t xml:space="preserve">Tlaxcala</t>
  </si>
  <si>
    <t xml:space="preserve">Veracruz</t>
  </si>
  <si>
    <t xml:space="preserve">Yucatán</t>
  </si>
  <si>
    <t xml:space="preserve">Zacatecas</t>
  </si>
  <si>
    <t xml:space="preserve">Presidencia: bloques como compitieron, participación, nulos, márgenes y cambios de ganador por estado (2018 – 2024)</t>
  </si>
  <si>
    <t xml:space="preserve">Bloque = partido solo + sus combinaciones de coalición, tal como compitieron ese año (los nombres cambian entre años; ver encabezados). % sobre el total de votos emitidos. Δ en puntos porcentuales.</t>
  </si>
  <si>
    <t xml:space="preserve">Bloque de Morena y aliados</t>
  </si>
  <si>
    <t xml:space="preserve">Bloque del PAN y aliados</t>
  </si>
  <si>
    <t xml:space="preserve">Tercer bloque (PRI en 2018 / MC en 2021-2024)</t>
  </si>
  <si>
    <t xml:space="preserve">Margen de victoria (pts)</t>
  </si>
  <si>
    <t xml:space="preserve">Bloque ganador y cambios</t>
  </si>
  <si>
    <t xml:space="preserve">Δ 2024 vs 2018 (votos)</t>
  </si>
  <si>
    <t xml:space="preserve">Δ 2024 vs 2018 (%)</t>
  </si>
  <si>
    <t xml:space="preserve">2018
(Juntos Haremos Historia (PT-Morena-PES))</t>
  </si>
  <si>
    <t xml:space="preserve">2024
(Sigamos Haciendo Historia (PVEM-PT-Morena))</t>
  </si>
  <si>
    <t xml:space="preserve">2018
(Por México al Frente (PAN-PRD-MC))</t>
  </si>
  <si>
    <t xml:space="preserve">2024
(Fuerza y Corazón por México (PAN-PRI-PRD))</t>
  </si>
  <si>
    <t xml:space="preserve">2018
(Todos por México (PRI-PVEM-NA))</t>
  </si>
  <si>
    <t xml:space="preserve">2024
(MC)</t>
  </si>
  <si>
    <t xml:space="preserve">Ganador 2018</t>
  </si>
  <si>
    <t xml:space="preserve">Ganador 2024</t>
  </si>
  <si>
    <t xml:space="preserve">Cambio 2018 → 2024</t>
  </si>
  <si>
    <t xml:space="preserve">PAN y aliados</t>
  </si>
  <si>
    <t xml:space="preserve">Morena y aliados → PAN y aliados</t>
  </si>
  <si>
    <t xml:space="preserve">Se mantiene: Morena y aliados</t>
  </si>
  <si>
    <t xml:space="preserve">PAN y aliados → Morena y aliados</t>
  </si>
  <si>
    <t xml:space="preserve">Diputaciones: voto por partido y cambio por estado (2018 – 2021 – 2024)</t>
  </si>
  <si>
    <t xml:space="preserve">Δ 2021 vs 2018 (pts)</t>
  </si>
  <si>
    <t xml:space="preserve">Δ 2024 vs 2021 (pts)</t>
  </si>
  <si>
    <t xml:space="preserve">Diputaciones: bloques como compitieron, participación, nulos, márgenes y cambios de ganador por estado (2018 – 2021 – 2024)</t>
  </si>
  <si>
    <t xml:space="preserve">Δ 2021 vs 2018 (votos)</t>
  </si>
  <si>
    <t xml:space="preserve">Δ 2024 vs 2021 (votos)</t>
  </si>
  <si>
    <t xml:space="preserve">Δ 2021 vs 2018 (%)</t>
  </si>
  <si>
    <t xml:space="preserve">Δ 2024 vs 2021 (%)</t>
  </si>
  <si>
    <t xml:space="preserve">2021
(Juntos Hacemos Historia (Morena-PT-PVEM))</t>
  </si>
  <si>
    <t xml:space="preserve">2021
(Va por México (PAN-PRI-PRD))</t>
  </si>
  <si>
    <t xml:space="preserve">2021
(MC)</t>
  </si>
  <si>
    <t xml:space="preserve">Ganador 2021</t>
  </si>
  <si>
    <t xml:space="preserve">Cambio 2018 → 2021</t>
  </si>
  <si>
    <t xml:space="preserve">Cambio 2021 → 2024</t>
  </si>
  <si>
    <t xml:space="preserve">Se mantiene: PAN y aliados</t>
  </si>
  <si>
    <t xml:space="preserve">PAN y aliados → MC</t>
  </si>
  <si>
    <t xml:space="preserve">MC → Morena y aliados</t>
  </si>
  <si>
    <t xml:space="preserve">PRI y aliados</t>
  </si>
  <si>
    <t xml:space="preserve">PRI y aliados → PAN y aliados</t>
  </si>
  <si>
    <t xml:space="preserve">PRI y aliados → Morena y aliados</t>
  </si>
  <si>
    <t xml:space="preserve">Senadurías: voto por partido y cambio por estado (2018 – 2024)</t>
  </si>
  <si>
    <t xml:space="preserve">Senadurías: bloques como compitieron, participación, nulos, márgenes y cambios de ganador por estado (2018 – 2024)</t>
  </si>
  <si>
    <t xml:space="preserve">Diputaciones por distrito federal: 2018 vs 2021 (mismo mapa distrital)</t>
  </si>
  <si>
    <t xml:space="preserve">Los distritos de 2024 no se incluyen porque el mapa distrital cambió. % sobre votos emitidos del distrito; Δ en puntos porcentuales. Ganador = bloque como compitió.</t>
  </si>
  <si>
    <t xml:space="preserve">Ganador y márgenes (bloque como compitió)</t>
  </si>
  <si>
    <t xml:space="preserve">Distrito</t>
  </si>
  <si>
    <t xml:space="preserve">Margen 2018 (pts)</t>
  </si>
  <si>
    <t xml:space="preserve">Margen 2021 (pts)</t>
  </si>
  <si>
    <t xml:space="preserve">Δ margen (pts)</t>
  </si>
  <si>
    <t xml:space="preserve">Base de votos por estado, cargo y año (votos por partido con el voto de coalición repartido entre sus partidos; ver hoja Metodología)</t>
  </si>
  <si>
    <t xml:space="preserve">Cargo</t>
  </si>
  <si>
    <t xml:space="preserve">Año</t>
  </si>
  <si>
    <t xml:space="preserve">Votos nulos</t>
  </si>
  <si>
    <t xml:space="preserve">Total votos</t>
  </si>
  <si>
    <t xml:space="preserve">Lista nominal</t>
  </si>
  <si>
    <t xml:space="preserve">Bloque 1 (votos)</t>
  </si>
  <si>
    <t xml:space="preserve">Bloque 2 (votos)</t>
  </si>
  <si>
    <t xml:space="preserve">Bloque 3 (votos)</t>
  </si>
  <si>
    <t xml:space="preserve">Metodología y notas</t>
  </si>
  <si>
    <t xml:space="preserve">Fuentes: PREP de cada elección (presidencia 2018 y 2024; diputaciones 2018, 2021 y 2024; senadurías 2018 y 2024), usando únicamente los archivos de resultados por casilla. En 2021 solo hubo diputaciones federales.</t>
  </si>
  <si>
    <t xml:space="preserve">Total de votos: suma de los votos de las actas computadas. Participación = votos emitidos / lista nominal de las casillas con dato (las casillas especiales y las actas sin datos no tienen lista nominal), por lo que puede diferir ligeramente de la que reporta el encabezado de cada archivo.</t>
  </si>
  <si>
    <t xml:space="preserve">Bloques como compitieron: partido solo + las combinaciones de coalición de ese año. 2018: Juntos Haremos Historia (PT, Morena, PES), Por México al Frente (PAN, PRD, MC) y Todos por México (PRI, PVEM, Nueva Alianza). 2021: Juntos Hacemos Historia (Morena, PT, PVEM), Va por México (PAN, PRI, PRD) y MC por separado. 2024: Sigamos Haciendo Historia (PVEM, PT, Morena), Fuerza y Corazón por México (PAN, PRI, PRD) y MC. Los archivos no traen nombres de coaliciones: son una asignación mía.</t>
  </si>
  <si>
    <t xml:space="preserve">Partidos (voto repartido): el voto de cada combinación de coalición (p. ej. PAN-PRD-MC) se divide en partes iguales entre sus partidos, casilla por casilla; si la división no es exacta, el residuo se asigna al partido de la combinación con más votos propios en esa casilla. Es una aproximación y no reemplaza el cómputo oficial por partido.</t>
  </si>
  <si>
    <t xml:space="preserve">Familias comparables: "Morena + PT" y "PAN + PRI + PRD" se calculan con los votos repartidos por partido y tienen la misma composición en todos los años. "Bloque de Morena y aliados" (como compitió) cambia: incluye al PES en 2018 y al PVEM en 2021 y 2024.</t>
  </si>
  <si>
    <t xml:space="preserve">Independientes: se agrupan todas las candidaturas independientes de cada archivo (presidencia 2018: dos candidaturas; diputaciones: algunos distritos; senadurías 2018: siete estados, sobre todo Jalisco). Las presidenciales y las senadurías de 2024 no tienen columna de independientes.</t>
  </si>
  <si>
    <t xml:space="preserve">Cambios (Δ): en puntos porcentuales para porcentajes; verde = sube, rojo = baja. Para votos emitidos se muestra la diferencia absoluta y la variación porcentual.</t>
  </si>
  <si>
    <t xml:space="preserve">Distritos: la comparación distrital se limita a 2018 vs 2021 porque el mapa de distritos federales se redibujó para 2024 (por tanto no son comparables). Los votos de casillas sin distrito (voto desde el extranjero y casillas especiales) se incluyen en los totales por estado pero no en los distritos.</t>
  </si>
  <si>
    <t xml:space="preserve">Estado ganador: bloque con más votos en el estado (en senadurías el ganador real se decide por fórmula de dos candidaturas; aquí se compara solo el voto por bloque). No se consideran representación proporcional ni resultados oficiales.</t>
  </si>
  <si>
    <t xml:space="preserve">Verificación: los totales de votos emitidos y lista nominal por estado de esta base coinciden con los siete Excel de resultados por elección de esta carpeta (presidencia 2018 y 2024, diputaciones 2018, 2021 y 2024, senadurías 2018 y 2024). Para repartir el voto de coalición entre partidos se usaron los datos por casilla de los archivos originales, porque los Excel solo traen totales por estado.</t>
  </si>
  <si>
    <t xml:space="preserve">Hojas: Hallazgos, Nacional, Presidencia/Diputaciones/Senadurías - Partidos, Presidencia/Diputaciones/Senadurías - Bloques, Distritos 2018 vs 2021 y Base votos (datos de los que salen todas las fórmulas).</t>
  </si>
</sst>
</file>

<file path=xl/styles.xml><?xml version="1.0" encoding="utf-8"?>
<styleSheet xmlns="http://schemas.openxmlformats.org/spreadsheetml/2006/main">
  <numFmts count="8">
    <numFmt numFmtId="164" formatCode="General"/>
    <numFmt numFmtId="165" formatCode="#,##0"/>
    <numFmt numFmtId="166" formatCode="\+#,##0;[RED]\-#,##0;0"/>
    <numFmt numFmtId="167" formatCode="0.0%"/>
    <numFmt numFmtId="168" formatCode="\+0.0;[RED]\-0.0;0.0"/>
    <numFmt numFmtId="169" formatCode="0"/>
    <numFmt numFmtId="170" formatCode="\+0.0%;[RED]\-0.0%;0.0%"/>
    <numFmt numFmtId="171" formatCode="0.0"/>
  </numFmts>
  <fonts count="9">
    <font>
      <sz val="11"/>
      <color theme="1"/>
      <name val="Calibri"/>
      <family val="2"/>
      <charset val="1"/>
    </font>
    <font>
      <sz val="10"/>
      <name val="Arial"/>
      <family val="0"/>
    </font>
    <font>
      <sz val="10"/>
      <name val="Arial"/>
      <family val="0"/>
    </font>
    <font>
      <sz val="10"/>
      <name val="Arial"/>
      <family val="0"/>
    </font>
    <font>
      <b val="true"/>
      <sz val="14"/>
      <name val="Cambria"/>
      <family val="0"/>
      <charset val="1"/>
    </font>
    <font>
      <i val="true"/>
      <sz val="11"/>
      <color rgb="FF595959"/>
      <name val="Cambria"/>
      <family val="0"/>
      <charset val="1"/>
    </font>
    <font>
      <b val="true"/>
      <sz val="11"/>
      <color rgb="FFFFFFFF"/>
      <name val="Cambria"/>
      <family val="0"/>
      <charset val="1"/>
    </font>
    <font>
      <b val="true"/>
      <sz val="13"/>
      <name val="Cambria"/>
      <family val="0"/>
      <charset val="1"/>
    </font>
    <font>
      <b val="true"/>
      <sz val="11"/>
      <name val="Cambria"/>
      <family val="0"/>
      <charset val="1"/>
    </font>
  </fonts>
  <fills count="5">
    <fill>
      <patternFill patternType="none"/>
    </fill>
    <fill>
      <patternFill patternType="gray125"/>
    </fill>
    <fill>
      <patternFill patternType="solid">
        <fgColor rgb="FF1F3864"/>
        <bgColor rgb="FF333333"/>
      </patternFill>
    </fill>
    <fill>
      <patternFill patternType="solid">
        <fgColor rgb="FF0B5F66"/>
        <bgColor rgb="FF008080"/>
      </patternFill>
    </fill>
    <fill>
      <patternFill patternType="solid">
        <fgColor rgb="FFD9E1F2"/>
        <bgColor rgb="FFCC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true" applyProtection="false">
      <alignment horizontal="general" vertical="bottom" textRotation="0" wrapText="tru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6" fontId="0" fillId="0" borderId="1" xfId="0" applyFont="false" applyBorder="true" applyAlignment="false" applyProtection="false">
      <alignment horizontal="general" vertical="bottom" textRotation="0" wrapText="false" indent="0" shrinkToFit="false"/>
      <protection locked="true" hidden="false"/>
    </xf>
    <xf numFmtId="167" fontId="0" fillId="0" borderId="1" xfId="0" applyFont="false" applyBorder="true" applyAlignment="false" applyProtection="false">
      <alignment horizontal="general" vertical="bottom" textRotation="0" wrapText="false" indent="0" shrinkToFit="false"/>
      <protection locked="true" hidden="false"/>
    </xf>
    <xf numFmtId="168" fontId="0" fillId="0" borderId="1" xfId="0" applyFont="fals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center" vertical="bottom" textRotation="0" wrapText="tru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9" fontId="0" fillId="0" borderId="1" xfId="0" applyFont="false" applyBorder="true" applyAlignment="true" applyProtection="false">
      <alignment horizontal="center" vertical="bottom" textRotation="0" wrapText="true" indent="0" shrinkToFit="false"/>
      <protection locked="true" hidden="false"/>
    </xf>
    <xf numFmtId="164" fontId="8" fillId="4" borderId="1" xfId="0" applyFont="true" applyBorder="true" applyAlignment="false" applyProtection="false">
      <alignment horizontal="general" vertical="bottom" textRotation="0" wrapText="false" indent="0" shrinkToFit="false"/>
      <protection locked="true" hidden="false"/>
    </xf>
    <xf numFmtId="167" fontId="8" fillId="4" borderId="1" xfId="0" applyFont="true" applyBorder="true" applyAlignment="false" applyProtection="false">
      <alignment horizontal="general" vertical="bottom" textRotation="0" wrapText="false" indent="0" shrinkToFit="false"/>
      <protection locked="true" hidden="false"/>
    </xf>
    <xf numFmtId="168" fontId="8" fillId="4" borderId="1" xfId="0" applyFont="true" applyBorder="true" applyAlignment="false" applyProtection="false">
      <alignment horizontal="general" vertical="bottom" textRotation="0" wrapText="false" indent="0" shrinkToFit="false"/>
      <protection locked="true" hidden="false"/>
    </xf>
    <xf numFmtId="170" fontId="0" fillId="0" borderId="1" xfId="0" applyFont="false" applyBorder="true" applyAlignment="false" applyProtection="false">
      <alignment horizontal="general" vertical="bottom" textRotation="0" wrapText="false" indent="0" shrinkToFit="false"/>
      <protection locked="true" hidden="false"/>
    </xf>
    <xf numFmtId="171" fontId="0" fillId="0" borderId="1" xfId="0" applyFont="fals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center" textRotation="0" wrapText="true" indent="0" shrinkToFit="false"/>
      <protection locked="true" hidden="false"/>
    </xf>
    <xf numFmtId="165" fontId="8" fillId="4" borderId="1" xfId="0" applyFont="true" applyBorder="true" applyAlignment="false" applyProtection="false">
      <alignment horizontal="general" vertical="bottom" textRotation="0" wrapText="false" indent="0" shrinkToFit="false"/>
      <protection locked="true" hidden="false"/>
    </xf>
    <xf numFmtId="166" fontId="8" fillId="4" borderId="1" xfId="0" applyFont="true" applyBorder="true" applyAlignment="false" applyProtection="false">
      <alignment horizontal="general" vertical="bottom" textRotation="0" wrapText="false" indent="0" shrinkToFit="false"/>
      <protection locked="true" hidden="false"/>
    </xf>
    <xf numFmtId="170" fontId="8" fillId="4" borderId="1" xfId="0" applyFont="true" applyBorder="true" applyAlignment="false" applyProtection="false">
      <alignment horizontal="general" vertical="bottom" textRotation="0" wrapText="false" indent="0" shrinkToFit="false"/>
      <protection locked="true" hidden="false"/>
    </xf>
    <xf numFmtId="171" fontId="8" fillId="4" borderId="1" xfId="0" applyFont="true" applyBorder="true" applyAlignment="fals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general" vertical="center" textRotation="0" wrapText="true" indent="0" shrinkToFit="false"/>
      <protection locked="true" hidden="false"/>
    </xf>
    <xf numFmtId="164" fontId="6" fillId="2" borderId="0" xfId="0" applyFont="true" applyBorder="false" applyAlignment="true" applyProtection="false">
      <alignment horizontal="center" vertical="center" textRotation="0" wrapText="tru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6" fillId="3" borderId="0" xfId="0" applyFont="true" applyBorder="false" applyAlignment="true" applyProtection="false">
      <alignment horizontal="center" vertical="center" textRotation="0" wrapText="tru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3864"/>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0B5F66"/>
          <bgColor rgb="FF000000"/>
        </patternFill>
      </fill>
    </dxf>
    <dxf>
      <fill>
        <patternFill patternType="solid">
          <fgColor rgb="FFDDDDDD"/>
          <bgColor rgb="FF000000"/>
        </patternFill>
      </fill>
    </dxf>
    <dxf>
      <fill>
        <patternFill patternType="solid">
          <fgColor rgb="FFFF0000"/>
          <bgColor rgb="FF000000"/>
        </patternFill>
      </fill>
    </dxf>
    <dxf>
      <fill>
        <patternFill patternType="solid">
          <fgColor rgb="FFD9E1F2"/>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B5F66"/>
      <rgbColor rgb="FFBFBFBF"/>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9.xml.rels><?xml version="1.0" encoding="UTF-8"?>
<Relationships xmlns="http://schemas.openxmlformats.org/package/2006/relationships"><Relationship Id="rId1" Type="http://schemas.openxmlformats.org/officeDocument/2006/relationships/drawing" Target="../drawings/drawing1.xml"/>
</Relationships>
</file>

<file path=xl/worksheets/_rels/sheet10.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7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48" hidden="false" customHeight="true" outlineLevel="0" collapsed="false">
      <c r="A5" s="4" t="s">
        <v>3</v>
      </c>
    </row>
    <row r="6" customFormat="false" ht="15" hidden="false" customHeight="false" outlineLevel="0" collapsed="false">
      <c r="A6" s="3" t="s">
        <v>4</v>
      </c>
    </row>
    <row r="7" customFormat="false" ht="31.5" hidden="false" customHeight="true" outlineLevel="0" collapsed="false">
      <c r="A7" s="4" t="s">
        <v>5</v>
      </c>
    </row>
    <row r="8" customFormat="false" ht="31.5" hidden="false" customHeight="true" outlineLevel="0" collapsed="false">
      <c r="A8" s="4" t="s">
        <v>6</v>
      </c>
    </row>
    <row r="9" customFormat="false" ht="31.5" hidden="false" customHeight="true" outlineLevel="0" collapsed="false">
      <c r="A9" s="4" t="s">
        <v>7</v>
      </c>
    </row>
    <row r="10" customFormat="false" ht="31.5" hidden="false" customHeight="true" outlineLevel="0" collapsed="false">
      <c r="A10" s="4" t="s">
        <v>8</v>
      </c>
    </row>
    <row r="11" customFormat="false" ht="31.5" hidden="false" customHeight="true" outlineLevel="0" collapsed="false">
      <c r="A11" s="4" t="s">
        <v>9</v>
      </c>
    </row>
    <row r="12" customFormat="false" ht="31.5" hidden="false" customHeight="true" outlineLevel="0" collapsed="false">
      <c r="A12" s="4" t="s">
        <v>10</v>
      </c>
    </row>
    <row r="13" customFormat="false" ht="31.5" hidden="false" customHeight="true" outlineLevel="0" collapsed="false">
      <c r="A13" s="4" t="s">
        <v>11</v>
      </c>
    </row>
    <row r="14" customFormat="false" ht="31.5" hidden="false" customHeight="true" outlineLevel="0" collapsed="false">
      <c r="A14" s="4" t="s">
        <v>12</v>
      </c>
    </row>
    <row r="15" customFormat="false" ht="48" hidden="false" customHeight="true" outlineLevel="0" collapsed="false">
      <c r="A15" s="4" t="s">
        <v>13</v>
      </c>
    </row>
    <row r="16" customFormat="false" ht="31.5" hidden="false" customHeight="true" outlineLevel="0" collapsed="false">
      <c r="A16" s="4" t="s">
        <v>14</v>
      </c>
    </row>
    <row r="17" customFormat="false" ht="31.5" hidden="false" customHeight="true" outlineLevel="0" collapsed="false">
      <c r="A17" s="4" t="s">
        <v>15</v>
      </c>
    </row>
    <row r="18" customFormat="false" ht="15" hidden="false" customHeight="false" outlineLevel="0" collapsed="false">
      <c r="A18" s="3" t="s">
        <v>16</v>
      </c>
    </row>
    <row r="19" customFormat="false" ht="31.5" hidden="false" customHeight="true" outlineLevel="0" collapsed="false">
      <c r="A19" s="4" t="s">
        <v>17</v>
      </c>
    </row>
    <row r="20" customFormat="false" ht="31.5" hidden="false" customHeight="true" outlineLevel="0" collapsed="false">
      <c r="A20" s="4" t="s">
        <v>18</v>
      </c>
    </row>
    <row r="21" customFormat="false" ht="31.5" hidden="false" customHeight="true" outlineLevel="0" collapsed="false">
      <c r="A21" s="4" t="s">
        <v>19</v>
      </c>
    </row>
    <row r="22" customFormat="false" ht="31.5" hidden="false" customHeight="true" outlineLevel="0" collapsed="false">
      <c r="A22" s="4" t="s">
        <v>20</v>
      </c>
    </row>
    <row r="23" customFormat="false" ht="31.5" hidden="false" customHeight="true" outlineLevel="0" collapsed="false">
      <c r="A23" s="4" t="s">
        <v>21</v>
      </c>
    </row>
    <row r="24" customFormat="false" ht="31.5" hidden="false" customHeight="true" outlineLevel="0" collapsed="false">
      <c r="A24" s="4" t="s">
        <v>22</v>
      </c>
    </row>
    <row r="25" customFormat="false" ht="15" hidden="false" customHeight="false" outlineLevel="0" collapsed="false">
      <c r="A25" s="3" t="s">
        <v>23</v>
      </c>
    </row>
    <row r="26" customFormat="false" ht="31.5" hidden="false" customHeight="true" outlineLevel="0" collapsed="false">
      <c r="A26" s="4" t="s">
        <v>24</v>
      </c>
    </row>
    <row r="27" customFormat="false" ht="48" hidden="false" customHeight="true" outlineLevel="0" collapsed="false">
      <c r="A27" s="4" t="s">
        <v>25</v>
      </c>
    </row>
    <row r="28" customFormat="false" ht="48" hidden="false" customHeight="true" outlineLevel="0" collapsed="false">
      <c r="A28" s="4" t="s">
        <v>26</v>
      </c>
    </row>
    <row r="29" customFormat="false" ht="31.5" hidden="false" customHeight="true" outlineLevel="0" collapsed="false">
      <c r="A29" s="4" t="s">
        <v>27</v>
      </c>
    </row>
    <row r="30" customFormat="false" ht="31.5" hidden="false" customHeight="true" outlineLevel="0" collapsed="false">
      <c r="A30" s="4" t="s">
        <v>28</v>
      </c>
    </row>
    <row r="31" customFormat="false" ht="31.5" hidden="false" customHeight="true" outlineLevel="0" collapsed="false">
      <c r="A31" s="4" t="s">
        <v>29</v>
      </c>
    </row>
    <row r="32" customFormat="false" ht="15" hidden="false" customHeight="false" outlineLevel="0" collapsed="false">
      <c r="A32" s="3" t="s">
        <v>30</v>
      </c>
    </row>
    <row r="33" customFormat="false" ht="31.5" hidden="false" customHeight="true" outlineLevel="0" collapsed="false">
      <c r="A33" s="4" t="s">
        <v>31</v>
      </c>
    </row>
    <row r="34" customFormat="false" ht="31.5" hidden="false" customHeight="true" outlineLevel="0" collapsed="false">
      <c r="A34" s="4" t="s">
        <v>32</v>
      </c>
    </row>
    <row r="35" customFormat="false" ht="31.5" hidden="false" customHeight="true" outlineLevel="0" collapsed="false">
      <c r="A35" s="4" t="s">
        <v>33</v>
      </c>
    </row>
    <row r="36" customFormat="false" ht="15" hidden="false" customHeight="false" outlineLevel="0" collapsed="false">
      <c r="A36" s="3" t="s">
        <v>34</v>
      </c>
    </row>
    <row r="37" customFormat="false" ht="48" hidden="false" customHeight="true" outlineLevel="0" collapsed="false">
      <c r="A37" s="4"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44"/>
    <col collapsed="false" customWidth="true" hidden="false" outlineLevel="0" max="13" min="2" style="0" width="15"/>
  </cols>
  <sheetData>
    <row r="1" customFormat="false" ht="16.15" hidden="false" customHeight="false" outlineLevel="0" collapsed="false">
      <c r="A1" s="5" t="s">
        <v>36</v>
      </c>
    </row>
    <row r="2" customFormat="false" ht="15" hidden="false" customHeight="false" outlineLevel="0" collapsed="false">
      <c r="A2" s="2" t="s">
        <v>37</v>
      </c>
    </row>
    <row r="4" customFormat="false" ht="15" hidden="false" customHeight="true" outlineLevel="0" collapsed="false">
      <c r="A4" s="6"/>
      <c r="B4" s="6" t="s">
        <v>38</v>
      </c>
      <c r="C4" s="6"/>
      <c r="D4" s="6" t="s">
        <v>39</v>
      </c>
      <c r="E4" s="6"/>
      <c r="F4" s="6"/>
      <c r="G4" s="6" t="s">
        <v>40</v>
      </c>
      <c r="H4" s="6"/>
      <c r="I4" s="7" t="s">
        <v>41</v>
      </c>
      <c r="J4" s="7"/>
      <c r="K4" s="7"/>
      <c r="L4" s="7"/>
      <c r="M4" s="7"/>
    </row>
    <row r="5" customFormat="false" ht="48" hidden="false" customHeight="true" outlineLevel="0" collapsed="false">
      <c r="A5" s="6" t="s">
        <v>42</v>
      </c>
      <c r="B5" s="6" t="s">
        <v>43</v>
      </c>
      <c r="C5" s="6" t="s">
        <v>44</v>
      </c>
      <c r="D5" s="6" t="s">
        <v>43</v>
      </c>
      <c r="E5" s="6" t="s">
        <v>45</v>
      </c>
      <c r="F5" s="6" t="s">
        <v>44</v>
      </c>
      <c r="G5" s="6" t="s">
        <v>43</v>
      </c>
      <c r="H5" s="6" t="s">
        <v>44</v>
      </c>
      <c r="I5" s="7" t="s">
        <v>46</v>
      </c>
      <c r="J5" s="7" t="s">
        <v>47</v>
      </c>
      <c r="K5" s="7" t="s">
        <v>48</v>
      </c>
      <c r="L5" s="7" t="s">
        <v>49</v>
      </c>
      <c r="M5" s="7" t="s">
        <v>50</v>
      </c>
    </row>
    <row r="6" customFormat="false" ht="15" hidden="false" customHeight="false" outlineLevel="0" collapsed="false">
      <c r="A6" s="8" t="s">
        <v>51</v>
      </c>
      <c r="B6" s="9" t="n">
        <f aca="false">'Base votos'!R36</f>
        <v>56611027</v>
      </c>
      <c r="C6" s="9" t="n">
        <f aca="false">'Base votos'!R69</f>
        <v>60115184</v>
      </c>
      <c r="D6" s="9" t="n">
        <f aca="false">'Base votos'!R102</f>
        <v>56300247</v>
      </c>
      <c r="E6" s="9" t="n">
        <f aca="false">'Base votos'!R135</f>
        <v>49151320</v>
      </c>
      <c r="F6" s="9" t="n">
        <f aca="false">'Base votos'!R168</f>
        <v>59466468</v>
      </c>
      <c r="G6" s="9" t="n">
        <f aca="false">'Base votos'!R201</f>
        <v>56691869</v>
      </c>
      <c r="H6" s="9" t="n">
        <f aca="false">'Base votos'!R234</f>
        <v>60003726</v>
      </c>
      <c r="I6" s="10" t="n">
        <f aca="false">C6-B6</f>
        <v>3504157</v>
      </c>
      <c r="J6" s="10" t="n">
        <f aca="false">E6-D6</f>
        <v>-7148927</v>
      </c>
      <c r="K6" s="10" t="n">
        <f aca="false">F6-E6</f>
        <v>10315148</v>
      </c>
      <c r="L6" s="10" t="n">
        <f aca="false">F6-D6</f>
        <v>3166221</v>
      </c>
      <c r="M6" s="10" t="n">
        <f aca="false">H6-G6</f>
        <v>3311857</v>
      </c>
    </row>
    <row r="7" customFormat="false" ht="15" hidden="false" customHeight="false" outlineLevel="0" collapsed="false">
      <c r="A7" s="8" t="s">
        <v>52</v>
      </c>
      <c r="B7" s="9" t="n">
        <f aca="false">'Base votos'!S36</f>
        <v>89129689</v>
      </c>
      <c r="C7" s="9" t="n">
        <f aca="false">'Base votos'!S69</f>
        <v>98468994</v>
      </c>
      <c r="D7" s="9" t="n">
        <f aca="false">'Base votos'!S102</f>
        <v>88948697</v>
      </c>
      <c r="E7" s="9" t="n">
        <f aca="false">'Base votos'!S135</f>
        <v>93328771</v>
      </c>
      <c r="F7" s="9" t="n">
        <f aca="false">'Base votos'!S168</f>
        <v>98214289</v>
      </c>
      <c r="G7" s="9" t="n">
        <f aca="false">'Base votos'!S201</f>
        <v>89127226</v>
      </c>
      <c r="H7" s="9" t="n">
        <f aca="false">'Base votos'!S234</f>
        <v>98438250</v>
      </c>
      <c r="I7" s="10" t="n">
        <f aca="false">C7-B7</f>
        <v>9339305</v>
      </c>
      <c r="J7" s="10" t="n">
        <f aca="false">E7-D7</f>
        <v>4380074</v>
      </c>
      <c r="K7" s="10" t="n">
        <f aca="false">F7-E7</f>
        <v>4885518</v>
      </c>
      <c r="L7" s="10" t="n">
        <f aca="false">F7-D7</f>
        <v>9265592</v>
      </c>
      <c r="M7" s="10" t="n">
        <f aca="false">H7-G7</f>
        <v>9311024</v>
      </c>
    </row>
    <row r="8" customFormat="false" ht="15" hidden="false" customHeight="false" outlineLevel="0" collapsed="false">
      <c r="A8" s="8" t="s">
        <v>53</v>
      </c>
      <c r="B8" s="11" t="n">
        <f aca="false">'Base votos'!R36/'Base votos'!S36</f>
        <v>0.635153422334953</v>
      </c>
      <c r="C8" s="11" t="n">
        <f aca="false">'Base votos'!R69/'Base votos'!S69</f>
        <v>0.610498610354443</v>
      </c>
      <c r="D8" s="11" t="n">
        <f aca="false">'Base votos'!R102/'Base votos'!S102</f>
        <v>0.632951902600664</v>
      </c>
      <c r="E8" s="11" t="n">
        <f aca="false">'Base votos'!R135/'Base votos'!S135</f>
        <v>0.52664702934961</v>
      </c>
      <c r="F8" s="11" t="n">
        <f aca="false">'Base votos'!R168/'Base votos'!S168</f>
        <v>0.60547674483496</v>
      </c>
      <c r="G8" s="11" t="n">
        <f aca="false">'Base votos'!R201/'Base votos'!S201</f>
        <v>0.636078015038861</v>
      </c>
      <c r="H8" s="11" t="n">
        <f aca="false">'Base votos'!R234/'Base votos'!S234</f>
        <v>0.609557016708444</v>
      </c>
      <c r="I8" s="12" t="n">
        <f aca="false">(C8-B8)*100</f>
        <v>-2.46548119805097</v>
      </c>
      <c r="J8" s="12" t="n">
        <f aca="false">(E8-D8)*100</f>
        <v>-10.6304873251055</v>
      </c>
      <c r="K8" s="12" t="n">
        <f aca="false">(F8-E8)*100</f>
        <v>7.88297154853501</v>
      </c>
      <c r="L8" s="12" t="n">
        <f aca="false">(F8-D8)*100</f>
        <v>-2.74751577657044</v>
      </c>
      <c r="M8" s="12" t="n">
        <f aca="false">(H8-G8)*100</f>
        <v>-2.65209983304173</v>
      </c>
    </row>
    <row r="9" customFormat="false" ht="15" hidden="false" customHeight="false" outlineLevel="0" collapsed="false">
      <c r="A9" s="8" t="s">
        <v>54</v>
      </c>
      <c r="B9" s="11" t="n">
        <f aca="false">'Base votos'!Q36/'Base votos'!R36</f>
        <v>0.0277527909889358</v>
      </c>
      <c r="C9" s="11" t="n">
        <f aca="false">'Base votos'!Q69/'Base votos'!R69</f>
        <v>0.0232910207843662</v>
      </c>
      <c r="D9" s="11" t="n">
        <f aca="false">'Base votos'!Q102/'Base votos'!R102</f>
        <v>0.0398331289736615</v>
      </c>
      <c r="E9" s="11" t="n">
        <f aca="false">'Base votos'!Q135/'Base votos'!R135</f>
        <v>0.0340442942325862</v>
      </c>
      <c r="F9" s="11" t="n">
        <f aca="false">'Base votos'!Q168/'Base votos'!R168</f>
        <v>0.0368252743714323</v>
      </c>
      <c r="G9" s="11" t="n">
        <f aca="false">'Base votos'!Q201/'Base votos'!R201</f>
        <v>0.0413526144287111</v>
      </c>
      <c r="H9" s="11" t="n">
        <f aca="false">'Base votos'!Q234/'Base votos'!R234</f>
        <v>0.039496413939361</v>
      </c>
      <c r="I9" s="12" t="n">
        <f aca="false">(C9-B9)*100</f>
        <v>-0.446177020456955</v>
      </c>
      <c r="J9" s="12" t="n">
        <f aca="false">(E9-D9)*100</f>
        <v>-0.57888347410753</v>
      </c>
      <c r="K9" s="12" t="n">
        <f aca="false">(F9-E9)*100</f>
        <v>0.27809801388461</v>
      </c>
      <c r="L9" s="12" t="n">
        <f aca="false">(F9-D9)*100</f>
        <v>-0.30078546022292</v>
      </c>
      <c r="M9" s="12" t="n">
        <f aca="false">(H9-G9)*100</f>
        <v>-0.185620048935008</v>
      </c>
    </row>
    <row r="10" customFormat="false" ht="15" hidden="false" customHeight="false" outlineLevel="0" collapsed="false">
      <c r="A10" s="8" t="s">
        <v>55</v>
      </c>
      <c r="B10" s="11" t="n">
        <f aca="false">'Base votos'!D36/'Base votos'!R36</f>
        <v>0.447751583803629</v>
      </c>
      <c r="C10" s="11" t="n">
        <f aca="false">'Base votos'!D69/'Base votos'!R69</f>
        <v>0.458140891658919</v>
      </c>
      <c r="D10" s="11" t="n">
        <f aca="false">'Base votos'!D102/'Base votos'!R102</f>
        <v>0.374931498968379</v>
      </c>
      <c r="E10" s="11" t="n">
        <f aca="false">'Base votos'!D135/'Base votos'!R135</f>
        <v>0.341777616552312</v>
      </c>
      <c r="F10" s="11" t="n">
        <f aca="false">'Base votos'!D168/'Base votos'!R168</f>
        <v>0.410802050661559</v>
      </c>
      <c r="G10" s="11" t="n">
        <f aca="false">'Base votos'!D201/'Base votos'!R201</f>
        <v>0.377441922050585</v>
      </c>
      <c r="H10" s="11" t="n">
        <f aca="false">'Base votos'!D234/'Base votos'!R234</f>
        <v>0.410065468267754</v>
      </c>
      <c r="I10" s="12" t="n">
        <f aca="false">(C10-B10)*100</f>
        <v>1.03893078552904</v>
      </c>
      <c r="J10" s="12" t="n">
        <f aca="false">(E10-D10)*100</f>
        <v>-3.3153882416067</v>
      </c>
      <c r="K10" s="12" t="n">
        <f aca="false">(F10-E10)*100</f>
        <v>6.90244341092471</v>
      </c>
      <c r="L10" s="12" t="n">
        <f aca="false">(F10-D10)*100</f>
        <v>3.58705516931801</v>
      </c>
      <c r="M10" s="12" t="n">
        <f aca="false">(H10-G10)*100</f>
        <v>3.26235462171685</v>
      </c>
    </row>
    <row r="11" customFormat="false" ht="15" hidden="false" customHeight="false" outlineLevel="0" collapsed="false">
      <c r="A11" s="8" t="s">
        <v>56</v>
      </c>
      <c r="B11" s="11" t="n">
        <f aca="false">'Base votos'!E36/'Base votos'!R36</f>
        <v>0.0588161030888911</v>
      </c>
      <c r="C11" s="11" t="n">
        <f aca="false">'Base votos'!E69/'Base votos'!R69</f>
        <v>0.0629811929046079</v>
      </c>
      <c r="D11" s="11" t="n">
        <f aca="false">'Base votos'!E102/'Base votos'!R102</f>
        <v>0.0381136160912402</v>
      </c>
      <c r="E11" s="11" t="n">
        <f aca="false">'Base votos'!E135/'Base votos'!R135</f>
        <v>0.0319442895938502</v>
      </c>
      <c r="F11" s="11" t="n">
        <f aca="false">'Base votos'!E168/'Base votos'!R168</f>
        <v>0.0532880816126493</v>
      </c>
      <c r="G11" s="11" t="n">
        <f aca="false">'Base votos'!E201/'Base votos'!R201</f>
        <v>0.0370105455510736</v>
      </c>
      <c r="H11" s="11" t="n">
        <f aca="false">'Base votos'!E234/'Base votos'!R234</f>
        <v>0.052382830359568</v>
      </c>
      <c r="I11" s="12" t="n">
        <f aca="false">(C11-B11)*100</f>
        <v>0.416508981571678</v>
      </c>
      <c r="J11" s="12" t="n">
        <f aca="false">(E11-D11)*100</f>
        <v>-0.616932649739006</v>
      </c>
      <c r="K11" s="12" t="n">
        <f aca="false">(F11-E11)*100</f>
        <v>2.13437920187992</v>
      </c>
      <c r="L11" s="12" t="n">
        <f aca="false">(F11-D11)*100</f>
        <v>1.51744655214091</v>
      </c>
      <c r="M11" s="12" t="n">
        <f aca="false">(H11-G11)*100</f>
        <v>1.53722848084944</v>
      </c>
    </row>
    <row r="12" customFormat="false" ht="15" hidden="false" customHeight="false" outlineLevel="0" collapsed="false">
      <c r="A12" s="8" t="s">
        <v>57</v>
      </c>
      <c r="B12" s="11" t="n">
        <f aca="false">'Base votos'!F36/'Base votos'!R36</f>
        <v>0.0177057554529085</v>
      </c>
      <c r="C12" s="11" t="n">
        <f aca="false">'Base votos'!F69/'Base votos'!R69</f>
        <v>0.0764726761877665</v>
      </c>
      <c r="D12" s="11" t="n">
        <f aca="false">'Base votos'!F102/'Base votos'!R102</f>
        <v>0.0475043919434314</v>
      </c>
      <c r="E12" s="11" t="n">
        <f aca="false">'Base votos'!F135/'Base votos'!R135</f>
        <v>0.0540538280558894</v>
      </c>
      <c r="F12" s="11" t="n">
        <f aca="false">'Base votos'!F168/'Base votos'!R168</f>
        <v>0.0830253110038417</v>
      </c>
      <c r="G12" s="11" t="n">
        <f aca="false">'Base votos'!F201/'Base votos'!R201</f>
        <v>0.0441905875426333</v>
      </c>
      <c r="H12" s="11" t="n">
        <f aca="false">'Base votos'!F234/'Base votos'!R234</f>
        <v>0.0884776555375911</v>
      </c>
      <c r="I12" s="12" t="n">
        <f aca="false">(C12-B12)*100</f>
        <v>5.8766920734858</v>
      </c>
      <c r="J12" s="12" t="n">
        <f aca="false">(E12-D12)*100</f>
        <v>0.654943611245801</v>
      </c>
      <c r="K12" s="12" t="n">
        <f aca="false">(F12-E12)*100</f>
        <v>2.89714829479523</v>
      </c>
      <c r="L12" s="12" t="n">
        <f aca="false">(F12-D12)*100</f>
        <v>3.55209190604103</v>
      </c>
      <c r="M12" s="12" t="n">
        <f aca="false">(H12-G12)*100</f>
        <v>4.42870679949578</v>
      </c>
    </row>
    <row r="13" customFormat="false" ht="15" hidden="false" customHeight="false" outlineLevel="0" collapsed="false">
      <c r="A13" s="8" t="s">
        <v>58</v>
      </c>
      <c r="B13" s="11" t="n">
        <f aca="false">'Base votos'!G36/'Base votos'!R36</f>
        <v>0.0253690151213826</v>
      </c>
      <c r="C13" s="11" t="n">
        <f aca="false">'Base votos'!G69/'Base votos'!R69</f>
        <v>0</v>
      </c>
      <c r="D13" s="11" t="n">
        <f aca="false">'Base votos'!G102/'Base votos'!R102</f>
        <v>0.0228014097344902</v>
      </c>
      <c r="E13" s="11" t="n">
        <f aca="false">'Base votos'!G135/'Base votos'!R135</f>
        <v>0.0275179588259278</v>
      </c>
      <c r="F13" s="11" t="n">
        <f aca="false">'Base votos'!G168/'Base votos'!R168</f>
        <v>0</v>
      </c>
      <c r="G13" s="11" t="n">
        <f aca="false">'Base votos'!G201/'Base votos'!R201</f>
        <v>0.0220577134262411</v>
      </c>
      <c r="H13" s="11" t="n">
        <f aca="false">'Base votos'!G234/'Base votos'!R234</f>
        <v>0</v>
      </c>
      <c r="I13" s="12" t="n">
        <f aca="false">(C13-B13)*100</f>
        <v>-2.53690151213826</v>
      </c>
      <c r="J13" s="12" t="n">
        <f aca="false">(E13-D13)*100</f>
        <v>0.471654909143762</v>
      </c>
      <c r="K13" s="12" t="n">
        <f aca="false">(F13-E13)*100</f>
        <v>-2.75179588259278</v>
      </c>
      <c r="L13" s="12" t="n">
        <f aca="false">(F13-D13)*100</f>
        <v>-2.28014097344902</v>
      </c>
      <c r="M13" s="12" t="n">
        <f aca="false">(H13-G13)*100</f>
        <v>-2.20577134262411</v>
      </c>
    </row>
    <row r="14" customFormat="false" ht="15" hidden="false" customHeight="false" outlineLevel="0" collapsed="false">
      <c r="A14" s="8" t="s">
        <v>59</v>
      </c>
      <c r="B14" s="11" t="n">
        <f aca="false">'Base votos'!H36/'Base votos'!R36</f>
        <v>0.178430838218144</v>
      </c>
      <c r="C14" s="11" t="n">
        <f aca="false">'Base votos'!H69/'Base votos'!R69</f>
        <v>0.161616755593728</v>
      </c>
      <c r="D14" s="11" t="n">
        <f aca="false">'Base votos'!H102/'Base votos'!R102</f>
        <v>0.180441766090298</v>
      </c>
      <c r="E14" s="11" t="n">
        <f aca="false">'Base votos'!H135/'Base votos'!R135</f>
        <v>0.18268376108719</v>
      </c>
      <c r="F14" s="11" t="n">
        <f aca="false">'Base votos'!H168/'Base votos'!R168</f>
        <v>0.16994463165359</v>
      </c>
      <c r="G14" s="11" t="n">
        <f aca="false">'Base votos'!H201/'Base votos'!R201</f>
        <v>0.176992788860074</v>
      </c>
      <c r="H14" s="11" t="n">
        <f aca="false">'Base votos'!H234/'Base votos'!R234</f>
        <v>0.169324818262119</v>
      </c>
      <c r="I14" s="12" t="n">
        <f aca="false">(C14-B14)*100</f>
        <v>-1.68140826244161</v>
      </c>
      <c r="J14" s="12" t="n">
        <f aca="false">(E14-D14)*100</f>
        <v>0.224199499689157</v>
      </c>
      <c r="K14" s="12" t="n">
        <f aca="false">(F14-E14)*100</f>
        <v>-1.27391294335995</v>
      </c>
      <c r="L14" s="12" t="n">
        <f aca="false">(F14-D14)*100</f>
        <v>-1.04971344367079</v>
      </c>
      <c r="M14" s="12" t="n">
        <f aca="false">(H14-G14)*100</f>
        <v>-0.766797059795518</v>
      </c>
    </row>
    <row r="15" customFormat="false" ht="15" hidden="false" customHeight="false" outlineLevel="0" collapsed="false">
      <c r="A15" s="8" t="s">
        <v>60</v>
      </c>
      <c r="B15" s="11" t="n">
        <f aca="false">'Base votos'!I36/'Base votos'!R36</f>
        <v>0.137168276420776</v>
      </c>
      <c r="C15" s="11" t="n">
        <f aca="false">'Base votos'!I69/'Base votos'!R69</f>
        <v>0.0953370116940838</v>
      </c>
      <c r="D15" s="11" t="n">
        <f aca="false">'Base votos'!I102/'Base votos'!R102</f>
        <v>0.166069040514156</v>
      </c>
      <c r="E15" s="11" t="n">
        <f aca="false">'Base votos'!I135/'Base votos'!R135</f>
        <v>0.177699764726563</v>
      </c>
      <c r="F15" s="11" t="n">
        <f aca="false">'Base votos'!I168/'Base votos'!R168</f>
        <v>0.111365669136428</v>
      </c>
      <c r="G15" s="11" t="n">
        <f aca="false">'Base votos'!I201/'Base votos'!R201</f>
        <v>0.159720223723794</v>
      </c>
      <c r="H15" s="11" t="n">
        <f aca="false">'Base votos'!I234/'Base votos'!R234</f>
        <v>0.108834508043717</v>
      </c>
      <c r="I15" s="12" t="n">
        <f aca="false">(C15-B15)*100</f>
        <v>-4.18312647266919</v>
      </c>
      <c r="J15" s="12" t="n">
        <f aca="false">(E15-D15)*100</f>
        <v>1.16307242124066</v>
      </c>
      <c r="K15" s="12" t="n">
        <f aca="false">(F15-E15)*100</f>
        <v>-6.63340955901345</v>
      </c>
      <c r="L15" s="12" t="n">
        <f aca="false">(F15-D15)*100</f>
        <v>-5.47033713777279</v>
      </c>
      <c r="M15" s="12" t="n">
        <f aca="false">(H15-G15)*100</f>
        <v>-5.08857156800765</v>
      </c>
    </row>
    <row r="16" customFormat="false" ht="15" hidden="false" customHeight="false" outlineLevel="0" collapsed="false">
      <c r="A16" s="8" t="s">
        <v>61</v>
      </c>
      <c r="B16" s="11" t="n">
        <f aca="false">'Base votos'!J36/'Base votos'!R36</f>
        <v>0.0274730045084679</v>
      </c>
      <c r="C16" s="11" t="n">
        <f aca="false">'Base votos'!J69/'Base votos'!R69</f>
        <v>0.0175641814553874</v>
      </c>
      <c r="D16" s="11" t="n">
        <f aca="false">'Base votos'!J102/'Base votos'!R102</f>
        <v>0.0522761827314896</v>
      </c>
      <c r="E16" s="11" t="n">
        <f aca="false">'Base votos'!J135/'Base votos'!R135</f>
        <v>0.0359005821206836</v>
      </c>
      <c r="F16" s="11" t="n">
        <f aca="false">'Base votos'!J168/'Base votos'!R168</f>
        <v>0.023446844026452</v>
      </c>
      <c r="G16" s="11" t="n">
        <f aca="false">'Base votos'!J201/'Base votos'!R201</f>
        <v>0.0522287949264823</v>
      </c>
      <c r="H16" s="11" t="n">
        <f aca="false">'Base votos'!J234/'Base votos'!R234</f>
        <v>0.021836277300513</v>
      </c>
      <c r="I16" s="12" t="n">
        <f aca="false">(C16-B16)*100</f>
        <v>-0.990882305308056</v>
      </c>
      <c r="J16" s="12" t="n">
        <f aca="false">(E16-D16)*100</f>
        <v>-1.6375600610806</v>
      </c>
      <c r="K16" s="12" t="n">
        <f aca="false">(F16-E16)*100</f>
        <v>-1.24537380942316</v>
      </c>
      <c r="L16" s="12" t="n">
        <f aca="false">(F16-D16)*100</f>
        <v>-2.88293387050376</v>
      </c>
      <c r="M16" s="12" t="n">
        <f aca="false">(H16-G16)*100</f>
        <v>-3.03925176259693</v>
      </c>
    </row>
    <row r="17" customFormat="false" ht="15" hidden="false" customHeight="false" outlineLevel="0" collapsed="false">
      <c r="A17" s="8" t="s">
        <v>62</v>
      </c>
      <c r="B17" s="11" t="n">
        <f aca="false">'Base votos'!K36/'Base votos'!R36</f>
        <v>0.0168463999072124</v>
      </c>
      <c r="C17" s="11" t="n">
        <f aca="false">'Base votos'!K69/'Base votos'!R69</f>
        <v>0.103213690571088</v>
      </c>
      <c r="D17" s="11" t="n">
        <f aca="false">'Base votos'!K102/'Base votos'!R102</f>
        <v>0.0434754220527665</v>
      </c>
      <c r="E17" s="11" t="n">
        <f aca="false">'Base votos'!K135/'Base votos'!R135</f>
        <v>0.0701910345439349</v>
      </c>
      <c r="F17" s="11" t="n">
        <f aca="false">'Base votos'!K168/'Base votos'!R168</f>
        <v>0.109261643048987</v>
      </c>
      <c r="G17" s="11" t="n">
        <f aca="false">'Base votos'!K201/'Base votos'!R201</f>
        <v>0.046146247180526</v>
      </c>
      <c r="H17" s="11" t="n">
        <f aca="false">'Base votos'!K234/'Base votos'!R234</f>
        <v>0.108797210359903</v>
      </c>
      <c r="I17" s="12" t="n">
        <f aca="false">(C17-B17)*100</f>
        <v>8.63672906638752</v>
      </c>
      <c r="J17" s="12" t="n">
        <f aca="false">(E17-D17)*100</f>
        <v>2.67156124911685</v>
      </c>
      <c r="K17" s="12" t="n">
        <f aca="false">(F17-E17)*100</f>
        <v>3.90706085050519</v>
      </c>
      <c r="L17" s="12" t="n">
        <f aca="false">(F17-D17)*100</f>
        <v>6.57862209962204</v>
      </c>
      <c r="M17" s="12" t="n">
        <f aca="false">(H17-G17)*100</f>
        <v>6.26509631793773</v>
      </c>
    </row>
    <row r="18" customFormat="false" ht="15" hidden="false" customHeight="false" outlineLevel="0" collapsed="false">
      <c r="A18" s="8" t="s">
        <v>63</v>
      </c>
      <c r="B18" s="11" t="n">
        <f aca="false">'Base votos'!L36/'Base votos'!R36</f>
        <v>0.00922567612136766</v>
      </c>
      <c r="C18" s="11" t="n">
        <f aca="false">'Base votos'!L69/'Base votos'!R69</f>
        <v>0</v>
      </c>
      <c r="D18" s="11" t="n">
        <f aca="false">'Base votos'!L102/'Base votos'!R102</f>
        <v>0.0243882944243566</v>
      </c>
      <c r="E18" s="11" t="n">
        <f aca="false">'Base votos'!L135/'Base votos'!R135</f>
        <v>0</v>
      </c>
      <c r="F18" s="11" t="n">
        <f aca="false">'Base votos'!L168/'Base votos'!R168</f>
        <v>0</v>
      </c>
      <c r="G18" s="11" t="n">
        <f aca="false">'Base votos'!L201/'Base votos'!R201</f>
        <v>0.0227327661397087</v>
      </c>
      <c r="H18" s="11" t="n">
        <f aca="false">'Base votos'!L234/'Base votos'!R234</f>
        <v>0</v>
      </c>
      <c r="I18" s="12" t="n">
        <f aca="false">(C18-B18)*100</f>
        <v>-0.922567612136766</v>
      </c>
      <c r="J18" s="12" t="n">
        <f aca="false">(E18-D18)*100</f>
        <v>-2.43882944243566</v>
      </c>
      <c r="K18" s="12" t="n">
        <f aca="false">(F18-E18)*100</f>
        <v>0</v>
      </c>
      <c r="L18" s="12" t="n">
        <f aca="false">(F18-D18)*100</f>
        <v>-2.43882944243566</v>
      </c>
      <c r="M18" s="12" t="n">
        <f aca="false">(H18-G18)*100</f>
        <v>-2.27327661397087</v>
      </c>
    </row>
    <row r="19" customFormat="false" ht="15" hidden="false" customHeight="false" outlineLevel="0" collapsed="false">
      <c r="A19" s="8" t="s">
        <v>64</v>
      </c>
      <c r="B19" s="11" t="n">
        <f aca="false">'Base votos'!M36/'Base votos'!R36</f>
        <v>0</v>
      </c>
      <c r="C19" s="11" t="n">
        <f aca="false">'Base votos'!M69/'Base votos'!R69</f>
        <v>0</v>
      </c>
      <c r="D19" s="11" t="n">
        <f aca="false">'Base votos'!M102/'Base votos'!R102</f>
        <v>0</v>
      </c>
      <c r="E19" s="11" t="n">
        <f aca="false">'Base votos'!M135/'Base votos'!R135</f>
        <v>0.0176702273713097</v>
      </c>
      <c r="F19" s="11" t="n">
        <f aca="false">'Base votos'!M168/'Base votos'!R168</f>
        <v>0</v>
      </c>
      <c r="G19" s="11" t="n">
        <f aca="false">'Base votos'!M201/'Base votos'!R201</f>
        <v>0</v>
      </c>
      <c r="H19" s="11" t="n">
        <f aca="false">'Base votos'!M234/'Base votos'!R234</f>
        <v>0</v>
      </c>
      <c r="I19" s="12" t="n">
        <f aca="false">(C19-B19)*100</f>
        <v>0</v>
      </c>
      <c r="J19" s="12" t="n">
        <f aca="false">(E19-D19)*100</f>
        <v>1.76702273713097</v>
      </c>
      <c r="K19" s="12" t="n">
        <f aca="false">(F19-E19)*100</f>
        <v>-1.76702273713097</v>
      </c>
      <c r="L19" s="12" t="n">
        <f aca="false">(F19-D19)*100</f>
        <v>0</v>
      </c>
      <c r="M19" s="12" t="n">
        <f aca="false">(H19-G19)*100</f>
        <v>0</v>
      </c>
    </row>
    <row r="20" customFormat="false" ht="15" hidden="false" customHeight="false" outlineLevel="0" collapsed="false">
      <c r="A20" s="8" t="s">
        <v>65</v>
      </c>
      <c r="B20" s="11" t="n">
        <f aca="false">'Base votos'!N36/'Base votos'!R36</f>
        <v>0</v>
      </c>
      <c r="C20" s="11" t="n">
        <f aca="false">'Base votos'!N69/'Base votos'!R69</f>
        <v>0</v>
      </c>
      <c r="D20" s="11" t="n">
        <f aca="false">'Base votos'!N102/'Base votos'!R102</f>
        <v>0</v>
      </c>
      <c r="E20" s="11" t="n">
        <f aca="false">'Base votos'!N135/'Base votos'!R135</f>
        <v>0.0247619799427564</v>
      </c>
      <c r="F20" s="11" t="n">
        <f aca="false">'Base votos'!N168/'Base votos'!R168</f>
        <v>0</v>
      </c>
      <c r="G20" s="11" t="n">
        <f aca="false">'Base votos'!N201/'Base votos'!R201</f>
        <v>0</v>
      </c>
      <c r="H20" s="11" t="n">
        <f aca="false">'Base votos'!N234/'Base votos'!R234</f>
        <v>0</v>
      </c>
      <c r="I20" s="12" t="n">
        <f aca="false">(C20-B20)*100</f>
        <v>0</v>
      </c>
      <c r="J20" s="12" t="n">
        <f aca="false">(E20-D20)*100</f>
        <v>2.47619799427564</v>
      </c>
      <c r="K20" s="12" t="n">
        <f aca="false">(F20-E20)*100</f>
        <v>-2.47619799427564</v>
      </c>
      <c r="L20" s="12" t="n">
        <f aca="false">(F20-D20)*100</f>
        <v>0</v>
      </c>
      <c r="M20" s="12" t="n">
        <f aca="false">(H20-G20)*100</f>
        <v>0</v>
      </c>
    </row>
    <row r="21" customFormat="false" ht="15" hidden="false" customHeight="false" outlineLevel="0" collapsed="false">
      <c r="A21" s="8" t="s">
        <v>66</v>
      </c>
      <c r="B21" s="11" t="n">
        <f aca="false">'Base votos'!O36/'Base votos'!R36</f>
        <v>0.0528956134288113</v>
      </c>
      <c r="C21" s="11" t="n">
        <f aca="false">'Base votos'!O69/'Base votos'!R69</f>
        <v>0</v>
      </c>
      <c r="D21" s="11" t="n">
        <f aca="false">'Base votos'!O102/'Base votos'!R102</f>
        <v>0.00957983363731957</v>
      </c>
      <c r="E21" s="11" t="n">
        <f aca="false">'Base votos'!O135/'Base votos'!R135</f>
        <v>0.000901522075093812</v>
      </c>
      <c r="F21" s="11" t="n">
        <f aca="false">'Base votos'!O168/'Base votos'!R168</f>
        <v>0.00121096817117169</v>
      </c>
      <c r="G21" s="11" t="n">
        <f aca="false">'Base votos'!O201/'Base votos'!R201</f>
        <v>0.0195645163859389</v>
      </c>
      <c r="H21" s="11" t="n">
        <f aca="false">'Base votos'!O234/'Base votos'!R234</f>
        <v>0</v>
      </c>
      <c r="I21" s="12" t="n">
        <f aca="false">(C21-B21)*100</f>
        <v>-5.28956134288113</v>
      </c>
      <c r="J21" s="12" t="n">
        <f aca="false">(E21-D21)*100</f>
        <v>-0.867831156222575</v>
      </c>
      <c r="K21" s="12" t="n">
        <f aca="false">(F21-E21)*100</f>
        <v>0.0309446096077881</v>
      </c>
      <c r="L21" s="12" t="n">
        <f aca="false">(F21-D21)*100</f>
        <v>-0.836886546614787</v>
      </c>
      <c r="M21" s="12" t="n">
        <f aca="false">(H21-G21)*100</f>
        <v>-1.95645163859389</v>
      </c>
    </row>
    <row r="22" customFormat="false" ht="15" hidden="false" customHeight="false" outlineLevel="0" collapsed="false">
      <c r="A22" s="8" t="s">
        <v>67</v>
      </c>
      <c r="B22" s="11" t="n">
        <f aca="false">'Base votos'!P36/'Base votos'!R36</f>
        <v>0.000564942939473612</v>
      </c>
      <c r="C22" s="11" t="n">
        <f aca="false">'Base votos'!P69/'Base votos'!R69</f>
        <v>0.001382579150053</v>
      </c>
      <c r="D22" s="11" t="n">
        <f aca="false">'Base votos'!P102/'Base votos'!R102</f>
        <v>0.000585414838410922</v>
      </c>
      <c r="E22" s="11" t="n">
        <f aca="false">'Base votos'!P135/'Base votos'!R135</f>
        <v>0.000853140871903339</v>
      </c>
      <c r="F22" s="11" t="n">
        <f aca="false">'Base votos'!P168/'Base votos'!R168</f>
        <v>0.000829526313888358</v>
      </c>
      <c r="G22" s="11" t="n">
        <f aca="false">'Base votos'!P201/'Base votos'!R201</f>
        <v>0.000561279784231492</v>
      </c>
      <c r="H22" s="11" t="n">
        <f aca="false">'Base votos'!P234/'Base votos'!R234</f>
        <v>0.000784817929473246</v>
      </c>
      <c r="I22" s="12" t="n">
        <f aca="false">(C22-B22)*100</f>
        <v>0.0817636210579393</v>
      </c>
      <c r="J22" s="12" t="n">
        <f aca="false">(E22-D22)*100</f>
        <v>0.0267726033492416</v>
      </c>
      <c r="K22" s="12" t="n">
        <f aca="false">(F22-E22)*100</f>
        <v>-0.00236145580149805</v>
      </c>
      <c r="L22" s="12" t="n">
        <f aca="false">(F22-D22)*100</f>
        <v>0.0244111475477436</v>
      </c>
      <c r="M22" s="12" t="n">
        <f aca="false">(H22-G22)*100</f>
        <v>0.0223538145241755</v>
      </c>
    </row>
    <row r="23" customFormat="false" ht="15" hidden="false" customHeight="false" outlineLevel="0" collapsed="false">
      <c r="A23" s="8" t="s">
        <v>68</v>
      </c>
      <c r="B23" s="11" t="n">
        <f aca="false">('Base votos'!D36+'Base votos'!E36)/'Base votos'!R36</f>
        <v>0.50656768689252</v>
      </c>
      <c r="C23" s="11" t="n">
        <f aca="false">('Base votos'!D69+'Base votos'!E69)/'Base votos'!R69</f>
        <v>0.521122084563527</v>
      </c>
      <c r="D23" s="11" t="n">
        <f aca="false">('Base votos'!D102+'Base votos'!E102)/'Base votos'!R102</f>
        <v>0.41304511505962</v>
      </c>
      <c r="E23" s="11" t="n">
        <f aca="false">('Base votos'!D135+'Base votos'!E135)/'Base votos'!R135</f>
        <v>0.373721906146163</v>
      </c>
      <c r="F23" s="11" t="n">
        <f aca="false">('Base votos'!D168+'Base votos'!E168)/'Base votos'!R168</f>
        <v>0.464090132274209</v>
      </c>
      <c r="G23" s="11" t="n">
        <f aca="false">('Base votos'!D201+'Base votos'!E201)/'Base votos'!R201</f>
        <v>0.414452467601659</v>
      </c>
      <c r="H23" s="11" t="n">
        <f aca="false">('Base votos'!D234+'Base votos'!E234)/'Base votos'!R234</f>
        <v>0.462448298627322</v>
      </c>
      <c r="I23" s="12" t="n">
        <f aca="false">(C23-B23)*100</f>
        <v>1.45543976710072</v>
      </c>
      <c r="J23" s="12" t="n">
        <f aca="false">(E23-D23)*100</f>
        <v>-3.9323208913457</v>
      </c>
      <c r="K23" s="12" t="n">
        <f aca="false">(F23-E23)*100</f>
        <v>9.03682261280462</v>
      </c>
      <c r="L23" s="12" t="n">
        <f aca="false">(F23-D23)*100</f>
        <v>5.10450172145892</v>
      </c>
      <c r="M23" s="12" t="n">
        <f aca="false">(H23-G23)*100</f>
        <v>4.79958310256628</v>
      </c>
    </row>
    <row r="24" customFormat="false" ht="15" hidden="false" customHeight="false" outlineLevel="0" collapsed="false">
      <c r="A24" s="8" t="s">
        <v>69</v>
      </c>
      <c r="B24" s="11" t="n">
        <f aca="false">('Base votos'!H36+'Base votos'!I36+'Base votos'!J36)/'Base votos'!R36</f>
        <v>0.343072119147388</v>
      </c>
      <c r="C24" s="11" t="n">
        <f aca="false">('Base votos'!H69+'Base votos'!I69+'Base votos'!J69)/'Base votos'!R69</f>
        <v>0.274517948743199</v>
      </c>
      <c r="D24" s="11" t="n">
        <f aca="false">('Base votos'!H102+'Base votos'!I102+'Base votos'!J102)/'Base votos'!R102</f>
        <v>0.398786989335944</v>
      </c>
      <c r="E24" s="11" t="n">
        <f aca="false">('Base votos'!H135+'Base votos'!I135+'Base votos'!J135)/'Base votos'!R135</f>
        <v>0.396284107934436</v>
      </c>
      <c r="F24" s="11" t="n">
        <f aca="false">('Base votos'!H168+'Base votos'!I168+'Base votos'!J168)/'Base votos'!R168</f>
        <v>0.30475714481647</v>
      </c>
      <c r="G24" s="11" t="n">
        <f aca="false">('Base votos'!H201+'Base votos'!I201+'Base votos'!J201)/'Base votos'!R201</f>
        <v>0.38894180751035</v>
      </c>
      <c r="H24" s="11" t="n">
        <f aca="false">('Base votos'!H234+'Base votos'!I234+'Base votos'!J234)/'Base votos'!R234</f>
        <v>0.299995603606349</v>
      </c>
      <c r="I24" s="12" t="n">
        <f aca="false">(C24-B24)*100</f>
        <v>-6.85541704041886</v>
      </c>
      <c r="J24" s="12" t="n">
        <f aca="false">(E24-D24)*100</f>
        <v>-0.250288140150778</v>
      </c>
      <c r="K24" s="12" t="n">
        <f aca="false">(F24-E24)*100</f>
        <v>-9.15269631179656</v>
      </c>
      <c r="L24" s="12" t="n">
        <f aca="false">(F24-D24)*100</f>
        <v>-9.40298445194734</v>
      </c>
      <c r="M24" s="12" t="n">
        <f aca="false">(H24-G24)*100</f>
        <v>-8.89462039040011</v>
      </c>
    </row>
    <row r="25" customFormat="false" ht="15" hidden="false" customHeight="false" outlineLevel="0" collapsed="false">
      <c r="A25" s="8" t="s">
        <v>70</v>
      </c>
      <c r="B25" s="11" t="n">
        <f aca="false">'Base votos'!U36/'Base votos'!R36</f>
        <v>0.531936702013903</v>
      </c>
      <c r="C25" s="11" t="n">
        <f aca="false">'Base votos'!U69/'Base votos'!R69</f>
        <v>0.597594760751294</v>
      </c>
      <c r="D25" s="11" t="n">
        <f aca="false">'Base votos'!U102/'Base votos'!R102</f>
        <v>0.43584652479411</v>
      </c>
      <c r="E25" s="11" t="n">
        <f aca="false">'Base votos'!U135/'Base votos'!R135</f>
        <v>0.427775734202052</v>
      </c>
      <c r="F25" s="11" t="n">
        <f aca="false">'Base votos'!U168/'Base votos'!R168</f>
        <v>0.54711544327805</v>
      </c>
      <c r="G25" s="11" t="n">
        <f aca="false">'Base votos'!U201/'Base votos'!R201</f>
        <v>0.4365101810279</v>
      </c>
      <c r="H25" s="11" t="n">
        <f aca="false">'Base votos'!U234/'Base votos'!R234</f>
        <v>0.550925954164913</v>
      </c>
      <c r="I25" s="12" t="n">
        <f aca="false">(C25-B25)*100</f>
        <v>6.56580587373909</v>
      </c>
      <c r="J25" s="12" t="n">
        <f aca="false">(E25-D25)*100</f>
        <v>-0.807079059205773</v>
      </c>
      <c r="K25" s="12" t="n">
        <f aca="false">(F25-E25)*100</f>
        <v>11.9339709075998</v>
      </c>
      <c r="L25" s="12" t="n">
        <f aca="false">(F25-D25)*100</f>
        <v>11.1268918483941</v>
      </c>
      <c r="M25" s="12" t="n">
        <f aca="false">(H25-G25)*100</f>
        <v>11.4415773137013</v>
      </c>
    </row>
    <row r="26" customFormat="false" ht="15" hidden="false" customHeight="false" outlineLevel="0" collapsed="false">
      <c r="A26" s="8" t="s">
        <v>71</v>
      </c>
      <c r="B26" s="11" t="n">
        <f aca="false">'Base votos'!V36/'Base votos'!R36</f>
        <v>0.222750242633825</v>
      </c>
      <c r="C26" s="11" t="n">
        <f aca="false">'Base votos'!V69/'Base votos'!R69</f>
        <v>0.274517948743199</v>
      </c>
      <c r="D26" s="11" t="n">
        <f aca="false">'Base votos'!V102/'Base votos'!R102</f>
        <v>0.276193370874554</v>
      </c>
      <c r="E26" s="11" t="n">
        <f aca="false">'Base votos'!V135/'Base votos'!R135</f>
        <v>0.396284107934436</v>
      </c>
      <c r="F26" s="11" t="n">
        <f aca="false">'Base votos'!V168/'Base votos'!R168</f>
        <v>0.30475714481647</v>
      </c>
      <c r="G26" s="11" t="n">
        <f aca="false">'Base votos'!V201/'Base votos'!R201</f>
        <v>0.275367830967083</v>
      </c>
      <c r="H26" s="11" t="n">
        <f aca="false">'Base votos'!V234/'Base votos'!R234</f>
        <v>0.299995603606349</v>
      </c>
      <c r="I26" s="12" t="n">
        <f aca="false">(C26-B26)*100</f>
        <v>5.17677061093747</v>
      </c>
      <c r="J26" s="12" t="n">
        <f aca="false">(E26-D26)*100</f>
        <v>12.0090737059882</v>
      </c>
      <c r="K26" s="12" t="n">
        <f aca="false">(F26-E26)*100</f>
        <v>-9.15269631179656</v>
      </c>
      <c r="L26" s="12" t="n">
        <f aca="false">(F26-D26)*100</f>
        <v>2.85637739419163</v>
      </c>
      <c r="M26" s="12" t="n">
        <f aca="false">(H26-G26)*100</f>
        <v>2.46277726392666</v>
      </c>
    </row>
    <row r="27" customFormat="false" ht="15" hidden="false" customHeight="false" outlineLevel="0" collapsed="false">
      <c r="A27" s="8" t="s">
        <v>72</v>
      </c>
      <c r="B27" s="11" t="n">
        <f aca="false">'Base votos'!W36/'Base votos'!R36</f>
        <v>0.164099707995052</v>
      </c>
      <c r="C27" s="11" t="n">
        <f aca="false">'Base votos'!W69/'Base votos'!R69</f>
        <v>0.103213690571088</v>
      </c>
      <c r="D27" s="11" t="n">
        <f aca="false">'Base votos'!W102/'Base votos'!R102</f>
        <v>0.237961726881944</v>
      </c>
      <c r="E27" s="11" t="n">
        <f aca="false">'Base votos'!W135/'Base votos'!R135</f>
        <v>0.0701910345439349</v>
      </c>
      <c r="F27" s="11" t="n">
        <f aca="false">'Base votos'!W168/'Base votos'!R168</f>
        <v>0.109261643048987</v>
      </c>
      <c r="G27" s="11" t="n">
        <f aca="false">'Base votos'!W201/'Base votos'!R201</f>
        <v>0.226643577406136</v>
      </c>
      <c r="H27" s="11" t="n">
        <f aca="false">'Base votos'!W234/'Base votos'!R234</f>
        <v>0.108797210359903</v>
      </c>
      <c r="I27" s="12" t="n">
        <f aca="false">(C27-B27)*100</f>
        <v>-6.08860174239643</v>
      </c>
      <c r="J27" s="12" t="n">
        <f aca="false">(E27-D27)*100</f>
        <v>-16.7770692338009</v>
      </c>
      <c r="K27" s="12" t="n">
        <f aca="false">(F27-E27)*100</f>
        <v>3.90706085050519</v>
      </c>
      <c r="L27" s="12" t="n">
        <f aca="false">(F27-D27)*100</f>
        <v>-12.8700083832957</v>
      </c>
      <c r="M27" s="12" t="n">
        <f aca="false">(H27-G27)*100</f>
        <v>-11.7846367046232</v>
      </c>
    </row>
    <row r="28" customFormat="false" ht="23.85" hidden="false" customHeight="false" outlineLevel="0" collapsed="false">
      <c r="A28" s="8" t="s">
        <v>73</v>
      </c>
      <c r="B28" s="13" t="s">
        <v>74</v>
      </c>
      <c r="C28" s="13" t="s">
        <v>74</v>
      </c>
      <c r="D28" s="13" t="s">
        <v>74</v>
      </c>
      <c r="E28" s="13" t="s">
        <v>74</v>
      </c>
      <c r="F28" s="13" t="s">
        <v>74</v>
      </c>
      <c r="G28" s="13" t="s">
        <v>74</v>
      </c>
      <c r="H28" s="13" t="s">
        <v>74</v>
      </c>
      <c r="I28" s="14"/>
      <c r="J28" s="14"/>
      <c r="K28" s="14"/>
      <c r="L28" s="14"/>
      <c r="M28" s="14"/>
    </row>
    <row r="29" customFormat="false" ht="15" hidden="false" customHeight="false" outlineLevel="0" collapsed="false">
      <c r="A29" s="8" t="s">
        <v>75</v>
      </c>
      <c r="B29" s="15" t="n">
        <v>31</v>
      </c>
      <c r="C29" s="15" t="n">
        <v>31</v>
      </c>
      <c r="D29" s="15" t="n">
        <v>25</v>
      </c>
      <c r="E29" s="15" t="n">
        <v>20</v>
      </c>
      <c r="F29" s="15" t="n">
        <v>28</v>
      </c>
      <c r="G29" s="15" t="n">
        <v>25</v>
      </c>
      <c r="H29" s="15" t="n">
        <v>29</v>
      </c>
      <c r="I29" s="14"/>
      <c r="J29" s="14"/>
      <c r="K29" s="14"/>
      <c r="L29" s="14"/>
      <c r="M29" s="14"/>
    </row>
    <row r="30" customFormat="false" ht="15" hidden="false" customHeight="false" outlineLevel="0" collapsed="false">
      <c r="A30" s="8" t="s">
        <v>76</v>
      </c>
      <c r="B30" s="15" t="n">
        <v>1</v>
      </c>
      <c r="C30" s="15" t="n">
        <v>1</v>
      </c>
      <c r="D30" s="15" t="n">
        <v>6</v>
      </c>
      <c r="E30" s="15" t="n">
        <v>11</v>
      </c>
      <c r="F30" s="15" t="n">
        <v>4</v>
      </c>
      <c r="G30" s="15" t="n">
        <v>6</v>
      </c>
      <c r="H30" s="15" t="n">
        <v>3</v>
      </c>
      <c r="I30" s="14"/>
      <c r="J30" s="14"/>
      <c r="K30" s="14"/>
      <c r="L30" s="14"/>
      <c r="M30" s="14"/>
    </row>
    <row r="31" customFormat="false" ht="15" hidden="false" customHeight="false" outlineLevel="0" collapsed="false">
      <c r="A31" s="8" t="s">
        <v>77</v>
      </c>
      <c r="B31" s="15" t="n">
        <v>0</v>
      </c>
      <c r="C31" s="15" t="n">
        <v>0</v>
      </c>
      <c r="D31" s="15" t="n">
        <v>1</v>
      </c>
      <c r="E31" s="15" t="n">
        <v>1</v>
      </c>
      <c r="F31" s="15" t="n">
        <v>0</v>
      </c>
      <c r="G31" s="15" t="n">
        <v>1</v>
      </c>
      <c r="H31" s="15" t="n">
        <v>0</v>
      </c>
      <c r="I31" s="14"/>
      <c r="J31" s="14"/>
      <c r="K31" s="14"/>
      <c r="L31" s="14"/>
      <c r="M31" s="14"/>
    </row>
  </sheetData>
  <mergeCells count="4">
    <mergeCell ref="B4:C4"/>
    <mergeCell ref="D4:F4"/>
    <mergeCell ref="G4:H4"/>
    <mergeCell ref="I4:M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28" min="2" style="0" width="11"/>
  </cols>
  <sheetData>
    <row r="1" customFormat="false" ht="16.15" hidden="false" customHeight="false" outlineLevel="0" collapsed="false">
      <c r="A1" s="5" t="s">
        <v>78</v>
      </c>
    </row>
    <row r="2" customFormat="false" ht="15" hidden="false" customHeight="false" outlineLevel="0" collapsed="false">
      <c r="A2" s="2" t="s">
        <v>79</v>
      </c>
    </row>
    <row r="3" customFormat="false" ht="15" hidden="false" customHeight="true" outlineLevel="0" collapsed="false">
      <c r="A3" s="6"/>
      <c r="B3" s="6" t="s">
        <v>55</v>
      </c>
      <c r="C3" s="6"/>
      <c r="D3" s="6"/>
      <c r="E3" s="6" t="s">
        <v>56</v>
      </c>
      <c r="F3" s="6"/>
      <c r="G3" s="6"/>
      <c r="H3" s="6" t="s">
        <v>57</v>
      </c>
      <c r="I3" s="6"/>
      <c r="J3" s="6"/>
      <c r="K3" s="6" t="s">
        <v>59</v>
      </c>
      <c r="L3" s="6"/>
      <c r="M3" s="6"/>
      <c r="N3" s="6" t="s">
        <v>60</v>
      </c>
      <c r="O3" s="6"/>
      <c r="P3" s="6"/>
      <c r="Q3" s="6" t="s">
        <v>61</v>
      </c>
      <c r="R3" s="6"/>
      <c r="S3" s="6"/>
      <c r="T3" s="6" t="s">
        <v>62</v>
      </c>
      <c r="U3" s="6"/>
      <c r="V3" s="6"/>
      <c r="W3" s="6" t="s">
        <v>68</v>
      </c>
      <c r="X3" s="6"/>
      <c r="Y3" s="6"/>
      <c r="Z3" s="6" t="s">
        <v>69</v>
      </c>
      <c r="AA3" s="6"/>
      <c r="AB3" s="6"/>
    </row>
    <row r="4" customFormat="false" ht="48" hidden="false" customHeight="true" outlineLevel="0" collapsed="false">
      <c r="A4" s="6" t="s">
        <v>80</v>
      </c>
      <c r="B4" s="6" t="s">
        <v>43</v>
      </c>
      <c r="C4" s="6" t="s">
        <v>44</v>
      </c>
      <c r="D4" s="7" t="s">
        <v>81</v>
      </c>
      <c r="E4" s="6" t="s">
        <v>43</v>
      </c>
      <c r="F4" s="6" t="s">
        <v>44</v>
      </c>
      <c r="G4" s="7" t="s">
        <v>81</v>
      </c>
      <c r="H4" s="6" t="s">
        <v>43</v>
      </c>
      <c r="I4" s="6" t="s">
        <v>44</v>
      </c>
      <c r="J4" s="7" t="s">
        <v>81</v>
      </c>
      <c r="K4" s="6" t="s">
        <v>43</v>
      </c>
      <c r="L4" s="6" t="s">
        <v>44</v>
      </c>
      <c r="M4" s="7" t="s">
        <v>81</v>
      </c>
      <c r="N4" s="6" t="s">
        <v>43</v>
      </c>
      <c r="O4" s="6" t="s">
        <v>44</v>
      </c>
      <c r="P4" s="7" t="s">
        <v>81</v>
      </c>
      <c r="Q4" s="6" t="s">
        <v>43</v>
      </c>
      <c r="R4" s="6" t="s">
        <v>44</v>
      </c>
      <c r="S4" s="7" t="s">
        <v>81</v>
      </c>
      <c r="T4" s="6" t="s">
        <v>43</v>
      </c>
      <c r="U4" s="6" t="s">
        <v>44</v>
      </c>
      <c r="V4" s="7" t="s">
        <v>81</v>
      </c>
      <c r="W4" s="6" t="s">
        <v>43</v>
      </c>
      <c r="X4" s="6" t="s">
        <v>44</v>
      </c>
      <c r="Y4" s="7" t="s">
        <v>81</v>
      </c>
      <c r="Z4" s="6" t="s">
        <v>43</v>
      </c>
      <c r="AA4" s="6" t="s">
        <v>44</v>
      </c>
      <c r="AB4" s="7" t="s">
        <v>81</v>
      </c>
    </row>
    <row r="5" customFormat="false" ht="15" hidden="false" customHeight="false" outlineLevel="0" collapsed="false">
      <c r="A5" s="14" t="s">
        <v>82</v>
      </c>
      <c r="B5" s="11" t="n">
        <f aca="false">('Base votos'!D4)/'Base votos'!R4</f>
        <v>0.327754470634782</v>
      </c>
      <c r="C5" s="11" t="n">
        <f aca="false">('Base votos'!D37)/'Base votos'!R37</f>
        <v>0.355289819615095</v>
      </c>
      <c r="D5" s="12" t="n">
        <f aca="false">(C5-B5)*100</f>
        <v>2.75353489803128</v>
      </c>
      <c r="E5" s="11" t="n">
        <f aca="false">('Base votos'!E4)/'Base votos'!R4</f>
        <v>0.0472014200525391</v>
      </c>
      <c r="F5" s="11" t="n">
        <f aca="false">('Base votos'!E37)/'Base votos'!R37</f>
        <v>0.0365452793429415</v>
      </c>
      <c r="G5" s="12" t="n">
        <f aca="false">(F5-E5)*100</f>
        <v>-1.06561407095976</v>
      </c>
      <c r="H5" s="11" t="n">
        <f aca="false">('Base votos'!F4)/'Base votos'!R4</f>
        <v>0.0117072353530349</v>
      </c>
      <c r="I5" s="11" t="n">
        <f aca="false">('Base votos'!F37)/'Base votos'!R37</f>
        <v>0.0354961110227215</v>
      </c>
      <c r="J5" s="12" t="n">
        <f aca="false">(I5-H5)*100</f>
        <v>2.37888756696866</v>
      </c>
      <c r="K5" s="11" t="n">
        <f aca="false">('Base votos'!H4)/'Base votos'!R4</f>
        <v>0.295061895613307</v>
      </c>
      <c r="L5" s="11" t="n">
        <f aca="false">('Base votos'!H37)/'Base votos'!R37</f>
        <v>0.369163156930965</v>
      </c>
      <c r="M5" s="12" t="n">
        <f aca="false">(L5-K5)*100</f>
        <v>7.41012613176584</v>
      </c>
      <c r="N5" s="11" t="n">
        <f aca="false">('Base votos'!I4)/'Base votos'!R4</f>
        <v>0.161669987488995</v>
      </c>
      <c r="O5" s="11" t="n">
        <f aca="false">('Base votos'!I37)/'Base votos'!R37</f>
        <v>0.0680848700622296</v>
      </c>
      <c r="P5" s="12" t="n">
        <f aca="false">(O5-N5)*100</f>
        <v>-9.35851174267653</v>
      </c>
      <c r="Q5" s="11" t="n">
        <f aca="false">('Base votos'!J4)/'Base votos'!R4</f>
        <v>0.014827857837913</v>
      </c>
      <c r="R5" s="11" t="n">
        <f aca="false">('Base votos'!J37)/'Base votos'!R37</f>
        <v>0.0224377928740608</v>
      </c>
      <c r="S5" s="12" t="n">
        <f aca="false">(R5-Q5)*100</f>
        <v>0.76099350361478</v>
      </c>
      <c r="T5" s="11" t="n">
        <f aca="false">('Base votos'!K4)/'Base votos'!R4</f>
        <v>0.00910166706469009</v>
      </c>
      <c r="U5" s="11" t="n">
        <f aca="false">('Base votos'!K37)/'Base votos'!R37</f>
        <v>0.0893038865757488</v>
      </c>
      <c r="V5" s="12" t="n">
        <f aca="false">(U5-T5)*100</f>
        <v>8.02022195110587</v>
      </c>
      <c r="W5" s="11" t="n">
        <f aca="false">('Base votos'!D4+'Base votos'!E4)/'Base votos'!R4</f>
        <v>0.374955890687321</v>
      </c>
      <c r="X5" s="11" t="n">
        <f aca="false">('Base votos'!D37+'Base votos'!E37)/'Base votos'!R37</f>
        <v>0.391835098958036</v>
      </c>
      <c r="Y5" s="12" t="n">
        <f aca="false">(X5-W5)*100</f>
        <v>1.68792082707152</v>
      </c>
      <c r="Z5" s="11" t="n">
        <f aca="false">('Base votos'!H4+'Base votos'!I4+'Base votos'!J4)/'Base votos'!R4</f>
        <v>0.471559740940215</v>
      </c>
      <c r="AA5" s="11" t="n">
        <f aca="false">('Base votos'!H37+'Base votos'!I37+'Base votos'!J37)/'Base votos'!R37</f>
        <v>0.459685819867255</v>
      </c>
      <c r="AB5" s="12" t="n">
        <f aca="false">(AA5-Z5)*100</f>
        <v>-1.18739210729591</v>
      </c>
    </row>
    <row r="6" customFormat="false" ht="15" hidden="false" customHeight="false" outlineLevel="0" collapsed="false">
      <c r="A6" s="14" t="s">
        <v>83</v>
      </c>
      <c r="B6" s="11" t="n">
        <f aca="false">('Base votos'!D5)/'Base votos'!R5</f>
        <v>0.550323201397087</v>
      </c>
      <c r="C6" s="11" t="n">
        <f aca="false">('Base votos'!D38)/'Base votos'!R38</f>
        <v>0.545233613594021</v>
      </c>
      <c r="D6" s="12" t="n">
        <f aca="false">(C6-B6)*100</f>
        <v>-0.508958780306534</v>
      </c>
      <c r="E6" s="11" t="n">
        <f aca="false">('Base votos'!E5)/'Base votos'!R5</f>
        <v>0.0601068393002888</v>
      </c>
      <c r="F6" s="11" t="n">
        <f aca="false">('Base votos'!E38)/'Base votos'!R38</f>
        <v>0.0610747833955957</v>
      </c>
      <c r="G6" s="12" t="n">
        <f aca="false">(F6-E6)*100</f>
        <v>0.0967944095306893</v>
      </c>
      <c r="H6" s="11" t="n">
        <f aca="false">('Base votos'!F5)/'Base votos'!R5</f>
        <v>0.00689297021319196</v>
      </c>
      <c r="I6" s="11" t="n">
        <f aca="false">('Base votos'!F38)/'Base votos'!R38</f>
        <v>0.0601986883569084</v>
      </c>
      <c r="J6" s="12" t="n">
        <f aca="false">(I6-H6)*100</f>
        <v>5.33057181437165</v>
      </c>
      <c r="K6" s="11" t="n">
        <f aca="false">('Base votos'!H5)/'Base votos'!R5</f>
        <v>0.171705521745357</v>
      </c>
      <c r="L6" s="11" t="n">
        <f aca="false">('Base votos'!H38)/'Base votos'!R38</f>
        <v>0.153057712680562</v>
      </c>
      <c r="M6" s="12" t="n">
        <f aca="false">(L6-K6)*100</f>
        <v>-1.86478090647946</v>
      </c>
      <c r="N6" s="11" t="n">
        <f aca="false">('Base votos'!I5)/'Base votos'!R5</f>
        <v>0.0743968042757967</v>
      </c>
      <c r="O6" s="11" t="n">
        <f aca="false">('Base votos'!I38)/'Base votos'!R38</f>
        <v>0.0479577115910514</v>
      </c>
      <c r="P6" s="12" t="n">
        <f aca="false">(O6-N6)*100</f>
        <v>-2.64390926847453</v>
      </c>
      <c r="Q6" s="11" t="n">
        <f aca="false">('Base votos'!J5)/'Base votos'!R5</f>
        <v>0.010282100802129</v>
      </c>
      <c r="R6" s="11" t="n">
        <f aca="false">('Base votos'!J38)/'Base votos'!R38</f>
        <v>0.0108989555434641</v>
      </c>
      <c r="S6" s="12" t="n">
        <f aca="false">(R6-Q6)*100</f>
        <v>0.061685474133512</v>
      </c>
      <c r="T6" s="11" t="n">
        <f aca="false">('Base votos'!K5)/'Base votos'!R5</f>
        <v>0.00954379173844672</v>
      </c>
      <c r="U6" s="11" t="n">
        <f aca="false">('Base votos'!K38)/'Base votos'!R38</f>
        <v>0.0995056824408636</v>
      </c>
      <c r="V6" s="12" t="n">
        <f aca="false">(U6-T6)*100</f>
        <v>8.99618907024169</v>
      </c>
      <c r="W6" s="11" t="n">
        <f aca="false">('Base votos'!D5+'Base votos'!E5)/'Base votos'!R5</f>
        <v>0.610430040697375</v>
      </c>
      <c r="X6" s="11" t="n">
        <f aca="false">('Base votos'!D38+'Base votos'!E38)/'Base votos'!R38</f>
        <v>0.606308396989617</v>
      </c>
      <c r="Y6" s="12" t="n">
        <f aca="false">(X6-W6)*100</f>
        <v>-0.412164370775836</v>
      </c>
      <c r="Z6" s="11" t="n">
        <f aca="false">('Base votos'!H5+'Base votos'!I5+'Base votos'!J5)/'Base votos'!R5</f>
        <v>0.256384426823283</v>
      </c>
      <c r="AA6" s="11" t="n">
        <f aca="false">('Base votos'!H38+'Base votos'!I38+'Base votos'!J38)/'Base votos'!R38</f>
        <v>0.211914379815078</v>
      </c>
      <c r="AB6" s="12" t="n">
        <f aca="false">(AA6-Z6)*100</f>
        <v>-4.44700470082048</v>
      </c>
    </row>
    <row r="7" customFormat="false" ht="15" hidden="false" customHeight="false" outlineLevel="0" collapsed="false">
      <c r="A7" s="14" t="s">
        <v>84</v>
      </c>
      <c r="B7" s="11" t="n">
        <f aca="false">('Base votos'!D6)/'Base votos'!R6</f>
        <v>0.518551411742955</v>
      </c>
      <c r="C7" s="11" t="n">
        <f aca="false">('Base votos'!D39)/'Base votos'!R39</f>
        <v>0.443680918818309</v>
      </c>
      <c r="D7" s="12" t="n">
        <f aca="false">(C7-B7)*100</f>
        <v>-7.48704929246452</v>
      </c>
      <c r="E7" s="11" t="n">
        <f aca="false">('Base votos'!E6)/'Base votos'!R6</f>
        <v>0.0908157470748263</v>
      </c>
      <c r="F7" s="11" t="n">
        <f aca="false">('Base votos'!E39)/'Base votos'!R39</f>
        <v>0.0876064794803713</v>
      </c>
      <c r="G7" s="12" t="n">
        <f aca="false">(F7-E7)*100</f>
        <v>-0.320926759445503</v>
      </c>
      <c r="H7" s="11" t="n">
        <f aca="false">('Base votos'!F6)/'Base votos'!R6</f>
        <v>0.00996738068196825</v>
      </c>
      <c r="I7" s="11" t="n">
        <f aca="false">('Base votos'!F39)/'Base votos'!R39</f>
        <v>0.0601048549056276</v>
      </c>
      <c r="J7" s="12" t="n">
        <f aca="false">(I7-H7)*100</f>
        <v>5.01374742236594</v>
      </c>
      <c r="K7" s="11" t="n">
        <f aca="false">('Base votos'!H6)/'Base votos'!R6</f>
        <v>0.175992446052666</v>
      </c>
      <c r="L7" s="11" t="n">
        <f aca="false">('Base votos'!H39)/'Base votos'!R39</f>
        <v>0.240960454469271</v>
      </c>
      <c r="M7" s="12" t="n">
        <f aca="false">(L7-K7)*100</f>
        <v>6.49680084166049</v>
      </c>
      <c r="N7" s="11" t="n">
        <f aca="false">('Base votos'!I6)/'Base votos'!R6</f>
        <v>0.0745688175167058</v>
      </c>
      <c r="O7" s="11" t="n">
        <f aca="false">('Base votos'!I39)/'Base votos'!R39</f>
        <v>0.0430946017072002</v>
      </c>
      <c r="P7" s="12" t="n">
        <f aca="false">(O7-N7)*100</f>
        <v>-3.14742158095057</v>
      </c>
      <c r="Q7" s="11" t="n">
        <f aca="false">('Base votos'!J6)/'Base votos'!R6</f>
        <v>0.00580412561738993</v>
      </c>
      <c r="R7" s="11" t="n">
        <f aca="false">('Base votos'!J39)/'Base votos'!R39</f>
        <v>0.0133259235082581</v>
      </c>
      <c r="S7" s="12" t="n">
        <f aca="false">(R7-Q7)*100</f>
        <v>0.752179789086821</v>
      </c>
      <c r="T7" s="11" t="n">
        <f aca="false">('Base votos'!K6)/'Base votos'!R6</f>
        <v>0.00571168220596392</v>
      </c>
      <c r="U7" s="11" t="n">
        <f aca="false">('Base votos'!K39)/'Base votos'!R39</f>
        <v>0.0876976320904234</v>
      </c>
      <c r="V7" s="12" t="n">
        <f aca="false">(U7-T7)*100</f>
        <v>8.19859498844595</v>
      </c>
      <c r="W7" s="11" t="n">
        <f aca="false">('Base votos'!D6+'Base votos'!E6)/'Base votos'!R6</f>
        <v>0.609367158817781</v>
      </c>
      <c r="X7" s="11" t="n">
        <f aca="false">('Base votos'!D39+'Base votos'!E39)/'Base votos'!R39</f>
        <v>0.531287398298681</v>
      </c>
      <c r="Y7" s="12" t="n">
        <f aca="false">(X7-W7)*100</f>
        <v>-7.80797605191002</v>
      </c>
      <c r="Z7" s="11" t="n">
        <f aca="false">('Base votos'!H6+'Base votos'!I6+'Base votos'!J6)/'Base votos'!R6</f>
        <v>0.256365389186762</v>
      </c>
      <c r="AA7" s="11" t="n">
        <f aca="false">('Base votos'!H39+'Base votos'!I39+'Base votos'!J39)/'Base votos'!R39</f>
        <v>0.29738097968473</v>
      </c>
      <c r="AB7" s="12" t="n">
        <f aca="false">(AA7-Z7)*100</f>
        <v>4.10155904979675</v>
      </c>
    </row>
    <row r="8" customFormat="false" ht="15" hidden="false" customHeight="false" outlineLevel="0" collapsed="false">
      <c r="A8" s="14" t="s">
        <v>85</v>
      </c>
      <c r="B8" s="11" t="n">
        <f aca="false">('Base votos'!D7)/'Base votos'!R7</f>
        <v>0.506736781693572</v>
      </c>
      <c r="C8" s="11" t="n">
        <f aca="false">('Base votos'!D40)/'Base votos'!R40</f>
        <v>0.50204277924848</v>
      </c>
      <c r="D8" s="12" t="n">
        <f aca="false">(C8-B8)*100</f>
        <v>-0.469400244509166</v>
      </c>
      <c r="E8" s="11" t="n">
        <f aca="false">('Base votos'!E7)/'Base votos'!R7</f>
        <v>0.0761744600675791</v>
      </c>
      <c r="F8" s="11" t="n">
        <f aca="false">('Base votos'!E40)/'Base votos'!R40</f>
        <v>0.0618711635269836</v>
      </c>
      <c r="G8" s="12" t="n">
        <f aca="false">(F8-E8)*100</f>
        <v>-1.43032965405955</v>
      </c>
      <c r="H8" s="11" t="n">
        <f aca="false">('Base votos'!F7)/'Base votos'!R7</f>
        <v>0.0115115883322545</v>
      </c>
      <c r="I8" s="11" t="n">
        <f aca="false">('Base votos'!F40)/'Base votos'!R40</f>
        <v>0.049064551824252</v>
      </c>
      <c r="J8" s="12" t="n">
        <f aca="false">(I8-H8)*100</f>
        <v>3.75529634919975</v>
      </c>
      <c r="K8" s="11" t="n">
        <f aca="false">('Base votos'!H7)/'Base votos'!R7</f>
        <v>0.100992777173466</v>
      </c>
      <c r="L8" s="11" t="n">
        <f aca="false">('Base votos'!H40)/'Base votos'!R40</f>
        <v>0.0565410125505685</v>
      </c>
      <c r="M8" s="12" t="n">
        <f aca="false">(L8-K8)*100</f>
        <v>-4.44517646228972</v>
      </c>
      <c r="N8" s="11" t="n">
        <f aca="false">('Base votos'!I7)/'Base votos'!R7</f>
        <v>0.192315820147838</v>
      </c>
      <c r="O8" s="11" t="n">
        <f aca="false">('Base votos'!I40)/'Base votos'!R40</f>
        <v>0.0918081769057962</v>
      </c>
      <c r="P8" s="12" t="n">
        <f aca="false">(O8-N8)*100</f>
        <v>-10.0507643242042</v>
      </c>
      <c r="Q8" s="11" t="n">
        <f aca="false">('Base votos'!J7)/'Base votos'!R7</f>
        <v>0.0117028920224137</v>
      </c>
      <c r="R8" s="11" t="n">
        <f aca="false">('Base votos'!J40)/'Base votos'!R40</f>
        <v>0.00649236434721236</v>
      </c>
      <c r="S8" s="12" t="n">
        <f aca="false">(R8-Q8)*100</f>
        <v>-0.521052767520132</v>
      </c>
      <c r="T8" s="11" t="n">
        <f aca="false">('Base votos'!K7)/'Base votos'!R7</f>
        <v>0.00835285298311411</v>
      </c>
      <c r="U8" s="11" t="n">
        <f aca="false">('Base votos'!K40)/'Base votos'!R40</f>
        <v>0.209910874710282</v>
      </c>
      <c r="V8" s="12" t="n">
        <f aca="false">(U8-T8)*100</f>
        <v>20.1558021727167</v>
      </c>
      <c r="W8" s="11" t="n">
        <f aca="false">('Base votos'!D7+'Base votos'!E7)/'Base votos'!R7</f>
        <v>0.582911241761151</v>
      </c>
      <c r="X8" s="11" t="n">
        <f aca="false">('Base votos'!D40+'Base votos'!E40)/'Base votos'!R40</f>
        <v>0.563913942775464</v>
      </c>
      <c r="Y8" s="12" t="n">
        <f aca="false">(X8-W8)*100</f>
        <v>-1.89972989856873</v>
      </c>
      <c r="Z8" s="11" t="n">
        <f aca="false">('Base votos'!H7+'Base votos'!I7+'Base votos'!J7)/'Base votos'!R7</f>
        <v>0.305011489343717</v>
      </c>
      <c r="AA8" s="11" t="n">
        <f aca="false">('Base votos'!H40+'Base votos'!I40+'Base votos'!J40)/'Base votos'!R40</f>
        <v>0.154841553803577</v>
      </c>
      <c r="AB8" s="12" t="n">
        <f aca="false">(AA8-Z8)*100</f>
        <v>-15.016993554014</v>
      </c>
    </row>
    <row r="9" customFormat="false" ht="15" hidden="false" customHeight="false" outlineLevel="0" collapsed="false">
      <c r="A9" s="14" t="s">
        <v>86</v>
      </c>
      <c r="B9" s="11" t="n">
        <f aca="false">('Base votos'!D8)/'Base votos'!R8</f>
        <v>0.376431678884049</v>
      </c>
      <c r="C9" s="11" t="n">
        <f aca="false">('Base votos'!D41)/'Base votos'!R41</f>
        <v>0.437663536871762</v>
      </c>
      <c r="D9" s="12" t="n">
        <f aca="false">(C9-B9)*100</f>
        <v>6.12318579877133</v>
      </c>
      <c r="E9" s="11" t="n">
        <f aca="false">('Base votos'!E8)/'Base votos'!R8</f>
        <v>0.0494745651020253</v>
      </c>
      <c r="F9" s="11" t="n">
        <f aca="false">('Base votos'!E41)/'Base votos'!R41</f>
        <v>0.0500488132187833</v>
      </c>
      <c r="G9" s="12" t="n">
        <f aca="false">(F9-E9)*100</f>
        <v>0.0574248116757957</v>
      </c>
      <c r="H9" s="11" t="n">
        <f aca="false">('Base votos'!F8)/'Base votos'!R8</f>
        <v>0.00913023320911842</v>
      </c>
      <c r="I9" s="11" t="n">
        <f aca="false">('Base votos'!F41)/'Base votos'!R41</f>
        <v>0.0494766505382672</v>
      </c>
      <c r="J9" s="12" t="n">
        <f aca="false">(I9-H9)*100</f>
        <v>4.03464173291488</v>
      </c>
      <c r="K9" s="11" t="n">
        <f aca="false">('Base votos'!H8)/'Base votos'!R8</f>
        <v>0.207177930567948</v>
      </c>
      <c r="L9" s="11" t="n">
        <f aca="false">('Base votos'!H41)/'Base votos'!R41</f>
        <v>0.0631657528219454</v>
      </c>
      <c r="M9" s="12" t="n">
        <f aca="false">(L9-K9)*100</f>
        <v>-14.4012177746003</v>
      </c>
      <c r="N9" s="11" t="n">
        <f aca="false">('Base votos'!I8)/'Base votos'!R8</f>
        <v>0.24566414154668</v>
      </c>
      <c r="O9" s="11" t="n">
        <f aca="false">('Base votos'!I41)/'Base votos'!R41</f>
        <v>0.310299117081857</v>
      </c>
      <c r="P9" s="12" t="n">
        <f aca="false">(O9-N9)*100</f>
        <v>6.46349755351773</v>
      </c>
      <c r="Q9" s="11" t="n">
        <f aca="false">('Base votos'!J8)/'Base votos'!R8</f>
        <v>0.00854341981723496</v>
      </c>
      <c r="R9" s="11" t="n">
        <f aca="false">('Base votos'!J41)/'Base votos'!R41</f>
        <v>0.0150317018409287</v>
      </c>
      <c r="S9" s="12" t="n">
        <f aca="false">(R9-Q9)*100</f>
        <v>0.648828202369374</v>
      </c>
      <c r="T9" s="11" t="n">
        <f aca="false">('Base votos'!K8)/'Base votos'!R8</f>
        <v>0.00849968217311943</v>
      </c>
      <c r="U9" s="11" t="n">
        <f aca="false">('Base votos'!K41)/'Base votos'!R41</f>
        <v>0.0540419925864334</v>
      </c>
      <c r="V9" s="12" t="n">
        <f aca="false">(U9-T9)*100</f>
        <v>4.5542310413314</v>
      </c>
      <c r="W9" s="11" t="n">
        <f aca="false">('Base votos'!D8+'Base votos'!E8)/'Base votos'!R8</f>
        <v>0.425906243986074</v>
      </c>
      <c r="X9" s="11" t="n">
        <f aca="false">('Base votos'!D41+'Base votos'!E41)/'Base votos'!R41</f>
        <v>0.487712350090545</v>
      </c>
      <c r="Y9" s="12" t="n">
        <f aca="false">(X9-W9)*100</f>
        <v>6.18061061044713</v>
      </c>
      <c r="Z9" s="11" t="n">
        <f aca="false">('Base votos'!H8+'Base votos'!I8+'Base votos'!J8)/'Base votos'!R8</f>
        <v>0.461385491931863</v>
      </c>
      <c r="AA9" s="11" t="n">
        <f aca="false">('Base votos'!H41+'Base votos'!I41+'Base votos'!J41)/'Base votos'!R41</f>
        <v>0.388496571744731</v>
      </c>
      <c r="AB9" s="12" t="n">
        <f aca="false">(AA9-Z9)*100</f>
        <v>-7.28889201871314</v>
      </c>
    </row>
    <row r="10" customFormat="false" ht="15" hidden="false" customHeight="false" outlineLevel="0" collapsed="false">
      <c r="A10" s="14" t="s">
        <v>87</v>
      </c>
      <c r="B10" s="11" t="n">
        <f aca="false">('Base votos'!D9)/'Base votos'!R9</f>
        <v>0.482948265803599</v>
      </c>
      <c r="C10" s="11" t="n">
        <f aca="false">('Base votos'!D42)/'Base votos'!R42</f>
        <v>0.429883428306962</v>
      </c>
      <c r="D10" s="12" t="n">
        <f aca="false">(C10-B10)*100</f>
        <v>-5.3064837496637</v>
      </c>
      <c r="E10" s="11" t="n">
        <f aca="false">('Base votos'!E9)/'Base votos'!R9</f>
        <v>0.0702092293079338</v>
      </c>
      <c r="F10" s="11" t="n">
        <f aca="false">('Base votos'!E42)/'Base votos'!R42</f>
        <v>0.0471927337942206</v>
      </c>
      <c r="G10" s="12" t="n">
        <f aca="false">(F10-E10)*100</f>
        <v>-2.30164955137132</v>
      </c>
      <c r="H10" s="11" t="n">
        <f aca="false">('Base votos'!F9)/'Base votos'!R9</f>
        <v>0.0223447636972346</v>
      </c>
      <c r="I10" s="11" t="n">
        <f aca="false">('Base votos'!F42)/'Base votos'!R42</f>
        <v>0.0670012438170721</v>
      </c>
      <c r="J10" s="12" t="n">
        <f aca="false">(I10-H10)*100</f>
        <v>4.46564801198375</v>
      </c>
      <c r="K10" s="11" t="n">
        <f aca="false">('Base votos'!H9)/'Base votos'!R9</f>
        <v>0.142584921535345</v>
      </c>
      <c r="L10" s="11" t="n">
        <f aca="false">('Base votos'!H42)/'Base votos'!R42</f>
        <v>0.14773654218854</v>
      </c>
      <c r="M10" s="12" t="n">
        <f aca="false">(L10-K10)*100</f>
        <v>0.515162065319452</v>
      </c>
      <c r="N10" s="11" t="n">
        <f aca="false">('Base votos'!I9)/'Base votos'!R9</f>
        <v>0.150485621897986</v>
      </c>
      <c r="O10" s="11" t="n">
        <f aca="false">('Base votos'!I42)/'Base votos'!R42</f>
        <v>0.136764918573371</v>
      </c>
      <c r="P10" s="12" t="n">
        <f aca="false">(O10-N10)*100</f>
        <v>-1.37207033246149</v>
      </c>
      <c r="Q10" s="11" t="n">
        <f aca="false">('Base votos'!J9)/'Base votos'!R9</f>
        <v>0.00857497163663228</v>
      </c>
      <c r="R10" s="11" t="n">
        <f aca="false">('Base votos'!J42)/'Base votos'!R42</f>
        <v>0.0151138237250875</v>
      </c>
      <c r="S10" s="12" t="n">
        <f aca="false">(R10-Q10)*100</f>
        <v>0.653885208845522</v>
      </c>
      <c r="T10" s="11" t="n">
        <f aca="false">('Base votos'!K9)/'Base votos'!R9</f>
        <v>0.0142652348662744</v>
      </c>
      <c r="U10" s="11" t="n">
        <f aca="false">('Base votos'!K42)/'Base votos'!R42</f>
        <v>0.133325619739088</v>
      </c>
      <c r="V10" s="12" t="n">
        <f aca="false">(U10-T10)*100</f>
        <v>11.9060384872813</v>
      </c>
      <c r="W10" s="11" t="n">
        <f aca="false">('Base votos'!D9+'Base votos'!E9)/'Base votos'!R9</f>
        <v>0.553157495111533</v>
      </c>
      <c r="X10" s="11" t="n">
        <f aca="false">('Base votos'!D42+'Base votos'!E42)/'Base votos'!R42</f>
        <v>0.477076162101183</v>
      </c>
      <c r="Y10" s="12" t="n">
        <f aca="false">(X10-W10)*100</f>
        <v>-7.60813330103501</v>
      </c>
      <c r="Z10" s="11" t="n">
        <f aca="false">('Base votos'!H9+'Base votos'!I9+'Base votos'!J9)/'Base votos'!R9</f>
        <v>0.301645515069963</v>
      </c>
      <c r="AA10" s="11" t="n">
        <f aca="false">('Base votos'!H42+'Base votos'!I42+'Base votos'!J42)/'Base votos'!R42</f>
        <v>0.299615284486998</v>
      </c>
      <c r="AB10" s="12" t="n">
        <f aca="false">(AA10-Z10)*100</f>
        <v>-0.20302305829652</v>
      </c>
    </row>
    <row r="11" customFormat="false" ht="15" hidden="false" customHeight="false" outlineLevel="0" collapsed="false">
      <c r="A11" s="14" t="s">
        <v>88</v>
      </c>
      <c r="B11" s="11" t="n">
        <f aca="false">('Base votos'!D10)/'Base votos'!R10</f>
        <v>0.497502937356997</v>
      </c>
      <c r="C11" s="11" t="n">
        <f aca="false">('Base votos'!D43)/'Base votos'!R43</f>
        <v>0.422802975222386</v>
      </c>
      <c r="D11" s="12" t="n">
        <f aca="false">(C11-B11)*100</f>
        <v>-7.46999621346116</v>
      </c>
      <c r="E11" s="11" t="n">
        <f aca="false">('Base votos'!E10)/'Base votos'!R10</f>
        <v>0.0786989054480242</v>
      </c>
      <c r="F11" s="11" t="n">
        <f aca="false">('Base votos'!E43)/'Base votos'!R43</f>
        <v>0.10936983159439</v>
      </c>
      <c r="G11" s="12" t="n">
        <f aca="false">(F11-E11)*100</f>
        <v>3.0670926146366</v>
      </c>
      <c r="H11" s="11" t="n">
        <f aca="false">('Base votos'!F10)/'Base votos'!R10</f>
        <v>0.102719271123204</v>
      </c>
      <c r="I11" s="11" t="n">
        <f aca="false">('Base votos'!F43)/'Base votos'!R43</f>
        <v>0.183344399702704</v>
      </c>
      <c r="J11" s="12" t="n">
        <f aca="false">(I11-H11)*100</f>
        <v>8.06251285795001</v>
      </c>
      <c r="K11" s="11" t="n">
        <f aca="false">('Base votos'!H10)/'Base votos'!R10</f>
        <v>0.0431785294663286</v>
      </c>
      <c r="L11" s="11" t="n">
        <f aca="false">('Base votos'!H43)/'Base votos'!R43</f>
        <v>0.0595465026094256</v>
      </c>
      <c r="M11" s="12" t="n">
        <f aca="false">(L11-K11)*100</f>
        <v>1.6367973143097</v>
      </c>
      <c r="N11" s="11" t="n">
        <f aca="false">('Base votos'!I10)/'Base votos'!R10</f>
        <v>0.112824603714468</v>
      </c>
      <c r="O11" s="11" t="n">
        <f aca="false">('Base votos'!I43)/'Base votos'!R43</f>
        <v>0.0925705167657518</v>
      </c>
      <c r="P11" s="12" t="n">
        <f aca="false">(O11-N11)*100</f>
        <v>-2.02540869487165</v>
      </c>
      <c r="Q11" s="11" t="n">
        <f aca="false">('Base votos'!J10)/'Base votos'!R10</f>
        <v>0.0232935501824253</v>
      </c>
      <c r="R11" s="11" t="n">
        <f aca="false">('Base votos'!J43)/'Base votos'!R43</f>
        <v>0.0148271826694994</v>
      </c>
      <c r="S11" s="12" t="n">
        <f aca="false">(R11-Q11)*100</f>
        <v>-0.846636751292589</v>
      </c>
      <c r="T11" s="11" t="n">
        <f aca="false">('Base votos'!K10)/'Base votos'!R10</f>
        <v>0.0152037598169563</v>
      </c>
      <c r="U11" s="11" t="n">
        <f aca="false">('Base votos'!K43)/'Base votos'!R43</f>
        <v>0.0740412898237657</v>
      </c>
      <c r="V11" s="12" t="n">
        <f aca="false">(U11-T11)*100</f>
        <v>5.88375300068094</v>
      </c>
      <c r="W11" s="11" t="n">
        <f aca="false">('Base votos'!D10+'Base votos'!E10)/'Base votos'!R10</f>
        <v>0.576201842805021</v>
      </c>
      <c r="X11" s="11" t="n">
        <f aca="false">('Base votos'!D43+'Base votos'!E43)/'Base votos'!R43</f>
        <v>0.532172806816776</v>
      </c>
      <c r="Y11" s="12" t="n">
        <f aca="false">(X11-W11)*100</f>
        <v>-4.40290359882456</v>
      </c>
      <c r="Z11" s="11" t="n">
        <f aca="false">('Base votos'!H10+'Base votos'!I10+'Base votos'!J10)/'Base votos'!R10</f>
        <v>0.179296683363222</v>
      </c>
      <c r="AA11" s="11" t="n">
        <f aca="false">('Base votos'!H43+'Base votos'!I43+'Base votos'!J43)/'Base votos'!R43</f>
        <v>0.166944202044677</v>
      </c>
      <c r="AB11" s="12" t="n">
        <f aca="false">(AA11-Z11)*100</f>
        <v>-1.23524813185454</v>
      </c>
    </row>
    <row r="12" customFormat="false" ht="15" hidden="false" customHeight="false" outlineLevel="0" collapsed="false">
      <c r="A12" s="14" t="s">
        <v>89</v>
      </c>
      <c r="B12" s="11" t="n">
        <f aca="false">('Base votos'!D11)/'Base votos'!R11</f>
        <v>0.346066280637316</v>
      </c>
      <c r="C12" s="11" t="n">
        <f aca="false">('Base votos'!D44)/'Base votos'!R44</f>
        <v>0.437274610510545</v>
      </c>
      <c r="D12" s="12" t="n">
        <f aca="false">(C12-B12)*100</f>
        <v>9.1208329873229</v>
      </c>
      <c r="E12" s="11" t="n">
        <f aca="false">('Base votos'!E11)/'Base votos'!R11</f>
        <v>0.0572581211677221</v>
      </c>
      <c r="F12" s="11" t="n">
        <f aca="false">('Base votos'!E44)/'Base votos'!R44</f>
        <v>0.05244571347269</v>
      </c>
      <c r="G12" s="12" t="n">
        <f aca="false">(F12-E12)*100</f>
        <v>-0.481240769503208</v>
      </c>
      <c r="H12" s="11" t="n">
        <f aca="false">('Base votos'!F11)/'Base votos'!R11</f>
        <v>0.0120251153237595</v>
      </c>
      <c r="I12" s="11" t="n">
        <f aca="false">('Base votos'!F44)/'Base votos'!R44</f>
        <v>0.0489154855157897</v>
      </c>
      <c r="J12" s="12" t="n">
        <f aca="false">(I12-H12)*100</f>
        <v>3.68903701920301</v>
      </c>
      <c r="K12" s="11" t="n">
        <f aca="false">('Base votos'!H11)/'Base votos'!R11</f>
        <v>0.259605741601186</v>
      </c>
      <c r="L12" s="11" t="n">
        <f aca="false">('Base votos'!H44)/'Base votos'!R44</f>
        <v>0.236442580897004</v>
      </c>
      <c r="M12" s="12" t="n">
        <f aca="false">(L12-K12)*100</f>
        <v>-2.31631607041817</v>
      </c>
      <c r="N12" s="11" t="n">
        <f aca="false">('Base votos'!I11)/'Base votos'!R11</f>
        <v>0.138775878852349</v>
      </c>
      <c r="O12" s="11" t="n">
        <f aca="false">('Base votos'!I44)/'Base votos'!R44</f>
        <v>0.089129439462306</v>
      </c>
      <c r="P12" s="12" t="n">
        <f aca="false">(O12-N12)*100</f>
        <v>-4.96464393900428</v>
      </c>
      <c r="Q12" s="11" t="n">
        <f aca="false">('Base votos'!J11)/'Base votos'!R11</f>
        <v>0.0118658865796261</v>
      </c>
      <c r="R12" s="11" t="n">
        <f aca="false">('Base votos'!J44)/'Base votos'!R44</f>
        <v>0.0147368472255242</v>
      </c>
      <c r="S12" s="12" t="n">
        <f aca="false">(R12-Q12)*100</f>
        <v>0.287096064589809</v>
      </c>
      <c r="T12" s="11" t="n">
        <f aca="false">('Base votos'!K11)/'Base votos'!R11</f>
        <v>0.0134802519560716</v>
      </c>
      <c r="U12" s="11" t="n">
        <f aca="false">('Base votos'!K44)/'Base votos'!R44</f>
        <v>0.0955076845997302</v>
      </c>
      <c r="V12" s="12" t="n">
        <f aca="false">(U12-T12)*100</f>
        <v>8.20274326436586</v>
      </c>
      <c r="W12" s="11" t="n">
        <f aca="false">('Base votos'!D11+'Base votos'!E11)/'Base votos'!R11</f>
        <v>0.403324401805039</v>
      </c>
      <c r="X12" s="11" t="n">
        <f aca="false">('Base votos'!D44+'Base votos'!E44)/'Base votos'!R44</f>
        <v>0.489720323983235</v>
      </c>
      <c r="Y12" s="12" t="n">
        <f aca="false">(X12-W12)*100</f>
        <v>8.63959221781969</v>
      </c>
      <c r="Z12" s="11" t="n">
        <f aca="false">('Base votos'!H11+'Base votos'!I11+'Base votos'!J11)/'Base votos'!R11</f>
        <v>0.41024750703316</v>
      </c>
      <c r="AA12" s="11" t="n">
        <f aca="false">('Base votos'!H44+'Base votos'!I44+'Base votos'!J44)/'Base votos'!R44</f>
        <v>0.340308867584834</v>
      </c>
      <c r="AB12" s="12" t="n">
        <f aca="false">(AA12-Z12)*100</f>
        <v>-6.99386394483263</v>
      </c>
    </row>
    <row r="13" customFormat="false" ht="15" hidden="false" customHeight="false" outlineLevel="0" collapsed="false">
      <c r="A13" s="14" t="s">
        <v>90</v>
      </c>
      <c r="B13" s="11" t="n">
        <f aca="false">('Base votos'!D12)/'Base votos'!R12</f>
        <v>0.501747915413399</v>
      </c>
      <c r="C13" s="11" t="n">
        <f aca="false">('Base votos'!D45)/'Base votos'!R45</f>
        <v>0.447640155212142</v>
      </c>
      <c r="D13" s="12" t="n">
        <f aca="false">(C13-B13)*100</f>
        <v>-5.41077602012573</v>
      </c>
      <c r="E13" s="11" t="n">
        <f aca="false">('Base votos'!E12)/'Base votos'!R12</f>
        <v>0.0481537839991654</v>
      </c>
      <c r="F13" s="11" t="n">
        <f aca="false">('Base votos'!E45)/'Base votos'!R45</f>
        <v>0.0512482186965397</v>
      </c>
      <c r="G13" s="12" t="n">
        <f aca="false">(F13-E13)*100</f>
        <v>0.309443469737437</v>
      </c>
      <c r="H13" s="11" t="n">
        <f aca="false">('Base votos'!F12)/'Base votos'!R12</f>
        <v>0.00712041063525784</v>
      </c>
      <c r="I13" s="11" t="n">
        <f aca="false">('Base votos'!F45)/'Base votos'!R45</f>
        <v>0.053119623878588</v>
      </c>
      <c r="J13" s="12" t="n">
        <f aca="false">(I13-H13)*100</f>
        <v>4.59992132433302</v>
      </c>
      <c r="K13" s="11" t="n">
        <f aca="false">('Base votos'!H12)/'Base votos'!R12</f>
        <v>0.178783314723926</v>
      </c>
      <c r="L13" s="11" t="n">
        <f aca="false">('Base votos'!H45)/'Base votos'!R45</f>
        <v>0.248110092979984</v>
      </c>
      <c r="M13" s="12" t="n">
        <f aca="false">(L13-K13)*100</f>
        <v>6.93267782560577</v>
      </c>
      <c r="N13" s="11" t="n">
        <f aca="false">('Base votos'!I12)/'Base votos'!R12</f>
        <v>0.108709831612611</v>
      </c>
      <c r="O13" s="11" t="n">
        <f aca="false">('Base votos'!I45)/'Base votos'!R45</f>
        <v>0.0743105145187266</v>
      </c>
      <c r="P13" s="12" t="n">
        <f aca="false">(O13-N13)*100</f>
        <v>-3.4399317093884</v>
      </c>
      <c r="Q13" s="11" t="n">
        <f aca="false">('Base votos'!J12)/'Base votos'!R12</f>
        <v>0.0507036057854169</v>
      </c>
      <c r="R13" s="11" t="n">
        <f aca="false">('Base votos'!J45)/'Base votos'!R45</f>
        <v>0.0230335845362797</v>
      </c>
      <c r="S13" s="12" t="n">
        <f aca="false">(R13-Q13)*100</f>
        <v>-2.76700212491371</v>
      </c>
      <c r="T13" s="11" t="n">
        <f aca="false">('Base votos'!K12)/'Base votos'!R12</f>
        <v>0.00962787104679582</v>
      </c>
      <c r="U13" s="11" t="n">
        <f aca="false">('Base votos'!K45)/'Base votos'!R45</f>
        <v>0.0834517599572434</v>
      </c>
      <c r="V13" s="12" t="n">
        <f aca="false">(U13-T13)*100</f>
        <v>7.38238889104476</v>
      </c>
      <c r="W13" s="11" t="n">
        <f aca="false">('Base votos'!D12+'Base votos'!E12)/'Base votos'!R12</f>
        <v>0.549901699412564</v>
      </c>
      <c r="X13" s="11" t="n">
        <f aca="false">('Base votos'!D45+'Base votos'!E45)/'Base votos'!R45</f>
        <v>0.498888373908681</v>
      </c>
      <c r="Y13" s="12" t="n">
        <f aca="false">(X13-W13)*100</f>
        <v>-5.10133255038829</v>
      </c>
      <c r="Z13" s="11" t="n">
        <f aca="false">('Base votos'!H12+'Base votos'!I12+'Base votos'!J12)/'Base votos'!R12</f>
        <v>0.338196752121953</v>
      </c>
      <c r="AA13" s="11" t="n">
        <f aca="false">('Base votos'!H45+'Base votos'!I45+'Base votos'!J45)/'Base votos'!R45</f>
        <v>0.34545419203499</v>
      </c>
      <c r="AB13" s="12" t="n">
        <f aca="false">(AA13-Z13)*100</f>
        <v>0.725743991303657</v>
      </c>
    </row>
    <row r="14" customFormat="false" ht="15" hidden="false" customHeight="false" outlineLevel="0" collapsed="false">
      <c r="A14" s="14" t="s">
        <v>91</v>
      </c>
      <c r="B14" s="11" t="n">
        <f aca="false">('Base votos'!D13)/'Base votos'!R13</f>
        <v>0.344825988292457</v>
      </c>
      <c r="C14" s="11" t="n">
        <f aca="false">('Base votos'!D46)/'Base votos'!R46</f>
        <v>0.462723549575689</v>
      </c>
      <c r="D14" s="12" t="n">
        <f aca="false">(C14-B14)*100</f>
        <v>11.7897561283232</v>
      </c>
      <c r="E14" s="11" t="n">
        <f aca="false">('Base votos'!E13)/'Base votos'!R13</f>
        <v>0.0928507663057182</v>
      </c>
      <c r="F14" s="11" t="n">
        <f aca="false">('Base votos'!E46)/'Base votos'!R46</f>
        <v>0.0685701814073513</v>
      </c>
      <c r="G14" s="12" t="n">
        <f aca="false">(F14-E14)*100</f>
        <v>-2.42805848983669</v>
      </c>
      <c r="H14" s="11" t="n">
        <f aca="false">('Base votos'!F13)/'Base votos'!R13</f>
        <v>0.0136142780234832</v>
      </c>
      <c r="I14" s="11" t="n">
        <f aca="false">('Base votos'!F46)/'Base votos'!R46</f>
        <v>0.053160185387272</v>
      </c>
      <c r="J14" s="12" t="n">
        <f aca="false">(I14-H14)*100</f>
        <v>3.95459073637887</v>
      </c>
      <c r="K14" s="11" t="n">
        <f aca="false">('Base votos'!H13)/'Base votos'!R13</f>
        <v>0.23157084153929</v>
      </c>
      <c r="L14" s="11" t="n">
        <f aca="false">('Base votos'!H46)/'Base votos'!R46</f>
        <v>0.126475459295682</v>
      </c>
      <c r="M14" s="12" t="n">
        <f aca="false">(L14-K14)*100</f>
        <v>-10.5095382243607</v>
      </c>
      <c r="N14" s="11" t="n">
        <f aca="false">('Base votos'!I13)/'Base votos'!R13</f>
        <v>0.172460696592001</v>
      </c>
      <c r="O14" s="11" t="n">
        <f aca="false">('Base votos'!I46)/'Base votos'!R46</f>
        <v>0.178097597925306</v>
      </c>
      <c r="P14" s="12" t="n">
        <f aca="false">(O14-N14)*100</f>
        <v>0.563690133330491</v>
      </c>
      <c r="Q14" s="11" t="n">
        <f aca="false">('Base votos'!J13)/'Base votos'!R13</f>
        <v>0.0118438358218109</v>
      </c>
      <c r="R14" s="11" t="n">
        <f aca="false">('Base votos'!J46)/'Base votos'!R46</f>
        <v>0.0167516144355574</v>
      </c>
      <c r="S14" s="12" t="n">
        <f aca="false">(R14-Q14)*100</f>
        <v>0.490777861374646</v>
      </c>
      <c r="T14" s="11" t="n">
        <f aca="false">('Base votos'!K13)/'Base votos'!R13</f>
        <v>0.0127433676563788</v>
      </c>
      <c r="U14" s="11" t="n">
        <f aca="false">('Base votos'!K46)/'Base votos'!R46</f>
        <v>0.0720609569783415</v>
      </c>
      <c r="V14" s="12" t="n">
        <f aca="false">(U14-T14)*100</f>
        <v>5.93175893219627</v>
      </c>
      <c r="W14" s="11" t="n">
        <f aca="false">('Base votos'!D13+'Base votos'!E13)/'Base votos'!R13</f>
        <v>0.437676754598175</v>
      </c>
      <c r="X14" s="11" t="n">
        <f aca="false">('Base votos'!D46+'Base votos'!E46)/'Base votos'!R46</f>
        <v>0.53129373098304</v>
      </c>
      <c r="Y14" s="12" t="n">
        <f aca="false">(X14-W14)*100</f>
        <v>9.36169763848654</v>
      </c>
      <c r="Z14" s="11" t="n">
        <f aca="false">('Base votos'!H13+'Base votos'!I13+'Base votos'!J13)/'Base votos'!R13</f>
        <v>0.415875373953102</v>
      </c>
      <c r="AA14" s="11" t="n">
        <f aca="false">('Base votos'!H46+'Base votos'!I46+'Base votos'!J46)/'Base votos'!R46</f>
        <v>0.321324671656546</v>
      </c>
      <c r="AB14" s="12" t="n">
        <f aca="false">(AA14-Z14)*100</f>
        <v>-9.4550702296556</v>
      </c>
    </row>
    <row r="15" customFormat="false" ht="15" hidden="false" customHeight="false" outlineLevel="0" collapsed="false">
      <c r="A15" s="14" t="s">
        <v>92</v>
      </c>
      <c r="B15" s="11" t="n">
        <f aca="false">('Base votos'!D14)/'Base votos'!R14</f>
        <v>0.250050860061927</v>
      </c>
      <c r="C15" s="11" t="n">
        <f aca="false">('Base votos'!D47)/'Base votos'!R47</f>
        <v>0.388750357001506</v>
      </c>
      <c r="D15" s="12" t="n">
        <f aca="false">(C15-B15)*100</f>
        <v>13.869949693958</v>
      </c>
      <c r="E15" s="11" t="n">
        <f aca="false">('Base votos'!E14)/'Base votos'!R14</f>
        <v>0.039533644414834</v>
      </c>
      <c r="F15" s="11" t="n">
        <f aca="false">('Base votos'!E47)/'Base votos'!R47</f>
        <v>0.035536691056333</v>
      </c>
      <c r="G15" s="12" t="n">
        <f aca="false">(F15-E15)*100</f>
        <v>-0.3996953358501</v>
      </c>
      <c r="H15" s="11" t="n">
        <f aca="false">('Base votos'!F14)/'Base votos'!R14</f>
        <v>0.02615174922054</v>
      </c>
      <c r="I15" s="11" t="n">
        <f aca="false">('Base votos'!F47)/'Base votos'!R47</f>
        <v>0.0478632100705594</v>
      </c>
      <c r="J15" s="12" t="n">
        <f aca="false">(I15-H15)*100</f>
        <v>2.17114608500195</v>
      </c>
      <c r="K15" s="11" t="n">
        <f aca="false">('Base votos'!H14)/'Base votos'!R14</f>
        <v>0.370025982717471</v>
      </c>
      <c r="L15" s="11" t="n">
        <f aca="false">('Base votos'!H47)/'Base votos'!R47</f>
        <v>0.332805865117945</v>
      </c>
      <c r="M15" s="12" t="n">
        <f aca="false">(L15-K15)*100</f>
        <v>-3.72201175995268</v>
      </c>
      <c r="N15" s="11" t="n">
        <f aca="false">('Base votos'!I14)/'Base votos'!R14</f>
        <v>0.127295530723133</v>
      </c>
      <c r="O15" s="11" t="n">
        <f aca="false">('Base votos'!I47)/'Base votos'!R47</f>
        <v>0.0560430750406293</v>
      </c>
      <c r="P15" s="12" t="n">
        <f aca="false">(O15-N15)*100</f>
        <v>-7.1252455682504</v>
      </c>
      <c r="Q15" s="11" t="n">
        <f aca="false">('Base votos'!J14)/'Base votos'!R14</f>
        <v>0.0197956393249569</v>
      </c>
      <c r="R15" s="11" t="n">
        <f aca="false">('Base votos'!J47)/'Base votos'!R47</f>
        <v>0.0110384140869532</v>
      </c>
      <c r="S15" s="12" t="n">
        <f aca="false">(R15-Q15)*100</f>
        <v>-0.875722523800363</v>
      </c>
      <c r="T15" s="11" t="n">
        <f aca="false">('Base votos'!K14)/'Base votos'!R14</f>
        <v>0.0145354401083524</v>
      </c>
      <c r="U15" s="11" t="n">
        <f aca="false">('Base votos'!K47)/'Base votos'!R47</f>
        <v>0.105606844570605</v>
      </c>
      <c r="V15" s="12" t="n">
        <f aca="false">(U15-T15)*100</f>
        <v>9.10714044622528</v>
      </c>
      <c r="W15" s="11" t="n">
        <f aca="false">('Base votos'!D14+'Base votos'!E14)/'Base votos'!R14</f>
        <v>0.289584504476761</v>
      </c>
      <c r="X15" s="11" t="n">
        <f aca="false">('Base votos'!D47+'Base votos'!E47)/'Base votos'!R47</f>
        <v>0.424287048057839</v>
      </c>
      <c r="Y15" s="12" t="n">
        <f aca="false">(X15-W15)*100</f>
        <v>13.4702543581079</v>
      </c>
      <c r="Z15" s="11" t="n">
        <f aca="false">('Base votos'!H14+'Base votos'!I14+'Base votos'!J14)/'Base votos'!R14</f>
        <v>0.517117152765562</v>
      </c>
      <c r="AA15" s="11" t="n">
        <f aca="false">('Base votos'!H47+'Base votos'!I47+'Base votos'!J47)/'Base votos'!R47</f>
        <v>0.399887354245527</v>
      </c>
      <c r="AB15" s="12" t="n">
        <f aca="false">(AA15-Z15)*100</f>
        <v>-11.7229798520034</v>
      </c>
    </row>
    <row r="16" customFormat="false" ht="15" hidden="false" customHeight="false" outlineLevel="0" collapsed="false">
      <c r="A16" s="14" t="s">
        <v>93</v>
      </c>
      <c r="B16" s="11" t="n">
        <f aca="false">('Base votos'!D15)/'Base votos'!R15</f>
        <v>0.517047518563198</v>
      </c>
      <c r="C16" s="11" t="n">
        <f aca="false">('Base votos'!D48)/'Base votos'!R48</f>
        <v>0.528323333978453</v>
      </c>
      <c r="D16" s="12" t="n">
        <f aca="false">(C16-B16)*100</f>
        <v>1.1275815415255</v>
      </c>
      <c r="E16" s="11" t="n">
        <f aca="false">('Base votos'!E15)/'Base votos'!R15</f>
        <v>0.0845742893664398</v>
      </c>
      <c r="F16" s="11" t="n">
        <f aca="false">('Base votos'!E48)/'Base votos'!R48</f>
        <v>0.0867976259596155</v>
      </c>
      <c r="G16" s="12" t="n">
        <f aca="false">(F16-E16)*100</f>
        <v>0.22233365931757</v>
      </c>
      <c r="H16" s="11" t="n">
        <f aca="false">('Base votos'!F15)/'Base votos'!R15</f>
        <v>0.0261843686033061</v>
      </c>
      <c r="I16" s="11" t="n">
        <f aca="false">('Base votos'!F48)/'Base votos'!R48</f>
        <v>0.101506354428747</v>
      </c>
      <c r="J16" s="12" t="n">
        <f aca="false">(I16-H16)*100</f>
        <v>7.53219858254404</v>
      </c>
      <c r="K16" s="11" t="n">
        <f aca="false">('Base votos'!H15)/'Base votos'!R15</f>
        <v>0.0488724461267418</v>
      </c>
      <c r="L16" s="11" t="n">
        <f aca="false">('Base votos'!H48)/'Base votos'!R48</f>
        <v>0.040683181730211</v>
      </c>
      <c r="M16" s="12" t="n">
        <f aca="false">(L16-K16)*100</f>
        <v>-0.818926439653084</v>
      </c>
      <c r="N16" s="11" t="n">
        <f aca="false">('Base votos'!I15)/'Base votos'!R15</f>
        <v>0.142264332003834</v>
      </c>
      <c r="O16" s="11" t="n">
        <f aca="false">('Base votos'!I48)/'Base votos'!R48</f>
        <v>0.102428230436746</v>
      </c>
      <c r="P16" s="12" t="n">
        <f aca="false">(O16-N16)*100</f>
        <v>-3.98361015670875</v>
      </c>
      <c r="Q16" s="11" t="n">
        <f aca="false">('Base votos'!J15)/'Base votos'!R15</f>
        <v>0.0660563448384453</v>
      </c>
      <c r="R16" s="11" t="n">
        <f aca="false">('Base votos'!J48)/'Base votos'!R48</f>
        <v>0.044702277272434</v>
      </c>
      <c r="S16" s="12" t="n">
        <f aca="false">(R16-Q16)*100</f>
        <v>-2.13540675660113</v>
      </c>
      <c r="T16" s="11" t="n">
        <f aca="false">('Base votos'!K15)/'Base votos'!R15</f>
        <v>0.0201111126264461</v>
      </c>
      <c r="U16" s="11" t="n">
        <f aca="false">('Base votos'!K48)/'Base votos'!R48</f>
        <v>0.0637552415973163</v>
      </c>
      <c r="V16" s="12" t="n">
        <f aca="false">(U16-T16)*100</f>
        <v>4.36441289708702</v>
      </c>
      <c r="W16" s="11" t="n">
        <f aca="false">('Base votos'!D15+'Base votos'!E15)/'Base votos'!R15</f>
        <v>0.601621807929638</v>
      </c>
      <c r="X16" s="11" t="n">
        <f aca="false">('Base votos'!D48+'Base votos'!E48)/'Base votos'!R48</f>
        <v>0.615120959938069</v>
      </c>
      <c r="Y16" s="12" t="n">
        <f aca="false">(X16-W16)*100</f>
        <v>1.34991520084308</v>
      </c>
      <c r="Z16" s="11" t="n">
        <f aca="false">('Base votos'!H15+'Base votos'!I15+'Base votos'!J15)/'Base votos'!R15</f>
        <v>0.257193122969021</v>
      </c>
      <c r="AA16" s="11" t="n">
        <f aca="false">('Base votos'!H48+'Base votos'!I48+'Base votos'!J48)/'Base votos'!R48</f>
        <v>0.187813689439391</v>
      </c>
      <c r="AB16" s="12" t="n">
        <f aca="false">(AA16-Z16)*100</f>
        <v>-6.93794335296296</v>
      </c>
    </row>
    <row r="17" customFormat="false" ht="15" hidden="false" customHeight="false" outlineLevel="0" collapsed="false">
      <c r="A17" s="14" t="s">
        <v>94</v>
      </c>
      <c r="B17" s="11" t="n">
        <f aca="false">('Base votos'!D16)/'Base votos'!R16</f>
        <v>0.529404722305063</v>
      </c>
      <c r="C17" s="11" t="n">
        <f aca="false">('Base votos'!D49)/'Base votos'!R49</f>
        <v>0.508786074067758</v>
      </c>
      <c r="D17" s="12" t="n">
        <f aca="false">(C17-B17)*100</f>
        <v>-2.06186482373054</v>
      </c>
      <c r="E17" s="11" t="n">
        <f aca="false">('Base votos'!E16)/'Base votos'!R16</f>
        <v>0.0487120334472712</v>
      </c>
      <c r="F17" s="11" t="n">
        <f aca="false">('Base votos'!E49)/'Base votos'!R49</f>
        <v>0.0982182367643629</v>
      </c>
      <c r="G17" s="12" t="n">
        <f aca="false">(F17-E17)*100</f>
        <v>4.95062033170917</v>
      </c>
      <c r="H17" s="11" t="n">
        <f aca="false">('Base votos'!F16)/'Base votos'!R16</f>
        <v>0.00928947489160607</v>
      </c>
      <c r="I17" s="11" t="n">
        <f aca="false">('Base votos'!F49)/'Base votos'!R49</f>
        <v>0.067349242002867</v>
      </c>
      <c r="J17" s="12" t="n">
        <f aca="false">(I17-H17)*100</f>
        <v>5.80597671112609</v>
      </c>
      <c r="K17" s="11" t="n">
        <f aca="false">('Base votos'!H16)/'Base votos'!R16</f>
        <v>0.105545009290909</v>
      </c>
      <c r="L17" s="11" t="n">
        <f aca="false">('Base votos'!H49)/'Base votos'!R49</f>
        <v>0.0826196525623062</v>
      </c>
      <c r="M17" s="12" t="n">
        <f aca="false">(L17-K17)*100</f>
        <v>-2.29253567286025</v>
      </c>
      <c r="N17" s="11" t="n">
        <f aca="false">('Base votos'!I16)/'Base votos'!R16</f>
        <v>0.158625060218853</v>
      </c>
      <c r="O17" s="11" t="n">
        <f aca="false">('Base votos'!I49)/'Base votos'!R49</f>
        <v>0.102321699319298</v>
      </c>
      <c r="P17" s="12" t="n">
        <f aca="false">(O17-N17)*100</f>
        <v>-5.63033608995544</v>
      </c>
      <c r="Q17" s="11" t="n">
        <f aca="false">('Base votos'!J16)/'Base votos'!R16</f>
        <v>0.0208464763368585</v>
      </c>
      <c r="R17" s="11" t="n">
        <f aca="false">('Base votos'!J49)/'Base votos'!R49</f>
        <v>0.0134202347475162</v>
      </c>
      <c r="S17" s="12" t="n">
        <f aca="false">(R17-Q17)*100</f>
        <v>-0.742624158934228</v>
      </c>
      <c r="T17" s="11" t="n">
        <f aca="false">('Base votos'!K16)/'Base votos'!R16</f>
        <v>0.00840411438140901</v>
      </c>
      <c r="U17" s="11" t="n">
        <f aca="false">('Base votos'!K49)/'Base votos'!R49</f>
        <v>0.103296530080538</v>
      </c>
      <c r="V17" s="12" t="n">
        <f aca="false">(U17-T17)*100</f>
        <v>9.48924156991292</v>
      </c>
      <c r="W17" s="11" t="n">
        <f aca="false">('Base votos'!D16+'Base votos'!E16)/'Base votos'!R16</f>
        <v>0.578116755752334</v>
      </c>
      <c r="X17" s="11" t="n">
        <f aca="false">('Base votos'!D49+'Base votos'!E49)/'Base votos'!R49</f>
        <v>0.607004310832121</v>
      </c>
      <c r="Y17" s="12" t="n">
        <f aca="false">(X17-W17)*100</f>
        <v>2.88875550797862</v>
      </c>
      <c r="Z17" s="11" t="n">
        <f aca="false">('Base votos'!H16+'Base votos'!I16+'Base votos'!J16)/'Base votos'!R16</f>
        <v>0.28501654584662</v>
      </c>
      <c r="AA17" s="11" t="n">
        <f aca="false">('Base votos'!H49+'Base votos'!I49+'Base votos'!J49)/'Base votos'!R49</f>
        <v>0.198361586629121</v>
      </c>
      <c r="AB17" s="12" t="n">
        <f aca="false">(AA17-Z17)*100</f>
        <v>-8.66549592174992</v>
      </c>
    </row>
    <row r="18" customFormat="false" ht="15" hidden="false" customHeight="false" outlineLevel="0" collapsed="false">
      <c r="A18" s="14" t="s">
        <v>95</v>
      </c>
      <c r="B18" s="11" t="n">
        <f aca="false">('Base votos'!D17)/'Base votos'!R17</f>
        <v>0.344248837726937</v>
      </c>
      <c r="C18" s="11" t="n">
        <f aca="false">('Base votos'!D50)/'Base votos'!R50</f>
        <v>0.353053542058172</v>
      </c>
      <c r="D18" s="12" t="n">
        <f aca="false">(C18-B18)*100</f>
        <v>0.880470433123559</v>
      </c>
      <c r="E18" s="11" t="n">
        <f aca="false">('Base votos'!E17)/'Base votos'!R17</f>
        <v>0.0495362194030955</v>
      </c>
      <c r="F18" s="11" t="n">
        <f aca="false">('Base votos'!E50)/'Base votos'!R50</f>
        <v>0.0392305529035552</v>
      </c>
      <c r="G18" s="12" t="n">
        <f aca="false">(F18-E18)*100</f>
        <v>-1.03056664995403</v>
      </c>
      <c r="H18" s="11" t="n">
        <f aca="false">('Base votos'!F17)/'Base votos'!R17</f>
        <v>0.0155850738737359</v>
      </c>
      <c r="I18" s="11" t="n">
        <f aca="false">('Base votos'!F50)/'Base votos'!R50</f>
        <v>0.0521297334763305</v>
      </c>
      <c r="J18" s="12" t="n">
        <f aca="false">(I18-H18)*100</f>
        <v>3.65446596025946</v>
      </c>
      <c r="K18" s="11" t="n">
        <f aca="false">('Base votos'!H17)/'Base votos'!R17</f>
        <v>0.23752172609872</v>
      </c>
      <c r="L18" s="11" t="n">
        <f aca="false">('Base votos'!H50)/'Base votos'!R50</f>
        <v>0.237445120378149</v>
      </c>
      <c r="M18" s="12" t="n">
        <f aca="false">(L18-K18)*100</f>
        <v>-0.00766057205711379</v>
      </c>
      <c r="N18" s="11" t="n">
        <f aca="false">('Base votos'!I17)/'Base votos'!R17</f>
        <v>0.120803823507646</v>
      </c>
      <c r="O18" s="11" t="n">
        <f aca="false">('Base votos'!I50)/'Base votos'!R50</f>
        <v>0.104856522117511</v>
      </c>
      <c r="P18" s="12" t="n">
        <f aca="false">(O18-N18)*100</f>
        <v>-1.59473013901351</v>
      </c>
      <c r="Q18" s="11" t="n">
        <f aca="false">('Base votos'!J17)/'Base votos'!R17</f>
        <v>0.0109536968012382</v>
      </c>
      <c r="R18" s="11" t="n">
        <f aca="false">('Base votos'!J50)/'Base votos'!R50</f>
        <v>0.0153181320127189</v>
      </c>
      <c r="S18" s="12" t="n">
        <f aca="false">(R18-Q18)*100</f>
        <v>0.436443521148069</v>
      </c>
      <c r="T18" s="11" t="n">
        <f aca="false">('Base votos'!K17)/'Base votos'!R17</f>
        <v>0.0884844747862963</v>
      </c>
      <c r="U18" s="11" t="n">
        <f aca="false">('Base votos'!K50)/'Base votos'!R50</f>
        <v>0.173141349453134</v>
      </c>
      <c r="V18" s="12" t="n">
        <f aca="false">(U18-T18)*100</f>
        <v>8.46568746668378</v>
      </c>
      <c r="W18" s="11" t="n">
        <f aca="false">('Base votos'!D17+'Base votos'!E17)/'Base votos'!R17</f>
        <v>0.393785057130032</v>
      </c>
      <c r="X18" s="11" t="n">
        <f aca="false">('Base votos'!D50+'Base votos'!E50)/'Base votos'!R50</f>
        <v>0.392284094961727</v>
      </c>
      <c r="Y18" s="12" t="n">
        <f aca="false">(X18-W18)*100</f>
        <v>-0.15009621683047</v>
      </c>
      <c r="Z18" s="11" t="n">
        <f aca="false">('Base votos'!H17+'Base votos'!I17+'Base votos'!J17)/'Base votos'!R17</f>
        <v>0.369279246407604</v>
      </c>
      <c r="AA18" s="11" t="n">
        <f aca="false">('Base votos'!H50+'Base votos'!I50+'Base votos'!J50)/'Base votos'!R50</f>
        <v>0.357619774508379</v>
      </c>
      <c r="AB18" s="12" t="n">
        <f aca="false">(AA18-Z18)*100</f>
        <v>-1.16594718992256</v>
      </c>
    </row>
    <row r="19" customFormat="false" ht="15" hidden="false" customHeight="false" outlineLevel="0" collapsed="false">
      <c r="A19" s="14" t="s">
        <v>96</v>
      </c>
      <c r="B19" s="11" t="n">
        <f aca="false">('Base votos'!D18)/'Base votos'!R18</f>
        <v>0.472195080694912</v>
      </c>
      <c r="C19" s="11" t="n">
        <f aca="false">('Base votos'!D51)/'Base votos'!R51</f>
        <v>0.48949478058695</v>
      </c>
      <c r="D19" s="12" t="n">
        <f aca="false">(C19-B19)*100</f>
        <v>1.72996998920384</v>
      </c>
      <c r="E19" s="11" t="n">
        <f aca="false">('Base votos'!E18)/'Base votos'!R18</f>
        <v>0.0472341346440867</v>
      </c>
      <c r="F19" s="11" t="n">
        <f aca="false">('Base votos'!E51)/'Base votos'!R51</f>
        <v>0.0544658105180961</v>
      </c>
      <c r="G19" s="12" t="n">
        <f aca="false">(F19-E19)*100</f>
        <v>0.723167587400937</v>
      </c>
      <c r="H19" s="11" t="n">
        <f aca="false">('Base votos'!F18)/'Base votos'!R18</f>
        <v>0.0130317058366998</v>
      </c>
      <c r="I19" s="11" t="n">
        <f aca="false">('Base votos'!F51)/'Base votos'!R51</f>
        <v>0.0620383137304564</v>
      </c>
      <c r="J19" s="12" t="n">
        <f aca="false">(I19-H19)*100</f>
        <v>4.90066078937566</v>
      </c>
      <c r="K19" s="11" t="n">
        <f aca="false">('Base votos'!H18)/'Base votos'!R18</f>
        <v>0.15540474318919</v>
      </c>
      <c r="L19" s="11" t="n">
        <f aca="false">('Base votos'!H51)/'Base votos'!R51</f>
        <v>0.116671910733333</v>
      </c>
      <c r="M19" s="12" t="n">
        <f aca="false">(L19-K19)*100</f>
        <v>-3.87328324558569</v>
      </c>
      <c r="N19" s="11" t="n">
        <f aca="false">('Base votos'!I18)/'Base votos'!R18</f>
        <v>0.170421235398301</v>
      </c>
      <c r="O19" s="11" t="n">
        <f aca="false">('Base votos'!I51)/'Base votos'!R51</f>
        <v>0.134680402219322</v>
      </c>
      <c r="P19" s="12" t="n">
        <f aca="false">(O19-N19)*100</f>
        <v>-3.57408331789784</v>
      </c>
      <c r="Q19" s="11" t="n">
        <f aca="false">('Base votos'!J18)/'Base votos'!R18</f>
        <v>0.0277493233965493</v>
      </c>
      <c r="R19" s="11" t="n">
        <f aca="false">('Base votos'!J51)/'Base votos'!R51</f>
        <v>0.0136612961984833</v>
      </c>
      <c r="S19" s="12" t="n">
        <f aca="false">(R19-Q19)*100</f>
        <v>-1.40880271980661</v>
      </c>
      <c r="T19" s="11" t="n">
        <f aca="false">('Base votos'!K18)/'Base votos'!R18</f>
        <v>0.00960627649201011</v>
      </c>
      <c r="U19" s="11" t="n">
        <f aca="false">('Base votos'!K51)/'Base votos'!R51</f>
        <v>0.10707225354276</v>
      </c>
      <c r="V19" s="12" t="n">
        <f aca="false">(U19-T19)*100</f>
        <v>9.74659770507501</v>
      </c>
      <c r="W19" s="11" t="n">
        <f aca="false">('Base votos'!D18+'Base votos'!E18)/'Base votos'!R18</f>
        <v>0.519429215338998</v>
      </c>
      <c r="X19" s="11" t="n">
        <f aca="false">('Base votos'!D51+'Base votos'!E51)/'Base votos'!R51</f>
        <v>0.543960591105046</v>
      </c>
      <c r="Y19" s="12" t="n">
        <f aca="false">(X19-W19)*100</f>
        <v>2.45313757660478</v>
      </c>
      <c r="Z19" s="11" t="n">
        <f aca="false">('Base votos'!H18+'Base votos'!I18+'Base votos'!J18)/'Base votos'!R18</f>
        <v>0.35357530198404</v>
      </c>
      <c r="AA19" s="11" t="n">
        <f aca="false">('Base votos'!H51+'Base votos'!I51+'Base votos'!J51)/'Base votos'!R51</f>
        <v>0.265013609151139</v>
      </c>
      <c r="AB19" s="12" t="n">
        <f aca="false">(AA19-Z19)*100</f>
        <v>-8.85616928329014</v>
      </c>
    </row>
    <row r="20" customFormat="false" ht="15" hidden="false" customHeight="false" outlineLevel="0" collapsed="false">
      <c r="A20" s="14" t="s">
        <v>97</v>
      </c>
      <c r="B20" s="11" t="n">
        <f aca="false">('Base votos'!D19)/'Base votos'!R19</f>
        <v>0.386365162257598</v>
      </c>
      <c r="C20" s="11" t="n">
        <f aca="false">('Base votos'!D52)/'Base votos'!R52</f>
        <v>0.378727716744223</v>
      </c>
      <c r="D20" s="12" t="n">
        <f aca="false">(C20-B20)*100</f>
        <v>-0.763744551337464</v>
      </c>
      <c r="E20" s="11" t="n">
        <f aca="false">('Base votos'!E19)/'Base votos'!R19</f>
        <v>0.086669308490097</v>
      </c>
      <c r="F20" s="11" t="n">
        <f aca="false">('Base votos'!E52)/'Base votos'!R52</f>
        <v>0.0945598969473352</v>
      </c>
      <c r="G20" s="12" t="n">
        <f aca="false">(F20-E20)*100</f>
        <v>0.789058845723824</v>
      </c>
      <c r="H20" s="11" t="n">
        <f aca="false">('Base votos'!F19)/'Base votos'!R19</f>
        <v>0.02839034708007</v>
      </c>
      <c r="I20" s="11" t="n">
        <f aca="false">('Base votos'!F52)/'Base votos'!R52</f>
        <v>0.0774290330025387</v>
      </c>
      <c r="J20" s="12" t="n">
        <f aca="false">(I20-H20)*100</f>
        <v>4.90386859224687</v>
      </c>
      <c r="K20" s="11" t="n">
        <f aca="false">('Base votos'!H19)/'Base votos'!R19</f>
        <v>0.130382568003816</v>
      </c>
      <c r="L20" s="11" t="n">
        <f aca="false">('Base votos'!H52)/'Base votos'!R52</f>
        <v>0.148588674828865</v>
      </c>
      <c r="M20" s="12" t="n">
        <f aca="false">(L20-K20)*100</f>
        <v>1.82061068250488</v>
      </c>
      <c r="N20" s="11" t="n">
        <f aca="false">('Base votos'!I19)/'Base votos'!R19</f>
        <v>0.129610213255728</v>
      </c>
      <c r="O20" s="11" t="n">
        <f aca="false">('Base votos'!I52)/'Base votos'!R52</f>
        <v>0.0952681908907702</v>
      </c>
      <c r="P20" s="12" t="n">
        <f aca="false">(O20-N20)*100</f>
        <v>-3.43420223649575</v>
      </c>
      <c r="Q20" s="11" t="n">
        <f aca="false">('Base votos'!J19)/'Base votos'!R19</f>
        <v>0.0791729241704128</v>
      </c>
      <c r="R20" s="11" t="n">
        <f aca="false">('Base votos'!J52)/'Base votos'!R52</f>
        <v>0.0493589625980241</v>
      </c>
      <c r="S20" s="12" t="n">
        <f aca="false">(R20-Q20)*100</f>
        <v>-2.98139615723886</v>
      </c>
      <c r="T20" s="11" t="n">
        <f aca="false">('Base votos'!K19)/'Base votos'!R19</f>
        <v>0.0144803895091004</v>
      </c>
      <c r="U20" s="11" t="n">
        <f aca="false">('Base votos'!K52)/'Base votos'!R52</f>
        <v>0.120893271159256</v>
      </c>
      <c r="V20" s="12" t="n">
        <f aca="false">(U20-T20)*100</f>
        <v>10.6412881650155</v>
      </c>
      <c r="W20" s="11" t="n">
        <f aca="false">('Base votos'!D19+'Base votos'!E19)/'Base votos'!R19</f>
        <v>0.473034470747695</v>
      </c>
      <c r="X20" s="11" t="n">
        <f aca="false">('Base votos'!D52+'Base votos'!E52)/'Base votos'!R52</f>
        <v>0.473287613691559</v>
      </c>
      <c r="Y20" s="12" t="n">
        <f aca="false">(X20-W20)*100</f>
        <v>0.0253142943863582</v>
      </c>
      <c r="Z20" s="11" t="n">
        <f aca="false">('Base votos'!H19+'Base votos'!I19+'Base votos'!J19)/'Base votos'!R19</f>
        <v>0.339165705429957</v>
      </c>
      <c r="AA20" s="11" t="n">
        <f aca="false">('Base votos'!H52+'Base votos'!I52+'Base votos'!J52)/'Base votos'!R52</f>
        <v>0.293215828317659</v>
      </c>
      <c r="AB20" s="12" t="n">
        <f aca="false">(AA20-Z20)*100</f>
        <v>-4.59498771122973</v>
      </c>
    </row>
    <row r="21" customFormat="false" ht="15" hidden="false" customHeight="false" outlineLevel="0" collapsed="false">
      <c r="A21" s="14" t="s">
        <v>98</v>
      </c>
      <c r="B21" s="11" t="n">
        <f aca="false">('Base votos'!D20)/'Base votos'!R20</f>
        <v>0.501683553847902</v>
      </c>
      <c r="C21" s="11" t="n">
        <f aca="false">('Base votos'!D53)/'Base votos'!R53</f>
        <v>0.463771132285353</v>
      </c>
      <c r="D21" s="12" t="n">
        <f aca="false">(C21-B21)*100</f>
        <v>-3.79124215625486</v>
      </c>
      <c r="E21" s="11" t="n">
        <f aca="false">('Base votos'!E20)/'Base votos'!R20</f>
        <v>0.10034394075543</v>
      </c>
      <c r="F21" s="11" t="n">
        <f aca="false">('Base votos'!E53)/'Base votos'!R53</f>
        <v>0.0839017273587889</v>
      </c>
      <c r="G21" s="12" t="n">
        <f aca="false">(F21-E21)*100</f>
        <v>-1.64422133966413</v>
      </c>
      <c r="H21" s="11" t="n">
        <f aca="false">('Base votos'!F20)/'Base votos'!R20</f>
        <v>0.0140860781458185</v>
      </c>
      <c r="I21" s="11" t="n">
        <f aca="false">('Base votos'!F53)/'Base votos'!R53</f>
        <v>0.0903759129581714</v>
      </c>
      <c r="J21" s="12" t="n">
        <f aca="false">(I21-H21)*100</f>
        <v>7.62898348123529</v>
      </c>
      <c r="K21" s="11" t="n">
        <f aca="false">('Base votos'!H20)/'Base votos'!R20</f>
        <v>0.102667864778608</v>
      </c>
      <c r="L21" s="11" t="n">
        <f aca="false">('Base votos'!H53)/'Base votos'!R53</f>
        <v>0.138621123748077</v>
      </c>
      <c r="M21" s="12" t="n">
        <f aca="false">(L21-K21)*100</f>
        <v>3.59532589694691</v>
      </c>
      <c r="N21" s="11" t="n">
        <f aca="false">('Base votos'!I20)/'Base votos'!R20</f>
        <v>0.0793098462078724</v>
      </c>
      <c r="O21" s="11" t="n">
        <f aca="false">('Base votos'!I53)/'Base votos'!R53</f>
        <v>0.0579524478746223</v>
      </c>
      <c r="P21" s="12" t="n">
        <f aca="false">(O21-N21)*100</f>
        <v>-2.13573983332502</v>
      </c>
      <c r="Q21" s="11" t="n">
        <f aca="false">('Base votos'!J20)/'Base votos'!R20</f>
        <v>0.0325173777874178</v>
      </c>
      <c r="R21" s="11" t="n">
        <f aca="false">('Base votos'!J53)/'Base votos'!R53</f>
        <v>0.0167765062231189</v>
      </c>
      <c r="S21" s="12" t="n">
        <f aca="false">(R21-Q21)*100</f>
        <v>-1.57408715642988</v>
      </c>
      <c r="T21" s="11" t="n">
        <f aca="false">('Base votos'!K20)/'Base votos'!R20</f>
        <v>0.0120513535566366</v>
      </c>
      <c r="U21" s="11" t="n">
        <f aca="false">('Base votos'!K53)/'Base votos'!R53</f>
        <v>0.127598438840264</v>
      </c>
      <c r="V21" s="12" t="n">
        <f aca="false">(U21-T21)*100</f>
        <v>11.5547085283627</v>
      </c>
      <c r="W21" s="11" t="n">
        <f aca="false">('Base votos'!D20+'Base votos'!E20)/'Base votos'!R20</f>
        <v>0.602027494603332</v>
      </c>
      <c r="X21" s="11" t="n">
        <f aca="false">('Base votos'!D53+'Base votos'!E53)/'Base votos'!R53</f>
        <v>0.547672859644142</v>
      </c>
      <c r="Y21" s="12" t="n">
        <f aca="false">(X21-W21)*100</f>
        <v>-5.43546349591899</v>
      </c>
      <c r="Z21" s="11" t="n">
        <f aca="false">('Base votos'!H20+'Base votos'!I20+'Base votos'!J20)/'Base votos'!R20</f>
        <v>0.214495088773898</v>
      </c>
      <c r="AA21" s="11" t="n">
        <f aca="false">('Base votos'!H53+'Base votos'!I53+'Base votos'!J53)/'Base votos'!R53</f>
        <v>0.213350077845818</v>
      </c>
      <c r="AB21" s="12" t="n">
        <f aca="false">(AA21-Z21)*100</f>
        <v>-0.114501092807989</v>
      </c>
    </row>
    <row r="22" customFormat="false" ht="15" hidden="false" customHeight="false" outlineLevel="0" collapsed="false">
      <c r="A22" s="14" t="s">
        <v>99</v>
      </c>
      <c r="B22" s="11" t="n">
        <f aca="false">('Base votos'!D21)/'Base votos'!R21</f>
        <v>0.542510873243156</v>
      </c>
      <c r="C22" s="11" t="n">
        <f aca="false">('Base votos'!D54)/'Base votos'!R54</f>
        <v>0.459614372871344</v>
      </c>
      <c r="D22" s="12" t="n">
        <f aca="false">(C22-B22)*100</f>
        <v>-8.28965003718125</v>
      </c>
      <c r="E22" s="11" t="n">
        <f aca="false">('Base votos'!E21)/'Base votos'!R21</f>
        <v>0.0740350254603075</v>
      </c>
      <c r="F22" s="11" t="n">
        <f aca="false">('Base votos'!E54)/'Base votos'!R54</f>
        <v>0.0716317620889213</v>
      </c>
      <c r="G22" s="12" t="n">
        <f aca="false">(F22-E22)*100</f>
        <v>-0.24032633713862</v>
      </c>
      <c r="H22" s="11" t="n">
        <f aca="false">('Base votos'!F21)/'Base votos'!R21</f>
        <v>0.00597925211894131</v>
      </c>
      <c r="I22" s="11" t="n">
        <f aca="false">('Base votos'!F54)/'Base votos'!R54</f>
        <v>0.101488790231026</v>
      </c>
      <c r="J22" s="12" t="n">
        <f aca="false">(I22-H22)*100</f>
        <v>9.55095381120842</v>
      </c>
      <c r="K22" s="11" t="n">
        <f aca="false">('Base votos'!H21)/'Base votos'!R21</f>
        <v>0.127887495976694</v>
      </c>
      <c r="L22" s="11" t="n">
        <f aca="false">('Base votos'!H54)/'Base votos'!R54</f>
        <v>0.111902014897132</v>
      </c>
      <c r="M22" s="12" t="n">
        <f aca="false">(L22-K22)*100</f>
        <v>-1.59854810795615</v>
      </c>
      <c r="N22" s="11" t="n">
        <f aca="false">('Base votos'!I21)/'Base votos'!R21</f>
        <v>0.124287152654557</v>
      </c>
      <c r="O22" s="11" t="n">
        <f aca="false">('Base votos'!I54)/'Base votos'!R54</f>
        <v>0.0761027477548157</v>
      </c>
      <c r="P22" s="12" t="n">
        <f aca="false">(O22-N22)*100</f>
        <v>-4.81844048997411</v>
      </c>
      <c r="Q22" s="11" t="n">
        <f aca="false">('Base votos'!J21)/'Base votos'!R21</f>
        <v>0.0218805965222128</v>
      </c>
      <c r="R22" s="11" t="n">
        <f aca="false">('Base votos'!J54)/'Base votos'!R54</f>
        <v>0.0141070489094819</v>
      </c>
      <c r="S22" s="12" t="n">
        <f aca="false">(R22-Q22)*100</f>
        <v>-0.777354761273086</v>
      </c>
      <c r="T22" s="11" t="n">
        <f aca="false">('Base votos'!K21)/'Base votos'!R21</f>
        <v>0.0149151185534254</v>
      </c>
      <c r="U22" s="11" t="n">
        <f aca="false">('Base votos'!K54)/'Base votos'!R54</f>
        <v>0.137749554655123</v>
      </c>
      <c r="V22" s="12" t="n">
        <f aca="false">(U22-T22)*100</f>
        <v>12.2834436101698</v>
      </c>
      <c r="W22" s="11" t="n">
        <f aca="false">('Base votos'!D21+'Base votos'!E21)/'Base votos'!R21</f>
        <v>0.616545898703464</v>
      </c>
      <c r="X22" s="11" t="n">
        <f aca="false">('Base votos'!D54+'Base votos'!E54)/'Base votos'!R54</f>
        <v>0.531246134960265</v>
      </c>
      <c r="Y22" s="12" t="n">
        <f aca="false">(X22-W22)*100</f>
        <v>-8.52997637431987</v>
      </c>
      <c r="Z22" s="11" t="n">
        <f aca="false">('Base votos'!H21+'Base votos'!I21+'Base votos'!J21)/'Base votos'!R21</f>
        <v>0.274055245153463</v>
      </c>
      <c r="AA22" s="11" t="n">
        <f aca="false">('Base votos'!H54+'Base votos'!I54+'Base votos'!J54)/'Base votos'!R54</f>
        <v>0.20211181156143</v>
      </c>
      <c r="AB22" s="12" t="n">
        <f aca="false">(AA22-Z22)*100</f>
        <v>-7.19434335920335</v>
      </c>
    </row>
    <row r="23" customFormat="false" ht="15" hidden="false" customHeight="false" outlineLevel="0" collapsed="false">
      <c r="A23" s="14" t="s">
        <v>100</v>
      </c>
      <c r="B23" s="11" t="n">
        <f aca="false">('Base votos'!D22)/'Base votos'!R22</f>
        <v>0.251901309092044</v>
      </c>
      <c r="C23" s="11" t="n">
        <f aca="false">('Base votos'!D55)/'Base votos'!R55</f>
        <v>0.326474447282162</v>
      </c>
      <c r="D23" s="12" t="n">
        <f aca="false">(C23-B23)*100</f>
        <v>7.45731381901179</v>
      </c>
      <c r="E23" s="11" t="n">
        <f aca="false">('Base votos'!E22)/'Base votos'!R22</f>
        <v>0.0747713609838982</v>
      </c>
      <c r="F23" s="11" t="n">
        <f aca="false">('Base votos'!E55)/'Base votos'!R55</f>
        <v>0.0609838385319727</v>
      </c>
      <c r="G23" s="12" t="n">
        <f aca="false">(F23-E23)*100</f>
        <v>-1.37875224519255</v>
      </c>
      <c r="H23" s="11" t="n">
        <f aca="false">('Base votos'!F22)/'Base votos'!R22</f>
        <v>0.0108850806099978</v>
      </c>
      <c r="I23" s="11" t="n">
        <f aca="false">('Base votos'!F55)/'Base votos'!R55</f>
        <v>0.0646536727985285</v>
      </c>
      <c r="J23" s="12" t="n">
        <f aca="false">(I23-H23)*100</f>
        <v>5.37685921885307</v>
      </c>
      <c r="K23" s="11" t="n">
        <f aca="false">('Base votos'!H22)/'Base votos'!R22</f>
        <v>0.300711596769174</v>
      </c>
      <c r="L23" s="11" t="n">
        <f aca="false">('Base votos'!H55)/'Base votos'!R55</f>
        <v>0.221069583708416</v>
      </c>
      <c r="M23" s="12" t="n">
        <f aca="false">(L23-K23)*100</f>
        <v>-7.96420130607579</v>
      </c>
      <c r="N23" s="11" t="n">
        <f aca="false">('Base votos'!I22)/'Base votos'!R22</f>
        <v>0.126438775781843</v>
      </c>
      <c r="O23" s="11" t="n">
        <f aca="false">('Base votos'!I55)/'Base votos'!R55</f>
        <v>0.112607630010188</v>
      </c>
      <c r="P23" s="12" t="n">
        <f aca="false">(O23-N23)*100</f>
        <v>-1.38311457716554</v>
      </c>
      <c r="Q23" s="11" t="n">
        <f aca="false">('Base votos'!J22)/'Base votos'!R22</f>
        <v>0.00614431498254513</v>
      </c>
      <c r="R23" s="11" t="n">
        <f aca="false">('Base votos'!J55)/'Base votos'!R55</f>
        <v>0.0126983520263851</v>
      </c>
      <c r="S23" s="12" t="n">
        <f aca="false">(R23-Q23)*100</f>
        <v>0.655403704383992</v>
      </c>
      <c r="T23" s="11" t="n">
        <f aca="false">('Base votos'!K22)/'Base votos'!R22</f>
        <v>0.0162018614240564</v>
      </c>
      <c r="U23" s="11" t="n">
        <f aca="false">('Base votos'!K55)/'Base votos'!R55</f>
        <v>0.18058673664405</v>
      </c>
      <c r="V23" s="12" t="n">
        <f aca="false">(U23-T23)*100</f>
        <v>16.4384875219993</v>
      </c>
      <c r="W23" s="11" t="n">
        <f aca="false">('Base votos'!D22+'Base votos'!E22)/'Base votos'!R22</f>
        <v>0.326672670075942</v>
      </c>
      <c r="X23" s="11" t="n">
        <f aca="false">('Base votos'!D55+'Base votos'!E55)/'Base votos'!R55</f>
        <v>0.387458285814135</v>
      </c>
      <c r="Y23" s="12" t="n">
        <f aca="false">(X23-W23)*100</f>
        <v>6.07856157381924</v>
      </c>
      <c r="Z23" s="11" t="n">
        <f aca="false">('Base votos'!H22+'Base votos'!I22+'Base votos'!J22)/'Base votos'!R22</f>
        <v>0.433294687533563</v>
      </c>
      <c r="AA23" s="11" t="n">
        <f aca="false">('Base votos'!H55+'Base votos'!I55+'Base votos'!J55)/'Base votos'!R55</f>
        <v>0.346375565744989</v>
      </c>
      <c r="AB23" s="12" t="n">
        <f aca="false">(AA23-Z23)*100</f>
        <v>-8.69191217885734</v>
      </c>
    </row>
    <row r="24" customFormat="false" ht="15" hidden="false" customHeight="false" outlineLevel="0" collapsed="false">
      <c r="A24" s="14" t="s">
        <v>101</v>
      </c>
      <c r="B24" s="11" t="n">
        <f aca="false">('Base votos'!D23)/'Base votos'!R23</f>
        <v>0.548586467591659</v>
      </c>
      <c r="C24" s="11" t="n">
        <f aca="false">('Base votos'!D56)/'Base votos'!R56</f>
        <v>0.544313772040039</v>
      </c>
      <c r="D24" s="12" t="n">
        <f aca="false">(C24-B24)*100</f>
        <v>-0.427269555162058</v>
      </c>
      <c r="E24" s="11" t="n">
        <f aca="false">('Base votos'!E23)/'Base votos'!R23</f>
        <v>0.0785749565810485</v>
      </c>
      <c r="F24" s="11" t="n">
        <f aca="false">('Base votos'!E56)/'Base votos'!R56</f>
        <v>0.118025390590845</v>
      </c>
      <c r="G24" s="12" t="n">
        <f aca="false">(F24-E24)*100</f>
        <v>3.94504340097965</v>
      </c>
      <c r="H24" s="11" t="n">
        <f aca="false">('Base votos'!F23)/'Base votos'!R23</f>
        <v>0.0155551536002098</v>
      </c>
      <c r="I24" s="11" t="n">
        <f aca="false">('Base votos'!F56)/'Base votos'!R56</f>
        <v>0.10138748975267</v>
      </c>
      <c r="J24" s="12" t="n">
        <f aca="false">(I24-H24)*100</f>
        <v>8.58323361524606</v>
      </c>
      <c r="K24" s="11" t="n">
        <f aca="false">('Base votos'!H23)/'Base votos'!R23</f>
        <v>0.0655505668175036</v>
      </c>
      <c r="L24" s="11" t="n">
        <f aca="false">('Base votos'!H56)/'Base votos'!R56</f>
        <v>0.0474697110928701</v>
      </c>
      <c r="M24" s="12" t="n">
        <f aca="false">(L24-K24)*100</f>
        <v>-1.80808557246335</v>
      </c>
      <c r="N24" s="11" t="n">
        <f aca="false">('Base votos'!I23)/'Base votos'!R23</f>
        <v>0.14511388437265</v>
      </c>
      <c r="O24" s="11" t="n">
        <f aca="false">('Base votos'!I56)/'Base votos'!R56</f>
        <v>0.0772967928706672</v>
      </c>
      <c r="P24" s="12" t="n">
        <f aca="false">(O24-N24)*100</f>
        <v>-6.78170915019827</v>
      </c>
      <c r="Q24" s="11" t="n">
        <f aca="false">('Base votos'!J23)/'Base votos'!R23</f>
        <v>0.0390477735445776</v>
      </c>
      <c r="R24" s="11" t="n">
        <f aca="false">('Base votos'!J56)/'Base votos'!R56</f>
        <v>0.0193616900635215</v>
      </c>
      <c r="S24" s="12" t="n">
        <f aca="false">(R24-Q24)*100</f>
        <v>-1.9686083481056</v>
      </c>
      <c r="T24" s="11" t="n">
        <f aca="false">('Base votos'!K23)/'Base votos'!R23</f>
        <v>0.0102971976053366</v>
      </c>
      <c r="U24" s="11" t="n">
        <f aca="false">('Base votos'!K56)/'Base votos'!R56</f>
        <v>0.0660391706326769</v>
      </c>
      <c r="V24" s="12" t="n">
        <f aca="false">(U24-T24)*100</f>
        <v>5.57419730273403</v>
      </c>
      <c r="W24" s="11" t="n">
        <f aca="false">('Base votos'!D23+'Base votos'!E23)/'Base votos'!R23</f>
        <v>0.627161424172708</v>
      </c>
      <c r="X24" s="11" t="n">
        <f aca="false">('Base votos'!D56+'Base votos'!E56)/'Base votos'!R56</f>
        <v>0.662339162630884</v>
      </c>
      <c r="Y24" s="12" t="n">
        <f aca="false">(X24-W24)*100</f>
        <v>3.5177738458176</v>
      </c>
      <c r="Z24" s="11" t="n">
        <f aca="false">('Base votos'!H23+'Base votos'!I23+'Base votos'!J23)/'Base votos'!R23</f>
        <v>0.249712224734731</v>
      </c>
      <c r="AA24" s="11" t="n">
        <f aca="false">('Base votos'!H56+'Base votos'!I56+'Base votos'!J56)/'Base votos'!R56</f>
        <v>0.144128194027059</v>
      </c>
      <c r="AB24" s="12" t="n">
        <f aca="false">(AA24-Z24)*100</f>
        <v>-10.5584030707672</v>
      </c>
    </row>
    <row r="25" customFormat="false" ht="15" hidden="false" customHeight="false" outlineLevel="0" collapsed="false">
      <c r="A25" s="14" t="s">
        <v>102</v>
      </c>
      <c r="B25" s="11" t="n">
        <f aca="false">('Base votos'!D24)/'Base votos'!R24</f>
        <v>0.476403656820922</v>
      </c>
      <c r="C25" s="11" t="n">
        <f aca="false">('Base votos'!D57)/'Base votos'!R57</f>
        <v>0.466064795356871</v>
      </c>
      <c r="D25" s="12" t="n">
        <f aca="false">(C25-B25)*100</f>
        <v>-1.03388614640508</v>
      </c>
      <c r="E25" s="11" t="n">
        <f aca="false">('Base votos'!E24)/'Base votos'!R24</f>
        <v>0.0664878890432586</v>
      </c>
      <c r="F25" s="11" t="n">
        <f aca="false">('Base votos'!E57)/'Base votos'!R57</f>
        <v>0.0854813553310221</v>
      </c>
      <c r="G25" s="12" t="n">
        <f aca="false">(F25-E25)*100</f>
        <v>1.89934662877636</v>
      </c>
      <c r="H25" s="11" t="n">
        <f aca="false">('Base votos'!F24)/'Base votos'!R24</f>
        <v>0.0144885131538442</v>
      </c>
      <c r="I25" s="11" t="n">
        <f aca="false">('Base votos'!F57)/'Base votos'!R57</f>
        <v>0.100373767974753</v>
      </c>
      <c r="J25" s="12" t="n">
        <f aca="false">(I25-H25)*100</f>
        <v>8.58852548209091</v>
      </c>
      <c r="K25" s="11" t="n">
        <f aca="false">('Base votos'!H24)/'Base votos'!R24</f>
        <v>0.164780116174098</v>
      </c>
      <c r="L25" s="11" t="n">
        <f aca="false">('Base votos'!H57)/'Base votos'!R57</f>
        <v>0.140733603162148</v>
      </c>
      <c r="M25" s="12" t="n">
        <f aca="false">(L25-K25)*100</f>
        <v>-2.40465130119508</v>
      </c>
      <c r="N25" s="11" t="n">
        <f aca="false">('Base votos'!I24)/'Base votos'!R24</f>
        <v>0.133040005683169</v>
      </c>
      <c r="O25" s="11" t="n">
        <f aca="false">('Base votos'!I57)/'Base votos'!R57</f>
        <v>0.0645560579079197</v>
      </c>
      <c r="P25" s="12" t="n">
        <f aca="false">(O25-N25)*100</f>
        <v>-6.84839477752495</v>
      </c>
      <c r="Q25" s="11" t="n">
        <f aca="false">('Base votos'!J24)/'Base votos'!R24</f>
        <v>0.0169635462975548</v>
      </c>
      <c r="R25" s="11" t="n">
        <f aca="false">('Base votos'!J57)/'Base votos'!R57</f>
        <v>0.012189366865961</v>
      </c>
      <c r="S25" s="12" t="n">
        <f aca="false">(R25-Q25)*100</f>
        <v>-0.477417943159378</v>
      </c>
      <c r="T25" s="11" t="n">
        <f aca="false">('Base votos'!K24)/'Base votos'!R24</f>
        <v>0.0188530702899681</v>
      </c>
      <c r="U25" s="11" t="n">
        <f aca="false">('Base votos'!K57)/'Base votos'!R57</f>
        <v>0.100842951855964</v>
      </c>
      <c r="V25" s="12" t="n">
        <f aca="false">(U25-T25)*100</f>
        <v>8.19898815659958</v>
      </c>
      <c r="W25" s="11" t="n">
        <f aca="false">('Base votos'!D24+'Base votos'!E24)/'Base votos'!R24</f>
        <v>0.542891545864181</v>
      </c>
      <c r="X25" s="11" t="n">
        <f aca="false">('Base votos'!D57+'Base votos'!E57)/'Base votos'!R57</f>
        <v>0.551546150687893</v>
      </c>
      <c r="Y25" s="12" t="n">
        <f aca="false">(X25-W25)*100</f>
        <v>0.865460482371272</v>
      </c>
      <c r="Z25" s="11" t="n">
        <f aca="false">('Base votos'!H24+'Base votos'!I24+'Base votos'!J24)/'Base votos'!R24</f>
        <v>0.314783668154822</v>
      </c>
      <c r="AA25" s="11" t="n">
        <f aca="false">('Base votos'!H57+'Base votos'!I57+'Base votos'!J57)/'Base votos'!R57</f>
        <v>0.217479027936028</v>
      </c>
      <c r="AB25" s="12" t="n">
        <f aca="false">(AA25-Z25)*100</f>
        <v>-9.7304640218794</v>
      </c>
    </row>
    <row r="26" customFormat="false" ht="15" hidden="false" customHeight="false" outlineLevel="0" collapsed="false">
      <c r="A26" s="14" t="s">
        <v>103</v>
      </c>
      <c r="B26" s="11" t="n">
        <f aca="false">('Base votos'!D25)/'Base votos'!R25</f>
        <v>0.338347177238065</v>
      </c>
      <c r="C26" s="11" t="n">
        <f aca="false">('Base votos'!D58)/'Base votos'!R58</f>
        <v>0.397380131280684</v>
      </c>
      <c r="D26" s="12" t="n">
        <f aca="false">(C26-B26)*100</f>
        <v>5.90329540426189</v>
      </c>
      <c r="E26" s="11" t="n">
        <f aca="false">('Base votos'!E25)/'Base votos'!R25</f>
        <v>0.052223558337015</v>
      </c>
      <c r="F26" s="11" t="n">
        <f aca="false">('Base votos'!E58)/'Base votos'!R58</f>
        <v>0.0513993916901526</v>
      </c>
      <c r="G26" s="12" t="n">
        <f aca="false">(F26-E26)*100</f>
        <v>-0.0824166646862329</v>
      </c>
      <c r="H26" s="11" t="n">
        <f aca="false">('Base votos'!F25)/'Base votos'!R25</f>
        <v>0.0107347558567178</v>
      </c>
      <c r="I26" s="11" t="n">
        <f aca="false">('Base votos'!F58)/'Base votos'!R58</f>
        <v>0.0619766951343419</v>
      </c>
      <c r="J26" s="12" t="n">
        <f aca="false">(I26-H26)*100</f>
        <v>5.12419392776242</v>
      </c>
      <c r="K26" s="11" t="n">
        <f aca="false">('Base votos'!H25)/'Base votos'!R25</f>
        <v>0.315522045406447</v>
      </c>
      <c r="L26" s="11" t="n">
        <f aca="false">('Base votos'!H58)/'Base votos'!R58</f>
        <v>0.302270574775659</v>
      </c>
      <c r="M26" s="12" t="n">
        <f aca="false">(L26-K26)*100</f>
        <v>-1.3251470630788</v>
      </c>
      <c r="N26" s="11" t="n">
        <f aca="false">('Base votos'!I25)/'Base votos'!R25</f>
        <v>0.12911647702614</v>
      </c>
      <c r="O26" s="11" t="n">
        <f aca="false">('Base votos'!I58)/'Base votos'!R58</f>
        <v>0.0542529984619905</v>
      </c>
      <c r="P26" s="12" t="n">
        <f aca="false">(O26-N26)*100</f>
        <v>-7.48634785641496</v>
      </c>
      <c r="Q26" s="11" t="n">
        <f aca="false">('Base votos'!J25)/'Base votos'!R25</f>
        <v>0.0139424066255689</v>
      </c>
      <c r="R26" s="11" t="n">
        <f aca="false">('Base votos'!J58)/'Base votos'!R58</f>
        <v>0.0123861470809827</v>
      </c>
      <c r="S26" s="12" t="n">
        <f aca="false">(R26-Q26)*100</f>
        <v>-0.155625954458626</v>
      </c>
      <c r="T26" s="11" t="n">
        <f aca="false">('Base votos'!K25)/'Base votos'!R25</f>
        <v>0.0096005211822958</v>
      </c>
      <c r="U26" s="11" t="n">
        <f aca="false">('Base votos'!K58)/'Base votos'!R58</f>
        <v>0.0952983196794637</v>
      </c>
      <c r="V26" s="12" t="n">
        <f aca="false">(U26-T26)*100</f>
        <v>8.56977984971679</v>
      </c>
      <c r="W26" s="11" t="n">
        <f aca="false">('Base votos'!D25+'Base votos'!E25)/'Base votos'!R25</f>
        <v>0.39057073557508</v>
      </c>
      <c r="X26" s="11" t="n">
        <f aca="false">('Base votos'!D58+'Base votos'!E58)/'Base votos'!R58</f>
        <v>0.448779522970837</v>
      </c>
      <c r="Y26" s="12" t="n">
        <f aca="false">(X26-W26)*100</f>
        <v>5.82087873957565</v>
      </c>
      <c r="Z26" s="11" t="n">
        <f aca="false">('Base votos'!H25+'Base votos'!I25+'Base votos'!J25)/'Base votos'!R25</f>
        <v>0.458580929058156</v>
      </c>
      <c r="AA26" s="11" t="n">
        <f aca="false">('Base votos'!H58+'Base votos'!I58+'Base votos'!J58)/'Base votos'!R58</f>
        <v>0.368909720318632</v>
      </c>
      <c r="AB26" s="12" t="n">
        <f aca="false">(AA26-Z26)*100</f>
        <v>-8.96712087395239</v>
      </c>
    </row>
    <row r="27" customFormat="false" ht="15" hidden="false" customHeight="false" outlineLevel="0" collapsed="false">
      <c r="A27" s="14" t="s">
        <v>104</v>
      </c>
      <c r="B27" s="11" t="n">
        <f aca="false">('Base votos'!D26)/'Base votos'!R26</f>
        <v>0.56951636487571</v>
      </c>
      <c r="C27" s="11" t="n">
        <f aca="false">('Base votos'!D59)/'Base votos'!R59</f>
        <v>0.509630901080039</v>
      </c>
      <c r="D27" s="12" t="n">
        <f aca="false">(C27-B27)*100</f>
        <v>-5.98854637956715</v>
      </c>
      <c r="E27" s="11" t="n">
        <f aca="false">('Base votos'!E26)/'Base votos'!R26</f>
        <v>0.0635671251250591</v>
      </c>
      <c r="F27" s="11" t="n">
        <f aca="false">('Base votos'!E59)/'Base votos'!R59</f>
        <v>0.0538713986111195</v>
      </c>
      <c r="G27" s="12" t="n">
        <f aca="false">(F27-E27)*100</f>
        <v>-0.969572651393959</v>
      </c>
      <c r="H27" s="11" t="n">
        <f aca="false">('Base votos'!F26)/'Base votos'!R26</f>
        <v>0.0153053091021032</v>
      </c>
      <c r="I27" s="11" t="n">
        <f aca="false">('Base votos'!F59)/'Base votos'!R59</f>
        <v>0.168241899708081</v>
      </c>
      <c r="J27" s="12" t="n">
        <f aca="false">(I27-H27)*100</f>
        <v>15.2936590605978</v>
      </c>
      <c r="K27" s="11" t="n">
        <f aca="false">('Base votos'!H26)/'Base votos'!R26</f>
        <v>0.131608892113856</v>
      </c>
      <c r="L27" s="11" t="n">
        <f aca="false">('Base votos'!H59)/'Base votos'!R59</f>
        <v>0.113125464622228</v>
      </c>
      <c r="M27" s="12" t="n">
        <f aca="false">(L27-K27)*100</f>
        <v>-1.84834274916279</v>
      </c>
      <c r="N27" s="11" t="n">
        <f aca="false">('Base votos'!I26)/'Base votos'!R26</f>
        <v>0.0824799080884374</v>
      </c>
      <c r="O27" s="11" t="n">
        <f aca="false">('Base votos'!I59)/'Base votos'!R59</f>
        <v>0.041104335265356</v>
      </c>
      <c r="P27" s="12" t="n">
        <f aca="false">(O27-N27)*100</f>
        <v>-4.13755728230814</v>
      </c>
      <c r="Q27" s="11" t="n">
        <f aca="false">('Base votos'!J26)/'Base votos'!R26</f>
        <v>0.0179013160064646</v>
      </c>
      <c r="R27" s="11" t="n">
        <f aca="false">('Base votos'!J59)/'Base votos'!R59</f>
        <v>0.0137800153514206</v>
      </c>
      <c r="S27" s="12" t="n">
        <f aca="false">(R27-Q27)*100</f>
        <v>-0.412130065504398</v>
      </c>
      <c r="T27" s="11" t="n">
        <f aca="false">('Base votos'!K26)/'Base votos'!R26</f>
        <v>0.00994838220257924</v>
      </c>
      <c r="U27" s="11" t="n">
        <f aca="false">('Base votos'!K59)/'Base votos'!R59</f>
        <v>0.0772285246317774</v>
      </c>
      <c r="V27" s="12" t="n">
        <f aca="false">(U27-T27)*100</f>
        <v>6.72801424291982</v>
      </c>
      <c r="W27" s="11" t="n">
        <f aca="false">('Base votos'!D26+'Base votos'!E26)/'Base votos'!R26</f>
        <v>0.63308349000077</v>
      </c>
      <c r="X27" s="11" t="n">
        <f aca="false">('Base votos'!D59+'Base votos'!E59)/'Base votos'!R59</f>
        <v>0.563502299691158</v>
      </c>
      <c r="Y27" s="12" t="n">
        <f aca="false">(X27-W27)*100</f>
        <v>-6.95811903096112</v>
      </c>
      <c r="Z27" s="11" t="n">
        <f aca="false">('Base votos'!H26+'Base votos'!I26+'Base votos'!J26)/'Base votos'!R26</f>
        <v>0.231990116208758</v>
      </c>
      <c r="AA27" s="11" t="n">
        <f aca="false">('Base votos'!H59+'Base votos'!I59+'Base votos'!J59)/'Base votos'!R59</f>
        <v>0.168009815239005</v>
      </c>
      <c r="AB27" s="12" t="n">
        <f aca="false">(AA27-Z27)*100</f>
        <v>-6.39803009697533</v>
      </c>
    </row>
    <row r="28" customFormat="false" ht="15" hidden="false" customHeight="false" outlineLevel="0" collapsed="false">
      <c r="A28" s="14" t="s">
        <v>105</v>
      </c>
      <c r="B28" s="11" t="n">
        <f aca="false">('Base votos'!D27)/'Base votos'!R27</f>
        <v>0.322908456433856</v>
      </c>
      <c r="C28" s="11" t="n">
        <f aca="false">('Base votos'!D60)/'Base votos'!R60</f>
        <v>0.284332871223644</v>
      </c>
      <c r="D28" s="12" t="n">
        <f aca="false">(C28-B28)*100</f>
        <v>-3.85755852102122</v>
      </c>
      <c r="E28" s="11" t="n">
        <f aca="false">('Base votos'!E27)/'Base votos'!R27</f>
        <v>0.0735885815260227</v>
      </c>
      <c r="F28" s="11" t="n">
        <f aca="false">('Base votos'!E60)/'Base votos'!R60</f>
        <v>0.0477529611374047</v>
      </c>
      <c r="G28" s="12" t="n">
        <f aca="false">(F28-E28)*100</f>
        <v>-2.5835620388618</v>
      </c>
      <c r="H28" s="11" t="n">
        <f aca="false">('Base votos'!F27)/'Base votos'!R27</f>
        <v>0.0251177506292746</v>
      </c>
      <c r="I28" s="11" t="n">
        <f aca="false">('Base votos'!F60)/'Base votos'!R60</f>
        <v>0.273057785181943</v>
      </c>
      <c r="J28" s="12" t="n">
        <f aca="false">(I28-H28)*100</f>
        <v>24.7940034552668</v>
      </c>
      <c r="K28" s="11" t="n">
        <f aca="false">('Base votos'!H27)/'Base votos'!R27</f>
        <v>0.202532671429661</v>
      </c>
      <c r="L28" s="11" t="n">
        <f aca="false">('Base votos'!H60)/'Base votos'!R60</f>
        <v>0.157206349299296</v>
      </c>
      <c r="M28" s="12" t="n">
        <f aca="false">(L28-K28)*100</f>
        <v>-4.53263221303648</v>
      </c>
      <c r="N28" s="11" t="n">
        <f aca="false">('Base votos'!I27)/'Base votos'!R27</f>
        <v>0.169715841193969</v>
      </c>
      <c r="O28" s="11" t="n">
        <f aca="false">('Base votos'!I60)/'Base votos'!R60</f>
        <v>0.080245323152281</v>
      </c>
      <c r="P28" s="12" t="n">
        <f aca="false">(O28-N28)*100</f>
        <v>-8.94705180416881</v>
      </c>
      <c r="Q28" s="11" t="n">
        <f aca="false">('Base votos'!J27)/'Base votos'!R27</f>
        <v>0.0488696893036028</v>
      </c>
      <c r="R28" s="11" t="n">
        <f aca="false">('Base votos'!J60)/'Base votos'!R60</f>
        <v>0.017231762892348</v>
      </c>
      <c r="S28" s="12" t="n">
        <f aca="false">(R28-Q28)*100</f>
        <v>-3.16379264112548</v>
      </c>
      <c r="T28" s="11" t="n">
        <f aca="false">('Base votos'!K27)/'Base votos'!R27</f>
        <v>0.0145797843939895</v>
      </c>
      <c r="U28" s="11" t="n">
        <f aca="false">('Base votos'!K60)/'Base votos'!R60</f>
        <v>0.107452946059063</v>
      </c>
      <c r="V28" s="12" t="n">
        <f aca="false">(U28-T28)*100</f>
        <v>9.28731616650737</v>
      </c>
      <c r="W28" s="11" t="n">
        <f aca="false">('Base votos'!D27+'Base votos'!E27)/'Base votos'!R27</f>
        <v>0.396497037959879</v>
      </c>
      <c r="X28" s="11" t="n">
        <f aca="false">('Base votos'!D60+'Base votos'!E60)/'Base votos'!R60</f>
        <v>0.332085832361049</v>
      </c>
      <c r="Y28" s="12" t="n">
        <f aca="false">(X28-W28)*100</f>
        <v>-6.44112055988302</v>
      </c>
      <c r="Z28" s="11" t="n">
        <f aca="false">('Base votos'!H27+'Base votos'!I27+'Base votos'!J27)/'Base votos'!R27</f>
        <v>0.421118201927233</v>
      </c>
      <c r="AA28" s="11" t="n">
        <f aca="false">('Base votos'!H60+'Base votos'!I60+'Base votos'!J60)/'Base votos'!R60</f>
        <v>0.254683435343925</v>
      </c>
      <c r="AB28" s="12" t="n">
        <f aca="false">(AA28-Z28)*100</f>
        <v>-16.6434766583308</v>
      </c>
    </row>
    <row r="29" customFormat="false" ht="15" hidden="false" customHeight="false" outlineLevel="0" collapsed="false">
      <c r="A29" s="14" t="s">
        <v>106</v>
      </c>
      <c r="B29" s="11" t="n">
        <f aca="false">('Base votos'!D28)/'Base votos'!R28</f>
        <v>0.548257745499498</v>
      </c>
      <c r="C29" s="11" t="n">
        <f aca="false">('Base votos'!D61)/'Base votos'!R61</f>
        <v>0.540181800954425</v>
      </c>
      <c r="D29" s="12" t="n">
        <f aca="false">(C29-B29)*100</f>
        <v>-0.807594454507288</v>
      </c>
      <c r="E29" s="11" t="n">
        <f aca="false">('Base votos'!E28)/'Base votos'!R28</f>
        <v>0.0659028046048057</v>
      </c>
      <c r="F29" s="11" t="n">
        <f aca="false">('Base votos'!E61)/'Base votos'!R61</f>
        <v>0.051181149731615</v>
      </c>
      <c r="G29" s="12" t="n">
        <f aca="false">(F29-E29)*100</f>
        <v>-1.47216548731907</v>
      </c>
      <c r="H29" s="11" t="n">
        <f aca="false">('Base votos'!F28)/'Base votos'!R28</f>
        <v>0.00978984779417446</v>
      </c>
      <c r="I29" s="11" t="n">
        <f aca="false">('Base votos'!F61)/'Base votos'!R61</f>
        <v>0.0645590409428142</v>
      </c>
      <c r="J29" s="12" t="n">
        <f aca="false">(I29-H29)*100</f>
        <v>5.47691931486398</v>
      </c>
      <c r="K29" s="11" t="n">
        <f aca="false">('Base votos'!H28)/'Base votos'!R28</f>
        <v>0.10339334002936</v>
      </c>
      <c r="L29" s="11" t="n">
        <f aca="false">('Base votos'!H61)/'Base votos'!R61</f>
        <v>0.119073759631104</v>
      </c>
      <c r="M29" s="12" t="n">
        <f aca="false">(L29-K29)*100</f>
        <v>1.56804196017446</v>
      </c>
      <c r="N29" s="11" t="n">
        <f aca="false">('Base votos'!I28)/'Base votos'!R28</f>
        <v>0.162675577532257</v>
      </c>
      <c r="O29" s="11" t="n">
        <f aca="false">('Base votos'!I61)/'Base votos'!R61</f>
        <v>0.114128677416104</v>
      </c>
      <c r="P29" s="12" t="n">
        <f aca="false">(O29-N29)*100</f>
        <v>-4.85469001161525</v>
      </c>
      <c r="Q29" s="11" t="n">
        <f aca="false">('Base votos'!J28)/'Base votos'!R28</f>
        <v>0.0124538360503747</v>
      </c>
      <c r="R29" s="11" t="n">
        <f aca="false">('Base votos'!J61)/'Base votos'!R61</f>
        <v>0.0122228355113453</v>
      </c>
      <c r="S29" s="12" t="n">
        <f aca="false">(R29-Q29)*100</f>
        <v>-0.0231000539029455</v>
      </c>
      <c r="T29" s="11" t="n">
        <f aca="false">('Base votos'!K28)/'Base votos'!R28</f>
        <v>0.0108282469288418</v>
      </c>
      <c r="U29" s="11" t="n">
        <f aca="false">('Base votos'!K61)/'Base votos'!R61</f>
        <v>0.0776000409082227</v>
      </c>
      <c r="V29" s="12" t="n">
        <f aca="false">(U29-T29)*100</f>
        <v>6.67717939793809</v>
      </c>
      <c r="W29" s="11" t="n">
        <f aca="false">('Base votos'!D28+'Base votos'!E28)/'Base votos'!R28</f>
        <v>0.614160550104304</v>
      </c>
      <c r="X29" s="11" t="n">
        <f aca="false">('Base votos'!D61+'Base votos'!E61)/'Base votos'!R61</f>
        <v>0.59136295068604</v>
      </c>
      <c r="Y29" s="12" t="n">
        <f aca="false">(X29-W29)*100</f>
        <v>-2.27975994182635</v>
      </c>
      <c r="Z29" s="11" t="n">
        <f aca="false">('Base votos'!H28+'Base votos'!I28+'Base votos'!J28)/'Base votos'!R28</f>
        <v>0.278522753611991</v>
      </c>
      <c r="AA29" s="11" t="n">
        <f aca="false">('Base votos'!H61+'Base votos'!I61+'Base votos'!J61)/'Base votos'!R61</f>
        <v>0.245425272558554</v>
      </c>
      <c r="AB29" s="12" t="n">
        <f aca="false">(AA29-Z29)*100</f>
        <v>-3.30974810534374</v>
      </c>
    </row>
    <row r="30" customFormat="false" ht="15" hidden="false" customHeight="false" outlineLevel="0" collapsed="false">
      <c r="A30" s="14" t="s">
        <v>107</v>
      </c>
      <c r="B30" s="11" t="n">
        <f aca="false">('Base votos'!D29)/'Base votos'!R29</f>
        <v>0.507397402321404</v>
      </c>
      <c r="C30" s="11" t="n">
        <f aca="false">('Base votos'!D62)/'Base votos'!R62</f>
        <v>0.505592053975441</v>
      </c>
      <c r="D30" s="12" t="n">
        <f aca="false">(C30-B30)*100</f>
        <v>-0.180534834596335</v>
      </c>
      <c r="E30" s="11" t="n">
        <f aca="false">('Base votos'!E29)/'Base votos'!R29</f>
        <v>0.0679621166527888</v>
      </c>
      <c r="F30" s="11" t="n">
        <f aca="false">('Base votos'!E62)/'Base votos'!R62</f>
        <v>0.0664358334490623</v>
      </c>
      <c r="G30" s="12" t="n">
        <f aca="false">(F30-E30)*100</f>
        <v>-0.152628320372647</v>
      </c>
      <c r="H30" s="11" t="n">
        <f aca="false">('Base votos'!F29)/'Base votos'!R29</f>
        <v>0.00917129490952827</v>
      </c>
      <c r="I30" s="11" t="n">
        <f aca="false">('Base votos'!F62)/'Base votos'!R62</f>
        <v>0.0671532112882215</v>
      </c>
      <c r="J30" s="12" t="n">
        <f aca="false">(I30-H30)*100</f>
        <v>5.79819163786932</v>
      </c>
      <c r="K30" s="11" t="n">
        <f aca="false">('Base votos'!H29)/'Base votos'!R29</f>
        <v>0.129928815288911</v>
      </c>
      <c r="L30" s="11" t="n">
        <f aca="false">('Base votos'!H62)/'Base votos'!R62</f>
        <v>0.125219068618639</v>
      </c>
      <c r="M30" s="12" t="n">
        <f aca="false">(L30-K30)*100</f>
        <v>-0.470974667027266</v>
      </c>
      <c r="N30" s="11" t="n">
        <f aca="false">('Base votos'!I29)/'Base votos'!R29</f>
        <v>0.14878438205057</v>
      </c>
      <c r="O30" s="11" t="n">
        <f aca="false">('Base votos'!I62)/'Base votos'!R62</f>
        <v>0.108692966544803</v>
      </c>
      <c r="P30" s="12" t="n">
        <f aca="false">(O30-N30)*100</f>
        <v>-4.00914155057671</v>
      </c>
      <c r="Q30" s="11" t="n">
        <f aca="false">('Base votos'!J29)/'Base votos'!R29</f>
        <v>0.0100241190766049</v>
      </c>
      <c r="R30" s="11" t="n">
        <f aca="false">('Base votos'!J62)/'Base votos'!R62</f>
        <v>0.0139471202221315</v>
      </c>
      <c r="S30" s="12" t="n">
        <f aca="false">(R30-Q30)*100</f>
        <v>0.392300114552667</v>
      </c>
      <c r="T30" s="11" t="n">
        <f aca="false">('Base votos'!K29)/'Base votos'!R29</f>
        <v>0.0132741944200933</v>
      </c>
      <c r="U30" s="11" t="n">
        <f aca="false">('Base votos'!K62)/'Base votos'!R62</f>
        <v>0.0918098795367545</v>
      </c>
      <c r="V30" s="12" t="n">
        <f aca="false">(U30-T30)*100</f>
        <v>7.85356851166612</v>
      </c>
      <c r="W30" s="11" t="n">
        <f aca="false">('Base votos'!D29+'Base votos'!E29)/'Base votos'!R29</f>
        <v>0.575359518974193</v>
      </c>
      <c r="X30" s="11" t="n">
        <f aca="false">('Base votos'!D62+'Base votos'!E62)/'Base votos'!R62</f>
        <v>0.572027887424503</v>
      </c>
      <c r="Y30" s="12" t="n">
        <f aca="false">(X30-W30)*100</f>
        <v>-0.333163154968985</v>
      </c>
      <c r="Z30" s="11" t="n">
        <f aca="false">('Base votos'!H29+'Base votos'!I29+'Base votos'!J29)/'Base votos'!R29</f>
        <v>0.288737316416087</v>
      </c>
      <c r="AA30" s="11" t="n">
        <f aca="false">('Base votos'!H62+'Base votos'!I62+'Base votos'!J62)/'Base votos'!R62</f>
        <v>0.247859155385574</v>
      </c>
      <c r="AB30" s="12" t="n">
        <f aca="false">(AA30-Z30)*100</f>
        <v>-4.0878161030513</v>
      </c>
    </row>
    <row r="31" customFormat="false" ht="15" hidden="false" customHeight="false" outlineLevel="0" collapsed="false">
      <c r="A31" s="14" t="s">
        <v>108</v>
      </c>
      <c r="B31" s="11" t="n">
        <f aca="false">('Base votos'!D30)/'Base votos'!R30</f>
        <v>0.733187047454084</v>
      </c>
      <c r="C31" s="11" t="n">
        <f aca="false">('Base votos'!D63)/'Base votos'!R63</f>
        <v>0.677355765389798</v>
      </c>
      <c r="D31" s="12" t="n">
        <f aca="false">(C31-B31)*100</f>
        <v>-5.58312820642867</v>
      </c>
      <c r="E31" s="11" t="n">
        <f aca="false">('Base votos'!E30)/'Base votos'!R30</f>
        <v>0.0411202111846242</v>
      </c>
      <c r="F31" s="11" t="n">
        <f aca="false">('Base votos'!E63)/'Base votos'!R63</f>
        <v>0.0678428475378388</v>
      </c>
      <c r="G31" s="12" t="n">
        <f aca="false">(F31-E31)*100</f>
        <v>2.67226363532147</v>
      </c>
      <c r="H31" s="11" t="n">
        <f aca="false">('Base votos'!F30)/'Base votos'!R30</f>
        <v>0.0115701859940292</v>
      </c>
      <c r="I31" s="11" t="n">
        <f aca="false">('Base votos'!F63)/'Base votos'!R63</f>
        <v>0.0601354935947095</v>
      </c>
      <c r="J31" s="12" t="n">
        <f aca="false">(I31-H31)*100</f>
        <v>4.85653076006803</v>
      </c>
      <c r="K31" s="11" t="n">
        <f aca="false">('Base votos'!H30)/'Base votos'!R30</f>
        <v>0.0199775991072953</v>
      </c>
      <c r="L31" s="11" t="n">
        <f aca="false">('Base votos'!H63)/'Base votos'!R63</f>
        <v>0.0301642458130648</v>
      </c>
      <c r="M31" s="12" t="n">
        <f aca="false">(L31-K31)*100</f>
        <v>1.01866467057695</v>
      </c>
      <c r="N31" s="11" t="n">
        <f aca="false">('Base votos'!I30)/'Base votos'!R30</f>
        <v>0.0721325400030812</v>
      </c>
      <c r="O31" s="11" t="n">
        <f aca="false">('Base votos'!I63)/'Base votos'!R63</f>
        <v>0.0343949421948454</v>
      </c>
      <c r="P31" s="12" t="n">
        <f aca="false">(O31-N31)*100</f>
        <v>-3.77375978082357</v>
      </c>
      <c r="Q31" s="11" t="n">
        <f aca="false">('Base votos'!J30)/'Base votos'!R30</f>
        <v>0.0485658015813864</v>
      </c>
      <c r="R31" s="11" t="n">
        <f aca="false">('Base votos'!J63)/'Base votos'!R63</f>
        <v>0.0467845181467521</v>
      </c>
      <c r="S31" s="12" t="n">
        <f aca="false">(R31-Q31)*100</f>
        <v>-0.178128343463432</v>
      </c>
      <c r="T31" s="11" t="n">
        <f aca="false">('Base votos'!K30)/'Base votos'!R30</f>
        <v>0.00752137036836561</v>
      </c>
      <c r="U31" s="11" t="n">
        <f aca="false">('Base votos'!K63)/'Base votos'!R63</f>
        <v>0.0592620652943759</v>
      </c>
      <c r="V31" s="12" t="n">
        <f aca="false">(U31-T31)*100</f>
        <v>5.17406949260103</v>
      </c>
      <c r="W31" s="11" t="n">
        <f aca="false">('Base votos'!D30+'Base votos'!E30)/'Base votos'!R30</f>
        <v>0.774307258638709</v>
      </c>
      <c r="X31" s="11" t="n">
        <f aca="false">('Base votos'!D63+'Base votos'!E63)/'Base votos'!R63</f>
        <v>0.745198612927637</v>
      </c>
      <c r="Y31" s="12" t="n">
        <f aca="false">(X31-W31)*100</f>
        <v>-2.9108645711072</v>
      </c>
      <c r="Z31" s="11" t="n">
        <f aca="false">('Base votos'!H30+'Base votos'!I30+'Base votos'!J30)/'Base votos'!R30</f>
        <v>0.140675940691763</v>
      </c>
      <c r="AA31" s="11" t="n">
        <f aca="false">('Base votos'!H63+'Base votos'!I63+'Base votos'!J63)/'Base votos'!R63</f>
        <v>0.111343706154662</v>
      </c>
      <c r="AB31" s="12" t="n">
        <f aca="false">(AA31-Z31)*100</f>
        <v>-2.93322345371006</v>
      </c>
    </row>
    <row r="32" customFormat="false" ht="15" hidden="false" customHeight="false" outlineLevel="0" collapsed="false">
      <c r="A32" s="14" t="s">
        <v>109</v>
      </c>
      <c r="B32" s="11" t="n">
        <f aca="false">('Base votos'!D31)/'Base votos'!R31</f>
        <v>0.405805031638798</v>
      </c>
      <c r="C32" s="11" t="n">
        <f aca="false">('Base votos'!D64)/'Base votos'!R64</f>
        <v>0.523705021395178</v>
      </c>
      <c r="D32" s="12" t="n">
        <f aca="false">(C32-B32)*100</f>
        <v>11.789998975638</v>
      </c>
      <c r="E32" s="11" t="n">
        <f aca="false">('Base votos'!E31)/'Base votos'!R31</f>
        <v>0.0532375508207746</v>
      </c>
      <c r="F32" s="11" t="n">
        <f aca="false">('Base votos'!E64)/'Base votos'!R64</f>
        <v>0.0439008523022491</v>
      </c>
      <c r="G32" s="12" t="n">
        <f aca="false">(F32-E32)*100</f>
        <v>-0.933669851852553</v>
      </c>
      <c r="H32" s="11" t="n">
        <f aca="false">('Base votos'!F31)/'Base votos'!R31</f>
        <v>0.00576651484119463</v>
      </c>
      <c r="I32" s="11" t="n">
        <f aca="false">('Base votos'!F64)/'Base votos'!R64</f>
        <v>0.0557196976451469</v>
      </c>
      <c r="J32" s="12" t="n">
        <f aca="false">(I32-H32)*100</f>
        <v>4.99531828039522</v>
      </c>
      <c r="K32" s="11" t="n">
        <f aca="false">('Base votos'!H31)/'Base votos'!R31</f>
        <v>0.271449882309785</v>
      </c>
      <c r="L32" s="11" t="n">
        <f aca="false">('Base votos'!H64)/'Base votos'!R64</f>
        <v>0.2144203317836</v>
      </c>
      <c r="M32" s="12" t="n">
        <f aca="false">(L32-K32)*100</f>
        <v>-5.70295505261854</v>
      </c>
      <c r="N32" s="11" t="n">
        <f aca="false">('Base votos'!I31)/'Base votos'!R31</f>
        <v>0.129197566716596</v>
      </c>
      <c r="O32" s="11" t="n">
        <f aca="false">('Base votos'!I64)/'Base votos'!R64</f>
        <v>0.0407261632379246</v>
      </c>
      <c r="P32" s="12" t="n">
        <f aca="false">(O32-N32)*100</f>
        <v>-8.84714034786713</v>
      </c>
      <c r="Q32" s="11" t="n">
        <f aca="false">('Base votos'!J31)/'Base votos'!R31</f>
        <v>0.00892611500015285</v>
      </c>
      <c r="R32" s="11" t="n">
        <f aca="false">('Base votos'!J64)/'Base votos'!R64</f>
        <v>0.00755272240501605</v>
      </c>
      <c r="S32" s="12" t="n">
        <f aca="false">(R32-Q32)*100</f>
        <v>-0.13733925951368</v>
      </c>
      <c r="T32" s="11" t="n">
        <f aca="false">('Base votos'!K31)/'Base votos'!R31</f>
        <v>0.0101513159905848</v>
      </c>
      <c r="U32" s="11" t="n">
        <f aca="false">('Base votos'!K64)/'Base votos'!R64</f>
        <v>0.0937882962625</v>
      </c>
      <c r="V32" s="12" t="n">
        <f aca="false">(U32-T32)*100</f>
        <v>8.36369802719152</v>
      </c>
      <c r="W32" s="11" t="n">
        <f aca="false">('Base votos'!D31+'Base votos'!E31)/'Base votos'!R31</f>
        <v>0.459042582459573</v>
      </c>
      <c r="X32" s="11" t="n">
        <f aca="false">('Base votos'!D64+'Base votos'!E64)/'Base votos'!R64</f>
        <v>0.567605873697427</v>
      </c>
      <c r="Y32" s="12" t="n">
        <f aca="false">(X32-W32)*100</f>
        <v>10.8563291237855</v>
      </c>
      <c r="Z32" s="11" t="n">
        <f aca="false">('Base votos'!H31+'Base votos'!I31+'Base votos'!J31)/'Base votos'!R31</f>
        <v>0.409573564026534</v>
      </c>
      <c r="AA32" s="11" t="n">
        <f aca="false">('Base votos'!H64+'Base votos'!I64+'Base votos'!J64)/'Base votos'!R64</f>
        <v>0.26269921742654</v>
      </c>
      <c r="AB32" s="12" t="n">
        <f aca="false">(AA32-Z32)*100</f>
        <v>-14.6874346599993</v>
      </c>
    </row>
    <row r="33" customFormat="false" ht="15" hidden="false" customHeight="false" outlineLevel="0" collapsed="false">
      <c r="A33" s="14" t="s">
        <v>110</v>
      </c>
      <c r="B33" s="11" t="n">
        <f aca="false">('Base votos'!D32)/'Base votos'!R32</f>
        <v>0.591276478509085</v>
      </c>
      <c r="C33" s="11" t="n">
        <f aca="false">('Base votos'!D65)/'Base votos'!R65</f>
        <v>0.49559760310948</v>
      </c>
      <c r="D33" s="12" t="n">
        <f aca="false">(C33-B33)*100</f>
        <v>-9.56788753996055</v>
      </c>
      <c r="E33" s="11" t="n">
        <f aca="false">('Base votos'!E32)/'Base votos'!R32</f>
        <v>0.0820087965544112</v>
      </c>
      <c r="F33" s="11" t="n">
        <f aca="false">('Base votos'!E65)/'Base votos'!R65</f>
        <v>0.104614284171885</v>
      </c>
      <c r="G33" s="12" t="n">
        <f aca="false">(F33-E33)*100</f>
        <v>2.2605487617474</v>
      </c>
      <c r="H33" s="11" t="n">
        <f aca="false">('Base votos'!F32)/'Base votos'!R32</f>
        <v>0.00697562200247138</v>
      </c>
      <c r="I33" s="11" t="n">
        <f aca="false">('Base votos'!F65)/'Base votos'!R65</f>
        <v>0.0918281688620169</v>
      </c>
      <c r="J33" s="12" t="n">
        <f aca="false">(I33-H33)*100</f>
        <v>8.48525468595455</v>
      </c>
      <c r="K33" s="11" t="n">
        <f aca="false">('Base votos'!H32)/'Base votos'!R32</f>
        <v>0.0887235866988794</v>
      </c>
      <c r="L33" s="11" t="n">
        <f aca="false">('Base votos'!H65)/'Base votos'!R65</f>
        <v>0.0714060138199093</v>
      </c>
      <c r="M33" s="12" t="n">
        <f aca="false">(L33-K33)*100</f>
        <v>-1.73175728789701</v>
      </c>
      <c r="N33" s="11" t="n">
        <f aca="false">('Base votos'!I32)/'Base votos'!R32</f>
        <v>0.109044018636436</v>
      </c>
      <c r="O33" s="11" t="n">
        <f aca="false">('Base votos'!I65)/'Base votos'!R65</f>
        <v>0.0633421507233859</v>
      </c>
      <c r="P33" s="12" t="n">
        <f aca="false">(O33-N33)*100</f>
        <v>-4.57018679130504</v>
      </c>
      <c r="Q33" s="11" t="n">
        <f aca="false">('Base votos'!J32)/'Base votos'!R32</f>
        <v>0.0121042284104581</v>
      </c>
      <c r="R33" s="11" t="n">
        <f aca="false">('Base votos'!J65)/'Base votos'!R65</f>
        <v>0.0125094472036277</v>
      </c>
      <c r="S33" s="12" t="n">
        <f aca="false">(R33-Q33)*100</f>
        <v>0.0405218793169673</v>
      </c>
      <c r="T33" s="11" t="n">
        <f aca="false">('Base votos'!K32)/'Base votos'!R32</f>
        <v>0.00795374146998314</v>
      </c>
      <c r="U33" s="11" t="n">
        <f aca="false">('Base votos'!K65)/'Base votos'!R65</f>
        <v>0.139327359101706</v>
      </c>
      <c r="V33" s="12" t="n">
        <f aca="false">(U33-T33)*100</f>
        <v>13.1373617631723</v>
      </c>
      <c r="W33" s="11" t="n">
        <f aca="false">('Base votos'!D32+'Base votos'!E32)/'Base votos'!R32</f>
        <v>0.673285275063496</v>
      </c>
      <c r="X33" s="11" t="n">
        <f aca="false">('Base votos'!D65+'Base votos'!E65)/'Base votos'!R65</f>
        <v>0.600211887281365</v>
      </c>
      <c r="Y33" s="12" t="n">
        <f aca="false">(X33-W33)*100</f>
        <v>-7.30733877821315</v>
      </c>
      <c r="Z33" s="11" t="n">
        <f aca="false">('Base votos'!H32+'Base votos'!I32+'Base votos'!J32)/'Base votos'!R32</f>
        <v>0.209871833745774</v>
      </c>
      <c r="AA33" s="11" t="n">
        <f aca="false">('Base votos'!H65+'Base votos'!I65+'Base votos'!J65)/'Base votos'!R65</f>
        <v>0.147257611746923</v>
      </c>
      <c r="AB33" s="12" t="n">
        <f aca="false">(AA33-Z33)*100</f>
        <v>-6.26142219988508</v>
      </c>
    </row>
    <row r="34" customFormat="false" ht="15" hidden="false" customHeight="false" outlineLevel="0" collapsed="false">
      <c r="A34" s="14" t="s">
        <v>111</v>
      </c>
      <c r="B34" s="11" t="n">
        <f aca="false">('Base votos'!D33)/'Base votos'!R33</f>
        <v>0.487208116504345</v>
      </c>
      <c r="C34" s="11" t="n">
        <f aca="false">('Base votos'!D66)/'Base votos'!R66</f>
        <v>0.552550260656174</v>
      </c>
      <c r="D34" s="12" t="n">
        <f aca="false">(C34-B34)*100</f>
        <v>6.53421441518283</v>
      </c>
      <c r="E34" s="11" t="n">
        <f aca="false">('Base votos'!E33)/'Base votos'!R33</f>
        <v>0.0347905989067887</v>
      </c>
      <c r="F34" s="11" t="n">
        <f aca="false">('Base votos'!E66)/'Base votos'!R66</f>
        <v>0.0466048284742747</v>
      </c>
      <c r="G34" s="12" t="n">
        <f aca="false">(F34-E34)*100</f>
        <v>1.18142295674861</v>
      </c>
      <c r="H34" s="11" t="n">
        <f aca="false">('Base votos'!F33)/'Base votos'!R33</f>
        <v>0.0128201968829058</v>
      </c>
      <c r="I34" s="11" t="n">
        <f aca="false">('Base votos'!F66)/'Base votos'!R66</f>
        <v>0.0653555242423987</v>
      </c>
      <c r="J34" s="12" t="n">
        <f aca="false">(I34-H34)*100</f>
        <v>5.25353273594929</v>
      </c>
      <c r="K34" s="11" t="n">
        <f aca="false">('Base votos'!H33)/'Base votos'!R33</f>
        <v>0.22927525593467</v>
      </c>
      <c r="L34" s="11" t="n">
        <f aca="false">('Base votos'!H66)/'Base votos'!R66</f>
        <v>0.134723572174936</v>
      </c>
      <c r="M34" s="12" t="n">
        <f aca="false">(L34-K34)*100</f>
        <v>-9.45516837597331</v>
      </c>
      <c r="N34" s="11" t="n">
        <f aca="false">('Base votos'!I33)/'Base votos'!R33</f>
        <v>0.105079631401644</v>
      </c>
      <c r="O34" s="11" t="n">
        <f aca="false">('Base votos'!I66)/'Base votos'!R66</f>
        <v>0.0790757314173093</v>
      </c>
      <c r="P34" s="12" t="n">
        <f aca="false">(O34-N34)*100</f>
        <v>-2.60038999843345</v>
      </c>
      <c r="Q34" s="11" t="n">
        <f aca="false">('Base votos'!J33)/'Base votos'!R33</f>
        <v>0.033008166314934</v>
      </c>
      <c r="R34" s="11" t="n">
        <f aca="false">('Base votos'!J66)/'Base votos'!R66</f>
        <v>0.0166968018754506</v>
      </c>
      <c r="S34" s="12" t="n">
        <f aca="false">(R34-Q34)*100</f>
        <v>-1.63113644394834</v>
      </c>
      <c r="T34" s="11" t="n">
        <f aca="false">('Base votos'!K33)/'Base votos'!R33</f>
        <v>0.0131426549043768</v>
      </c>
      <c r="U34" s="11" t="n">
        <f aca="false">('Base votos'!K66)/'Base votos'!R66</f>
        <v>0.0801886882324618</v>
      </c>
      <c r="V34" s="12" t="n">
        <f aca="false">(U34-T34)*100</f>
        <v>6.7046033328085</v>
      </c>
      <c r="W34" s="11" t="n">
        <f aca="false">('Base votos'!D33+'Base votos'!E33)/'Base votos'!R33</f>
        <v>0.521998715411134</v>
      </c>
      <c r="X34" s="11" t="n">
        <f aca="false">('Base votos'!D66+'Base votos'!E66)/'Base votos'!R66</f>
        <v>0.599155089130448</v>
      </c>
      <c r="Y34" s="12" t="n">
        <f aca="false">(X34-W34)*100</f>
        <v>7.71563737193144</v>
      </c>
      <c r="Z34" s="11" t="n">
        <f aca="false">('Base votos'!H33+'Base votos'!I33+'Base votos'!J33)/'Base votos'!R33</f>
        <v>0.367363053651247</v>
      </c>
      <c r="AA34" s="11" t="n">
        <f aca="false">('Base votos'!H66+'Base votos'!I66+'Base votos'!J66)/'Base votos'!R66</f>
        <v>0.230496105467696</v>
      </c>
      <c r="AB34" s="12" t="n">
        <f aca="false">(AA34-Z34)*100</f>
        <v>-13.6866948183551</v>
      </c>
    </row>
    <row r="35" customFormat="false" ht="15" hidden="false" customHeight="false" outlineLevel="0" collapsed="false">
      <c r="A35" s="14" t="s">
        <v>112</v>
      </c>
      <c r="B35" s="11" t="n">
        <f aca="false">('Base votos'!D34)/'Base votos'!R34</f>
        <v>0.33476053271426</v>
      </c>
      <c r="C35" s="11" t="n">
        <f aca="false">('Base votos'!D67)/'Base votos'!R67</f>
        <v>0.487923111344579</v>
      </c>
      <c r="D35" s="12" t="n">
        <f aca="false">(C35-B35)*100</f>
        <v>15.3162578630318</v>
      </c>
      <c r="E35" s="11" t="n">
        <f aca="false">('Base votos'!E34)/'Base votos'!R34</f>
        <v>0.0402325988708326</v>
      </c>
      <c r="F35" s="11" t="n">
        <f aca="false">('Base votos'!E67)/'Base votos'!R67</f>
        <v>0.0561069281503531</v>
      </c>
      <c r="G35" s="12" t="n">
        <f aca="false">(F35-E35)*100</f>
        <v>1.58743292795205</v>
      </c>
      <c r="H35" s="11" t="n">
        <f aca="false">('Base votos'!F34)/'Base votos'!R34</f>
        <v>0.0182923060016209</v>
      </c>
      <c r="I35" s="11" t="n">
        <f aca="false">('Base votos'!F67)/'Base votos'!R67</f>
        <v>0.0628697056362964</v>
      </c>
      <c r="J35" s="12" t="n">
        <f aca="false">(I35-H35)*100</f>
        <v>4.45773996346755</v>
      </c>
      <c r="K35" s="11" t="n">
        <f aca="false">('Base votos'!H34)/'Base votos'!R34</f>
        <v>0.24728611755979</v>
      </c>
      <c r="L35" s="11" t="n">
        <f aca="false">('Base votos'!H67)/'Base votos'!R67</f>
        <v>0.239729955835717</v>
      </c>
      <c r="M35" s="12" t="n">
        <f aca="false">(L35-K35)*100</f>
        <v>-0.755616172407289</v>
      </c>
      <c r="N35" s="11" t="n">
        <f aca="false">('Base votos'!I34)/'Base votos'!R34</f>
        <v>0.247365104331222</v>
      </c>
      <c r="O35" s="11" t="n">
        <f aca="false">('Base votos'!I67)/'Base votos'!R67</f>
        <v>0.0574898344325765</v>
      </c>
      <c r="P35" s="12" t="n">
        <f aca="false">(O35-N35)*100</f>
        <v>-18.9875269898646</v>
      </c>
      <c r="Q35" s="11" t="n">
        <f aca="false">('Base votos'!J34)/'Base votos'!R34</f>
        <v>0.0159166929955905</v>
      </c>
      <c r="R35" s="11" t="n">
        <f aca="false">('Base votos'!J67)/'Base votos'!R67</f>
        <v>0.00679001536994883</v>
      </c>
      <c r="S35" s="12" t="n">
        <f aca="false">(R35-Q35)*100</f>
        <v>-0.912667762564165</v>
      </c>
      <c r="T35" s="11" t="n">
        <f aca="false">('Base votos'!K34)/'Base votos'!R34</f>
        <v>0.0116574172012583</v>
      </c>
      <c r="U35" s="11" t="n">
        <f aca="false">('Base votos'!K67)/'Base votos'!R67</f>
        <v>0.0684846008677212</v>
      </c>
      <c r="V35" s="12" t="n">
        <f aca="false">(U35-T35)*100</f>
        <v>5.68271836664629</v>
      </c>
      <c r="W35" s="11" t="n">
        <f aca="false">('Base votos'!D34+'Base votos'!E34)/'Base votos'!R34</f>
        <v>0.374993131585093</v>
      </c>
      <c r="X35" s="11" t="n">
        <f aca="false">('Base votos'!D67+'Base votos'!E67)/'Base votos'!R67</f>
        <v>0.544030039494932</v>
      </c>
      <c r="Y35" s="12" t="n">
        <f aca="false">(X35-W35)*100</f>
        <v>16.9036907909839</v>
      </c>
      <c r="Z35" s="11" t="n">
        <f aca="false">('Base votos'!H34+'Base votos'!I34+'Base votos'!J34)/'Base votos'!R34</f>
        <v>0.510567914886603</v>
      </c>
      <c r="AA35" s="11" t="n">
        <f aca="false">('Base votos'!H67+'Base votos'!I67+'Base votos'!J67)/'Base votos'!R67</f>
        <v>0.304009805638242</v>
      </c>
      <c r="AB35" s="12" t="n">
        <f aca="false">(AA35-Z35)*100</f>
        <v>-20.6558109248361</v>
      </c>
    </row>
    <row r="36" customFormat="false" ht="15" hidden="false" customHeight="false" outlineLevel="0" collapsed="false">
      <c r="A36" s="14" t="s">
        <v>113</v>
      </c>
      <c r="B36" s="11" t="n">
        <f aca="false">('Base votos'!D35)/'Base votos'!R35</f>
        <v>0.374190397287954</v>
      </c>
      <c r="C36" s="11" t="n">
        <f aca="false">('Base votos'!D68)/'Base votos'!R68</f>
        <v>0.368173421456941</v>
      </c>
      <c r="D36" s="12" t="n">
        <f aca="false">(C36-B36)*100</f>
        <v>-0.601697583101274</v>
      </c>
      <c r="E36" s="11" t="n">
        <f aca="false">('Base votos'!E35)/'Base votos'!R35</f>
        <v>0.0870819377684178</v>
      </c>
      <c r="F36" s="11" t="n">
        <f aca="false">('Base votos'!E68)/'Base votos'!R68</f>
        <v>0.069749697517702</v>
      </c>
      <c r="G36" s="12" t="n">
        <f aca="false">(F36-E36)*100</f>
        <v>-1.73322402507158</v>
      </c>
      <c r="H36" s="11" t="n">
        <f aca="false">('Base votos'!F35)/'Base votos'!R35</f>
        <v>0.0277756259855391</v>
      </c>
      <c r="I36" s="11" t="n">
        <f aca="false">('Base votos'!F68)/'Base votos'!R68</f>
        <v>0.0655965572721408</v>
      </c>
      <c r="J36" s="12" t="n">
        <f aca="false">(I36-H36)*100</f>
        <v>3.78209312866017</v>
      </c>
      <c r="K36" s="11" t="n">
        <f aca="false">('Base votos'!H35)/'Base votos'!R35</f>
        <v>0.153085648187658</v>
      </c>
      <c r="L36" s="11" t="n">
        <f aca="false">('Base votos'!H68)/'Base votos'!R68</f>
        <v>0.110327665406648</v>
      </c>
      <c r="M36" s="12" t="n">
        <f aca="false">(L36-K36)*100</f>
        <v>-4.27579827810109</v>
      </c>
      <c r="N36" s="11" t="n">
        <f aca="false">('Base votos'!I35)/'Base votos'!R35</f>
        <v>0.187688655649199</v>
      </c>
      <c r="O36" s="11" t="n">
        <f aca="false">('Base votos'!I68)/'Base votos'!R68</f>
        <v>0.154232290859723</v>
      </c>
      <c r="P36" s="12" t="n">
        <f aca="false">(O36-N36)*100</f>
        <v>-3.34563647894753</v>
      </c>
      <c r="Q36" s="11" t="n">
        <f aca="false">('Base votos'!J35)/'Base votos'!R35</f>
        <v>0.0390434313368932</v>
      </c>
      <c r="R36" s="11" t="n">
        <f aca="false">('Base votos'!J68)/'Base votos'!R68</f>
        <v>0.034674705225495</v>
      </c>
      <c r="S36" s="12" t="n">
        <f aca="false">(R36-Q36)*100</f>
        <v>-0.436872611139815</v>
      </c>
      <c r="T36" s="11" t="n">
        <f aca="false">('Base votos'!K35)/'Base votos'!R35</f>
        <v>0.0138005012873553</v>
      </c>
      <c r="U36" s="11" t="n">
        <f aca="false">('Base votos'!K68)/'Base votos'!R68</f>
        <v>0.168892642749622</v>
      </c>
      <c r="V36" s="12" t="n">
        <f aca="false">(U36-T36)*100</f>
        <v>15.5092141462267</v>
      </c>
      <c r="W36" s="11" t="n">
        <f aca="false">('Base votos'!D35+'Base votos'!E35)/'Base votos'!R35</f>
        <v>0.461272335056372</v>
      </c>
      <c r="X36" s="11" t="n">
        <f aca="false">('Base votos'!D68+'Base votos'!E68)/'Base votos'!R68</f>
        <v>0.437923118974643</v>
      </c>
      <c r="Y36" s="12" t="n">
        <f aca="false">(X36-W36)*100</f>
        <v>-2.33492160817285</v>
      </c>
      <c r="Z36" s="11" t="n">
        <f aca="false">('Base votos'!H35+'Base votos'!I35+'Base votos'!J35)/'Base votos'!R35</f>
        <v>0.37981773517375</v>
      </c>
      <c r="AA36" s="11" t="n">
        <f aca="false">('Base votos'!H68+'Base votos'!I68+'Base votos'!J68)/'Base votos'!R68</f>
        <v>0.299234661491866</v>
      </c>
      <c r="AB36" s="12" t="n">
        <f aca="false">(AA36-Z36)*100</f>
        <v>-8.05830736818843</v>
      </c>
    </row>
    <row r="37" customFormat="false" ht="15" hidden="false" customHeight="false" outlineLevel="0" collapsed="false">
      <c r="A37" s="16" t="s">
        <v>4</v>
      </c>
      <c r="B37" s="17" t="n">
        <f aca="false">('Base votos'!D36)/'Base votos'!R36</f>
        <v>0.447751583803629</v>
      </c>
      <c r="C37" s="17" t="n">
        <f aca="false">('Base votos'!D69)/'Base votos'!R69</f>
        <v>0.458140891658919</v>
      </c>
      <c r="D37" s="18" t="n">
        <f aca="false">(C37-B37)*100</f>
        <v>1.03893078552904</v>
      </c>
      <c r="E37" s="17" t="n">
        <f aca="false">('Base votos'!E36)/'Base votos'!R36</f>
        <v>0.0588161030888911</v>
      </c>
      <c r="F37" s="17" t="n">
        <f aca="false">('Base votos'!E69)/'Base votos'!R69</f>
        <v>0.0629811929046079</v>
      </c>
      <c r="G37" s="18" t="n">
        <f aca="false">(F37-E37)*100</f>
        <v>0.416508981571678</v>
      </c>
      <c r="H37" s="17" t="n">
        <f aca="false">('Base votos'!F36)/'Base votos'!R36</f>
        <v>0.0177057554529085</v>
      </c>
      <c r="I37" s="17" t="n">
        <f aca="false">('Base votos'!F69)/'Base votos'!R69</f>
        <v>0.0764726761877665</v>
      </c>
      <c r="J37" s="18" t="n">
        <f aca="false">(I37-H37)*100</f>
        <v>5.8766920734858</v>
      </c>
      <c r="K37" s="17" t="n">
        <f aca="false">('Base votos'!H36)/'Base votos'!R36</f>
        <v>0.178430838218144</v>
      </c>
      <c r="L37" s="17" t="n">
        <f aca="false">('Base votos'!H69)/'Base votos'!R69</f>
        <v>0.161616755593728</v>
      </c>
      <c r="M37" s="18" t="n">
        <f aca="false">(L37-K37)*100</f>
        <v>-1.68140826244161</v>
      </c>
      <c r="N37" s="17" t="n">
        <f aca="false">('Base votos'!I36)/'Base votos'!R36</f>
        <v>0.137168276420776</v>
      </c>
      <c r="O37" s="17" t="n">
        <f aca="false">('Base votos'!I69)/'Base votos'!R69</f>
        <v>0.0953370116940838</v>
      </c>
      <c r="P37" s="18" t="n">
        <f aca="false">(O37-N37)*100</f>
        <v>-4.18312647266919</v>
      </c>
      <c r="Q37" s="17" t="n">
        <f aca="false">('Base votos'!J36)/'Base votos'!R36</f>
        <v>0.0274730045084679</v>
      </c>
      <c r="R37" s="17" t="n">
        <f aca="false">('Base votos'!J69)/'Base votos'!R69</f>
        <v>0.0175641814553874</v>
      </c>
      <c r="S37" s="18" t="n">
        <f aca="false">(R37-Q37)*100</f>
        <v>-0.990882305308056</v>
      </c>
      <c r="T37" s="17" t="n">
        <f aca="false">('Base votos'!K36)/'Base votos'!R36</f>
        <v>0.0168463999072124</v>
      </c>
      <c r="U37" s="17" t="n">
        <f aca="false">('Base votos'!K69)/'Base votos'!R69</f>
        <v>0.103213690571088</v>
      </c>
      <c r="V37" s="18" t="n">
        <f aca="false">(U37-T37)*100</f>
        <v>8.63672906638752</v>
      </c>
      <c r="W37" s="17" t="n">
        <f aca="false">('Base votos'!D36+'Base votos'!E36)/'Base votos'!R36</f>
        <v>0.50656768689252</v>
      </c>
      <c r="X37" s="17" t="n">
        <f aca="false">('Base votos'!D69+'Base votos'!E69)/'Base votos'!R69</f>
        <v>0.521122084563527</v>
      </c>
      <c r="Y37" s="18" t="n">
        <f aca="false">(X37-W37)*100</f>
        <v>1.45543976710072</v>
      </c>
      <c r="Z37" s="17" t="n">
        <f aca="false">('Base votos'!H36+'Base votos'!I36+'Base votos'!J36)/'Base votos'!R36</f>
        <v>0.343072119147388</v>
      </c>
      <c r="AA37" s="17" t="n">
        <f aca="false">('Base votos'!H69+'Base votos'!I69+'Base votos'!J69)/'Base votos'!R69</f>
        <v>0.274517948743199</v>
      </c>
      <c r="AB37" s="18" t="n">
        <f aca="false">(AA37-Z37)*100</f>
        <v>-6.85541704041886</v>
      </c>
    </row>
  </sheetData>
  <mergeCells count="9">
    <mergeCell ref="B3:D3"/>
    <mergeCell ref="E3:G3"/>
    <mergeCell ref="H3:J3"/>
    <mergeCell ref="K3:M3"/>
    <mergeCell ref="N3:P3"/>
    <mergeCell ref="Q3:S3"/>
    <mergeCell ref="T3:V3"/>
    <mergeCell ref="W3:Y3"/>
    <mergeCell ref="Z3:AB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23" min="2" style="0" width="13"/>
    <col collapsed="false" customWidth="true" hidden="false" outlineLevel="0" max="26" min="24" style="0" width="22"/>
  </cols>
  <sheetData>
    <row r="1" customFormat="false" ht="16.15" hidden="false" customHeight="false" outlineLevel="0" collapsed="false">
      <c r="A1" s="5" t="s">
        <v>114</v>
      </c>
    </row>
    <row r="2" customFormat="false" ht="15" hidden="false" customHeight="false" outlineLevel="0" collapsed="false">
      <c r="A2" s="2" t="s">
        <v>115</v>
      </c>
    </row>
    <row r="3" customFormat="false" ht="26.85" hidden="false" customHeight="true" outlineLevel="0" collapsed="false">
      <c r="A3" s="6"/>
      <c r="B3" s="6" t="s">
        <v>53</v>
      </c>
      <c r="C3" s="6"/>
      <c r="D3" s="6"/>
      <c r="E3" s="6" t="s">
        <v>54</v>
      </c>
      <c r="F3" s="6"/>
      <c r="G3" s="6"/>
      <c r="H3" s="6" t="s">
        <v>51</v>
      </c>
      <c r="I3" s="6"/>
      <c r="J3" s="6"/>
      <c r="K3" s="6"/>
      <c r="L3" s="6" t="s">
        <v>116</v>
      </c>
      <c r="M3" s="6"/>
      <c r="N3" s="6"/>
      <c r="O3" s="6" t="s">
        <v>117</v>
      </c>
      <c r="P3" s="6"/>
      <c r="Q3" s="6"/>
      <c r="R3" s="6" t="s">
        <v>118</v>
      </c>
      <c r="S3" s="6"/>
      <c r="T3" s="6"/>
      <c r="U3" s="6" t="s">
        <v>119</v>
      </c>
      <c r="V3" s="6"/>
      <c r="W3" s="6"/>
      <c r="X3" s="6" t="s">
        <v>120</v>
      </c>
      <c r="Y3" s="6"/>
      <c r="Z3" s="6"/>
    </row>
    <row r="4" customFormat="false" ht="75" hidden="false" customHeight="true" outlineLevel="0" collapsed="false">
      <c r="A4" s="6" t="s">
        <v>80</v>
      </c>
      <c r="B4" s="6" t="s">
        <v>43</v>
      </c>
      <c r="C4" s="6" t="s">
        <v>44</v>
      </c>
      <c r="D4" s="7" t="s">
        <v>81</v>
      </c>
      <c r="E4" s="6" t="s">
        <v>43</v>
      </c>
      <c r="F4" s="6" t="s">
        <v>44</v>
      </c>
      <c r="G4" s="7" t="s">
        <v>81</v>
      </c>
      <c r="H4" s="6" t="s">
        <v>43</v>
      </c>
      <c r="I4" s="6" t="s">
        <v>44</v>
      </c>
      <c r="J4" s="7" t="s">
        <v>121</v>
      </c>
      <c r="K4" s="7" t="s">
        <v>122</v>
      </c>
      <c r="L4" s="6" t="s">
        <v>123</v>
      </c>
      <c r="M4" s="6" t="s">
        <v>124</v>
      </c>
      <c r="N4" s="7" t="s">
        <v>81</v>
      </c>
      <c r="O4" s="6" t="s">
        <v>125</v>
      </c>
      <c r="P4" s="6" t="s">
        <v>126</v>
      </c>
      <c r="Q4" s="7" t="s">
        <v>81</v>
      </c>
      <c r="R4" s="6" t="s">
        <v>127</v>
      </c>
      <c r="S4" s="6" t="s">
        <v>128</v>
      </c>
      <c r="T4" s="7" t="s">
        <v>81</v>
      </c>
      <c r="U4" s="6" t="s">
        <v>43</v>
      </c>
      <c r="V4" s="6" t="s">
        <v>44</v>
      </c>
      <c r="W4" s="7" t="s">
        <v>81</v>
      </c>
      <c r="X4" s="6" t="s">
        <v>129</v>
      </c>
      <c r="Y4" s="6" t="s">
        <v>130</v>
      </c>
      <c r="Z4" s="6" t="s">
        <v>131</v>
      </c>
    </row>
    <row r="5" customFormat="false" ht="23.85" hidden="false" customHeight="false" outlineLevel="0" collapsed="false">
      <c r="A5" s="14" t="s">
        <v>82</v>
      </c>
      <c r="B5" s="11" t="n">
        <f aca="false">'Base votos'!R4/'Base votos'!S4</f>
        <v>0.59368066437351</v>
      </c>
      <c r="C5" s="11" t="n">
        <f aca="false">'Base votos'!R37/'Base votos'!S37</f>
        <v>0.605596368468798</v>
      </c>
      <c r="D5" s="12" t="n">
        <f aca="false">(C5-B5)*100</f>
        <v>1.19157040952876</v>
      </c>
      <c r="E5" s="11" t="n">
        <f aca="false">'Base votos'!Q4/'Base votos'!R4</f>
        <v>0.0262232091619052</v>
      </c>
      <c r="F5" s="11" t="n">
        <f aca="false">'Base votos'!Q37/'Base votos'!R37</f>
        <v>0.0213210815289339</v>
      </c>
      <c r="G5" s="12" t="n">
        <f aca="false">(F5-E5)*100</f>
        <v>-0.490212763297131</v>
      </c>
      <c r="H5" s="9" t="n">
        <f aca="false">'Base votos'!R4</f>
        <v>561106</v>
      </c>
      <c r="I5" s="9" t="n">
        <f aca="false">'Base votos'!R37</f>
        <v>666242</v>
      </c>
      <c r="J5" s="10" t="n">
        <f aca="false">I5-H5</f>
        <v>105136</v>
      </c>
      <c r="K5" s="19" t="n">
        <f aca="false">I5/H5-1</f>
        <v>0.187372795871012</v>
      </c>
      <c r="L5" s="11" t="n">
        <f aca="false">'Base votos'!U4/'Base votos'!R4</f>
        <v>0.396588166941719</v>
      </c>
      <c r="M5" s="11" t="n">
        <f aca="false">'Base votos'!U37/'Base votos'!R37</f>
        <v>0.427331209980758</v>
      </c>
      <c r="N5" s="12" t="n">
        <f aca="false">(M5-L5)*100</f>
        <v>3.07430430390391</v>
      </c>
      <c r="O5" s="11" t="n">
        <f aca="false">'Base votos'!V4/'Base votos'!R4</f>
        <v>0.31899142051591</v>
      </c>
      <c r="P5" s="11" t="n">
        <f aca="false">'Base votos'!V37/'Base votos'!R37</f>
        <v>0.459685819867255</v>
      </c>
      <c r="Q5" s="12" t="n">
        <f aca="false">(P5-O5)*100</f>
        <v>14.0694399351346</v>
      </c>
      <c r="R5" s="11" t="n">
        <f aca="false">'Base votos'!W4/'Base votos'!R4</f>
        <v>0.184704850776859</v>
      </c>
      <c r="S5" s="11" t="n">
        <f aca="false">'Base votos'!W37/'Base votos'!R37</f>
        <v>0.0893038865757488</v>
      </c>
      <c r="T5" s="12" t="n">
        <f aca="false">(S5-R5)*100</f>
        <v>-9.54009642011098</v>
      </c>
      <c r="U5" s="20" t="n">
        <f aca="false">(MAX('Base votos'!U4:W4)-LARGE('Base votos'!U4:W4,2))/'Base votos'!R4*100</f>
        <v>7.7596746425809</v>
      </c>
      <c r="V5" s="20" t="n">
        <f aca="false">(MAX('Base votos'!U37:W37)-LARGE('Base votos'!U37:W37,2))/'Base votos'!R37*100</f>
        <v>3.23546098864977</v>
      </c>
      <c r="W5" s="12" t="n">
        <f aca="false">(V5-U5)</f>
        <v>-4.52421365393113</v>
      </c>
      <c r="X5" s="21" t="s">
        <v>74</v>
      </c>
      <c r="Y5" s="21" t="s">
        <v>132</v>
      </c>
      <c r="Z5" s="21" t="s">
        <v>133</v>
      </c>
    </row>
    <row r="6" customFormat="false" ht="23.85" hidden="false" customHeight="false" outlineLevel="0" collapsed="false">
      <c r="A6" s="14" t="s">
        <v>83</v>
      </c>
      <c r="B6" s="11" t="n">
        <f aca="false">'Base votos'!R5/'Base votos'!S5</f>
        <v>0.526086105782506</v>
      </c>
      <c r="C6" s="11" t="n">
        <f aca="false">'Base votos'!R38/'Base votos'!S38</f>
        <v>0.487239242117465</v>
      </c>
      <c r="D6" s="12" t="n">
        <f aca="false">(C6-B6)*100</f>
        <v>-3.88468636650418</v>
      </c>
      <c r="E6" s="11" t="n">
        <f aca="false">'Base votos'!Q5/'Base votos'!R5</f>
        <v>0.0196055121515105</v>
      </c>
      <c r="F6" s="11" t="n">
        <f aca="false">'Base votos'!Q38/'Base votos'!R38</f>
        <v>0.0201956889971564</v>
      </c>
      <c r="G6" s="12" t="n">
        <f aca="false">(F6-E6)*100</f>
        <v>0.0590176845645898</v>
      </c>
      <c r="H6" s="9" t="n">
        <f aca="false">'Base votos'!R5</f>
        <v>1438422</v>
      </c>
      <c r="I6" s="9" t="n">
        <f aca="false">'Base votos'!R38</f>
        <v>1560333</v>
      </c>
      <c r="J6" s="10" t="n">
        <f aca="false">I6-H6</f>
        <v>121911</v>
      </c>
      <c r="K6" s="19" t="n">
        <f aca="false">I6/H6-1</f>
        <v>0.0847532921493137</v>
      </c>
      <c r="L6" s="11" t="n">
        <f aca="false">'Base votos'!U5/'Base votos'!R5</f>
        <v>0.638852158824045</v>
      </c>
      <c r="M6" s="11" t="n">
        <f aca="false">'Base votos'!U38/'Base votos'!R38</f>
        <v>0.666507085346525</v>
      </c>
      <c r="N6" s="12" t="n">
        <f aca="false">(M6-L6)*100</f>
        <v>2.76549265224807</v>
      </c>
      <c r="O6" s="11" t="n">
        <f aca="false">'Base votos'!V5/'Base votos'!R5</f>
        <v>0.191531414285933</v>
      </c>
      <c r="P6" s="11" t="n">
        <f aca="false">'Base votos'!V38/'Base votos'!R38</f>
        <v>0.211914379815078</v>
      </c>
      <c r="Q6" s="12" t="n">
        <f aca="false">(P6-O6)*100</f>
        <v>2.03829655291452</v>
      </c>
      <c r="R6" s="11" t="n">
        <f aca="false">'Base votos'!W5/'Base votos'!R5</f>
        <v>0.0863619994688624</v>
      </c>
      <c r="S6" s="11" t="n">
        <f aca="false">'Base votos'!W38/'Base votos'!R38</f>
        <v>0.0995056824408636</v>
      </c>
      <c r="T6" s="12" t="n">
        <f aca="false">(S6-R6)*100</f>
        <v>1.31436829720012</v>
      </c>
      <c r="U6" s="20" t="n">
        <f aca="false">(MAX('Base votos'!U5:W5)-LARGE('Base votos'!U5:W5,2))/'Base votos'!R5*100</f>
        <v>44.7320744538112</v>
      </c>
      <c r="V6" s="20" t="n">
        <f aca="false">(MAX('Base votos'!U38:W38)-LARGE('Base votos'!U38:W38,2))/'Base votos'!R38*100</f>
        <v>45.4592705531447</v>
      </c>
      <c r="W6" s="12" t="n">
        <f aca="false">(V6-U6)</f>
        <v>0.727196099333554</v>
      </c>
      <c r="X6" s="21" t="s">
        <v>74</v>
      </c>
      <c r="Y6" s="21" t="s">
        <v>74</v>
      </c>
      <c r="Z6" s="21" t="s">
        <v>134</v>
      </c>
    </row>
    <row r="7" customFormat="false" ht="23.85" hidden="false" customHeight="false" outlineLevel="0" collapsed="false">
      <c r="A7" s="14" t="s">
        <v>84</v>
      </c>
      <c r="B7" s="11" t="n">
        <f aca="false">'Base votos'!R6/'Base votos'!S6</f>
        <v>0.586577324179602</v>
      </c>
      <c r="C7" s="11" t="n">
        <f aca="false">'Base votos'!R39/'Base votos'!S39</f>
        <v>0.553675360893724</v>
      </c>
      <c r="D7" s="12" t="n">
        <f aca="false">(C7-B7)*100</f>
        <v>-3.29019632858778</v>
      </c>
      <c r="E7" s="11" t="n">
        <f aca="false">'Base votos'!Q6/'Base votos'!R6</f>
        <v>0.021938802461636</v>
      </c>
      <c r="F7" s="11" t="n">
        <f aca="false">'Base votos'!Q39/'Base votos'!R39</f>
        <v>0.0221677266833094</v>
      </c>
      <c r="G7" s="12" t="n">
        <f aca="false">(F7-E7)*100</f>
        <v>0.0228924221673386</v>
      </c>
      <c r="H7" s="9" t="n">
        <f aca="false">'Base votos'!R6</f>
        <v>302888</v>
      </c>
      <c r="I7" s="9" t="n">
        <f aca="false">'Base votos'!R39</f>
        <v>340089</v>
      </c>
      <c r="J7" s="10" t="n">
        <f aca="false">I7-H7</f>
        <v>37201</v>
      </c>
      <c r="K7" s="19" t="n">
        <f aca="false">I7/H7-1</f>
        <v>0.122820976730673</v>
      </c>
      <c r="L7" s="11" t="n">
        <f aca="false">'Base votos'!U6/'Base votos'!R6</f>
        <v>0.639979134201421</v>
      </c>
      <c r="M7" s="11" t="n">
        <f aca="false">'Base votos'!U39/'Base votos'!R39</f>
        <v>0.591392253204308</v>
      </c>
      <c r="N7" s="12" t="n">
        <f aca="false">(M7-L7)*100</f>
        <v>-4.85868809971126</v>
      </c>
      <c r="O7" s="11" t="n">
        <f aca="false">'Base votos'!V6/'Base votos'!R6</f>
        <v>0.18750825387602</v>
      </c>
      <c r="P7" s="11" t="n">
        <f aca="false">'Base votos'!V39/'Base votos'!R39</f>
        <v>0.29738097968473</v>
      </c>
      <c r="Q7" s="12" t="n">
        <f aca="false">(P7-O7)*100</f>
        <v>10.9872725808709</v>
      </c>
      <c r="R7" s="11" t="n">
        <f aca="false">'Base votos'!W6/'Base votos'!R6</f>
        <v>0.0931103246084361</v>
      </c>
      <c r="S7" s="11" t="n">
        <f aca="false">'Base votos'!W39/'Base votos'!R39</f>
        <v>0.0876976320904234</v>
      </c>
      <c r="T7" s="12" t="n">
        <f aca="false">(S7-R7)*100</f>
        <v>-0.541269251801273</v>
      </c>
      <c r="U7" s="20" t="n">
        <f aca="false">(MAX('Base votos'!U6:W6)-LARGE('Base votos'!U6:W6,2))/'Base votos'!R6*100</f>
        <v>45.2470880325401</v>
      </c>
      <c r="V7" s="20" t="n">
        <f aca="false">(MAX('Base votos'!U39:W39)-LARGE('Base votos'!U39:W39,2))/'Base votos'!R39*100</f>
        <v>29.4011273519579</v>
      </c>
      <c r="W7" s="12" t="n">
        <f aca="false">(V7-U7)</f>
        <v>-15.8459606805822</v>
      </c>
      <c r="X7" s="21" t="s">
        <v>74</v>
      </c>
      <c r="Y7" s="21" t="s">
        <v>74</v>
      </c>
      <c r="Z7" s="21" t="s">
        <v>134</v>
      </c>
    </row>
    <row r="8" customFormat="false" ht="23.85" hidden="false" customHeight="false" outlineLevel="0" collapsed="false">
      <c r="A8" s="14" t="s">
        <v>85</v>
      </c>
      <c r="B8" s="11" t="n">
        <f aca="false">'Base votos'!R7/'Base votos'!S7</f>
        <v>0.699785338578191</v>
      </c>
      <c r="C8" s="11" t="n">
        <f aca="false">'Base votos'!R40/'Base votos'!S40</f>
        <v>0.646111331687641</v>
      </c>
      <c r="D8" s="12" t="n">
        <f aca="false">(C8-B8)*100</f>
        <v>-5.36740068905505</v>
      </c>
      <c r="E8" s="11" t="n">
        <f aca="false">'Base votos'!Q7/'Base votos'!R7</f>
        <v>0.0261040558606775</v>
      </c>
      <c r="F8" s="11" t="n">
        <f aca="false">'Base votos'!Q40/'Base votos'!R40</f>
        <v>0.0213072451312834</v>
      </c>
      <c r="G8" s="12" t="n">
        <f aca="false">(F8-E8)*100</f>
        <v>-0.479681072939417</v>
      </c>
      <c r="H8" s="9" t="n">
        <f aca="false">'Base votos'!R7</f>
        <v>449547</v>
      </c>
      <c r="I8" s="9" t="n">
        <f aca="false">'Base votos'!R40</f>
        <v>449143</v>
      </c>
      <c r="J8" s="10" t="n">
        <f aca="false">I8-H8</f>
        <v>-404</v>
      </c>
      <c r="K8" s="19" t="n">
        <f aca="false">I8/H8-1</f>
        <v>-0.000898682451445532</v>
      </c>
      <c r="L8" s="11" t="n">
        <f aca="false">'Base votos'!U7/'Base votos'!R7</f>
        <v>0.612309725123291</v>
      </c>
      <c r="M8" s="11" t="n">
        <f aca="false">'Base votos'!U40/'Base votos'!R40</f>
        <v>0.612978494599715</v>
      </c>
      <c r="N8" s="12" t="n">
        <f aca="false">(M8-L8)*100</f>
        <v>0.0668769476424691</v>
      </c>
      <c r="O8" s="11" t="n">
        <f aca="false">'Base votos'!V7/'Base votos'!R7</f>
        <v>0.121048522178994</v>
      </c>
      <c r="P8" s="11" t="n">
        <f aca="false">'Base votos'!V40/'Base votos'!R40</f>
        <v>0.154841553803577</v>
      </c>
      <c r="Q8" s="12" t="n">
        <f aca="false">(P8-O8)*100</f>
        <v>3.37930316245835</v>
      </c>
      <c r="R8" s="11" t="n">
        <f aca="false">'Base votos'!W7/'Base votos'!R7</f>
        <v>0.214847390817868</v>
      </c>
      <c r="S8" s="11" t="n">
        <f aca="false">'Base votos'!W40/'Base votos'!R40</f>
        <v>0.209910874710282</v>
      </c>
      <c r="T8" s="12" t="n">
        <f aca="false">(S8-R8)*100</f>
        <v>-0.493651610758619</v>
      </c>
      <c r="U8" s="20" t="n">
        <f aca="false">(MAX('Base votos'!U7:W7)-LARGE('Base votos'!U7:W7,2))/'Base votos'!R7*100</f>
        <v>39.7462334305423</v>
      </c>
      <c r="V8" s="20" t="n">
        <f aca="false">(MAX('Base votos'!U40:W40)-LARGE('Base votos'!U40:W40,2))/'Base votos'!R40*100</f>
        <v>40.3067619889434</v>
      </c>
      <c r="W8" s="12" t="n">
        <f aca="false">(V8-U8)</f>
        <v>0.560528558401096</v>
      </c>
      <c r="X8" s="21" t="s">
        <v>74</v>
      </c>
      <c r="Y8" s="21" t="s">
        <v>74</v>
      </c>
      <c r="Z8" s="21" t="s">
        <v>134</v>
      </c>
    </row>
    <row r="9" customFormat="false" ht="23.85" hidden="false" customHeight="false" outlineLevel="0" collapsed="false">
      <c r="A9" s="14" t="s">
        <v>86</v>
      </c>
      <c r="B9" s="11" t="n">
        <f aca="false">'Base votos'!R8/'Base votos'!S8</f>
        <v>0.635911375810988</v>
      </c>
      <c r="C9" s="11" t="n">
        <f aca="false">'Base votos'!R41/'Base votos'!S41</f>
        <v>0.65785324162833</v>
      </c>
      <c r="D9" s="12" t="n">
        <f aca="false">(C9-B9)*100</f>
        <v>2.19418658173413</v>
      </c>
      <c r="E9" s="11" t="n">
        <f aca="false">'Base votos'!Q8/'Base votos'!R8</f>
        <v>0.017762586236055</v>
      </c>
      <c r="F9" s="11" t="n">
        <f aca="false">'Base votos'!Q41/'Base votos'!R41</f>
        <v>0.0195152164430365</v>
      </c>
      <c r="G9" s="12" t="n">
        <f aca="false">(F9-E9)*100</f>
        <v>0.175263020698147</v>
      </c>
      <c r="H9" s="9" t="n">
        <f aca="false">'Base votos'!R8</f>
        <v>1371816</v>
      </c>
      <c r="I9" s="9" t="n">
        <f aca="false">'Base votos'!R41</f>
        <v>1588709</v>
      </c>
      <c r="J9" s="10" t="n">
        <f aca="false">I9-H9</f>
        <v>216893</v>
      </c>
      <c r="K9" s="19" t="n">
        <f aca="false">I9/H9-1</f>
        <v>0.158106480752521</v>
      </c>
      <c r="L9" s="11" t="n">
        <f aca="false">'Base votos'!U8/'Base votos'!R8</f>
        <v>0.444200971558868</v>
      </c>
      <c r="M9" s="11" t="n">
        <f aca="false">'Base votos'!U41/'Base votos'!R41</f>
        <v>0.537189000628813</v>
      </c>
      <c r="N9" s="12" t="n">
        <f aca="false">(M9-L9)*100</f>
        <v>9.29880290699445</v>
      </c>
      <c r="O9" s="11" t="n">
        <f aca="false">'Base votos'!V8/'Base votos'!R8</f>
        <v>0.224221032558302</v>
      </c>
      <c r="P9" s="11" t="n">
        <f aca="false">'Base votos'!V41/'Base votos'!R41</f>
        <v>0.388496571744731</v>
      </c>
      <c r="Q9" s="12" t="n">
        <f aca="false">(P9-O9)*100</f>
        <v>16.4275539186429</v>
      </c>
      <c r="R9" s="11" t="n">
        <f aca="false">'Base votos'!W8/'Base votos'!R8</f>
        <v>0.261171323267844</v>
      </c>
      <c r="S9" s="11" t="n">
        <f aca="false">'Base votos'!W41/'Base votos'!R41</f>
        <v>0.0540419925864334</v>
      </c>
      <c r="T9" s="12" t="n">
        <f aca="false">(S9-R9)*100</f>
        <v>-20.712933068141</v>
      </c>
      <c r="U9" s="20" t="n">
        <f aca="false">(MAX('Base votos'!U8:W8)-LARGE('Base votos'!U8:W8,2))/'Base votos'!R8*100</f>
        <v>18.3029648291024</v>
      </c>
      <c r="V9" s="20" t="n">
        <f aca="false">(MAX('Base votos'!U41:W41)-LARGE('Base votos'!U41:W41,2))/'Base votos'!R41*100</f>
        <v>14.8692428884081</v>
      </c>
      <c r="W9" s="12" t="n">
        <f aca="false">(V9-U9)</f>
        <v>-3.43372194069431</v>
      </c>
      <c r="X9" s="21" t="s">
        <v>74</v>
      </c>
      <c r="Y9" s="21" t="s">
        <v>74</v>
      </c>
      <c r="Z9" s="21" t="s">
        <v>134</v>
      </c>
    </row>
    <row r="10" customFormat="false" ht="23.85" hidden="false" customHeight="false" outlineLevel="0" collapsed="false">
      <c r="A10" s="14" t="s">
        <v>87</v>
      </c>
      <c r="B10" s="11" t="n">
        <f aca="false">'Base votos'!R9/'Base votos'!S9</f>
        <v>0.641317345004963</v>
      </c>
      <c r="C10" s="11" t="n">
        <f aca="false">'Base votos'!R42/'Base votos'!S42</f>
        <v>0.590133096171671</v>
      </c>
      <c r="D10" s="12" t="n">
        <f aca="false">(C10-B10)*100</f>
        <v>-5.11842488332921</v>
      </c>
      <c r="E10" s="11" t="n">
        <f aca="false">'Base votos'!Q9/'Base votos'!R9</f>
        <v>0.026566288195269</v>
      </c>
      <c r="F10" s="11" t="n">
        <f aca="false">'Base votos'!Q42/'Base votos'!R42</f>
        <v>0.0209626565618582</v>
      </c>
      <c r="G10" s="12" t="n">
        <f aca="false">(F10-E10)*100</f>
        <v>-0.560363163341076</v>
      </c>
      <c r="H10" s="9" t="n">
        <f aca="false">'Base votos'!R9</f>
        <v>341109</v>
      </c>
      <c r="I10" s="9" t="n">
        <f aca="false">'Base votos'!R42</f>
        <v>345710</v>
      </c>
      <c r="J10" s="10" t="n">
        <f aca="false">I10-H10</f>
        <v>4601</v>
      </c>
      <c r="K10" s="19" t="n">
        <f aca="false">I10/H10-1</f>
        <v>0.0134883570940667</v>
      </c>
      <c r="L10" s="11" t="n">
        <f aca="false">'Base votos'!U9/'Base votos'!R9</f>
        <v>0.578454394343157</v>
      </c>
      <c r="M10" s="11" t="n">
        <f aca="false">'Base votos'!U42/'Base votos'!R42</f>
        <v>0.544077405918255</v>
      </c>
      <c r="N10" s="12" t="n">
        <f aca="false">(M10-L10)*100</f>
        <v>-3.4376988424902</v>
      </c>
      <c r="O10" s="11" t="n">
        <f aca="false">'Base votos'!V9/'Base votos'!R9</f>
        <v>0.165425128038252</v>
      </c>
      <c r="P10" s="11" t="n">
        <f aca="false">'Base votos'!V42/'Base votos'!R42</f>
        <v>0.299615284486998</v>
      </c>
      <c r="Q10" s="12" t="n">
        <f aca="false">(P10-O10)*100</f>
        <v>13.4190156448746</v>
      </c>
      <c r="R10" s="11" t="n">
        <f aca="false">'Base votos'!W9/'Base votos'!R9</f>
        <v>0.181771809011196</v>
      </c>
      <c r="S10" s="11" t="n">
        <f aca="false">'Base votos'!W42/'Base votos'!R42</f>
        <v>0.133325619739088</v>
      </c>
      <c r="T10" s="12" t="n">
        <f aca="false">(S10-R10)*100</f>
        <v>-4.84461892721081</v>
      </c>
      <c r="U10" s="20" t="n">
        <f aca="false">(MAX('Base votos'!U9:W9)-LARGE('Base votos'!U9:W9,2))/'Base votos'!R9*100</f>
        <v>39.6682585331961</v>
      </c>
      <c r="V10" s="20" t="n">
        <f aca="false">(MAX('Base votos'!U42:W42)-LARGE('Base votos'!U42:W42,2))/'Base votos'!R42*100</f>
        <v>24.4462121431257</v>
      </c>
      <c r="W10" s="12" t="n">
        <f aca="false">(V10-U10)</f>
        <v>-15.2220463900704</v>
      </c>
      <c r="X10" s="21" t="s">
        <v>74</v>
      </c>
      <c r="Y10" s="21" t="s">
        <v>74</v>
      </c>
      <c r="Z10" s="21" t="s">
        <v>134</v>
      </c>
    </row>
    <row r="11" customFormat="false" ht="23.85" hidden="false" customHeight="false" outlineLevel="0" collapsed="false">
      <c r="A11" s="14" t="s">
        <v>88</v>
      </c>
      <c r="B11" s="11" t="n">
        <f aca="false">'Base votos'!R10/'Base votos'!S10</f>
        <v>0.69270046519863</v>
      </c>
      <c r="C11" s="11" t="n">
        <f aca="false">'Base votos'!R43/'Base votos'!S43</f>
        <v>0.626335988742477</v>
      </c>
      <c r="D11" s="12" t="n">
        <f aca="false">(C11-B11)*100</f>
        <v>-6.63644764561536</v>
      </c>
      <c r="E11" s="11" t="n">
        <f aca="false">'Base votos'!Q10/'Base votos'!R10</f>
        <v>0.0565155731453425</v>
      </c>
      <c r="F11" s="11" t="n">
        <f aca="false">'Base votos'!Q43/'Base votos'!R43</f>
        <v>0.0425797769311084</v>
      </c>
      <c r="G11" s="12" t="n">
        <f aca="false">(F11-E11)*100</f>
        <v>-1.39357962142341</v>
      </c>
      <c r="H11" s="9" t="n">
        <f aca="false">'Base votos'!R10</f>
        <v>2425650</v>
      </c>
      <c r="I11" s="9" t="n">
        <f aca="false">'Base votos'!R43</f>
        <v>2472958</v>
      </c>
      <c r="J11" s="10" t="n">
        <f aca="false">I11-H11</f>
        <v>47308</v>
      </c>
      <c r="K11" s="19" t="n">
        <f aca="false">I11/H11-1</f>
        <v>0.019503225939439</v>
      </c>
      <c r="L11" s="11" t="n">
        <f aca="false">'Base votos'!U10/'Base votos'!R10</f>
        <v>0.612495207470163</v>
      </c>
      <c r="M11" s="11" t="n">
        <f aca="false">'Base votos'!U43/'Base votos'!R43</f>
        <v>0.71551720651948</v>
      </c>
      <c r="N11" s="12" t="n">
        <f aca="false">(M11-L11)*100</f>
        <v>10.3021999049317</v>
      </c>
      <c r="O11" s="11" t="n">
        <f aca="false">'Base votos'!V10/'Base votos'!R10</f>
        <v>0.0816758394657102</v>
      </c>
      <c r="P11" s="11" t="n">
        <f aca="false">'Base votos'!V43/'Base votos'!R43</f>
        <v>0.166944202044677</v>
      </c>
      <c r="Q11" s="12" t="n">
        <f aca="false">(P11-O11)*100</f>
        <v>8.52683625789666</v>
      </c>
      <c r="R11" s="11" t="n">
        <f aca="false">'Base votos'!W10/'Base votos'!R10</f>
        <v>0.232046255642817</v>
      </c>
      <c r="S11" s="11" t="n">
        <f aca="false">'Base votos'!W43/'Base votos'!R43</f>
        <v>0.0740412898237657</v>
      </c>
      <c r="T11" s="12" t="n">
        <f aca="false">(S11-R11)*100</f>
        <v>-15.8004965819052</v>
      </c>
      <c r="U11" s="20" t="n">
        <f aca="false">(MAX('Base votos'!U10:W10)-LARGE('Base votos'!U10:W10,2))/'Base votos'!R10*100</f>
        <v>38.0448951827345</v>
      </c>
      <c r="V11" s="20" t="n">
        <f aca="false">(MAX('Base votos'!U43:W43)-LARGE('Base votos'!U43:W43,2))/'Base votos'!R43*100</f>
        <v>54.8573004474803</v>
      </c>
      <c r="W11" s="12" t="n">
        <f aca="false">(V11-U11)</f>
        <v>16.8124052647458</v>
      </c>
      <c r="X11" s="21" t="s">
        <v>74</v>
      </c>
      <c r="Y11" s="21" t="s">
        <v>74</v>
      </c>
      <c r="Z11" s="21" t="s">
        <v>134</v>
      </c>
    </row>
    <row r="12" customFormat="false" ht="23.85" hidden="false" customHeight="false" outlineLevel="0" collapsed="false">
      <c r="A12" s="14" t="s">
        <v>89</v>
      </c>
      <c r="B12" s="11" t="n">
        <f aca="false">'Base votos'!R11/'Base votos'!S11</f>
        <v>0.544468546637744</v>
      </c>
      <c r="C12" s="11" t="n">
        <f aca="false">'Base votos'!R44/'Base votos'!S44</f>
        <v>0.532230698359575</v>
      </c>
      <c r="D12" s="12" t="n">
        <f aca="false">(C12-B12)*100</f>
        <v>-1.22378482781694</v>
      </c>
      <c r="E12" s="11" t="n">
        <f aca="false">'Base votos'!Q11/'Base votos'!R11</f>
        <v>0.0326793581342138</v>
      </c>
      <c r="F12" s="11" t="n">
        <f aca="false">'Base votos'!Q44/'Base votos'!R44</f>
        <v>0.0241613276478382</v>
      </c>
      <c r="G12" s="12" t="n">
        <f aca="false">(F12-E12)*100</f>
        <v>-0.85180304863756</v>
      </c>
      <c r="H12" s="9" t="n">
        <f aca="false">'Base votos'!R11</f>
        <v>1494705</v>
      </c>
      <c r="I12" s="9" t="n">
        <f aca="false">'Base votos'!R44</f>
        <v>1644653</v>
      </c>
      <c r="J12" s="10" t="n">
        <f aca="false">I12-H12</f>
        <v>149948</v>
      </c>
      <c r="K12" s="19" t="n">
        <f aca="false">I12/H12-1</f>
        <v>0.100319461030772</v>
      </c>
      <c r="L12" s="11" t="n">
        <f aca="false">'Base votos'!U11/'Base votos'!R11</f>
        <v>0.430621426970539</v>
      </c>
      <c r="M12" s="11" t="n">
        <f aca="false">'Base votos'!U44/'Base votos'!R44</f>
        <v>0.538635809499025</v>
      </c>
      <c r="N12" s="12" t="n">
        <f aca="false">(M12-L12)*100</f>
        <v>10.8014382528486</v>
      </c>
      <c r="O12" s="11" t="n">
        <f aca="false">'Base votos'!V11/'Base votos'!R11</f>
        <v>0.284951880136883</v>
      </c>
      <c r="P12" s="11" t="n">
        <f aca="false">'Base votos'!V44/'Base votos'!R44</f>
        <v>0.340308867584834</v>
      </c>
      <c r="Q12" s="12" t="n">
        <f aca="false">(P12-O12)*100</f>
        <v>5.53569874479508</v>
      </c>
      <c r="R12" s="11" t="n">
        <f aca="false">'Base votos'!W11/'Base votos'!R11</f>
        <v>0.161051846350952</v>
      </c>
      <c r="S12" s="11" t="n">
        <f aca="false">'Base votos'!W44/'Base votos'!R44</f>
        <v>0.0955076845997302</v>
      </c>
      <c r="T12" s="12" t="n">
        <f aca="false">(S12-R12)*100</f>
        <v>-6.5544161751222</v>
      </c>
      <c r="U12" s="20" t="n">
        <f aca="false">(MAX('Base votos'!U11:W11)-LARGE('Base votos'!U11:W11,2))/'Base votos'!R11*100</f>
        <v>14.5669546833656</v>
      </c>
      <c r="V12" s="20" t="n">
        <f aca="false">(MAX('Base votos'!U44:W44)-LARGE('Base votos'!U44:W44,2))/'Base votos'!R44*100</f>
        <v>19.8326941914191</v>
      </c>
      <c r="W12" s="12" t="n">
        <f aca="false">(V12-U12)</f>
        <v>5.26573950805349</v>
      </c>
      <c r="X12" s="21" t="s">
        <v>74</v>
      </c>
      <c r="Y12" s="21" t="s">
        <v>74</v>
      </c>
      <c r="Z12" s="21" t="s">
        <v>134</v>
      </c>
    </row>
    <row r="13" customFormat="false" ht="23.85" hidden="false" customHeight="false" outlineLevel="0" collapsed="false">
      <c r="A13" s="14" t="s">
        <v>90</v>
      </c>
      <c r="B13" s="11" t="n">
        <f aca="false">'Base votos'!R12/'Base votos'!S12</f>
        <v>0.70613038285715</v>
      </c>
      <c r="C13" s="11" t="n">
        <f aca="false">'Base votos'!R45/'Base votos'!S45</f>
        <v>0.703465446894393</v>
      </c>
      <c r="D13" s="12" t="n">
        <f aca="false">(C13-B13)*100</f>
        <v>-0.266493596275663</v>
      </c>
      <c r="E13" s="11" t="n">
        <f aca="false">'Base votos'!Q12/'Base votos'!R12</f>
        <v>0.0206416434881503</v>
      </c>
      <c r="F13" s="11" t="n">
        <f aca="false">'Base votos'!Q45/'Base votos'!R45</f>
        <v>0.0173521382150604</v>
      </c>
      <c r="G13" s="12" t="n">
        <f aca="false">(F13-E13)*100</f>
        <v>-0.328950527308991</v>
      </c>
      <c r="H13" s="9" t="n">
        <f aca="false">'Base votos'!R12</f>
        <v>5405868</v>
      </c>
      <c r="I13" s="9" t="n">
        <f aca="false">'Base votos'!R45</f>
        <v>5607551</v>
      </c>
      <c r="J13" s="10" t="n">
        <f aca="false">I13-H13</f>
        <v>201683</v>
      </c>
      <c r="K13" s="19" t="n">
        <f aca="false">I13/H13-1</f>
        <v>0.0373081621674818</v>
      </c>
      <c r="L13" s="11" t="n">
        <f aca="false">'Base votos'!U12/'Base votos'!R12</f>
        <v>0.576869061545713</v>
      </c>
      <c r="M13" s="11" t="n">
        <f aca="false">'Base votos'!U45/'Base votos'!R45</f>
        <v>0.552007997787269</v>
      </c>
      <c r="N13" s="12" t="n">
        <f aca="false">(M13-L13)*100</f>
        <v>-2.48610637584435</v>
      </c>
      <c r="O13" s="11" t="n">
        <f aca="false">'Base votos'!V12/'Base votos'!R12</f>
        <v>0.239114791556139</v>
      </c>
      <c r="P13" s="11" t="n">
        <f aca="false">'Base votos'!V45/'Base votos'!R45</f>
        <v>0.34545419203499</v>
      </c>
      <c r="Q13" s="12" t="n">
        <f aca="false">(P13-O13)*100</f>
        <v>10.6339400478851</v>
      </c>
      <c r="R13" s="11" t="n">
        <f aca="false">'Base votos'!W12/'Base votos'!R12</f>
        <v>0.120623182068079</v>
      </c>
      <c r="S13" s="11" t="n">
        <f aca="false">'Base votos'!W45/'Base votos'!R45</f>
        <v>0.0834517599572434</v>
      </c>
      <c r="T13" s="12" t="n">
        <f aca="false">(S13-R13)*100</f>
        <v>-3.71714221108352</v>
      </c>
      <c r="U13" s="20" t="n">
        <f aca="false">(MAX('Base votos'!U12:W12)-LARGE('Base votos'!U12:W12,2))/'Base votos'!R12*100</f>
        <v>33.7754269989574</v>
      </c>
      <c r="V13" s="20" t="n">
        <f aca="false">(MAX('Base votos'!U45:W45)-LARGE('Base votos'!U45:W45,2))/'Base votos'!R45*100</f>
        <v>20.6553805752279</v>
      </c>
      <c r="W13" s="12" t="n">
        <f aca="false">(V13-U13)</f>
        <v>-13.1200464237295</v>
      </c>
      <c r="X13" s="21" t="s">
        <v>74</v>
      </c>
      <c r="Y13" s="21" t="s">
        <v>74</v>
      </c>
      <c r="Z13" s="21" t="s">
        <v>134</v>
      </c>
    </row>
    <row r="14" customFormat="false" ht="23.85" hidden="false" customHeight="false" outlineLevel="0" collapsed="false">
      <c r="A14" s="14" t="s">
        <v>91</v>
      </c>
      <c r="B14" s="11" t="n">
        <f aca="false">'Base votos'!R13/'Base votos'!S13</f>
        <v>0.571223594002781</v>
      </c>
      <c r="C14" s="11" t="n">
        <f aca="false">'Base votos'!R46/'Base votos'!S46</f>
        <v>0.555475921009186</v>
      </c>
      <c r="D14" s="12" t="n">
        <f aca="false">(C14-B14)*100</f>
        <v>-1.57476729935949</v>
      </c>
      <c r="E14" s="11" t="n">
        <f aca="false">'Base votos'!Q13/'Base votos'!R13</f>
        <v>0.0228808188465549</v>
      </c>
      <c r="F14" s="11" t="n">
        <f aca="false">'Base votos'!Q46/'Base votos'!R46</f>
        <v>0.0212643309239835</v>
      </c>
      <c r="G14" s="12" t="n">
        <f aca="false">(F14-E14)*100</f>
        <v>-0.161648792257135</v>
      </c>
      <c r="H14" s="9" t="n">
        <f aca="false">'Base votos'!R13</f>
        <v>733715</v>
      </c>
      <c r="I14" s="9" t="n">
        <f aca="false">'Base votos'!R46</f>
        <v>778910</v>
      </c>
      <c r="J14" s="10" t="n">
        <f aca="false">I14-H14</f>
        <v>45195</v>
      </c>
      <c r="K14" s="19" t="n">
        <f aca="false">I14/H14-1</f>
        <v>0.0615974867625713</v>
      </c>
      <c r="L14" s="11" t="n">
        <f aca="false">'Base votos'!U13/'Base votos'!R13</f>
        <v>0.464525054005983</v>
      </c>
      <c r="M14" s="11" t="n">
        <f aca="false">'Base votos'!U46/'Base votos'!R46</f>
        <v>0.584453916370312</v>
      </c>
      <c r="N14" s="12" t="n">
        <f aca="false">(M14-L14)*100</f>
        <v>11.9928862364329</v>
      </c>
      <c r="O14" s="11" t="n">
        <f aca="false">'Base votos'!V13/'Base votos'!R13</f>
        <v>0.25615804501748</v>
      </c>
      <c r="P14" s="11" t="n">
        <f aca="false">'Base votos'!V46/'Base votos'!R46</f>
        <v>0.321324671656546</v>
      </c>
      <c r="Q14" s="12" t="n">
        <f aca="false">(P14-O14)*100</f>
        <v>6.51666266390662</v>
      </c>
      <c r="R14" s="11" t="n">
        <f aca="false">'Base votos'!W13/'Base votos'!R13</f>
        <v>0.19256932187566</v>
      </c>
      <c r="S14" s="11" t="n">
        <f aca="false">'Base votos'!W46/'Base votos'!R46</f>
        <v>0.0720609569783415</v>
      </c>
      <c r="T14" s="12" t="n">
        <f aca="false">(S14-R14)*100</f>
        <v>-12.0508364897319</v>
      </c>
      <c r="U14" s="20" t="n">
        <f aca="false">(MAX('Base votos'!U13:W13)-LARGE('Base votos'!U13:W13,2))/'Base votos'!R13*100</f>
        <v>20.8367008988504</v>
      </c>
      <c r="V14" s="20" t="n">
        <f aca="false">(MAX('Base votos'!U46:W46)-LARGE('Base votos'!U46:W46,2))/'Base votos'!R46*100</f>
        <v>26.3129244713767</v>
      </c>
      <c r="W14" s="12" t="n">
        <f aca="false">(V14-U14)</f>
        <v>5.4762235725263</v>
      </c>
      <c r="X14" s="21" t="s">
        <v>74</v>
      </c>
      <c r="Y14" s="21" t="s">
        <v>74</v>
      </c>
      <c r="Z14" s="21" t="s">
        <v>134</v>
      </c>
    </row>
    <row r="15" customFormat="false" ht="23.85" hidden="false" customHeight="false" outlineLevel="0" collapsed="false">
      <c r="A15" s="14" t="s">
        <v>92</v>
      </c>
      <c r="B15" s="11" t="n">
        <f aca="false">'Base votos'!R14/'Base votos'!S14</f>
        <v>0.531969193013172</v>
      </c>
      <c r="C15" s="11" t="n">
        <f aca="false">'Base votos'!R47/'Base votos'!S47</f>
        <v>0.569623579936953</v>
      </c>
      <c r="D15" s="12" t="n">
        <f aca="false">(C15-B15)*100</f>
        <v>3.76543869237813</v>
      </c>
      <c r="E15" s="11" t="n">
        <f aca="false">'Base votos'!Q14/'Base votos'!R14</f>
        <v>0.0297771146495473</v>
      </c>
      <c r="F15" s="11" t="n">
        <f aca="false">'Base votos'!Q47/'Base votos'!R47</f>
        <v>0.0206836162041715</v>
      </c>
      <c r="G15" s="12" t="n">
        <f aca="false">(F15-E15)*100</f>
        <v>-0.909349844537577</v>
      </c>
      <c r="H15" s="9" t="n">
        <f aca="false">'Base votos'!R14</f>
        <v>2325007</v>
      </c>
      <c r="I15" s="9" t="n">
        <f aca="false">'Base votos'!R47</f>
        <v>2759092</v>
      </c>
      <c r="J15" s="10" t="n">
        <f aca="false">I15-H15</f>
        <v>434085</v>
      </c>
      <c r="K15" s="19" t="n">
        <f aca="false">I15/H15-1</f>
        <v>0.186702663690905</v>
      </c>
      <c r="L15" s="11" t="n">
        <f aca="false">'Base votos'!U14/'Base votos'!R14</f>
        <v>0.304180589563816</v>
      </c>
      <c r="M15" s="11" t="n">
        <f aca="false">'Base votos'!U47/'Base votos'!R47</f>
        <v>0.472150258128399</v>
      </c>
      <c r="N15" s="12" t="n">
        <f aca="false">(M15-L15)*100</f>
        <v>16.7969668564582</v>
      </c>
      <c r="O15" s="11" t="n">
        <f aca="false">'Base votos'!V14/'Base votos'!R14</f>
        <v>0.404357062150781</v>
      </c>
      <c r="P15" s="11" t="n">
        <f aca="false">'Base votos'!V47/'Base votos'!R47</f>
        <v>0.399887354245527</v>
      </c>
      <c r="Q15" s="12" t="n">
        <f aca="false">(P15-O15)*100</f>
        <v>-0.446970790525347</v>
      </c>
      <c r="R15" s="11" t="n">
        <f aca="false">'Base votos'!W14/'Base votos'!R14</f>
        <v>0.164168107880966</v>
      </c>
      <c r="S15" s="11" t="n">
        <f aca="false">'Base votos'!W47/'Base votos'!R47</f>
        <v>0.105606844570605</v>
      </c>
      <c r="T15" s="12" t="n">
        <f aca="false">(S15-R15)*100</f>
        <v>-5.85612633103604</v>
      </c>
      <c r="U15" s="20" t="n">
        <f aca="false">(MAX('Base votos'!U14:W14)-LARGE('Base votos'!U14:W14,2))/'Base votos'!R14*100</f>
        <v>10.0176472586964</v>
      </c>
      <c r="V15" s="20" t="n">
        <f aca="false">(MAX('Base votos'!U47:W47)-LARGE('Base votos'!U47:W47,2))/'Base votos'!R47*100</f>
        <v>7.22629038828716</v>
      </c>
      <c r="W15" s="12" t="n">
        <f aca="false">(V15-U15)</f>
        <v>-2.79135687040927</v>
      </c>
      <c r="X15" s="21" t="s">
        <v>132</v>
      </c>
      <c r="Y15" s="21" t="s">
        <v>74</v>
      </c>
      <c r="Z15" s="21" t="s">
        <v>135</v>
      </c>
    </row>
    <row r="16" customFormat="false" ht="23.85" hidden="false" customHeight="false" outlineLevel="0" collapsed="false">
      <c r="A16" s="14" t="s">
        <v>93</v>
      </c>
      <c r="B16" s="11" t="n">
        <f aca="false">'Base votos'!R15/'Base votos'!S15</f>
        <v>0.64214925249553</v>
      </c>
      <c r="C16" s="11" t="n">
        <f aca="false">'Base votos'!R48/'Base votos'!S48</f>
        <v>0.584545684577625</v>
      </c>
      <c r="D16" s="12" t="n">
        <f aca="false">(C16-B16)*100</f>
        <v>-5.76035679179046</v>
      </c>
      <c r="E16" s="11" t="n">
        <f aca="false">'Base votos'!Q15/'Base votos'!R15</f>
        <v>0.0410181893923521</v>
      </c>
      <c r="F16" s="11" t="n">
        <f aca="false">'Base votos'!Q48/'Base votos'!R48</f>
        <v>0.0308812334688085</v>
      </c>
      <c r="G16" s="12" t="n">
        <f aca="false">(F16-E16)*100</f>
        <v>-1.01369559235436</v>
      </c>
      <c r="H16" s="9" t="n">
        <f aca="false">'Base votos'!R15</f>
        <v>1613138</v>
      </c>
      <c r="I16" s="9" t="n">
        <f aca="false">'Base votos'!R48</f>
        <v>1550100</v>
      </c>
      <c r="J16" s="10" t="n">
        <f aca="false">I16-H16</f>
        <v>-63038</v>
      </c>
      <c r="K16" s="19" t="n">
        <f aca="false">I16/H16-1</f>
        <v>-0.0390778718249771</v>
      </c>
      <c r="L16" s="11" t="n">
        <f aca="false">'Base votos'!U15/'Base votos'!R15</f>
        <v>0.631169187013138</v>
      </c>
      <c r="M16" s="11" t="n">
        <f aca="false">'Base votos'!U48/'Base votos'!R48</f>
        <v>0.716627314366815</v>
      </c>
      <c r="N16" s="12" t="n">
        <f aca="false">(M16-L16)*100</f>
        <v>8.54581273536766</v>
      </c>
      <c r="O16" s="11" t="n">
        <f aca="false">'Base votos'!V15/'Base votos'!R15</f>
        <v>0.135039903591633</v>
      </c>
      <c r="P16" s="11" t="n">
        <f aca="false">'Base votos'!V48/'Base votos'!R48</f>
        <v>0.187813689439391</v>
      </c>
      <c r="Q16" s="12" t="n">
        <f aca="false">(P16-O16)*100</f>
        <v>5.27737858477578</v>
      </c>
      <c r="R16" s="11" t="n">
        <f aca="false">'Base votos'!W15/'Base votos'!R15</f>
        <v>0.177169591194306</v>
      </c>
      <c r="S16" s="11" t="n">
        <f aca="false">'Base votos'!W48/'Base votos'!R48</f>
        <v>0.0637552415973163</v>
      </c>
      <c r="T16" s="12" t="n">
        <f aca="false">(S16-R16)*100</f>
        <v>-11.3414349596989</v>
      </c>
      <c r="U16" s="20" t="n">
        <f aca="false">(MAX('Base votos'!U15:W15)-LARGE('Base votos'!U15:W15,2))/'Base votos'!R15*100</f>
        <v>45.3999595818833</v>
      </c>
      <c r="V16" s="20" t="n">
        <f aca="false">(MAX('Base votos'!U48:W48)-LARGE('Base votos'!U48:W48,2))/'Base votos'!R48*100</f>
        <v>52.8813624927424</v>
      </c>
      <c r="W16" s="12" t="n">
        <f aca="false">(V16-U16)</f>
        <v>7.48140291085914</v>
      </c>
      <c r="X16" s="21" t="s">
        <v>74</v>
      </c>
      <c r="Y16" s="21" t="s">
        <v>74</v>
      </c>
      <c r="Z16" s="21" t="s">
        <v>134</v>
      </c>
    </row>
    <row r="17" customFormat="false" ht="23.85" hidden="false" customHeight="false" outlineLevel="0" collapsed="false">
      <c r="A17" s="14" t="s">
        <v>94</v>
      </c>
      <c r="B17" s="11" t="n">
        <f aca="false">'Base votos'!R16/'Base votos'!S16</f>
        <v>0.657153746460215</v>
      </c>
      <c r="C17" s="11" t="n">
        <f aca="false">'Base votos'!R49/'Base votos'!S49</f>
        <v>0.647175517753458</v>
      </c>
      <c r="D17" s="12" t="n">
        <f aca="false">(C17-B17)*100</f>
        <v>-0.997822870675635</v>
      </c>
      <c r="E17" s="11" t="n">
        <f aca="false">'Base votos'!Q16/'Base votos'!R16</f>
        <v>0.0271816429997018</v>
      </c>
      <c r="F17" s="11" t="n">
        <f aca="false">'Base votos'!Q49/'Base votos'!R49</f>
        <v>0.0229637568388351</v>
      </c>
      <c r="G17" s="12" t="n">
        <f aca="false">(F17-E17)*100</f>
        <v>-0.421788616086669</v>
      </c>
      <c r="H17" s="9" t="n">
        <f aca="false">'Base votos'!R16</f>
        <v>1394912</v>
      </c>
      <c r="I17" s="9" t="n">
        <f aca="false">'Base votos'!R49</f>
        <v>1547961</v>
      </c>
      <c r="J17" s="10" t="n">
        <f aca="false">I17-H17</f>
        <v>153049</v>
      </c>
      <c r="K17" s="19" t="n">
        <f aca="false">I17/H17-1</f>
        <v>0.10971946617421</v>
      </c>
      <c r="L17" s="11" t="n">
        <f aca="false">'Base votos'!U16/'Base votos'!R16</f>
        <v>0.609976113188502</v>
      </c>
      <c r="M17" s="11" t="n">
        <f aca="false">'Base votos'!U49/'Base votos'!R49</f>
        <v>0.674353552834987</v>
      </c>
      <c r="N17" s="12" t="n">
        <f aca="false">(M17-L17)*100</f>
        <v>6.43774396464852</v>
      </c>
      <c r="O17" s="11" t="n">
        <f aca="false">'Base votos'!V16/'Base votos'!R16</f>
        <v>0.134795600009176</v>
      </c>
      <c r="P17" s="11" t="n">
        <f aca="false">'Base votos'!V49/'Base votos'!R49</f>
        <v>0.198361586629121</v>
      </c>
      <c r="Q17" s="12" t="n">
        <f aca="false">(P17-O17)*100</f>
        <v>6.35659866199443</v>
      </c>
      <c r="R17" s="11" t="n">
        <f aca="false">'Base votos'!W16/'Base votos'!R16</f>
        <v>0.184633869376706</v>
      </c>
      <c r="S17" s="11" t="n">
        <f aca="false">'Base votos'!W49/'Base votos'!R49</f>
        <v>0.103296530080538</v>
      </c>
      <c r="T17" s="12" t="n">
        <f aca="false">(S17-R17)*100</f>
        <v>-8.1337339296168</v>
      </c>
      <c r="U17" s="20" t="n">
        <f aca="false">(MAX('Base votos'!U16:W16)-LARGE('Base votos'!U16:W16,2))/'Base votos'!R16*100</f>
        <v>42.5342243811796</v>
      </c>
      <c r="V17" s="20" t="n">
        <f aca="false">(MAX('Base votos'!U49:W49)-LARGE('Base votos'!U49:W49,2))/'Base votos'!R49*100</f>
        <v>47.5991966205867</v>
      </c>
      <c r="W17" s="12" t="n">
        <f aca="false">(V17-U17)</f>
        <v>5.06497223940709</v>
      </c>
      <c r="X17" s="21" t="s">
        <v>74</v>
      </c>
      <c r="Y17" s="21" t="s">
        <v>74</v>
      </c>
      <c r="Z17" s="21" t="s">
        <v>134</v>
      </c>
    </row>
    <row r="18" customFormat="false" ht="23.85" hidden="false" customHeight="false" outlineLevel="0" collapsed="false">
      <c r="A18" s="14" t="s">
        <v>95</v>
      </c>
      <c r="B18" s="11" t="n">
        <f aca="false">'Base votos'!R17/'Base votos'!S17</f>
        <v>0.591846646469583</v>
      </c>
      <c r="C18" s="11" t="n">
        <f aca="false">'Base votos'!R50/'Base votos'!S50</f>
        <v>0.582887663506976</v>
      </c>
      <c r="D18" s="12" t="n">
        <f aca="false">(C18-B18)*100</f>
        <v>-0.895898296260744</v>
      </c>
      <c r="E18" s="11" t="n">
        <f aca="false">'Base votos'!Q17/'Base votos'!R17</f>
        <v>0.0277122585913631</v>
      </c>
      <c r="F18" s="11" t="n">
        <f aca="false">'Base votos'!Q50/'Base votos'!R50</f>
        <v>0.0225907390856018</v>
      </c>
      <c r="G18" s="12" t="n">
        <f aca="false">(F18-E18)*100</f>
        <v>-0.51215195057613</v>
      </c>
      <c r="H18" s="9" t="n">
        <f aca="false">'Base votos'!R17</f>
        <v>3499823</v>
      </c>
      <c r="I18" s="9" t="n">
        <f aca="false">'Base votos'!R50</f>
        <v>3872339</v>
      </c>
      <c r="J18" s="10" t="n">
        <f aca="false">I18-H18</f>
        <v>372516</v>
      </c>
      <c r="K18" s="19" t="n">
        <f aca="false">I18/H18-1</f>
        <v>0.106438525605438</v>
      </c>
      <c r="L18" s="11" t="n">
        <f aca="false">'Base votos'!U17/'Base votos'!R17</f>
        <v>0.417549116055298</v>
      </c>
      <c r="M18" s="11" t="n">
        <f aca="false">'Base votos'!U50/'Base votos'!R50</f>
        <v>0.444413828438058</v>
      </c>
      <c r="N18" s="12" t="n">
        <f aca="false">(M18-L18)*100</f>
        <v>2.68647123827601</v>
      </c>
      <c r="O18" s="11" t="n">
        <f aca="false">'Base votos'!V17/'Base votos'!R17</f>
        <v>0.336959897686254</v>
      </c>
      <c r="P18" s="11" t="n">
        <f aca="false">'Base votos'!V50/'Base votos'!R50</f>
        <v>0.357619774508379</v>
      </c>
      <c r="Q18" s="12" t="n">
        <f aca="false">(P18-O18)*100</f>
        <v>2.06598768221241</v>
      </c>
      <c r="R18" s="11" t="n">
        <f aca="false">'Base votos'!W17/'Base votos'!R17</f>
        <v>0.145480785742593</v>
      </c>
      <c r="S18" s="11" t="n">
        <f aca="false">'Base votos'!W50/'Base votos'!R50</f>
        <v>0.173141349453134</v>
      </c>
      <c r="T18" s="12" t="n">
        <f aca="false">(S18-R18)*100</f>
        <v>2.76605637105409</v>
      </c>
      <c r="U18" s="20" t="n">
        <f aca="false">(MAX('Base votos'!U17:W17)-LARGE('Base votos'!U17:W17,2))/'Base votos'!R17*100</f>
        <v>8.05892183690432</v>
      </c>
      <c r="V18" s="20" t="n">
        <f aca="false">(MAX('Base votos'!U50:W50)-LARGE('Base votos'!U50:W50,2))/'Base votos'!R50*100</f>
        <v>8.67940539296792</v>
      </c>
      <c r="W18" s="12" t="n">
        <f aca="false">(V18-U18)</f>
        <v>0.620483556063595</v>
      </c>
      <c r="X18" s="21" t="s">
        <v>74</v>
      </c>
      <c r="Y18" s="21" t="s">
        <v>74</v>
      </c>
      <c r="Z18" s="21" t="s">
        <v>134</v>
      </c>
    </row>
    <row r="19" customFormat="false" ht="23.85" hidden="false" customHeight="false" outlineLevel="0" collapsed="false">
      <c r="A19" s="14" t="s">
        <v>96</v>
      </c>
      <c r="B19" s="11" t="n">
        <f aca="false">'Base votos'!R18/'Base votos'!S18</f>
        <v>0.678968130849756</v>
      </c>
      <c r="C19" s="11" t="n">
        <f aca="false">'Base votos'!R51/'Base votos'!S51</f>
        <v>0.648164041160353</v>
      </c>
      <c r="D19" s="12" t="n">
        <f aca="false">(C19-B19)*100</f>
        <v>-3.0804089689403</v>
      </c>
      <c r="E19" s="11" t="n">
        <f aca="false">'Base votos'!Q18/'Base votos'!R18</f>
        <v>0.0220117510099302</v>
      </c>
      <c r="F19" s="11" t="n">
        <f aca="false">'Base votos'!Q51/'Base votos'!R51</f>
        <v>0.020628514692314</v>
      </c>
      <c r="G19" s="12" t="n">
        <f aca="false">(F19-E19)*100</f>
        <v>-0.138323631761616</v>
      </c>
      <c r="H19" s="9" t="n">
        <f aca="false">'Base votos'!R18</f>
        <v>8040160</v>
      </c>
      <c r="I19" s="9" t="n">
        <f aca="false">'Base votos'!R51</f>
        <v>8457177</v>
      </c>
      <c r="J19" s="10" t="n">
        <f aca="false">I19-H19</f>
        <v>417017</v>
      </c>
      <c r="K19" s="19" t="n">
        <f aca="false">I19/H19-1</f>
        <v>0.0518667538954449</v>
      </c>
      <c r="L19" s="11" t="n">
        <f aca="false">'Base votos'!U18/'Base votos'!R18</f>
        <v>0.543927857157072</v>
      </c>
      <c r="M19" s="11" t="n">
        <f aca="false">'Base votos'!U51/'Base votos'!R51</f>
        <v>0.605998904835502</v>
      </c>
      <c r="N19" s="12" t="n">
        <f aca="false">(M19-L19)*100</f>
        <v>6.2071047678431</v>
      </c>
      <c r="O19" s="11" t="n">
        <f aca="false">'Base votos'!V18/'Base votos'!R18</f>
        <v>0.19276034307775</v>
      </c>
      <c r="P19" s="11" t="n">
        <f aca="false">'Base votos'!V51/'Base votos'!R51</f>
        <v>0.265013609151139</v>
      </c>
      <c r="Q19" s="12" t="n">
        <f aca="false">(P19-O19)*100</f>
        <v>7.22532660733891</v>
      </c>
      <c r="R19" s="11" t="n">
        <f aca="false">'Base votos'!W18/'Base votos'!R18</f>
        <v>0.192615818590675</v>
      </c>
      <c r="S19" s="11" t="n">
        <f aca="false">'Base votos'!W51/'Base votos'!R51</f>
        <v>0.10707225354276</v>
      </c>
      <c r="T19" s="12" t="n">
        <f aca="false">(S19-R19)*100</f>
        <v>-8.55435650479146</v>
      </c>
      <c r="U19" s="20" t="n">
        <f aca="false">(MAX('Base votos'!U18:W18)-LARGE('Base votos'!U18:W18,2))/'Base votos'!R18*100</f>
        <v>35.1167514079322</v>
      </c>
      <c r="V19" s="20" t="n">
        <f aca="false">(MAX('Base votos'!U51:W51)-LARGE('Base votos'!U51:W51,2))/'Base votos'!R51*100</f>
        <v>34.0985295684364</v>
      </c>
      <c r="W19" s="12" t="n">
        <f aca="false">(V19-U19)</f>
        <v>-1.01822183949581</v>
      </c>
      <c r="X19" s="21" t="s">
        <v>74</v>
      </c>
      <c r="Y19" s="21" t="s">
        <v>74</v>
      </c>
      <c r="Z19" s="21" t="s">
        <v>134</v>
      </c>
    </row>
    <row r="20" customFormat="false" ht="23.85" hidden="false" customHeight="false" outlineLevel="0" collapsed="false">
      <c r="A20" s="14" t="s">
        <v>97</v>
      </c>
      <c r="B20" s="11" t="n">
        <f aca="false">'Base votos'!R19/'Base votos'!S19</f>
        <v>0.585691131234456</v>
      </c>
      <c r="C20" s="11" t="n">
        <f aca="false">'Base votos'!R52/'Base votos'!S52</f>
        <v>0.558284477437336</v>
      </c>
      <c r="D20" s="12" t="n">
        <f aca="false">(C20-B20)*100</f>
        <v>-2.74066537971192</v>
      </c>
      <c r="E20" s="11" t="n">
        <f aca="false">'Base votos'!Q19/'Base votos'!R19</f>
        <v>0.0431105199259953</v>
      </c>
      <c r="F20" s="11" t="n">
        <f aca="false">'Base votos'!Q52/'Base votos'!R52</f>
        <v>0.0333356830473924</v>
      </c>
      <c r="G20" s="12" t="n">
        <f aca="false">(F20-E20)*100</f>
        <v>-0.977483687860285</v>
      </c>
      <c r="H20" s="9" t="n">
        <f aca="false">'Base votos'!R19</f>
        <v>1980955</v>
      </c>
      <c r="I20" s="9" t="n">
        <f aca="false">'Base votos'!R52</f>
        <v>2071174</v>
      </c>
      <c r="J20" s="10" t="n">
        <f aca="false">I20-H20</f>
        <v>90219</v>
      </c>
      <c r="K20" s="19" t="n">
        <f aca="false">I20/H20-1</f>
        <v>0.0455431849789623</v>
      </c>
      <c r="L20" s="11" t="n">
        <f aca="false">'Base votos'!U19/'Base votos'!R19</f>
        <v>0.500341501952341</v>
      </c>
      <c r="M20" s="11" t="n">
        <f aca="false">'Base votos'!U52/'Base votos'!R52</f>
        <v>0.550716646694097</v>
      </c>
      <c r="N20" s="12" t="n">
        <f aca="false">(M20-L20)*100</f>
        <v>5.0375144741756</v>
      </c>
      <c r="O20" s="11" t="n">
        <f aca="false">'Base votos'!V19/'Base votos'!R19</f>
        <v>0.22403588168333</v>
      </c>
      <c r="P20" s="11" t="n">
        <f aca="false">'Base votos'!V52/'Base votos'!R52</f>
        <v>0.293215828317659</v>
      </c>
      <c r="Q20" s="12" t="n">
        <f aca="false">(P20-O20)*100</f>
        <v>6.917994663433</v>
      </c>
      <c r="R20" s="11" t="n">
        <f aca="false">'Base votos'!W19/'Base votos'!R19</f>
        <v>0.169541458538937</v>
      </c>
      <c r="S20" s="11" t="n">
        <f aca="false">'Base votos'!W52/'Base votos'!R52</f>
        <v>0.120893271159256</v>
      </c>
      <c r="T20" s="12" t="n">
        <f aca="false">(S20-R20)*100</f>
        <v>-4.86481873796815</v>
      </c>
      <c r="U20" s="20" t="n">
        <f aca="false">(MAX('Base votos'!U19:W19)-LARGE('Base votos'!U19:W19,2))/'Base votos'!R19*100</f>
        <v>27.6305620269012</v>
      </c>
      <c r="V20" s="20" t="n">
        <f aca="false">(MAX('Base votos'!U52:W52)-LARGE('Base votos'!U52:W52,2))/'Base votos'!R52*100</f>
        <v>25.7500818376438</v>
      </c>
      <c r="W20" s="12" t="n">
        <f aca="false">(V20-U20)</f>
        <v>-1.88048018925739</v>
      </c>
      <c r="X20" s="21" t="s">
        <v>74</v>
      </c>
      <c r="Y20" s="21" t="s">
        <v>74</v>
      </c>
      <c r="Z20" s="21" t="s">
        <v>134</v>
      </c>
    </row>
    <row r="21" customFormat="false" ht="23.85" hidden="false" customHeight="false" outlineLevel="0" collapsed="false">
      <c r="A21" s="14" t="s">
        <v>98</v>
      </c>
      <c r="B21" s="11" t="n">
        <f aca="false">'Base votos'!R20/'Base votos'!S20</f>
        <v>0.6710265592588</v>
      </c>
      <c r="C21" s="11" t="n">
        <f aca="false">'Base votos'!R53/'Base votos'!S53</f>
        <v>0.636767247091763</v>
      </c>
      <c r="D21" s="12" t="n">
        <f aca="false">(C21-B21)*100</f>
        <v>-3.42593121670369</v>
      </c>
      <c r="E21" s="11" t="n">
        <f aca="false">'Base votos'!Q20/'Base votos'!R20</f>
        <v>0.0270287856722338</v>
      </c>
      <c r="F21" s="11" t="n">
        <f aca="false">'Base votos'!Q53/'Base votos'!R53</f>
        <v>0.0199166074782502</v>
      </c>
      <c r="G21" s="12" t="n">
        <f aca="false">(F21-E21)*100</f>
        <v>-0.71121781939836</v>
      </c>
      <c r="H21" s="9" t="n">
        <f aca="false">'Base votos'!R20</f>
        <v>968190</v>
      </c>
      <c r="I21" s="9" t="n">
        <f aca="false">'Base votos'!R53</f>
        <v>989777</v>
      </c>
      <c r="J21" s="10" t="n">
        <f aca="false">I21-H21</f>
        <v>21587</v>
      </c>
      <c r="K21" s="19" t="n">
        <f aca="false">I21/H21-1</f>
        <v>0.0222962435059235</v>
      </c>
      <c r="L21" s="11" t="n">
        <f aca="false">'Base votos'!U20/'Base votos'!R20</f>
        <v>0.659673204639585</v>
      </c>
      <c r="M21" s="11" t="n">
        <f aca="false">'Base votos'!U53/'Base votos'!R53</f>
        <v>0.638048772602313</v>
      </c>
      <c r="N21" s="12" t="n">
        <f aca="false">(M21-L21)*100</f>
        <v>-2.16244320372718</v>
      </c>
      <c r="O21" s="11" t="n">
        <f aca="false">'Base votos'!V20/'Base votos'!R20</f>
        <v>0.147236596122662</v>
      </c>
      <c r="P21" s="11" t="n">
        <f aca="false">'Base votos'!V53/'Base votos'!R53</f>
        <v>0.213350077845818</v>
      </c>
      <c r="Q21" s="12" t="n">
        <f aca="false">(P21-O21)*100</f>
        <v>6.61134817231559</v>
      </c>
      <c r="R21" s="11" t="n">
        <f aca="false">'Base votos'!W20/'Base votos'!R20</f>
        <v>0.102775281711234</v>
      </c>
      <c r="S21" s="11" t="n">
        <f aca="false">'Base votos'!W53/'Base votos'!R53</f>
        <v>0.127598438840264</v>
      </c>
      <c r="T21" s="12" t="n">
        <f aca="false">(S21-R21)*100</f>
        <v>2.48231571290296</v>
      </c>
      <c r="U21" s="20" t="n">
        <f aca="false">(MAX('Base votos'!U20:W20)-LARGE('Base votos'!U20:W20,2))/'Base votos'!R20*100</f>
        <v>51.2436608516923</v>
      </c>
      <c r="V21" s="20" t="n">
        <f aca="false">(MAX('Base votos'!U53:W53)-LARGE('Base votos'!U53:W53,2))/'Base votos'!R53*100</f>
        <v>42.4698694756496</v>
      </c>
      <c r="W21" s="12" t="n">
        <f aca="false">(V21-U21)</f>
        <v>-8.77379137604277</v>
      </c>
      <c r="X21" s="21" t="s">
        <v>74</v>
      </c>
      <c r="Y21" s="21" t="s">
        <v>74</v>
      </c>
      <c r="Z21" s="21" t="s">
        <v>134</v>
      </c>
    </row>
    <row r="22" customFormat="false" ht="23.85" hidden="false" customHeight="false" outlineLevel="0" collapsed="false">
      <c r="A22" s="14" t="s">
        <v>99</v>
      </c>
      <c r="B22" s="11" t="n">
        <f aca="false">'Base votos'!R21/'Base votos'!S21</f>
        <v>0.570949292904305</v>
      </c>
      <c r="C22" s="11" t="n">
        <f aca="false">'Base votos'!R54/'Base votos'!S54</f>
        <v>0.568050979512142</v>
      </c>
      <c r="D22" s="12" t="n">
        <f aca="false">(C22-B22)*100</f>
        <v>-0.289831339216307</v>
      </c>
      <c r="E22" s="11" t="n">
        <f aca="false">'Base votos'!Q21/'Base votos'!R21</f>
        <v>0.0242429994470533</v>
      </c>
      <c r="F22" s="11" t="n">
        <f aca="false">'Base votos'!Q54/'Base votos'!R54</f>
        <v>0.0260912103227712</v>
      </c>
      <c r="G22" s="12" t="n">
        <f aca="false">(F22-E22)*100</f>
        <v>0.184821087571791</v>
      </c>
      <c r="H22" s="9" t="n">
        <f aca="false">'Base votos'!R21</f>
        <v>484676</v>
      </c>
      <c r="I22" s="9" t="n">
        <f aca="false">'Base votos'!R54</f>
        <v>541715</v>
      </c>
      <c r="J22" s="10" t="n">
        <f aca="false">I22-H22</f>
        <v>57039</v>
      </c>
      <c r="K22" s="19" t="n">
        <f aca="false">I22/H22-1</f>
        <v>0.117684803868976</v>
      </c>
      <c r="L22" s="11" t="n">
        <f aca="false">'Base votos'!U21/'Base votos'!R21</f>
        <v>0.651602307520901</v>
      </c>
      <c r="M22" s="11" t="n">
        <f aca="false">'Base votos'!U54/'Base votos'!R54</f>
        <v>0.632734925191291</v>
      </c>
      <c r="N22" s="12" t="n">
        <f aca="false">(M22-L22)*100</f>
        <v>-1.88673823296099</v>
      </c>
      <c r="O22" s="11" t="n">
        <f aca="false">'Base votos'!V21/'Base votos'!R21</f>
        <v>0.164683211052332</v>
      </c>
      <c r="P22" s="11" t="n">
        <f aca="false">'Base votos'!V54/'Base votos'!R54</f>
        <v>0.20211181156143</v>
      </c>
      <c r="Q22" s="12" t="n">
        <f aca="false">(P22-O22)*100</f>
        <v>3.7428600509098</v>
      </c>
      <c r="R22" s="11" t="n">
        <f aca="false">'Base votos'!W21/'Base votos'!R21</f>
        <v>0.137095709298583</v>
      </c>
      <c r="S22" s="11" t="n">
        <f aca="false">'Base votos'!W54/'Base votos'!R54</f>
        <v>0.137749554655123</v>
      </c>
      <c r="T22" s="12" t="n">
        <f aca="false">(S22-R22)*100</f>
        <v>0.0653845356540117</v>
      </c>
      <c r="U22" s="20" t="n">
        <f aca="false">(MAX('Base votos'!U21:W21)-LARGE('Base votos'!U21:W21,2))/'Base votos'!R21*100</f>
        <v>48.6919096468569</v>
      </c>
      <c r="V22" s="20" t="n">
        <f aca="false">(MAX('Base votos'!U54:W54)-LARGE('Base votos'!U54:W54,2))/'Base votos'!R54*100</f>
        <v>43.0623113629861</v>
      </c>
      <c r="W22" s="12" t="n">
        <f aca="false">(V22-U22)</f>
        <v>-5.6295982838708</v>
      </c>
      <c r="X22" s="21" t="s">
        <v>74</v>
      </c>
      <c r="Y22" s="21" t="s">
        <v>74</v>
      </c>
      <c r="Z22" s="21" t="s">
        <v>134</v>
      </c>
    </row>
    <row r="23" customFormat="false" ht="23.85" hidden="false" customHeight="false" outlineLevel="0" collapsed="false">
      <c r="A23" s="14" t="s">
        <v>100</v>
      </c>
      <c r="B23" s="11" t="n">
        <f aca="false">'Base votos'!R22/'Base votos'!S22</f>
        <v>0.557874325529494</v>
      </c>
      <c r="C23" s="11" t="n">
        <f aca="false">'Base votos'!R55/'Base votos'!S55</f>
        <v>0.572607917469004</v>
      </c>
      <c r="D23" s="12" t="n">
        <f aca="false">(C23-B23)*100</f>
        <v>1.47335919395099</v>
      </c>
      <c r="E23" s="11" t="n">
        <f aca="false">'Base votos'!Q22/'Base votos'!R22</f>
        <v>0.0217701612199956</v>
      </c>
      <c r="F23" s="11" t="n">
        <f aca="false">'Base votos'!Q55/'Base votos'!R55</f>
        <v>0.0196004018915111</v>
      </c>
      <c r="G23" s="12" t="n">
        <f aca="false">(F23-E23)*100</f>
        <v>-0.216975932848444</v>
      </c>
      <c r="H23" s="9" t="n">
        <f aca="false">'Base votos'!R22</f>
        <v>2178762</v>
      </c>
      <c r="I23" s="9" t="n">
        <f aca="false">'Base votos'!R55</f>
        <v>2563876</v>
      </c>
      <c r="J23" s="10" t="n">
        <f aca="false">I23-H23</f>
        <v>385114</v>
      </c>
      <c r="K23" s="19" t="n">
        <f aca="false">I23/H23-1</f>
        <v>0.176758177350257</v>
      </c>
      <c r="L23" s="11" t="n">
        <f aca="false">'Base votos'!U22/'Base votos'!R22</f>
        <v>0.343361964271453</v>
      </c>
      <c r="M23" s="11" t="n">
        <f aca="false">'Base votos'!U55/'Base votos'!R55</f>
        <v>0.452111958612663</v>
      </c>
      <c r="N23" s="12" t="n">
        <f aca="false">(M23-L23)*100</f>
        <v>10.874999434121</v>
      </c>
      <c r="O23" s="11" t="n">
        <f aca="false">'Base votos'!V22/'Base votos'!R22</f>
        <v>0.323057773175776</v>
      </c>
      <c r="P23" s="11" t="n">
        <f aca="false">'Base votos'!V55/'Base votos'!R55</f>
        <v>0.346375565744989</v>
      </c>
      <c r="Q23" s="12" t="n">
        <f aca="false">(P23-O23)*100</f>
        <v>2.33177925692133</v>
      </c>
      <c r="R23" s="11" t="n">
        <f aca="false">'Base votos'!W22/'Base votos'!R22</f>
        <v>0.14475146895347</v>
      </c>
      <c r="S23" s="11" t="n">
        <f aca="false">'Base votos'!W55/'Base votos'!R55</f>
        <v>0.18058673664405</v>
      </c>
      <c r="T23" s="12" t="n">
        <f aca="false">(S23-R23)*100</f>
        <v>3.583526769058</v>
      </c>
      <c r="U23" s="20" t="n">
        <f aca="false">(MAX('Base votos'!U22:W22)-LARGE('Base votos'!U22:W22,2))/'Base votos'!R22*100</f>
        <v>2.03041910956773</v>
      </c>
      <c r="V23" s="20" t="n">
        <f aca="false">(MAX('Base votos'!U55:W55)-LARGE('Base votos'!U55:W55,2))/'Base votos'!R55*100</f>
        <v>10.5736392867674</v>
      </c>
      <c r="W23" s="12" t="n">
        <f aca="false">(V23-U23)</f>
        <v>8.54322017719965</v>
      </c>
      <c r="X23" s="21" t="s">
        <v>74</v>
      </c>
      <c r="Y23" s="21" t="s">
        <v>74</v>
      </c>
      <c r="Z23" s="21" t="s">
        <v>134</v>
      </c>
    </row>
    <row r="24" customFormat="false" ht="23.85" hidden="false" customHeight="false" outlineLevel="0" collapsed="false">
      <c r="A24" s="14" t="s">
        <v>101</v>
      </c>
      <c r="B24" s="11" t="n">
        <f aca="false">'Base votos'!R23/'Base votos'!S23</f>
        <v>0.673093319081601</v>
      </c>
      <c r="C24" s="11" t="n">
        <f aca="false">'Base votos'!R56/'Base votos'!S56</f>
        <v>0.604724219194131</v>
      </c>
      <c r="D24" s="12" t="n">
        <f aca="false">(C24-B24)*100</f>
        <v>-6.83690998874692</v>
      </c>
      <c r="E24" s="11" t="n">
        <f aca="false">'Base votos'!Q23/'Base votos'!R23</f>
        <v>0.0334819589138291</v>
      </c>
      <c r="F24" s="11" t="n">
        <f aca="false">'Base votos'!Q56/'Base votos'!R56</f>
        <v>0.0252406234615758</v>
      </c>
      <c r="G24" s="12" t="n">
        <f aca="false">(F24-E24)*100</f>
        <v>-0.824133545225336</v>
      </c>
      <c r="H24" s="9" t="n">
        <f aca="false">'Base votos'!R23</f>
        <v>1929457</v>
      </c>
      <c r="I24" s="9" t="n">
        <f aca="false">'Base votos'!R56</f>
        <v>1887077</v>
      </c>
      <c r="J24" s="10" t="n">
        <f aca="false">I24-H24</f>
        <v>-42380</v>
      </c>
      <c r="K24" s="19" t="n">
        <f aca="false">I24/H24-1</f>
        <v>-0.0219647289366904</v>
      </c>
      <c r="L24" s="11" t="n">
        <f aca="false">'Base votos'!U23/'Base votos'!R23</f>
        <v>0.65332474369732</v>
      </c>
      <c r="M24" s="11" t="n">
        <f aca="false">'Base votos'!U56/'Base votos'!R56</f>
        <v>0.763726652383554</v>
      </c>
      <c r="N24" s="12" t="n">
        <f aca="false">(M24-L24)*100</f>
        <v>11.0401908686234</v>
      </c>
      <c r="O24" s="11" t="n">
        <f aca="false">'Base votos'!V23/'Base votos'!R23</f>
        <v>0.114895537967418</v>
      </c>
      <c r="P24" s="11" t="n">
        <f aca="false">'Base votos'!V56/'Base votos'!R56</f>
        <v>0.144128194027059</v>
      </c>
      <c r="Q24" s="12" t="n">
        <f aca="false">(P24-O24)*100</f>
        <v>2.9232656059641</v>
      </c>
      <c r="R24" s="11" t="n">
        <f aca="false">'Base votos'!W23/'Base votos'!R23</f>
        <v>0.177307916165014</v>
      </c>
      <c r="S24" s="11" t="n">
        <f aca="false">'Base votos'!W56/'Base votos'!R56</f>
        <v>0.0660391706326769</v>
      </c>
      <c r="T24" s="12" t="n">
        <f aca="false">(S24-R24)*100</f>
        <v>-11.1268745532337</v>
      </c>
      <c r="U24" s="20" t="n">
        <f aca="false">(MAX('Base votos'!U23:W23)-LARGE('Base votos'!U23:W23,2))/'Base votos'!R23*100</f>
        <v>47.6016827532306</v>
      </c>
      <c r="V24" s="20" t="n">
        <f aca="false">(MAX('Base votos'!U56:W56)-LARGE('Base votos'!U56:W56,2))/'Base votos'!R56*100</f>
        <v>61.9598458356495</v>
      </c>
      <c r="W24" s="12" t="n">
        <f aca="false">(V24-U24)</f>
        <v>14.358163082419</v>
      </c>
      <c r="X24" s="21" t="s">
        <v>74</v>
      </c>
      <c r="Y24" s="21" t="s">
        <v>74</v>
      </c>
      <c r="Z24" s="21" t="s">
        <v>134</v>
      </c>
    </row>
    <row r="25" customFormat="false" ht="23.85" hidden="false" customHeight="false" outlineLevel="0" collapsed="false">
      <c r="A25" s="14" t="s">
        <v>102</v>
      </c>
      <c r="B25" s="11" t="n">
        <f aca="false">'Base votos'!R24/'Base votos'!S24</f>
        <v>0.68986060854251</v>
      </c>
      <c r="C25" s="11" t="n">
        <f aca="false">'Base votos'!R57/'Base votos'!S57</f>
        <v>0.659582411947569</v>
      </c>
      <c r="D25" s="12" t="n">
        <f aca="false">(C25-B25)*100</f>
        <v>-3.02781965949409</v>
      </c>
      <c r="E25" s="11" t="n">
        <f aca="false">'Base votos'!Q24/'Base votos'!R24</f>
        <v>0.0332572441754815</v>
      </c>
      <c r="F25" s="11" t="n">
        <f aca="false">'Base votos'!Q57/'Base votos'!R57</f>
        <v>0.028512410748775</v>
      </c>
      <c r="G25" s="12" t="n">
        <f aca="false">(F25-E25)*100</f>
        <v>-0.474483342670651</v>
      </c>
      <c r="H25" s="9" t="n">
        <f aca="false">'Base votos'!R24</f>
        <v>3082787</v>
      </c>
      <c r="I25" s="9" t="n">
        <f aca="false">'Base votos'!R57</f>
        <v>3292952</v>
      </c>
      <c r="J25" s="10" t="n">
        <f aca="false">I25-H25</f>
        <v>210165</v>
      </c>
      <c r="K25" s="19" t="n">
        <f aca="false">I25/H25-1</f>
        <v>0.0681737012644728</v>
      </c>
      <c r="L25" s="11" t="n">
        <f aca="false">'Base votos'!U24/'Base votos'!R24</f>
        <v>0.569159010985838</v>
      </c>
      <c r="M25" s="11" t="n">
        <f aca="false">'Base votos'!U57/'Base votos'!R57</f>
        <v>0.651919918662647</v>
      </c>
      <c r="N25" s="12" t="n">
        <f aca="false">(M25-L25)*100</f>
        <v>8.27609076768083</v>
      </c>
      <c r="O25" s="11" t="n">
        <f aca="false">'Base votos'!V24/'Base votos'!R24</f>
        <v>0.200596732761621</v>
      </c>
      <c r="P25" s="11" t="n">
        <f aca="false">'Base votos'!V57/'Base votos'!R57</f>
        <v>0.217479027936028</v>
      </c>
      <c r="Q25" s="12" t="n">
        <f aca="false">(P25-O25)*100</f>
        <v>1.6882295174407</v>
      </c>
      <c r="R25" s="11" t="n">
        <f aca="false">'Base votos'!W24/'Base votos'!R24</f>
        <v>0.159186152011151</v>
      </c>
      <c r="S25" s="11" t="n">
        <f aca="false">'Base votos'!W57/'Base votos'!R57</f>
        <v>0.100842951855964</v>
      </c>
      <c r="T25" s="12" t="n">
        <f aca="false">(S25-R25)*100</f>
        <v>-5.83432001551871</v>
      </c>
      <c r="U25" s="20" t="n">
        <f aca="false">(MAX('Base votos'!U24:W24)-LARGE('Base votos'!U24:W24,2))/'Base votos'!R24*100</f>
        <v>36.8562278224217</v>
      </c>
      <c r="V25" s="20" t="n">
        <f aca="false">(MAX('Base votos'!U57:W57)-LARGE('Base votos'!U57:W57,2))/'Base votos'!R57*100</f>
        <v>43.4440890726619</v>
      </c>
      <c r="W25" s="12" t="n">
        <f aca="false">(V25-U25)</f>
        <v>6.58786125024013</v>
      </c>
      <c r="X25" s="21" t="s">
        <v>74</v>
      </c>
      <c r="Y25" s="21" t="s">
        <v>74</v>
      </c>
      <c r="Z25" s="21" t="s">
        <v>134</v>
      </c>
    </row>
    <row r="26" customFormat="false" ht="23.85" hidden="false" customHeight="false" outlineLevel="0" collapsed="false">
      <c r="A26" s="14" t="s">
        <v>103</v>
      </c>
      <c r="B26" s="11" t="n">
        <f aca="false">'Base votos'!R25/'Base votos'!S25</f>
        <v>0.646764477692905</v>
      </c>
      <c r="C26" s="11" t="n">
        <f aca="false">'Base votos'!R58/'Base votos'!S58</f>
        <v>0.639885263068341</v>
      </c>
      <c r="D26" s="12" t="n">
        <f aca="false">(C26-B26)*100</f>
        <v>-0.687921462456331</v>
      </c>
      <c r="E26" s="11" t="n">
        <f aca="false">'Base votos'!Q25/'Base votos'!R25</f>
        <v>0.0268207977483052</v>
      </c>
      <c r="F26" s="11" t="n">
        <f aca="false">'Base votos'!Q58/'Base votos'!R58</f>
        <v>0.0226089040410092</v>
      </c>
      <c r="G26" s="12" t="n">
        <f aca="false">(F26-E26)*100</f>
        <v>-0.421189370729602</v>
      </c>
      <c r="H26" s="9" t="n">
        <f aca="false">'Base votos'!R25</f>
        <v>1025361</v>
      </c>
      <c r="I26" s="9" t="n">
        <f aca="false">'Base votos'!R58</f>
        <v>1218458</v>
      </c>
      <c r="J26" s="10" t="n">
        <f aca="false">I26-H26</f>
        <v>193097</v>
      </c>
      <c r="K26" s="19" t="n">
        <f aca="false">I26/H26-1</f>
        <v>0.18832099133866</v>
      </c>
      <c r="L26" s="11" t="n">
        <f aca="false">'Base votos'!U25/'Base votos'!R25</f>
        <v>0.413670892495424</v>
      </c>
      <c r="M26" s="11" t="n">
        <f aca="false">'Base votos'!U58/'Base votos'!R58</f>
        <v>0.510756218105179</v>
      </c>
      <c r="N26" s="12" t="n">
        <f aca="false">(M26-L26)*100</f>
        <v>9.70853256097552</v>
      </c>
      <c r="O26" s="11" t="n">
        <f aca="false">'Base votos'!V25/'Base votos'!R25</f>
        <v>0.339064973214312</v>
      </c>
      <c r="P26" s="11" t="n">
        <f aca="false">'Base votos'!V58/'Base votos'!R58</f>
        <v>0.368909720318632</v>
      </c>
      <c r="Q26" s="12" t="n">
        <f aca="false">(P26-O26)*100</f>
        <v>2.98447471043204</v>
      </c>
      <c r="R26" s="11" t="n">
        <f aca="false">'Base votos'!W25/'Base votos'!R25</f>
        <v>0.147194012645303</v>
      </c>
      <c r="S26" s="11" t="n">
        <f aca="false">'Base votos'!W58/'Base votos'!R58</f>
        <v>0.0952983196794637</v>
      </c>
      <c r="T26" s="12" t="n">
        <f aca="false">(S26-R26)*100</f>
        <v>-5.18956929658388</v>
      </c>
      <c r="U26" s="20" t="n">
        <f aca="false">(MAX('Base votos'!U25:W25)-LARGE('Base votos'!U25:W25,2))/'Base votos'!R25*100</f>
        <v>7.46059192811117</v>
      </c>
      <c r="V26" s="20" t="n">
        <f aca="false">(MAX('Base votos'!U58:W58)-LARGE('Base votos'!U58:W58,2))/'Base votos'!R58*100</f>
        <v>14.1846497786547</v>
      </c>
      <c r="W26" s="12" t="n">
        <f aca="false">(V26-U26)</f>
        <v>6.72405785054349</v>
      </c>
      <c r="X26" s="21" t="s">
        <v>74</v>
      </c>
      <c r="Y26" s="21" t="s">
        <v>74</v>
      </c>
      <c r="Z26" s="21" t="s">
        <v>134</v>
      </c>
    </row>
    <row r="27" customFormat="false" ht="23.85" hidden="false" customHeight="false" outlineLevel="0" collapsed="false">
      <c r="A27" s="14" t="s">
        <v>104</v>
      </c>
      <c r="B27" s="11" t="n">
        <f aca="false">'Base votos'!R26/'Base votos'!S26</f>
        <v>0.601689827792359</v>
      </c>
      <c r="C27" s="11" t="n">
        <f aca="false">'Base votos'!R59/'Base votos'!S59</f>
        <v>0.565569438870837</v>
      </c>
      <c r="D27" s="12" t="n">
        <f aca="false">(C27-B27)*100</f>
        <v>-3.61203889215217</v>
      </c>
      <c r="E27" s="11" t="n">
        <f aca="false">'Base votos'!Q26/'Base votos'!R26</f>
        <v>0.0222728871884517</v>
      </c>
      <c r="F27" s="11" t="n">
        <f aca="false">'Base votos'!Q59/'Base votos'!R59</f>
        <v>0.0213989133128245</v>
      </c>
      <c r="G27" s="12" t="n">
        <f aca="false">(F27-E27)*100</f>
        <v>-0.0873973875627206</v>
      </c>
      <c r="H27" s="9" t="n">
        <f aca="false">'Base votos'!R26</f>
        <v>727656</v>
      </c>
      <c r="I27" s="9" t="n">
        <f aca="false">'Base votos'!R59</f>
        <v>827285</v>
      </c>
      <c r="J27" s="10" t="n">
        <f aca="false">I27-H27</f>
        <v>99629</v>
      </c>
      <c r="K27" s="19" t="n">
        <f aca="false">I27/H27-1</f>
        <v>0.136917719361896</v>
      </c>
      <c r="L27" s="11" t="n">
        <f aca="false">'Base votos'!U26/'Base votos'!R26</f>
        <v>0.671243004936399</v>
      </c>
      <c r="M27" s="11" t="n">
        <f aca="false">'Base votos'!U59/'Base votos'!R59</f>
        <v>0.73174419939924</v>
      </c>
      <c r="N27" s="12" t="n">
        <f aca="false">(M27-L27)*100</f>
        <v>6.05011944628412</v>
      </c>
      <c r="O27" s="11" t="n">
        <f aca="false">'Base votos'!V26/'Base votos'!R26</f>
        <v>0.1594585903229</v>
      </c>
      <c r="P27" s="11" t="n">
        <f aca="false">'Base votos'!V59/'Base votos'!R59</f>
        <v>0.168009815239005</v>
      </c>
      <c r="Q27" s="12" t="n">
        <f aca="false">(P27-O27)*100</f>
        <v>0.855122491610486</v>
      </c>
      <c r="R27" s="11" t="n">
        <f aca="false">'Base votos'!W26/'Base votos'!R26</f>
        <v>0.105486658530954</v>
      </c>
      <c r="S27" s="11" t="n">
        <f aca="false">'Base votos'!W59/'Base votos'!R59</f>
        <v>0.0772285246317774</v>
      </c>
      <c r="T27" s="12" t="n">
        <f aca="false">(S27-R27)*100</f>
        <v>-2.82581338991767</v>
      </c>
      <c r="U27" s="20" t="n">
        <f aca="false">(MAX('Base votos'!U26:W26)-LARGE('Base votos'!U26:W26,2))/'Base votos'!R26*100</f>
        <v>51.1784414613499</v>
      </c>
      <c r="V27" s="20" t="n">
        <f aca="false">(MAX('Base votos'!U59:W59)-LARGE('Base votos'!U59:W59,2))/'Base votos'!R59*100</f>
        <v>56.3734384160235</v>
      </c>
      <c r="W27" s="12" t="n">
        <f aca="false">(V27-U27)</f>
        <v>5.19499695467364</v>
      </c>
      <c r="X27" s="21" t="s">
        <v>74</v>
      </c>
      <c r="Y27" s="21" t="s">
        <v>74</v>
      </c>
      <c r="Z27" s="21" t="s">
        <v>134</v>
      </c>
    </row>
    <row r="28" customFormat="false" ht="23.85" hidden="false" customHeight="false" outlineLevel="0" collapsed="false">
      <c r="A28" s="14" t="s">
        <v>105</v>
      </c>
      <c r="B28" s="11" t="n">
        <f aca="false">'Base votos'!R27/'Base votos'!S27</f>
        <v>0.635819508153657</v>
      </c>
      <c r="C28" s="11" t="n">
        <f aca="false">'Base votos'!R60/'Base votos'!S60</f>
        <v>0.62351952688755</v>
      </c>
      <c r="D28" s="12" t="n">
        <f aca="false">(C28-B28)*100</f>
        <v>-1.22999812661061</v>
      </c>
      <c r="E28" s="11" t="n">
        <f aca="false">'Base votos'!Q27/'Base votos'!R27</f>
        <v>0.0410951285245735</v>
      </c>
      <c r="F28" s="11" t="n">
        <f aca="false">'Base votos'!Q60/'Base votos'!R60</f>
        <v>0.031241445237074</v>
      </c>
      <c r="G28" s="12" t="n">
        <f aca="false">(F28-E28)*100</f>
        <v>-0.985368328749951</v>
      </c>
      <c r="H28" s="9" t="n">
        <f aca="false">'Base votos'!R27</f>
        <v>1258592</v>
      </c>
      <c r="I28" s="9" t="n">
        <f aca="false">'Base votos'!R60</f>
        <v>1366198</v>
      </c>
      <c r="J28" s="10" t="n">
        <f aca="false">I28-H28</f>
        <v>107606</v>
      </c>
      <c r="K28" s="19" t="n">
        <f aca="false">I28/H28-1</f>
        <v>0.0854971269482088</v>
      </c>
      <c r="L28" s="11" t="n">
        <f aca="false">'Base votos'!U27/'Base votos'!R27</f>
        <v>0.419155691439323</v>
      </c>
      <c r="M28" s="11" t="n">
        <f aca="false">'Base votos'!U60/'Base votos'!R60</f>
        <v>0.605143617542992</v>
      </c>
      <c r="N28" s="12" t="n">
        <f aca="false">(M28-L28)*100</f>
        <v>18.5987926103669</v>
      </c>
      <c r="O28" s="11" t="n">
        <f aca="false">'Base votos'!V27/'Base votos'!R27</f>
        <v>0.265982145127253</v>
      </c>
      <c r="P28" s="11" t="n">
        <f aca="false">'Base votos'!V60/'Base votos'!R60</f>
        <v>0.254683435343925</v>
      </c>
      <c r="Q28" s="12" t="n">
        <f aca="false">(P28-O28)*100</f>
        <v>-1.12987097833281</v>
      </c>
      <c r="R28" s="11" t="n">
        <f aca="false">'Base votos'!W27/'Base votos'!R27</f>
        <v>0.206747699016043</v>
      </c>
      <c r="S28" s="11" t="n">
        <f aca="false">'Base votos'!W60/'Base votos'!R60</f>
        <v>0.107452946059063</v>
      </c>
      <c r="T28" s="12" t="n">
        <f aca="false">(S28-R28)*100</f>
        <v>-9.92947529569801</v>
      </c>
      <c r="U28" s="20" t="n">
        <f aca="false">(MAX('Base votos'!U27:W27)-LARGE('Base votos'!U27:W27,2))/'Base votos'!R27*100</f>
        <v>15.3173546312069</v>
      </c>
      <c r="V28" s="20" t="n">
        <f aca="false">(MAX('Base votos'!U60:W60)-LARGE('Base votos'!U60:W60,2))/'Base votos'!R60*100</f>
        <v>35.0460182199066</v>
      </c>
      <c r="W28" s="12" t="n">
        <f aca="false">(V28-U28)</f>
        <v>19.7286635886997</v>
      </c>
      <c r="X28" s="21" t="s">
        <v>74</v>
      </c>
      <c r="Y28" s="21" t="s">
        <v>74</v>
      </c>
      <c r="Z28" s="21" t="s">
        <v>134</v>
      </c>
    </row>
    <row r="29" customFormat="false" ht="23.85" hidden="false" customHeight="false" outlineLevel="0" collapsed="false">
      <c r="A29" s="14" t="s">
        <v>106</v>
      </c>
      <c r="B29" s="11" t="n">
        <f aca="false">'Base votos'!R28/'Base votos'!S28</f>
        <v>0.6053230829526</v>
      </c>
      <c r="C29" s="11" t="n">
        <f aca="false">'Base votos'!R61/'Base votos'!S61</f>
        <v>0.562364542352439</v>
      </c>
      <c r="D29" s="12" t="n">
        <f aca="false">(C29-B29)*100</f>
        <v>-4.29585406001606</v>
      </c>
      <c r="E29" s="11" t="n">
        <f aca="false">'Base votos'!Q28/'Base votos'!R28</f>
        <v>0.0245762188055319</v>
      </c>
      <c r="F29" s="11" t="n">
        <f aca="false">'Base votos'!Q61/'Base votos'!R61</f>
        <v>0.0202044508747893</v>
      </c>
      <c r="G29" s="12" t="n">
        <f aca="false">(F29-E29)*100</f>
        <v>-0.437176793074269</v>
      </c>
      <c r="H29" s="9" t="n">
        <f aca="false">'Base votos'!R28</f>
        <v>1294300</v>
      </c>
      <c r="I29" s="9" t="n">
        <f aca="false">'Base votos'!R61</f>
        <v>1329806</v>
      </c>
      <c r="J29" s="10" t="n">
        <f aca="false">I29-H29</f>
        <v>35506</v>
      </c>
      <c r="K29" s="19" t="n">
        <f aca="false">I29/H29-1</f>
        <v>0.027432589044271</v>
      </c>
      <c r="L29" s="11" t="n">
        <f aca="false">'Base votos'!U28/'Base votos'!R28</f>
        <v>0.644364521362899</v>
      </c>
      <c r="M29" s="11" t="n">
        <f aca="false">'Base votos'!U61/'Base votos'!R61</f>
        <v>0.655921991628854</v>
      </c>
      <c r="N29" s="12" t="n">
        <f aca="false">(M29-L29)*100</f>
        <v>1.15574702659552</v>
      </c>
      <c r="O29" s="11" t="n">
        <f aca="false">'Base votos'!V28/'Base votos'!R28</f>
        <v>0.126675423008576</v>
      </c>
      <c r="P29" s="11" t="n">
        <f aca="false">'Base votos'!V61/'Base votos'!R61</f>
        <v>0.245425272558554</v>
      </c>
      <c r="Q29" s="12" t="n">
        <f aca="false">(P29-O29)*100</f>
        <v>11.8749849549978</v>
      </c>
      <c r="R29" s="11" t="n">
        <f aca="false">'Base votos'!W28/'Base votos'!R28</f>
        <v>0.181114115738237</v>
      </c>
      <c r="S29" s="11" t="n">
        <f aca="false">'Base votos'!W61/'Base votos'!R61</f>
        <v>0.0776000409082227</v>
      </c>
      <c r="T29" s="12" t="n">
        <f aca="false">(S29-R29)*100</f>
        <v>-10.3514074830014</v>
      </c>
      <c r="U29" s="20" t="n">
        <f aca="false">(MAX('Base votos'!U28:W28)-LARGE('Base votos'!U28:W28,2))/'Base votos'!R28*100</f>
        <v>46.3250405624662</v>
      </c>
      <c r="V29" s="20" t="n">
        <f aca="false">(MAX('Base votos'!U61:W61)-LARGE('Base votos'!U61:W61,2))/'Base votos'!R61*100</f>
        <v>41.0496719070301</v>
      </c>
      <c r="W29" s="12" t="n">
        <f aca="false">(V29-U29)</f>
        <v>-5.27536865543615</v>
      </c>
      <c r="X29" s="21" t="s">
        <v>74</v>
      </c>
      <c r="Y29" s="21" t="s">
        <v>74</v>
      </c>
      <c r="Z29" s="21" t="s">
        <v>134</v>
      </c>
    </row>
    <row r="30" customFormat="false" ht="23.85" hidden="false" customHeight="false" outlineLevel="0" collapsed="false">
      <c r="A30" s="14" t="s">
        <v>107</v>
      </c>
      <c r="B30" s="11" t="n">
        <f aca="false">'Base votos'!R29/'Base votos'!S29</f>
        <v>0.521343643040017</v>
      </c>
      <c r="C30" s="11" t="n">
        <f aca="false">'Base votos'!R62/'Base votos'!S62</f>
        <v>0.51118473430322</v>
      </c>
      <c r="D30" s="12" t="n">
        <f aca="false">(C30-B30)*100</f>
        <v>-1.01589087367967</v>
      </c>
      <c r="E30" s="11" t="n">
        <f aca="false">'Base votos'!Q29/'Base votos'!R29</f>
        <v>0.0241520536940294</v>
      </c>
      <c r="F30" s="11" t="n">
        <f aca="false">'Base votos'!Q62/'Base votos'!R62</f>
        <v>0.0199374807769151</v>
      </c>
      <c r="G30" s="12" t="n">
        <f aca="false">(F30-E30)*100</f>
        <v>-0.421457291711432</v>
      </c>
      <c r="H30" s="9" t="n">
        <f aca="false">'Base votos'!R29</f>
        <v>1091667</v>
      </c>
      <c r="I30" s="9" t="n">
        <f aca="false">'Base votos'!R62</f>
        <v>1173719</v>
      </c>
      <c r="J30" s="10" t="n">
        <f aca="false">I30-H30</f>
        <v>82052</v>
      </c>
      <c r="K30" s="19" t="n">
        <f aca="false">I30/H30-1</f>
        <v>0.0751621144543162</v>
      </c>
      <c r="L30" s="11" t="n">
        <f aca="false">'Base votos'!U29/'Base votos'!R29</f>
        <v>0.597074016160606</v>
      </c>
      <c r="M30" s="11" t="n">
        <f aca="false">'Base votos'!U62/'Base votos'!R62</f>
        <v>0.639181098712724</v>
      </c>
      <c r="N30" s="12" t="n">
        <f aca="false">(M30-L30)*100</f>
        <v>4.21070825521185</v>
      </c>
      <c r="O30" s="11" t="n">
        <f aca="false">'Base votos'!V29/'Base votos'!R29</f>
        <v>0.15322712878561</v>
      </c>
      <c r="P30" s="11" t="n">
        <f aca="false">'Base votos'!V62/'Base votos'!R62</f>
        <v>0.247859155385574</v>
      </c>
      <c r="Q30" s="12" t="n">
        <f aca="false">(P30-O30)*100</f>
        <v>9.4632026599964</v>
      </c>
      <c r="R30" s="11" t="n">
        <f aca="false">'Base votos'!W29/'Base votos'!R29</f>
        <v>0.165855521876177</v>
      </c>
      <c r="S30" s="11" t="n">
        <f aca="false">'Base votos'!W62/'Base votos'!R62</f>
        <v>0.0918098795367545</v>
      </c>
      <c r="T30" s="12" t="n">
        <f aca="false">(S30-R30)*100</f>
        <v>-7.4045642339422</v>
      </c>
      <c r="U30" s="20" t="n">
        <f aca="false">(MAX('Base votos'!U29:W29)-LARGE('Base votos'!U29:W29,2))/'Base votos'!R29*100</f>
        <v>43.1218494284429</v>
      </c>
      <c r="V30" s="20" t="n">
        <f aca="false">(MAX('Base votos'!U62:W62)-LARGE('Base votos'!U62:W62,2))/'Base votos'!R62*100</f>
        <v>39.1321943327151</v>
      </c>
      <c r="W30" s="12" t="n">
        <f aca="false">(V30-U30)</f>
        <v>-3.98965509572785</v>
      </c>
      <c r="X30" s="21" t="s">
        <v>74</v>
      </c>
      <c r="Y30" s="21" t="s">
        <v>74</v>
      </c>
      <c r="Z30" s="21" t="s">
        <v>134</v>
      </c>
    </row>
    <row r="31" customFormat="false" ht="23.85" hidden="false" customHeight="false" outlineLevel="0" collapsed="false">
      <c r="A31" s="14" t="s">
        <v>108</v>
      </c>
      <c r="B31" s="11" t="n">
        <f aca="false">'Base votos'!R30/'Base votos'!S30</f>
        <v>0.711128495179869</v>
      </c>
      <c r="C31" s="11" t="n">
        <f aca="false">'Base votos'!R63/'Base votos'!S63</f>
        <v>0.614298586342511</v>
      </c>
      <c r="D31" s="12" t="n">
        <f aca="false">(C31-B31)*100</f>
        <v>-9.68299088373574</v>
      </c>
      <c r="E31" s="11" t="n">
        <f aca="false">'Base votos'!Q30/'Base votos'!R30</f>
        <v>0.0248566634328327</v>
      </c>
      <c r="F31" s="11" t="n">
        <f aca="false">'Base votos'!Q63/'Base votos'!R63</f>
        <v>0.023066406583118</v>
      </c>
      <c r="G31" s="12" t="n">
        <f aca="false">(F31-E31)*100</f>
        <v>-0.179025684971475</v>
      </c>
      <c r="H31" s="9" t="n">
        <f aca="false">'Base votos'!R30</f>
        <v>1200845</v>
      </c>
      <c r="I31" s="9" t="n">
        <f aca="false">'Base votos'!R63</f>
        <v>1114001</v>
      </c>
      <c r="J31" s="10" t="n">
        <f aca="false">I31-H31</f>
        <v>-86844</v>
      </c>
      <c r="K31" s="19" t="n">
        <f aca="false">I31/H31-1</f>
        <v>-0.072319075317797</v>
      </c>
      <c r="L31" s="11" t="n">
        <f aca="false">'Base votos'!U30/'Base votos'!R30</f>
        <v>0.80086106033668</v>
      </c>
      <c r="M31" s="11" t="n">
        <f aca="false">'Base votos'!U63/'Base votos'!R63</f>
        <v>0.805334106522346</v>
      </c>
      <c r="N31" s="12" t="n">
        <f aca="false">(M31-L31)*100</f>
        <v>0.447304618566646</v>
      </c>
      <c r="O31" s="11" t="n">
        <f aca="false">'Base votos'!V30/'Base votos'!R30</f>
        <v>0.0760647710570473</v>
      </c>
      <c r="P31" s="11" t="n">
        <f aca="false">'Base votos'!V63/'Base votos'!R63</f>
        <v>0.111343706154662</v>
      </c>
      <c r="Q31" s="12" t="n">
        <f aca="false">(P31-O31)*100</f>
        <v>3.5278935097615</v>
      </c>
      <c r="R31" s="11" t="n">
        <f aca="false">'Base votos'!W30/'Base votos'!R30</f>
        <v>0.0895519405085586</v>
      </c>
      <c r="S31" s="11" t="n">
        <f aca="false">'Base votos'!W63/'Base votos'!R63</f>
        <v>0.0592620652943759</v>
      </c>
      <c r="T31" s="12" t="n">
        <f aca="false">(S31-R31)*100</f>
        <v>-3.02898752141827</v>
      </c>
      <c r="U31" s="20" t="n">
        <f aca="false">(MAX('Base votos'!U30:W30)-LARGE('Base votos'!U30:W30,2))/'Base votos'!R30*100</f>
        <v>71.1309119828121</v>
      </c>
      <c r="V31" s="20" t="n">
        <f aca="false">(MAX('Base votos'!U63:W63)-LARGE('Base votos'!U63:W63,2))/'Base votos'!R63*100</f>
        <v>69.3990400367684</v>
      </c>
      <c r="W31" s="12" t="n">
        <f aca="false">(V31-U31)</f>
        <v>-1.73187194604374</v>
      </c>
      <c r="X31" s="21" t="s">
        <v>74</v>
      </c>
      <c r="Y31" s="21" t="s">
        <v>74</v>
      </c>
      <c r="Z31" s="21" t="s">
        <v>134</v>
      </c>
    </row>
    <row r="32" customFormat="false" ht="23.85" hidden="false" customHeight="false" outlineLevel="0" collapsed="false">
      <c r="A32" s="14" t="s">
        <v>109</v>
      </c>
      <c r="B32" s="11" t="n">
        <f aca="false">'Base votos'!R31/'Base votos'!S31</f>
        <v>0.621204467856424</v>
      </c>
      <c r="C32" s="11" t="n">
        <f aca="false">'Base votos'!R64/'Base votos'!S64</f>
        <v>0.569787245224185</v>
      </c>
      <c r="D32" s="12" t="n">
        <f aca="false">(C32-B32)*100</f>
        <v>-5.14172226322387</v>
      </c>
      <c r="E32" s="11" t="n">
        <f aca="false">'Base votos'!Q31/'Base votos'!R31</f>
        <v>0.0207458808424785</v>
      </c>
      <c r="F32" s="11" t="n">
        <f aca="false">'Base votos'!Q64/'Base votos'!R64</f>
        <v>0.0190401407857463</v>
      </c>
      <c r="G32" s="12" t="n">
        <f aca="false">(F32-E32)*100</f>
        <v>-0.170574005673222</v>
      </c>
      <c r="H32" s="9" t="n">
        <f aca="false">'Base votos'!R31</f>
        <v>1635650</v>
      </c>
      <c r="I32" s="9" t="n">
        <f aca="false">'Base votos'!R64</f>
        <v>1626301</v>
      </c>
      <c r="J32" s="10" t="n">
        <f aca="false">I32-H32</f>
        <v>-9349</v>
      </c>
      <c r="K32" s="19" t="n">
        <f aca="false">I32/H32-1</f>
        <v>-0.00571577048879646</v>
      </c>
      <c r="L32" s="11" t="n">
        <f aca="false">'Base votos'!U31/'Base votos'!R31</f>
        <v>0.480671292758231</v>
      </c>
      <c r="M32" s="11" t="n">
        <f aca="false">'Base votos'!U64/'Base votos'!R64</f>
        <v>0.623325571342574</v>
      </c>
      <c r="N32" s="12" t="n">
        <f aca="false">(M32-L32)*100</f>
        <v>14.2654278584344</v>
      </c>
      <c r="O32" s="11" t="n">
        <f aca="false">'Base votos'!V31/'Base votos'!R31</f>
        <v>0.290527313300523</v>
      </c>
      <c r="P32" s="11" t="n">
        <f aca="false">'Base votos'!V64/'Base votos'!R64</f>
        <v>0.26269921742654</v>
      </c>
      <c r="Q32" s="12" t="n">
        <f aca="false">(P32-O32)*100</f>
        <v>-2.78280958739824</v>
      </c>
      <c r="R32" s="11" t="n">
        <f aca="false">'Base votos'!W31/'Base votos'!R31</f>
        <v>0.139630116467459</v>
      </c>
      <c r="S32" s="11" t="n">
        <f aca="false">'Base votos'!W64/'Base votos'!R64</f>
        <v>0.0937882962625</v>
      </c>
      <c r="T32" s="12" t="n">
        <f aca="false">(S32-R32)*100</f>
        <v>-4.58418202049595</v>
      </c>
      <c r="U32" s="20" t="n">
        <f aca="false">(MAX('Base votos'!U31:W31)-LARGE('Base votos'!U31:W31,2))/'Base votos'!R31*100</f>
        <v>19.0143979457708</v>
      </c>
      <c r="V32" s="20" t="n">
        <f aca="false">(MAX('Base votos'!U64:W64)-LARGE('Base votos'!U64:W64,2))/'Base votos'!R64*100</f>
        <v>36.0626353916034</v>
      </c>
      <c r="W32" s="12" t="n">
        <f aca="false">(V32-U32)</f>
        <v>17.0482374458326</v>
      </c>
      <c r="X32" s="21" t="s">
        <v>74</v>
      </c>
      <c r="Y32" s="21" t="s">
        <v>74</v>
      </c>
      <c r="Z32" s="21" t="s">
        <v>134</v>
      </c>
    </row>
    <row r="33" customFormat="false" ht="23.85" hidden="false" customHeight="false" outlineLevel="0" collapsed="false">
      <c r="A33" s="14" t="s">
        <v>110</v>
      </c>
      <c r="B33" s="11" t="n">
        <f aca="false">'Base votos'!R32/'Base votos'!S32</f>
        <v>0.664400090114289</v>
      </c>
      <c r="C33" s="11" t="n">
        <f aca="false">'Base votos'!R65/'Base votos'!S65</f>
        <v>0.710454504486365</v>
      </c>
      <c r="D33" s="12" t="n">
        <f aca="false">(C33-B33)*100</f>
        <v>4.60544143720754</v>
      </c>
      <c r="E33" s="11" t="n">
        <f aca="false">'Base votos'!Q32/'Base votos'!R32</f>
        <v>0.0202014274023429</v>
      </c>
      <c r="F33" s="11" t="n">
        <f aca="false">'Base votos'!Q65/'Base votos'!R65</f>
        <v>0.0202952925933924</v>
      </c>
      <c r="G33" s="12" t="n">
        <f aca="false">(F33-E33)*100</f>
        <v>0.00938651910494318</v>
      </c>
      <c r="H33" s="9" t="n">
        <f aca="false">'Base votos'!R32</f>
        <v>613422</v>
      </c>
      <c r="I33" s="9" t="n">
        <f aca="false">'Base votos'!R65</f>
        <v>740960</v>
      </c>
      <c r="J33" s="10" t="n">
        <f aca="false">I33-H33</f>
        <v>127538</v>
      </c>
      <c r="K33" s="19" t="n">
        <f aca="false">I33/H33-1</f>
        <v>0.207912334412525</v>
      </c>
      <c r="L33" s="11" t="n">
        <f aca="false">'Base votos'!U32/'Base votos'!R32</f>
        <v>0.706083251008278</v>
      </c>
      <c r="M33" s="11" t="n">
        <f aca="false">'Base votos'!U65/'Base votos'!R65</f>
        <v>0.692040056143382</v>
      </c>
      <c r="N33" s="12" t="n">
        <f aca="false">(M33-L33)*100</f>
        <v>-1.40431948648966</v>
      </c>
      <c r="O33" s="11" t="n">
        <f aca="false">'Base votos'!V32/'Base votos'!R32</f>
        <v>0.108781556579321</v>
      </c>
      <c r="P33" s="11" t="n">
        <f aca="false">'Base votos'!V65/'Base votos'!R65</f>
        <v>0.147257611746923</v>
      </c>
      <c r="Q33" s="12" t="n">
        <f aca="false">(P33-O33)*100</f>
        <v>3.84760551676023</v>
      </c>
      <c r="R33" s="11" t="n">
        <f aca="false">'Base votos'!W32/'Base votos'!R32</f>
        <v>0.121847602466165</v>
      </c>
      <c r="S33" s="11" t="n">
        <f aca="false">'Base votos'!W65/'Base votos'!R65</f>
        <v>0.139327359101706</v>
      </c>
      <c r="T33" s="12" t="n">
        <f aca="false">(S33-R33)*100</f>
        <v>1.74797566355407</v>
      </c>
      <c r="U33" s="20" t="n">
        <f aca="false">(MAX('Base votos'!U32:W32)-LARGE('Base votos'!U32:W32,2))/'Base votos'!R32*100</f>
        <v>58.4235648542113</v>
      </c>
      <c r="V33" s="20" t="n">
        <f aca="false">(MAX('Base votos'!U65:W65)-LARGE('Base votos'!U65:W65,2))/'Base votos'!R65*100</f>
        <v>54.4782444396459</v>
      </c>
      <c r="W33" s="12" t="n">
        <f aca="false">(V33-U33)</f>
        <v>-3.94532041456543</v>
      </c>
      <c r="X33" s="21" t="s">
        <v>74</v>
      </c>
      <c r="Y33" s="21" t="s">
        <v>74</v>
      </c>
      <c r="Z33" s="21" t="s">
        <v>134</v>
      </c>
    </row>
    <row r="34" customFormat="false" ht="23.85" hidden="false" customHeight="false" outlineLevel="0" collapsed="false">
      <c r="A34" s="14" t="s">
        <v>111</v>
      </c>
      <c r="B34" s="11" t="n">
        <f aca="false">'Base votos'!R33/'Base votos'!S33</f>
        <v>0.659736389094083</v>
      </c>
      <c r="C34" s="11" t="n">
        <f aca="false">'Base votos'!R66/'Base votos'!S66</f>
        <v>0.603337771060882</v>
      </c>
      <c r="D34" s="12" t="n">
        <f aca="false">(C34-B34)*100</f>
        <v>-5.63986180332015</v>
      </c>
      <c r="E34" s="11" t="n">
        <f aca="false">'Base votos'!Q33/'Base votos'!R33</f>
        <v>0.0257077691410295</v>
      </c>
      <c r="F34" s="11" t="n">
        <f aca="false">'Base votos'!Q66/'Base votos'!R66</f>
        <v>0.0237787347131748</v>
      </c>
      <c r="G34" s="12" t="n">
        <f aca="false">(F34-E34)*100</f>
        <v>-0.192903442785473</v>
      </c>
      <c r="H34" s="9" t="n">
        <f aca="false">'Base votos'!R33</f>
        <v>3814450</v>
      </c>
      <c r="I34" s="9" t="n">
        <f aca="false">'Base votos'!R66</f>
        <v>3673997</v>
      </c>
      <c r="J34" s="10" t="n">
        <f aca="false">I34-H34</f>
        <v>-140453</v>
      </c>
      <c r="K34" s="19" t="n">
        <f aca="false">I34/H34-1</f>
        <v>-0.0368212979590766</v>
      </c>
      <c r="L34" s="11" t="n">
        <f aca="false">'Base votos'!U33/'Base votos'!R33</f>
        <v>0.539844276370119</v>
      </c>
      <c r="M34" s="11" t="n">
        <f aca="false">'Base votos'!U66/'Base votos'!R66</f>
        <v>0.664510613372847</v>
      </c>
      <c r="N34" s="12" t="n">
        <f aca="false">(M34-L34)*100</f>
        <v>12.4666337002728</v>
      </c>
      <c r="O34" s="11" t="n">
        <f aca="false">'Base votos'!V33/'Base votos'!R33</f>
        <v>0.27542607715398</v>
      </c>
      <c r="P34" s="11" t="n">
        <f aca="false">'Base votos'!V66/'Base votos'!R66</f>
        <v>0.230496105467696</v>
      </c>
      <c r="Q34" s="12" t="n">
        <f aca="false">(P34-O34)*100</f>
        <v>-4.49299716862839</v>
      </c>
      <c r="R34" s="11" t="n">
        <f aca="false">'Base votos'!W33/'Base votos'!R33</f>
        <v>0.123559884124841</v>
      </c>
      <c r="S34" s="11" t="n">
        <f aca="false">'Base votos'!W66/'Base votos'!R66</f>
        <v>0.0801886882324618</v>
      </c>
      <c r="T34" s="12" t="n">
        <f aca="false">(S34-R34)*100</f>
        <v>-4.33711958923793</v>
      </c>
      <c r="U34" s="20" t="n">
        <f aca="false">(MAX('Base votos'!U33:W33)-LARGE('Base votos'!U33:W33,2))/'Base votos'!R33*100</f>
        <v>26.4418199216139</v>
      </c>
      <c r="V34" s="20" t="n">
        <f aca="false">(MAX('Base votos'!U66:W66)-LARGE('Base votos'!U66:W66,2))/'Base votos'!R66*100</f>
        <v>43.4014507905151</v>
      </c>
      <c r="W34" s="12" t="n">
        <f aca="false">(V34-U34)</f>
        <v>16.9596308689012</v>
      </c>
      <c r="X34" s="21" t="s">
        <v>74</v>
      </c>
      <c r="Y34" s="21" t="s">
        <v>74</v>
      </c>
      <c r="Z34" s="21" t="s">
        <v>134</v>
      </c>
    </row>
    <row r="35" customFormat="false" ht="23.85" hidden="false" customHeight="false" outlineLevel="0" collapsed="false">
      <c r="A35" s="14" t="s">
        <v>112</v>
      </c>
      <c r="B35" s="11" t="n">
        <f aca="false">'Base votos'!R34/'Base votos'!S34</f>
        <v>0.756509313865579</v>
      </c>
      <c r="C35" s="11" t="n">
        <f aca="false">'Base votos'!R67/'Base votos'!S67</f>
        <v>0.726744432661718</v>
      </c>
      <c r="D35" s="12" t="n">
        <f aca="false">(C35-B35)*100</f>
        <v>-2.9764881203861</v>
      </c>
      <c r="E35" s="11" t="n">
        <f aca="false">'Base votos'!Q34/'Base votos'!R34</f>
        <v>0.0219007994834952</v>
      </c>
      <c r="F35" s="11" t="n">
        <f aca="false">'Base votos'!Q67/'Base votos'!R67</f>
        <v>0.0196898772349657</v>
      </c>
      <c r="G35" s="12" t="n">
        <f aca="false">(F35-E35)*100</f>
        <v>-0.221092224852954</v>
      </c>
      <c r="H35" s="9" t="n">
        <f aca="false">'Base votos'!R34</f>
        <v>1164752</v>
      </c>
      <c r="I35" s="9" t="n">
        <f aca="false">'Base votos'!R67</f>
        <v>1284975</v>
      </c>
      <c r="J35" s="10" t="n">
        <f aca="false">I35-H35</f>
        <v>120223</v>
      </c>
      <c r="K35" s="19" t="n">
        <f aca="false">I35/H35-1</f>
        <v>0.103217680673654</v>
      </c>
      <c r="L35" s="11" t="n">
        <f aca="false">'Base votos'!U34/'Base votos'!R34</f>
        <v>0.390826545049933</v>
      </c>
      <c r="M35" s="11" t="n">
        <f aca="false">'Base votos'!U67/'Base votos'!R67</f>
        <v>0.606899745131228</v>
      </c>
      <c r="N35" s="12" t="n">
        <f aca="false">(M35-L35)*100</f>
        <v>21.6073200081295</v>
      </c>
      <c r="O35" s="11" t="n">
        <f aca="false">'Base votos'!V34/'Base votos'!R34</f>
        <v>0.274860227756638</v>
      </c>
      <c r="P35" s="11" t="n">
        <f aca="false">'Base votos'!V67/'Base votos'!R67</f>
        <v>0.304009805638242</v>
      </c>
      <c r="Q35" s="12" t="n">
        <f aca="false">(P35-O35)*100</f>
        <v>2.91495778816037</v>
      </c>
      <c r="R35" s="11" t="n">
        <f aca="false">'Base votos'!W34/'Base votos'!R34</f>
        <v>0.2782180240944</v>
      </c>
      <c r="S35" s="11" t="n">
        <f aca="false">'Base votos'!W67/'Base votos'!R67</f>
        <v>0.0684846008677212</v>
      </c>
      <c r="T35" s="12" t="n">
        <f aca="false">(S35-R35)*100</f>
        <v>-20.9733423226678</v>
      </c>
      <c r="U35" s="20" t="n">
        <f aca="false">(MAX('Base votos'!U34:W34)-LARGE('Base votos'!U34:W34,2))/'Base votos'!R34*100</f>
        <v>11.2608520955534</v>
      </c>
      <c r="V35" s="20" t="n">
        <f aca="false">(MAX('Base votos'!U67:W67)-LARGE('Base votos'!U67:W67,2))/'Base votos'!R67*100</f>
        <v>30.2889939492986</v>
      </c>
      <c r="W35" s="12" t="n">
        <f aca="false">(V35-U35)</f>
        <v>19.0281418537452</v>
      </c>
      <c r="X35" s="21" t="s">
        <v>74</v>
      </c>
      <c r="Y35" s="21" t="s">
        <v>74</v>
      </c>
      <c r="Z35" s="21" t="s">
        <v>134</v>
      </c>
    </row>
    <row r="36" customFormat="false" ht="23.85" hidden="false" customHeight="false" outlineLevel="0" collapsed="false">
      <c r="A36" s="14" t="s">
        <v>113</v>
      </c>
      <c r="B36" s="11" t="n">
        <f aca="false">'Base votos'!R35/'Base votos'!S35</f>
        <v>0.65236912814337</v>
      </c>
      <c r="C36" s="11" t="n">
        <f aca="false">'Base votos'!R68/'Base votos'!S68</f>
        <v>0.607745358925507</v>
      </c>
      <c r="D36" s="12" t="n">
        <f aca="false">(C36-B36)*100</f>
        <v>-4.46237692178634</v>
      </c>
      <c r="E36" s="11" t="n">
        <f aca="false">'Base votos'!Q35/'Base votos'!R35</f>
        <v>0.0309516713298557</v>
      </c>
      <c r="F36" s="11" t="n">
        <f aca="false">'Base votos'!Q68/'Base votos'!R68</f>
        <v>0.0265743976910302</v>
      </c>
      <c r="G36" s="12" t="n">
        <f aca="false">(F36-E36)*100</f>
        <v>-0.437727363882555</v>
      </c>
      <c r="H36" s="9" t="n">
        <f aca="false">'Base votos'!R35</f>
        <v>761639</v>
      </c>
      <c r="I36" s="9" t="n">
        <f aca="false">'Base votos'!R68</f>
        <v>771946</v>
      </c>
      <c r="J36" s="10" t="n">
        <f aca="false">I36-H36</f>
        <v>10307</v>
      </c>
      <c r="K36" s="19" t="n">
        <f aca="false">I36/H36-1</f>
        <v>0.01353265786022</v>
      </c>
      <c r="L36" s="11" t="n">
        <f aca="false">'Base votos'!U35/'Base votos'!R35</f>
        <v>0.481029726681538</v>
      </c>
      <c r="M36" s="11" t="n">
        <f aca="false">'Base votos'!U68/'Base votos'!R68</f>
        <v>0.503519676246784</v>
      </c>
      <c r="N36" s="12" t="n">
        <f aca="false">(M36-L36)*100</f>
        <v>2.2489949565246</v>
      </c>
      <c r="O36" s="11" t="n">
        <f aca="false">'Base votos'!V35/'Base votos'!R35</f>
        <v>0.205929580811907</v>
      </c>
      <c r="P36" s="11" t="n">
        <f aca="false">'Base votos'!V68/'Base votos'!R68</f>
        <v>0.299234661491866</v>
      </c>
      <c r="Q36" s="12" t="n">
        <f aca="false">(P36-O36)*100</f>
        <v>9.3305080679959</v>
      </c>
      <c r="R36" s="11" t="n">
        <f aca="false">'Base votos'!W35/'Base votos'!R35</f>
        <v>0.233275869539244</v>
      </c>
      <c r="S36" s="11" t="n">
        <f aca="false">'Base votos'!W68/'Base votos'!R68</f>
        <v>0.168892642749622</v>
      </c>
      <c r="T36" s="12" t="n">
        <f aca="false">(S36-R36)*100</f>
        <v>-6.43832267896213</v>
      </c>
      <c r="U36" s="20" t="n">
        <f aca="false">(MAX('Base votos'!U35:W35)-LARGE('Base votos'!U35:W35,2))/'Base votos'!R35*100</f>
        <v>24.7753857142294</v>
      </c>
      <c r="V36" s="20" t="n">
        <f aca="false">(MAX('Base votos'!U68:W68)-LARGE('Base votos'!U68:W68,2))/'Base votos'!R68*100</f>
        <v>20.4285014754918</v>
      </c>
      <c r="W36" s="12" t="n">
        <f aca="false">(V36-U36)</f>
        <v>-4.34688423873763</v>
      </c>
      <c r="X36" s="21" t="s">
        <v>74</v>
      </c>
      <c r="Y36" s="21" t="s">
        <v>74</v>
      </c>
      <c r="Z36" s="21" t="s">
        <v>134</v>
      </c>
    </row>
    <row r="37" customFormat="false" ht="26.85" hidden="false" customHeight="false" outlineLevel="0" collapsed="false">
      <c r="A37" s="16" t="s">
        <v>4</v>
      </c>
      <c r="B37" s="17" t="n">
        <f aca="false">'Base votos'!R36/'Base votos'!S36</f>
        <v>0.635153422334953</v>
      </c>
      <c r="C37" s="17" t="n">
        <f aca="false">'Base votos'!R69/'Base votos'!S69</f>
        <v>0.610498610354443</v>
      </c>
      <c r="D37" s="18" t="n">
        <f aca="false">(C37-B37)*100</f>
        <v>-2.46548119805097</v>
      </c>
      <c r="E37" s="17" t="n">
        <f aca="false">'Base votos'!Q36/'Base votos'!R36</f>
        <v>0.0277527909889358</v>
      </c>
      <c r="F37" s="17" t="n">
        <f aca="false">'Base votos'!Q69/'Base votos'!R69</f>
        <v>0.0232910207843662</v>
      </c>
      <c r="G37" s="18" t="n">
        <f aca="false">(F37-E37)*100</f>
        <v>-0.446177020456955</v>
      </c>
      <c r="H37" s="22" t="n">
        <f aca="false">'Base votos'!R36</f>
        <v>56611027</v>
      </c>
      <c r="I37" s="22" t="n">
        <f aca="false">'Base votos'!R69</f>
        <v>60115184</v>
      </c>
      <c r="J37" s="23" t="n">
        <f aca="false">I37-H37</f>
        <v>3504157</v>
      </c>
      <c r="K37" s="24" t="n">
        <f aca="false">I37/H37-1</f>
        <v>0.061898841722126</v>
      </c>
      <c r="L37" s="17" t="n">
        <f aca="false">'Base votos'!U36/'Base votos'!R36</f>
        <v>0.531936702013903</v>
      </c>
      <c r="M37" s="17" t="n">
        <f aca="false">'Base votos'!U69/'Base votos'!R69</f>
        <v>0.597594760751294</v>
      </c>
      <c r="N37" s="18" t="n">
        <f aca="false">(M37-L37)*100</f>
        <v>6.56580587373909</v>
      </c>
      <c r="O37" s="17" t="n">
        <f aca="false">'Base votos'!V36/'Base votos'!R36</f>
        <v>0.222750242633825</v>
      </c>
      <c r="P37" s="17" t="n">
        <f aca="false">'Base votos'!V69/'Base votos'!R69</f>
        <v>0.274517948743199</v>
      </c>
      <c r="Q37" s="18" t="n">
        <f aca="false">(P37-O37)*100</f>
        <v>5.17677061093747</v>
      </c>
      <c r="R37" s="17" t="n">
        <f aca="false">'Base votos'!W36/'Base votos'!R36</f>
        <v>0.164099707995052</v>
      </c>
      <c r="S37" s="17" t="n">
        <f aca="false">'Base votos'!W69/'Base votos'!R69</f>
        <v>0.103213690571088</v>
      </c>
      <c r="T37" s="18" t="n">
        <f aca="false">(S37-R37)*100</f>
        <v>-6.08860174239643</v>
      </c>
      <c r="U37" s="25" t="n">
        <f aca="false">(MAX('Base votos'!U36:W36)-LARGE('Base votos'!U36:W36,2))/'Base votos'!R36*100</f>
        <v>30.9186459380078</v>
      </c>
      <c r="V37" s="25" t="n">
        <f aca="false">(MAX('Base votos'!U69:W69)-LARGE('Base votos'!U69:W69,2))/'Base votos'!R69*100</f>
        <v>32.3076812008094</v>
      </c>
      <c r="W37" s="18" t="n">
        <f aca="false">(V37-U37)</f>
        <v>1.38903526280163</v>
      </c>
      <c r="X37" s="26" t="s">
        <v>74</v>
      </c>
      <c r="Y37" s="26" t="s">
        <v>74</v>
      </c>
      <c r="Z37" s="26" t="s">
        <v>134</v>
      </c>
    </row>
  </sheetData>
  <mergeCells count="8">
    <mergeCell ref="B3:D3"/>
    <mergeCell ref="E3:G3"/>
    <mergeCell ref="H3:K3"/>
    <mergeCell ref="L3:N3"/>
    <mergeCell ref="O3:Q3"/>
    <mergeCell ref="R3:T3"/>
    <mergeCell ref="U3:W3"/>
    <mergeCell ref="X3:Z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C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55" min="2" style="0" width="11"/>
  </cols>
  <sheetData>
    <row r="1" customFormat="false" ht="16.15" hidden="false" customHeight="false" outlineLevel="0" collapsed="false">
      <c r="A1" s="5" t="s">
        <v>136</v>
      </c>
    </row>
    <row r="2" customFormat="false" ht="15" hidden="false" customHeight="false" outlineLevel="0" collapsed="false">
      <c r="A2" s="2" t="s">
        <v>79</v>
      </c>
    </row>
    <row r="3" customFormat="false" ht="15" hidden="false" customHeight="true" outlineLevel="0" collapsed="false">
      <c r="A3" s="6"/>
      <c r="B3" s="6" t="s">
        <v>55</v>
      </c>
      <c r="C3" s="6"/>
      <c r="D3" s="6"/>
      <c r="E3" s="6"/>
      <c r="F3" s="6"/>
      <c r="G3" s="6"/>
      <c r="H3" s="6" t="s">
        <v>56</v>
      </c>
      <c r="I3" s="6"/>
      <c r="J3" s="6"/>
      <c r="K3" s="6"/>
      <c r="L3" s="6"/>
      <c r="M3" s="6"/>
      <c r="N3" s="6" t="s">
        <v>57</v>
      </c>
      <c r="O3" s="6"/>
      <c r="P3" s="6"/>
      <c r="Q3" s="6"/>
      <c r="R3" s="6"/>
      <c r="S3" s="6"/>
      <c r="T3" s="6" t="s">
        <v>59</v>
      </c>
      <c r="U3" s="6"/>
      <c r="V3" s="6"/>
      <c r="W3" s="6"/>
      <c r="X3" s="6"/>
      <c r="Y3" s="6"/>
      <c r="Z3" s="6" t="s">
        <v>60</v>
      </c>
      <c r="AA3" s="6"/>
      <c r="AB3" s="6"/>
      <c r="AC3" s="6"/>
      <c r="AD3" s="6"/>
      <c r="AE3" s="6"/>
      <c r="AF3" s="6" t="s">
        <v>61</v>
      </c>
      <c r="AG3" s="6"/>
      <c r="AH3" s="6"/>
      <c r="AI3" s="6"/>
      <c r="AJ3" s="6"/>
      <c r="AK3" s="6"/>
      <c r="AL3" s="6" t="s">
        <v>62</v>
      </c>
      <c r="AM3" s="6"/>
      <c r="AN3" s="6"/>
      <c r="AO3" s="6"/>
      <c r="AP3" s="6"/>
      <c r="AQ3" s="6"/>
      <c r="AR3" s="6" t="s">
        <v>68</v>
      </c>
      <c r="AS3" s="6"/>
      <c r="AT3" s="6"/>
      <c r="AU3" s="6"/>
      <c r="AV3" s="6"/>
      <c r="AW3" s="6"/>
      <c r="AX3" s="6" t="s">
        <v>69</v>
      </c>
      <c r="AY3" s="6"/>
      <c r="AZ3" s="6"/>
      <c r="BA3" s="6"/>
      <c r="BB3" s="6"/>
      <c r="BC3" s="6"/>
    </row>
    <row r="4" customFormat="false" ht="48" hidden="false" customHeight="true" outlineLevel="0" collapsed="false">
      <c r="A4" s="6" t="s">
        <v>80</v>
      </c>
      <c r="B4" s="6" t="s">
        <v>43</v>
      </c>
      <c r="C4" s="6" t="s">
        <v>45</v>
      </c>
      <c r="D4" s="6" t="s">
        <v>44</v>
      </c>
      <c r="E4" s="7" t="s">
        <v>137</v>
      </c>
      <c r="F4" s="7" t="s">
        <v>138</v>
      </c>
      <c r="G4" s="7" t="s">
        <v>81</v>
      </c>
      <c r="H4" s="6" t="s">
        <v>43</v>
      </c>
      <c r="I4" s="6" t="s">
        <v>45</v>
      </c>
      <c r="J4" s="6" t="s">
        <v>44</v>
      </c>
      <c r="K4" s="7" t="s">
        <v>137</v>
      </c>
      <c r="L4" s="7" t="s">
        <v>138</v>
      </c>
      <c r="M4" s="7" t="s">
        <v>81</v>
      </c>
      <c r="N4" s="6" t="s">
        <v>43</v>
      </c>
      <c r="O4" s="6" t="s">
        <v>45</v>
      </c>
      <c r="P4" s="6" t="s">
        <v>44</v>
      </c>
      <c r="Q4" s="7" t="s">
        <v>137</v>
      </c>
      <c r="R4" s="7" t="s">
        <v>138</v>
      </c>
      <c r="S4" s="7" t="s">
        <v>81</v>
      </c>
      <c r="T4" s="6" t="s">
        <v>43</v>
      </c>
      <c r="U4" s="6" t="s">
        <v>45</v>
      </c>
      <c r="V4" s="6" t="s">
        <v>44</v>
      </c>
      <c r="W4" s="7" t="s">
        <v>137</v>
      </c>
      <c r="X4" s="7" t="s">
        <v>138</v>
      </c>
      <c r="Y4" s="7" t="s">
        <v>81</v>
      </c>
      <c r="Z4" s="6" t="s">
        <v>43</v>
      </c>
      <c r="AA4" s="6" t="s">
        <v>45</v>
      </c>
      <c r="AB4" s="6" t="s">
        <v>44</v>
      </c>
      <c r="AC4" s="7" t="s">
        <v>137</v>
      </c>
      <c r="AD4" s="7" t="s">
        <v>138</v>
      </c>
      <c r="AE4" s="7" t="s">
        <v>81</v>
      </c>
      <c r="AF4" s="6" t="s">
        <v>43</v>
      </c>
      <c r="AG4" s="6" t="s">
        <v>45</v>
      </c>
      <c r="AH4" s="6" t="s">
        <v>44</v>
      </c>
      <c r="AI4" s="7" t="s">
        <v>137</v>
      </c>
      <c r="AJ4" s="7" t="s">
        <v>138</v>
      </c>
      <c r="AK4" s="7" t="s">
        <v>81</v>
      </c>
      <c r="AL4" s="6" t="s">
        <v>43</v>
      </c>
      <c r="AM4" s="6" t="s">
        <v>45</v>
      </c>
      <c r="AN4" s="6" t="s">
        <v>44</v>
      </c>
      <c r="AO4" s="7" t="s">
        <v>137</v>
      </c>
      <c r="AP4" s="7" t="s">
        <v>138</v>
      </c>
      <c r="AQ4" s="7" t="s">
        <v>81</v>
      </c>
      <c r="AR4" s="6" t="s">
        <v>43</v>
      </c>
      <c r="AS4" s="6" t="s">
        <v>45</v>
      </c>
      <c r="AT4" s="6" t="s">
        <v>44</v>
      </c>
      <c r="AU4" s="7" t="s">
        <v>137</v>
      </c>
      <c r="AV4" s="7" t="s">
        <v>138</v>
      </c>
      <c r="AW4" s="7" t="s">
        <v>81</v>
      </c>
      <c r="AX4" s="6" t="s">
        <v>43</v>
      </c>
      <c r="AY4" s="6" t="s">
        <v>45</v>
      </c>
      <c r="AZ4" s="6" t="s">
        <v>44</v>
      </c>
      <c r="BA4" s="7" t="s">
        <v>137</v>
      </c>
      <c r="BB4" s="7" t="s">
        <v>138</v>
      </c>
      <c r="BC4" s="7" t="s">
        <v>81</v>
      </c>
    </row>
    <row r="5" customFormat="false" ht="15" hidden="false" customHeight="false" outlineLevel="0" collapsed="false">
      <c r="A5" s="14" t="s">
        <v>82</v>
      </c>
      <c r="B5" s="11" t="n">
        <f aca="false">('Base votos'!D70)/'Base votos'!R70</f>
        <v>0.265165740942065</v>
      </c>
      <c r="C5" s="11" t="n">
        <f aca="false">('Base votos'!D103)/'Base votos'!R103</f>
        <v>0.25056216056395</v>
      </c>
      <c r="D5" s="11" t="n">
        <f aca="false">('Base votos'!D136)/'Base votos'!R136</f>
        <v>0.309219121637466</v>
      </c>
      <c r="E5" s="12" t="n">
        <f aca="false">(C5-B5)*100</f>
        <v>-1.46035803781147</v>
      </c>
      <c r="F5" s="12" t="n">
        <f aca="false">(D5-C5)*100</f>
        <v>5.86569610735159</v>
      </c>
      <c r="G5" s="12" t="n">
        <f aca="false">(D5-B5)*100</f>
        <v>4.40533806954013</v>
      </c>
      <c r="H5" s="11" t="n">
        <f aca="false">('Base votos'!E70)/'Base votos'!R70</f>
        <v>0.0302784720961867</v>
      </c>
      <c r="I5" s="11" t="n">
        <f aca="false">('Base votos'!E103)/'Base votos'!R103</f>
        <v>0.0232858965780178</v>
      </c>
      <c r="J5" s="11" t="n">
        <f aca="false">('Base votos'!E136)/'Base votos'!R136</f>
        <v>0.0265302517655873</v>
      </c>
      <c r="K5" s="12" t="n">
        <f aca="false">(I5-H5)*100</f>
        <v>-0.699257551816894</v>
      </c>
      <c r="L5" s="12" t="n">
        <f aca="false">(J5-I5)*100</f>
        <v>0.324435518756949</v>
      </c>
      <c r="M5" s="12" t="n">
        <f aca="false">(J5-H5)*100</f>
        <v>-0.374822033059944</v>
      </c>
      <c r="N5" s="11" t="n">
        <f aca="false">('Base votos'!F70)/'Base votos'!R70</f>
        <v>0.0437663184792121</v>
      </c>
      <c r="O5" s="11" t="n">
        <f aca="false">('Base votos'!F103)/'Base votos'!R103</f>
        <v>0.0357137299450678</v>
      </c>
      <c r="P5" s="11" t="n">
        <f aca="false">('Base votos'!F136)/'Base votos'!R136</f>
        <v>0.0368405504916845</v>
      </c>
      <c r="Q5" s="12" t="n">
        <f aca="false">(O5-N5)*100</f>
        <v>-0.805258853414431</v>
      </c>
      <c r="R5" s="12" t="n">
        <f aca="false">(P5-O5)*100</f>
        <v>0.112682054661668</v>
      </c>
      <c r="S5" s="12" t="n">
        <f aca="false">(P5-N5)*100</f>
        <v>-0.692576798752762</v>
      </c>
      <c r="T5" s="11" t="n">
        <f aca="false">('Base votos'!H70)/'Base votos'!R70</f>
        <v>0.328806237544946</v>
      </c>
      <c r="U5" s="11" t="n">
        <f aca="false">('Base votos'!H103)/'Base votos'!R103</f>
        <v>0.446015079130421</v>
      </c>
      <c r="V5" s="11" t="n">
        <f aca="false">('Base votos'!H136)/'Base votos'!R136</f>
        <v>0.41359509807803</v>
      </c>
      <c r="W5" s="12" t="n">
        <f aca="false">(U5-T5)*100</f>
        <v>11.7208841585475</v>
      </c>
      <c r="X5" s="12" t="n">
        <f aca="false">(V5-U5)*100</f>
        <v>-3.24199810523913</v>
      </c>
      <c r="Y5" s="12" t="n">
        <f aca="false">(V5-T5)*100</f>
        <v>8.47888605330839</v>
      </c>
      <c r="Z5" s="11" t="n">
        <f aca="false">('Base votos'!I70)/'Base votos'!R70</f>
        <v>0.187963723335627</v>
      </c>
      <c r="AA5" s="11" t="n">
        <f aca="false">('Base votos'!I103)/'Base votos'!R103</f>
        <v>0.0906381786775805</v>
      </c>
      <c r="AB5" s="11" t="n">
        <f aca="false">('Base votos'!I136)/'Base votos'!R136</f>
        <v>0.075669765897899</v>
      </c>
      <c r="AC5" s="12" t="n">
        <f aca="false">(AA5-Z5)*100</f>
        <v>-9.7325544658047</v>
      </c>
      <c r="AD5" s="12" t="n">
        <f aca="false">(AB5-AA5)*100</f>
        <v>-1.49684127796815</v>
      </c>
      <c r="AE5" s="12" t="n">
        <f aca="false">(AB5-Z5)*100</f>
        <v>-11.2293957437728</v>
      </c>
      <c r="AF5" s="11" t="n">
        <f aca="false">('Base votos'!J70)/'Base votos'!R70</f>
        <v>0.0232524290163001</v>
      </c>
      <c r="AG5" s="11" t="n">
        <f aca="false">('Base votos'!J103)/'Base votos'!R103</f>
        <v>0.0277267705139976</v>
      </c>
      <c r="AH5" s="11" t="n">
        <f aca="false">('Base votos'!J136)/'Base votos'!R136</f>
        <v>0.0248735385749221</v>
      </c>
      <c r="AI5" s="12" t="n">
        <f aca="false">(AG5-AF5)*100</f>
        <v>0.447434149769754</v>
      </c>
      <c r="AJ5" s="12" t="n">
        <f aca="false">(AH5-AG5)*100</f>
        <v>-0.285323193907549</v>
      </c>
      <c r="AK5" s="12" t="n">
        <f aca="false">(AH5-AF5)*100</f>
        <v>0.162110955862205</v>
      </c>
      <c r="AL5" s="11" t="n">
        <f aca="false">('Base votos'!K70)/'Base votos'!R70</f>
        <v>0.0218004999092544</v>
      </c>
      <c r="AM5" s="11" t="n">
        <f aca="false">('Base votos'!K103)/'Base votos'!R103</f>
        <v>0.0388279827578158</v>
      </c>
      <c r="AN5" s="11" t="n">
        <f aca="false">('Base votos'!K136)/'Base votos'!R136</f>
        <v>0.0806170647549496</v>
      </c>
      <c r="AO5" s="12" t="n">
        <f aca="false">(AM5-AL5)*100</f>
        <v>1.70274828485614</v>
      </c>
      <c r="AP5" s="12" t="n">
        <f aca="false">(AN5-AM5)*100</f>
        <v>4.17890819971338</v>
      </c>
      <c r="AQ5" s="12" t="n">
        <f aca="false">(AN5-AL5)*100</f>
        <v>5.88165648456952</v>
      </c>
      <c r="AR5" s="11" t="n">
        <f aca="false">('Base votos'!D70+'Base votos'!E70)/'Base votos'!R70</f>
        <v>0.295444213038252</v>
      </c>
      <c r="AS5" s="11" t="n">
        <f aca="false">('Base votos'!D103+'Base votos'!E103)/'Base votos'!R103</f>
        <v>0.273848057141968</v>
      </c>
      <c r="AT5" s="11" t="n">
        <f aca="false">('Base votos'!D136+'Base votos'!E136)/'Base votos'!R136</f>
        <v>0.335749373403053</v>
      </c>
      <c r="AU5" s="12" t="n">
        <f aca="false">(AS5-AR5)*100</f>
        <v>-2.15961558962836</v>
      </c>
      <c r="AV5" s="12" t="n">
        <f aca="false">(AT5-AS5)*100</f>
        <v>6.19013162610854</v>
      </c>
      <c r="AW5" s="12" t="n">
        <f aca="false">(AT5-AR5)*100</f>
        <v>4.03051603648018</v>
      </c>
      <c r="AX5" s="11" t="n">
        <f aca="false">('Base votos'!H70+'Base votos'!I70+'Base votos'!J70)/'Base votos'!R70</f>
        <v>0.540022389896874</v>
      </c>
      <c r="AY5" s="11" t="n">
        <f aca="false">('Base votos'!H103+'Base votos'!I103+'Base votos'!J103)/'Base votos'!R103</f>
        <v>0.564380028321999</v>
      </c>
      <c r="AZ5" s="11" t="n">
        <f aca="false">('Base votos'!H136+'Base votos'!I136+'Base votos'!J136)/'Base votos'!R136</f>
        <v>0.514138402550851</v>
      </c>
      <c r="BA5" s="12" t="n">
        <f aca="false">(AY5-AX5)*100</f>
        <v>2.43576384251258</v>
      </c>
      <c r="BB5" s="12" t="n">
        <f aca="false">(AZ5-AY5)*100</f>
        <v>-5.02416257711482</v>
      </c>
      <c r="BC5" s="12" t="n">
        <f aca="false">(AZ5-AX5)*100</f>
        <v>-2.58839873460224</v>
      </c>
    </row>
    <row r="6" customFormat="false" ht="15" hidden="false" customHeight="false" outlineLevel="0" collapsed="false">
      <c r="A6" s="14" t="s">
        <v>83</v>
      </c>
      <c r="B6" s="11" t="n">
        <f aca="false">('Base votos'!D71)/'Base votos'!R71</f>
        <v>0.505535397539018</v>
      </c>
      <c r="C6" s="11" t="n">
        <f aca="false">('Base votos'!D104)/'Base votos'!R104</f>
        <v>0.44378124513099</v>
      </c>
      <c r="D6" s="11" t="n">
        <f aca="false">('Base votos'!D137)/'Base votos'!R137</f>
        <v>0.518683193845551</v>
      </c>
      <c r="E6" s="12" t="n">
        <f aca="false">(C6-B6)*100</f>
        <v>-6.17541524080274</v>
      </c>
      <c r="F6" s="12" t="n">
        <f aca="false">(D6-C6)*100</f>
        <v>7.49019487145611</v>
      </c>
      <c r="G6" s="12" t="n">
        <f aca="false">(D6-B6)*100</f>
        <v>1.31477963065337</v>
      </c>
      <c r="H6" s="11" t="n">
        <f aca="false">('Base votos'!E71)/'Base votos'!R71</f>
        <v>0.0493353897299167</v>
      </c>
      <c r="I6" s="11" t="n">
        <f aca="false">('Base votos'!E104)/'Base votos'!R104</f>
        <v>0.023817303625882</v>
      </c>
      <c r="J6" s="11" t="n">
        <f aca="false">('Base votos'!E137)/'Base votos'!R137</f>
        <v>0.0553879627522563</v>
      </c>
      <c r="K6" s="12" t="n">
        <f aca="false">(I6-H6)*100</f>
        <v>-2.55180861040347</v>
      </c>
      <c r="L6" s="12" t="n">
        <f aca="false">(J6-I6)*100</f>
        <v>3.15706591263744</v>
      </c>
      <c r="M6" s="12" t="n">
        <f aca="false">(J6-H6)*100</f>
        <v>0.605257302233968</v>
      </c>
      <c r="N6" s="11" t="n">
        <f aca="false">('Base votos'!F71)/'Base votos'!R71</f>
        <v>0.0346249958165531</v>
      </c>
      <c r="O6" s="11" t="n">
        <f aca="false">('Base votos'!F104)/'Base votos'!R104</f>
        <v>0.0245171055267434</v>
      </c>
      <c r="P6" s="11" t="n">
        <f aca="false">('Base votos'!F137)/'Base votos'!R137</f>
        <v>0.0652062428805475</v>
      </c>
      <c r="Q6" s="12" t="n">
        <f aca="false">(O6-N6)*100</f>
        <v>-1.01078902898097</v>
      </c>
      <c r="R6" s="12" t="n">
        <f aca="false">(P6-O6)*100</f>
        <v>4.06891373538041</v>
      </c>
      <c r="S6" s="12" t="n">
        <f aca="false">(P6-N6)*100</f>
        <v>3.05812470639944</v>
      </c>
      <c r="T6" s="11" t="n">
        <f aca="false">('Base votos'!H71)/'Base votos'!R71</f>
        <v>0.189978692310267</v>
      </c>
      <c r="U6" s="11" t="n">
        <f aca="false">('Base votos'!H104)/'Base votos'!R104</f>
        <v>0.147820241725466</v>
      </c>
      <c r="V6" s="11" t="n">
        <f aca="false">('Base votos'!H137)/'Base votos'!R137</f>
        <v>0.154747479462588</v>
      </c>
      <c r="W6" s="12" t="n">
        <f aca="false">(U6-T6)*100</f>
        <v>-4.2158450584801</v>
      </c>
      <c r="X6" s="12" t="n">
        <f aca="false">(V6-U6)*100</f>
        <v>0.692723773712214</v>
      </c>
      <c r="Y6" s="12" t="n">
        <f aca="false">(V6-T6)*100</f>
        <v>-3.52312128476788</v>
      </c>
      <c r="Z6" s="11" t="n">
        <f aca="false">('Base votos'!I71)/'Base votos'!R71</f>
        <v>0.0907807985363514</v>
      </c>
      <c r="AA6" s="11" t="n">
        <f aca="false">('Base votos'!I104)/'Base votos'!R104</f>
        <v>0.0566634763060075</v>
      </c>
      <c r="AB6" s="11" t="n">
        <f aca="false">('Base votos'!I137)/'Base votos'!R137</f>
        <v>0.0498291979728078</v>
      </c>
      <c r="AC6" s="12" t="n">
        <f aca="false">(AA6-Z6)*100</f>
        <v>-3.41173222303438</v>
      </c>
      <c r="AD6" s="12" t="n">
        <f aca="false">(AB6-AA6)*100</f>
        <v>-0.68342783331997</v>
      </c>
      <c r="AE6" s="12" t="n">
        <f aca="false">(AB6-Z6)*100</f>
        <v>-4.09516005635435</v>
      </c>
      <c r="AF6" s="11" t="n">
        <f aca="false">('Base votos'!J71)/'Base votos'!R71</f>
        <v>0.016527404366403</v>
      </c>
      <c r="AG6" s="11" t="n">
        <f aca="false">('Base votos'!J104)/'Base votos'!R104</f>
        <v>0.013763661050148</v>
      </c>
      <c r="AH6" s="11" t="n">
        <f aca="false">('Base votos'!J137)/'Base votos'!R137</f>
        <v>0.0121600410780658</v>
      </c>
      <c r="AI6" s="12" t="n">
        <f aca="false">(AG6-AF6)*100</f>
        <v>-0.2763743316255</v>
      </c>
      <c r="AJ6" s="12" t="n">
        <f aca="false">(AH6-AG6)*100</f>
        <v>-0.160361997208219</v>
      </c>
      <c r="AK6" s="12" t="n">
        <f aca="false">(AH6-AF6)*100</f>
        <v>-0.436736328833719</v>
      </c>
      <c r="AL6" s="11" t="n">
        <f aca="false">('Base votos'!K71)/'Base votos'!R71</f>
        <v>0.0270229754905789</v>
      </c>
      <c r="AM6" s="11" t="n">
        <f aca="false">('Base votos'!K104)/'Base votos'!R104</f>
        <v>0.0463418434349055</v>
      </c>
      <c r="AN6" s="11" t="n">
        <f aca="false">('Base votos'!K137)/'Base votos'!R137</f>
        <v>0.0903607232488497</v>
      </c>
      <c r="AO6" s="12" t="n">
        <f aca="false">(AM6-AL6)*100</f>
        <v>1.93188679443266</v>
      </c>
      <c r="AP6" s="12" t="n">
        <f aca="false">(AN6-AM6)*100</f>
        <v>4.40188798139442</v>
      </c>
      <c r="AQ6" s="12" t="n">
        <f aca="false">(AN6-AL6)*100</f>
        <v>6.33377477582708</v>
      </c>
      <c r="AR6" s="11" t="n">
        <f aca="false">('Base votos'!D71+'Base votos'!E71)/'Base votos'!R71</f>
        <v>0.554870787268934</v>
      </c>
      <c r="AS6" s="11" t="n">
        <f aca="false">('Base votos'!D104+'Base votos'!E104)/'Base votos'!R104</f>
        <v>0.467598548756872</v>
      </c>
      <c r="AT6" s="11" t="n">
        <f aca="false">('Base votos'!D137+'Base votos'!E137)/'Base votos'!R137</f>
        <v>0.574071156597808</v>
      </c>
      <c r="AU6" s="12" t="n">
        <f aca="false">(AS6-AR6)*100</f>
        <v>-8.7272238512062</v>
      </c>
      <c r="AV6" s="12" t="n">
        <f aca="false">(AT6-AS6)*100</f>
        <v>10.6472607840935</v>
      </c>
      <c r="AW6" s="12" t="n">
        <f aca="false">(AT6-AR6)*100</f>
        <v>1.92003693288735</v>
      </c>
      <c r="AX6" s="11" t="n">
        <f aca="false">('Base votos'!H71+'Base votos'!I71+'Base votos'!J71)/'Base votos'!R71</f>
        <v>0.297286895213021</v>
      </c>
      <c r="AY6" s="11" t="n">
        <f aca="false">('Base votos'!H104+'Base votos'!I104+'Base votos'!J104)/'Base votos'!R104</f>
        <v>0.218247379081621</v>
      </c>
      <c r="AZ6" s="11" t="n">
        <f aca="false">('Base votos'!H137+'Base votos'!I137+'Base votos'!J137)/'Base votos'!R137</f>
        <v>0.216736718513462</v>
      </c>
      <c r="BA6" s="12" t="n">
        <f aca="false">(AY6-AX6)*100</f>
        <v>-7.90395161313998</v>
      </c>
      <c r="BB6" s="12" t="n">
        <f aca="false">(AZ6-AY6)*100</f>
        <v>-0.151066056815974</v>
      </c>
      <c r="BC6" s="12" t="n">
        <f aca="false">(AZ6-AX6)*100</f>
        <v>-8.05501766995596</v>
      </c>
    </row>
    <row r="7" customFormat="false" ht="15" hidden="false" customHeight="false" outlineLevel="0" collapsed="false">
      <c r="A7" s="14" t="s">
        <v>84</v>
      </c>
      <c r="B7" s="11" t="n">
        <f aca="false">('Base votos'!D72)/'Base votos'!R72</f>
        <v>0.415295682525078</v>
      </c>
      <c r="C7" s="11" t="n">
        <f aca="false">('Base votos'!D105)/'Base votos'!R105</f>
        <v>0.366041888483168</v>
      </c>
      <c r="D7" s="11" t="n">
        <f aca="false">('Base votos'!D138)/'Base votos'!R138</f>
        <v>0.419366962871487</v>
      </c>
      <c r="E7" s="12" t="n">
        <f aca="false">(C7-B7)*100</f>
        <v>-4.92537940419096</v>
      </c>
      <c r="F7" s="12" t="n">
        <f aca="false">(D7-C7)*100</f>
        <v>5.33250743883183</v>
      </c>
      <c r="G7" s="12" t="n">
        <f aca="false">(D7-B7)*100</f>
        <v>0.407128034640875</v>
      </c>
      <c r="H7" s="11" t="n">
        <f aca="false">('Base votos'!E72)/'Base votos'!R72</f>
        <v>0.0714978647651242</v>
      </c>
      <c r="I7" s="11" t="n">
        <f aca="false">('Base votos'!E105)/'Base votos'!R105</f>
        <v>0.0628112874527486</v>
      </c>
      <c r="J7" s="11" t="n">
        <f aca="false">('Base votos'!E138)/'Base votos'!R138</f>
        <v>0.0863349053367577</v>
      </c>
      <c r="K7" s="12" t="n">
        <f aca="false">(I7-H7)*100</f>
        <v>-0.868657731237554</v>
      </c>
      <c r="L7" s="12" t="n">
        <f aca="false">(J7-I7)*100</f>
        <v>2.35236178840091</v>
      </c>
      <c r="M7" s="12" t="n">
        <f aca="false">(J7-H7)*100</f>
        <v>1.48370405716336</v>
      </c>
      <c r="N7" s="11" t="n">
        <f aca="false">('Base votos'!F72)/'Base votos'!R72</f>
        <v>0.044571569539316</v>
      </c>
      <c r="O7" s="11" t="n">
        <f aca="false">('Base votos'!F105)/'Base votos'!R105</f>
        <v>0.0310340638688609</v>
      </c>
      <c r="P7" s="11" t="n">
        <f aca="false">('Base votos'!F138)/'Base votos'!R138</f>
        <v>0.0614602629153355</v>
      </c>
      <c r="Q7" s="12" t="n">
        <f aca="false">(O7-N7)*100</f>
        <v>-1.35375056704551</v>
      </c>
      <c r="R7" s="12" t="n">
        <f aca="false">(P7-O7)*100</f>
        <v>3.04261990464746</v>
      </c>
      <c r="S7" s="12" t="n">
        <f aca="false">(P7-N7)*100</f>
        <v>1.68886933760195</v>
      </c>
      <c r="T7" s="11" t="n">
        <f aca="false">('Base votos'!H72)/'Base votos'!R72</f>
        <v>0.252277750552561</v>
      </c>
      <c r="U7" s="11" t="n">
        <f aca="false">('Base votos'!H105)/'Base votos'!R105</f>
        <v>0.346955546186662</v>
      </c>
      <c r="V7" s="11" t="n">
        <f aca="false">('Base votos'!H138)/'Base votos'!R138</f>
        <v>0.27013104005775</v>
      </c>
      <c r="W7" s="12" t="n">
        <f aca="false">(U7-T7)*100</f>
        <v>9.46777956341009</v>
      </c>
      <c r="X7" s="12" t="n">
        <f aca="false">(V7-U7)*100</f>
        <v>-7.68245061289122</v>
      </c>
      <c r="Y7" s="12" t="n">
        <f aca="false">(V7-T7)*100</f>
        <v>1.78532895051887</v>
      </c>
      <c r="Z7" s="11" t="n">
        <f aca="false">('Base votos'!I72)/'Base votos'!R72</f>
        <v>0.0831458127060643</v>
      </c>
      <c r="AA7" s="11" t="n">
        <f aca="false">('Base votos'!I105)/'Base votos'!R105</f>
        <v>0.0447253524649322</v>
      </c>
      <c r="AB7" s="11" t="n">
        <f aca="false">('Base votos'!I138)/'Base votos'!R138</f>
        <v>0.0421726459472439</v>
      </c>
      <c r="AC7" s="12" t="n">
        <f aca="false">(AA7-Z7)*100</f>
        <v>-3.84204602411322</v>
      </c>
      <c r="AD7" s="12" t="n">
        <f aca="false">(AB7-AA7)*100</f>
        <v>-0.255270651768823</v>
      </c>
      <c r="AE7" s="12" t="n">
        <f aca="false">(AB7-Z7)*100</f>
        <v>-4.09731667588204</v>
      </c>
      <c r="AF7" s="11" t="n">
        <f aca="false">('Base votos'!J72)/'Base votos'!R72</f>
        <v>0.0132614587604637</v>
      </c>
      <c r="AG7" s="11" t="n">
        <f aca="false">('Base votos'!J105)/'Base votos'!R105</f>
        <v>0.0108151175835876</v>
      </c>
      <c r="AH7" s="11" t="n">
        <f aca="false">('Base votos'!J138)/'Base votos'!R138</f>
        <v>0.0145179139783022</v>
      </c>
      <c r="AI7" s="12" t="n">
        <f aca="false">(AG7-AF7)*100</f>
        <v>-0.244634117687605</v>
      </c>
      <c r="AJ7" s="12" t="n">
        <f aca="false">(AH7-AG7)*100</f>
        <v>0.370279639471458</v>
      </c>
      <c r="AK7" s="12" t="n">
        <f aca="false">(AH7-AF7)*100</f>
        <v>0.125645521783853</v>
      </c>
      <c r="AL7" s="11" t="n">
        <f aca="false">('Base votos'!K72)/'Base votos'!R72</f>
        <v>0.0204889204479159</v>
      </c>
      <c r="AM7" s="11" t="n">
        <f aca="false">('Base votos'!K105)/'Base votos'!R105</f>
        <v>0.0327883495423137</v>
      </c>
      <c r="AN7" s="11" t="n">
        <f aca="false">('Base votos'!K138)/'Base votos'!R138</f>
        <v>0.0728431188309306</v>
      </c>
      <c r="AO7" s="12" t="n">
        <f aca="false">(AM7-AL7)*100</f>
        <v>1.22994290943977</v>
      </c>
      <c r="AP7" s="12" t="n">
        <f aca="false">(AN7-AM7)*100</f>
        <v>4.00547692886169</v>
      </c>
      <c r="AQ7" s="12" t="n">
        <f aca="false">(AN7-AL7)*100</f>
        <v>5.23541983830147</v>
      </c>
      <c r="AR7" s="11" t="n">
        <f aca="false">('Base votos'!D72+'Base votos'!E72)/'Base votos'!R72</f>
        <v>0.486793547290202</v>
      </c>
      <c r="AS7" s="11" t="n">
        <f aca="false">('Base votos'!D105+'Base votos'!E105)/'Base votos'!R105</f>
        <v>0.428853175935917</v>
      </c>
      <c r="AT7" s="11" t="n">
        <f aca="false">('Base votos'!D138+'Base votos'!E138)/'Base votos'!R138</f>
        <v>0.505701868208244</v>
      </c>
      <c r="AU7" s="12" t="n">
        <f aca="false">(AS7-AR7)*100</f>
        <v>-5.79403713542852</v>
      </c>
      <c r="AV7" s="12" t="n">
        <f aca="false">(AT7-AS7)*100</f>
        <v>7.68486922723275</v>
      </c>
      <c r="AW7" s="12" t="n">
        <f aca="false">(AT7-AR7)*100</f>
        <v>1.89083209180423</v>
      </c>
      <c r="AX7" s="11" t="n">
        <f aca="false">('Base votos'!H72+'Base votos'!I72+'Base votos'!J72)/'Base votos'!R72</f>
        <v>0.348685022019089</v>
      </c>
      <c r="AY7" s="11" t="n">
        <f aca="false">('Base votos'!H105+'Base votos'!I105+'Base votos'!J105)/'Base votos'!R105</f>
        <v>0.402496016235181</v>
      </c>
      <c r="AZ7" s="11" t="n">
        <f aca="false">('Base votos'!H138+'Base votos'!I138+'Base votos'!J138)/'Base votos'!R138</f>
        <v>0.326821599983296</v>
      </c>
      <c r="BA7" s="12" t="n">
        <f aca="false">(AY7-AX7)*100</f>
        <v>5.38109942160927</v>
      </c>
      <c r="BB7" s="12" t="n">
        <f aca="false">(AZ7-AY7)*100</f>
        <v>-7.56744162518859</v>
      </c>
      <c r="BC7" s="12" t="n">
        <f aca="false">(AZ7-AX7)*100</f>
        <v>-2.18634220357932</v>
      </c>
    </row>
    <row r="8" customFormat="false" ht="15" hidden="false" customHeight="false" outlineLevel="0" collapsed="false">
      <c r="A8" s="14" t="s">
        <v>85</v>
      </c>
      <c r="B8" s="11" t="n">
        <f aca="false">('Base votos'!D73)/'Base votos'!R73</f>
        <v>0.395321611395504</v>
      </c>
      <c r="C8" s="11" t="n">
        <f aca="false">('Base votos'!D106)/'Base votos'!R106</f>
        <v>0.406915708180392</v>
      </c>
      <c r="D8" s="11" t="n">
        <f aca="false">('Base votos'!D139)/'Base votos'!R139</f>
        <v>0.416907973093305</v>
      </c>
      <c r="E8" s="12" t="n">
        <f aca="false">(C8-B8)*100</f>
        <v>1.15940967848877</v>
      </c>
      <c r="F8" s="12" t="n">
        <f aca="false">(D8-C8)*100</f>
        <v>0.999226491291366</v>
      </c>
      <c r="G8" s="12" t="n">
        <f aca="false">(D8-B8)*100</f>
        <v>2.15863616978013</v>
      </c>
      <c r="H8" s="11" t="n">
        <f aca="false">('Base votos'!E73)/'Base votos'!R73</f>
        <v>0.0398998442020921</v>
      </c>
      <c r="I8" s="11" t="n">
        <f aca="false">('Base votos'!E106)/'Base votos'!R106</f>
        <v>0.0180349342920552</v>
      </c>
      <c r="J8" s="11" t="n">
        <f aca="false">('Base votos'!E139)/'Base votos'!R139</f>
        <v>0.0434598294892528</v>
      </c>
      <c r="K8" s="12" t="n">
        <f aca="false">(I8-H8)*100</f>
        <v>-2.18649099100369</v>
      </c>
      <c r="L8" s="12" t="n">
        <f aca="false">(J8-I8)*100</f>
        <v>2.54248951971976</v>
      </c>
      <c r="M8" s="12" t="n">
        <f aca="false">(J8-H8)*100</f>
        <v>0.355998528716065</v>
      </c>
      <c r="N8" s="11" t="n">
        <f aca="false">('Base votos'!F73)/'Base votos'!R73</f>
        <v>0.0247941241931894</v>
      </c>
      <c r="O8" s="11" t="n">
        <f aca="false">('Base votos'!F106)/'Base votos'!R106</f>
        <v>0.0132476075145952</v>
      </c>
      <c r="P8" s="11" t="n">
        <f aca="false">('Base votos'!F139)/'Base votos'!R139</f>
        <v>0.0404766764535021</v>
      </c>
      <c r="Q8" s="12" t="n">
        <f aca="false">(O8-N8)*100</f>
        <v>-1.15465166785942</v>
      </c>
      <c r="R8" s="12" t="n">
        <f aca="false">(P8-O8)*100</f>
        <v>2.72290689389068</v>
      </c>
      <c r="S8" s="12" t="n">
        <f aca="false">(P8-N8)*100</f>
        <v>1.56825522603127</v>
      </c>
      <c r="T8" s="11" t="n">
        <f aca="false">('Base votos'!H73)/'Base votos'!R73</f>
        <v>0.147484976630314</v>
      </c>
      <c r="U8" s="11" t="n">
        <f aca="false">('Base votos'!H106)/'Base votos'!R106</f>
        <v>0.0525569319643589</v>
      </c>
      <c r="V8" s="11" t="n">
        <f aca="false">('Base votos'!H139)/'Base votos'!R139</f>
        <v>0.0457454181685235</v>
      </c>
      <c r="W8" s="12" t="n">
        <f aca="false">(U8-T8)*100</f>
        <v>-9.49280446659549</v>
      </c>
      <c r="X8" s="12" t="n">
        <f aca="false">(V8-U8)*100</f>
        <v>-0.681151379583544</v>
      </c>
      <c r="Y8" s="12" t="n">
        <f aca="false">(V8-T8)*100</f>
        <v>-10.173955846179</v>
      </c>
      <c r="Z8" s="11" t="n">
        <f aca="false">('Base votos'!I73)/'Base votos'!R73</f>
        <v>0.269000667705319</v>
      </c>
      <c r="AA8" s="11" t="n">
        <f aca="false">('Base votos'!I106)/'Base votos'!R106</f>
        <v>0.258765378580482</v>
      </c>
      <c r="AB8" s="11" t="n">
        <f aca="false">('Base votos'!I139)/'Base votos'!R139</f>
        <v>0.0998145061984537</v>
      </c>
      <c r="AC8" s="12" t="n">
        <f aca="false">(AA8-Z8)*100</f>
        <v>-1.02352891248372</v>
      </c>
      <c r="AD8" s="12" t="n">
        <f aca="false">(AB8-AA8)*100</f>
        <v>-15.8950872382029</v>
      </c>
      <c r="AE8" s="12" t="n">
        <f aca="false">(AB8-Z8)*100</f>
        <v>-16.9186161506866</v>
      </c>
      <c r="AF8" s="11" t="n">
        <f aca="false">('Base votos'!J73)/'Base votos'!R73</f>
        <v>0.0226329846427777</v>
      </c>
      <c r="AG8" s="11" t="n">
        <f aca="false">('Base votos'!J106)/'Base votos'!R106</f>
        <v>0.0102201887601483</v>
      </c>
      <c r="AH8" s="11" t="n">
        <f aca="false">('Base votos'!J139)/'Base votos'!R139</f>
        <v>0.0067692901217261</v>
      </c>
      <c r="AI8" s="12" t="n">
        <f aca="false">(AG8-AF8)*100</f>
        <v>-1.24127958826293</v>
      </c>
      <c r="AJ8" s="12" t="n">
        <f aca="false">(AH8-AG8)*100</f>
        <v>-0.345089863842223</v>
      </c>
      <c r="AK8" s="12" t="n">
        <f aca="false">(AH8-AF8)*100</f>
        <v>-1.58636945210516</v>
      </c>
      <c r="AL8" s="11" t="n">
        <f aca="false">('Base votos'!K73)/'Base votos'!R73</f>
        <v>0.0204562653015802</v>
      </c>
      <c r="AM8" s="11" t="n">
        <f aca="false">('Base votos'!K106)/'Base votos'!R106</f>
        <v>0.188458584440246</v>
      </c>
      <c r="AN8" s="11" t="n">
        <f aca="false">('Base votos'!K139)/'Base votos'!R139</f>
        <v>0.316967860451241</v>
      </c>
      <c r="AO8" s="12" t="n">
        <f aca="false">(AM8-AL8)*100</f>
        <v>16.8002319138665</v>
      </c>
      <c r="AP8" s="12" t="n">
        <f aca="false">(AN8-AM8)*100</f>
        <v>12.8509276010996</v>
      </c>
      <c r="AQ8" s="12" t="n">
        <f aca="false">(AN8-AL8)*100</f>
        <v>29.6511595149661</v>
      </c>
      <c r="AR8" s="11" t="n">
        <f aca="false">('Base votos'!D73+'Base votos'!E73)/'Base votos'!R73</f>
        <v>0.435221455597596</v>
      </c>
      <c r="AS8" s="11" t="n">
        <f aca="false">('Base votos'!D106+'Base votos'!E106)/'Base votos'!R106</f>
        <v>0.424950642472447</v>
      </c>
      <c r="AT8" s="11" t="n">
        <f aca="false">('Base votos'!D139+'Base votos'!E139)/'Base votos'!R139</f>
        <v>0.460367802582558</v>
      </c>
      <c r="AU8" s="12" t="n">
        <f aca="false">(AS8-AR8)*100</f>
        <v>-1.02708131251493</v>
      </c>
      <c r="AV8" s="12" t="n">
        <f aca="false">(AT8-AS8)*100</f>
        <v>3.54171601101113</v>
      </c>
      <c r="AW8" s="12" t="n">
        <f aca="false">(AT8-AR8)*100</f>
        <v>2.51463469849619</v>
      </c>
      <c r="AX8" s="11" t="n">
        <f aca="false">('Base votos'!H73+'Base votos'!I73+'Base votos'!J73)/'Base votos'!R73</f>
        <v>0.439118628978411</v>
      </c>
      <c r="AY8" s="11" t="n">
        <f aca="false">('Base votos'!H106+'Base votos'!I106+'Base votos'!J106)/'Base votos'!R106</f>
        <v>0.321542499304989</v>
      </c>
      <c r="AZ8" s="11" t="n">
        <f aca="false">('Base votos'!H139+'Base votos'!I139+'Base votos'!J139)/'Base votos'!R139</f>
        <v>0.152329214488703</v>
      </c>
      <c r="BA8" s="12" t="n">
        <f aca="false">(AY8-AX8)*100</f>
        <v>-11.7576129673421</v>
      </c>
      <c r="BB8" s="12" t="n">
        <f aca="false">(AZ8-AY8)*100</f>
        <v>-16.9213284816286</v>
      </c>
      <c r="BC8" s="12" t="n">
        <f aca="false">(AZ8-AX8)*100</f>
        <v>-28.6789414489708</v>
      </c>
    </row>
    <row r="9" customFormat="false" ht="15" hidden="false" customHeight="false" outlineLevel="0" collapsed="false">
      <c r="A9" s="14" t="s">
        <v>86</v>
      </c>
      <c r="B9" s="11" t="n">
        <f aca="false">('Base votos'!D74)/'Base votos'!R74</f>
        <v>0.305275249857507</v>
      </c>
      <c r="C9" s="11" t="n">
        <f aca="false">('Base votos'!D107)/'Base votos'!R107</f>
        <v>0.331601225830525</v>
      </c>
      <c r="D9" s="11" t="n">
        <f aca="false">('Base votos'!D140)/'Base votos'!R140</f>
        <v>0.385860847448489</v>
      </c>
      <c r="E9" s="12" t="n">
        <f aca="false">(C9-B9)*100</f>
        <v>2.63259759730178</v>
      </c>
      <c r="F9" s="12" t="n">
        <f aca="false">(D9-C9)*100</f>
        <v>5.42596216179647</v>
      </c>
      <c r="G9" s="12" t="n">
        <f aca="false">(D9-B9)*100</f>
        <v>8.05855975909825</v>
      </c>
      <c r="H9" s="11" t="n">
        <f aca="false">('Base votos'!E74)/'Base votos'!R74</f>
        <v>0.0256114017954868</v>
      </c>
      <c r="I9" s="11" t="n">
        <f aca="false">('Base votos'!E107)/'Base votos'!R107</f>
        <v>0.0163252916241031</v>
      </c>
      <c r="J9" s="11" t="n">
        <f aca="false">('Base votos'!E140)/'Base votos'!R140</f>
        <v>0.0410709019005908</v>
      </c>
      <c r="K9" s="12" t="n">
        <f aca="false">(I9-H9)*100</f>
        <v>-0.928611017138371</v>
      </c>
      <c r="L9" s="12" t="n">
        <f aca="false">(J9-I9)*100</f>
        <v>2.47456102764877</v>
      </c>
      <c r="M9" s="12" t="n">
        <f aca="false">(J9-H9)*100</f>
        <v>1.5459500105104</v>
      </c>
      <c r="N9" s="11" t="n">
        <f aca="false">('Base votos'!F74)/'Base votos'!R74</f>
        <v>0.0220684875507151</v>
      </c>
      <c r="O9" s="11" t="n">
        <f aca="false">('Base votos'!F107)/'Base votos'!R107</f>
        <v>0.0296747022589781</v>
      </c>
      <c r="P9" s="11" t="n">
        <f aca="false">('Base votos'!F140)/'Base votos'!R140</f>
        <v>0.0452849934828731</v>
      </c>
      <c r="Q9" s="12" t="n">
        <f aca="false">(O9-N9)*100</f>
        <v>0.7606214708263</v>
      </c>
      <c r="R9" s="12" t="n">
        <f aca="false">(P9-O9)*100</f>
        <v>1.5610291223895</v>
      </c>
      <c r="S9" s="12" t="n">
        <f aca="false">(P9-N9)*100</f>
        <v>2.3216505932158</v>
      </c>
      <c r="T9" s="11" t="n">
        <f aca="false">('Base votos'!H74)/'Base votos'!R74</f>
        <v>0.252859020438425</v>
      </c>
      <c r="U9" s="11" t="n">
        <f aca="false">('Base votos'!H107)/'Base votos'!R107</f>
        <v>0.145788348493097</v>
      </c>
      <c r="V9" s="11" t="n">
        <f aca="false">('Base votos'!H140)/'Base votos'!R140</f>
        <v>0.0623519375370652</v>
      </c>
      <c r="W9" s="12" t="n">
        <f aca="false">(U9-T9)*100</f>
        <v>-10.7070671945328</v>
      </c>
      <c r="X9" s="12" t="n">
        <f aca="false">(V9-U9)*100</f>
        <v>-8.34364109560319</v>
      </c>
      <c r="Y9" s="12" t="n">
        <f aca="false">(V9-T9)*100</f>
        <v>-19.050708290136</v>
      </c>
      <c r="Z9" s="11" t="n">
        <f aca="false">('Base votos'!I74)/'Base votos'!R74</f>
        <v>0.299011412638152</v>
      </c>
      <c r="AA9" s="11" t="n">
        <f aca="false">('Base votos'!I107)/'Base votos'!R107</f>
        <v>0.39472859231348</v>
      </c>
      <c r="AB9" s="11" t="n">
        <f aca="false">('Base votos'!I140)/'Base votos'!R140</f>
        <v>0.387067863746064</v>
      </c>
      <c r="AC9" s="12" t="n">
        <f aca="false">(AA9-Z9)*100</f>
        <v>9.57171796753275</v>
      </c>
      <c r="AD9" s="12" t="n">
        <f aca="false">(AB9-AA9)*100</f>
        <v>-0.766072856741629</v>
      </c>
      <c r="AE9" s="12" t="n">
        <f aca="false">(AB9-Z9)*100</f>
        <v>8.80564511079112</v>
      </c>
      <c r="AF9" s="11" t="n">
        <f aca="false">('Base votos'!J74)/'Base votos'!R74</f>
        <v>0.0175607225904007</v>
      </c>
      <c r="AG9" s="11" t="n">
        <f aca="false">('Base votos'!J107)/'Base votos'!R107</f>
        <v>0.0114095827649696</v>
      </c>
      <c r="AH9" s="11" t="n">
        <f aca="false">('Base votos'!J140)/'Base votos'!R140</f>
        <v>0.0173783707499929</v>
      </c>
      <c r="AI9" s="12" t="n">
        <f aca="false">(AG9-AF9)*100</f>
        <v>-0.61511398254311</v>
      </c>
      <c r="AJ9" s="12" t="n">
        <f aca="false">(AH9-AG9)*100</f>
        <v>0.596878798502324</v>
      </c>
      <c r="AK9" s="12" t="n">
        <f aca="false">(AH9-AF9)*100</f>
        <v>-0.0182351840407862</v>
      </c>
      <c r="AL9" s="11" t="n">
        <f aca="false">('Base votos'!K74)/'Base votos'!R74</f>
        <v>0.0252135931861173</v>
      </c>
      <c r="AM9" s="11" t="n">
        <f aca="false">('Base votos'!K107)/'Base votos'!R107</f>
        <v>0.0179661550883589</v>
      </c>
      <c r="AN9" s="11" t="n">
        <f aca="false">('Base votos'!K140)/'Base votos'!R140</f>
        <v>0.0386930227100465</v>
      </c>
      <c r="AO9" s="12" t="n">
        <f aca="false">(AM9-AL9)*100</f>
        <v>-0.724743809775839</v>
      </c>
      <c r="AP9" s="12" t="n">
        <f aca="false">(AN9-AM9)*100</f>
        <v>2.07268676216876</v>
      </c>
      <c r="AQ9" s="12" t="n">
        <f aca="false">(AN9-AL9)*100</f>
        <v>1.34794295239292</v>
      </c>
      <c r="AR9" s="11" t="n">
        <f aca="false">('Base votos'!D74+'Base votos'!E74)/'Base votos'!R74</f>
        <v>0.330886651652994</v>
      </c>
      <c r="AS9" s="11" t="n">
        <f aca="false">('Base votos'!D107+'Base votos'!E107)/'Base votos'!R107</f>
        <v>0.347926517454628</v>
      </c>
      <c r="AT9" s="11" t="n">
        <f aca="false">('Base votos'!D140+'Base votos'!E140)/'Base votos'!R140</f>
        <v>0.42693174934908</v>
      </c>
      <c r="AU9" s="12" t="n">
        <f aca="false">(AS9-AR9)*100</f>
        <v>1.70398658016341</v>
      </c>
      <c r="AV9" s="12" t="n">
        <f aca="false">(AT9-AS9)*100</f>
        <v>7.90052318944524</v>
      </c>
      <c r="AW9" s="12" t="n">
        <f aca="false">(AT9-AR9)*100</f>
        <v>9.60450976960864</v>
      </c>
      <c r="AX9" s="11" t="n">
        <f aca="false">('Base votos'!H74+'Base votos'!I74+'Base votos'!J74)/'Base votos'!R74</f>
        <v>0.569431155666978</v>
      </c>
      <c r="AY9" s="11" t="n">
        <f aca="false">('Base votos'!H107+'Base votos'!I107+'Base votos'!J107)/'Base votos'!R107</f>
        <v>0.551926523571547</v>
      </c>
      <c r="AZ9" s="11" t="n">
        <f aca="false">('Base votos'!H140+'Base votos'!I140+'Base votos'!J140)/'Base votos'!R140</f>
        <v>0.466798172033122</v>
      </c>
      <c r="BA9" s="12" t="n">
        <f aca="false">(AY9-AX9)*100</f>
        <v>-1.75046320954312</v>
      </c>
      <c r="BB9" s="12" t="n">
        <f aca="false">(AZ9-AY9)*100</f>
        <v>-8.5128351538425</v>
      </c>
      <c r="BC9" s="12" t="n">
        <f aca="false">(AZ9-AX9)*100</f>
        <v>-10.2632983633856</v>
      </c>
    </row>
    <row r="10" customFormat="false" ht="15" hidden="false" customHeight="false" outlineLevel="0" collapsed="false">
      <c r="A10" s="14" t="s">
        <v>87</v>
      </c>
      <c r="B10" s="11" t="n">
        <f aca="false">('Base votos'!D75)/'Base votos'!R75</f>
        <v>0.377259793808277</v>
      </c>
      <c r="C10" s="11" t="n">
        <f aca="false">('Base votos'!D108)/'Base votos'!R108</f>
        <v>0.307373965387509</v>
      </c>
      <c r="D10" s="11" t="n">
        <f aca="false">('Base votos'!D141)/'Base votos'!R141</f>
        <v>0.376570520582902</v>
      </c>
      <c r="E10" s="12" t="n">
        <f aca="false">(C10-B10)*100</f>
        <v>-6.98858284207676</v>
      </c>
      <c r="F10" s="12" t="n">
        <f aca="false">(D10-C10)*100</f>
        <v>6.91965551953923</v>
      </c>
      <c r="G10" s="12" t="n">
        <f aca="false">(D10-B10)*100</f>
        <v>-0.068927322537532</v>
      </c>
      <c r="H10" s="11" t="n">
        <f aca="false">('Base votos'!E75)/'Base votos'!R75</f>
        <v>0.0472604805168826</v>
      </c>
      <c r="I10" s="11" t="n">
        <f aca="false">('Base votos'!E108)/'Base votos'!R108</f>
        <v>0.0244309631301731</v>
      </c>
      <c r="J10" s="11" t="n">
        <f aca="false">('Base votos'!E141)/'Base votos'!R141</f>
        <v>0.0420429910627263</v>
      </c>
      <c r="K10" s="12" t="n">
        <f aca="false">(I10-H10)*100</f>
        <v>-2.28295173867095</v>
      </c>
      <c r="L10" s="12" t="n">
        <f aca="false">(J10-I10)*100</f>
        <v>1.76120279325533</v>
      </c>
      <c r="M10" s="12" t="n">
        <f aca="false">(J10-H10)*100</f>
        <v>-0.521748945415627</v>
      </c>
      <c r="N10" s="11" t="n">
        <f aca="false">('Base votos'!F75)/'Base votos'!R75</f>
        <v>0.0529601619438034</v>
      </c>
      <c r="O10" s="11" t="n">
        <f aca="false">('Base votos'!F108)/'Base votos'!R108</f>
        <v>0.168917284746856</v>
      </c>
      <c r="P10" s="11" t="n">
        <f aca="false">('Base votos'!F141)/'Base votos'!R141</f>
        <v>0.0713770962425646</v>
      </c>
      <c r="Q10" s="12" t="n">
        <f aca="false">(O10-N10)*100</f>
        <v>11.5957122803053</v>
      </c>
      <c r="R10" s="12" t="n">
        <f aca="false">(P10-O10)*100</f>
        <v>-9.75401885042913</v>
      </c>
      <c r="S10" s="12" t="n">
        <f aca="false">(P10-N10)*100</f>
        <v>1.84169342987612</v>
      </c>
      <c r="T10" s="11" t="n">
        <f aca="false">('Base votos'!H75)/'Base votos'!R75</f>
        <v>0.154990132295906</v>
      </c>
      <c r="U10" s="11" t="n">
        <f aca="false">('Base votos'!H108)/'Base votos'!R108</f>
        <v>0.111113350532086</v>
      </c>
      <c r="V10" s="11" t="n">
        <f aca="false">('Base votos'!H141)/'Base votos'!R141</f>
        <v>0.146534665162354</v>
      </c>
      <c r="W10" s="12" t="n">
        <f aca="false">(U10-T10)*100</f>
        <v>-4.38767817638193</v>
      </c>
      <c r="X10" s="12" t="n">
        <f aca="false">(V10-U10)*100</f>
        <v>3.54213146302672</v>
      </c>
      <c r="Y10" s="12" t="n">
        <f aca="false">(V10-T10)*100</f>
        <v>-0.845546713355214</v>
      </c>
      <c r="Z10" s="11" t="n">
        <f aca="false">('Base votos'!I75)/'Base votos'!R75</f>
        <v>0.201005580253843</v>
      </c>
      <c r="AA10" s="11" t="n">
        <f aca="false">('Base votos'!I108)/'Base votos'!R108</f>
        <v>0.14650851875739</v>
      </c>
      <c r="AB10" s="11" t="n">
        <f aca="false">('Base votos'!I141)/'Base votos'!R141</f>
        <v>0.149476345464319</v>
      </c>
      <c r="AC10" s="12" t="n">
        <f aca="false">(AA10-Z10)*100</f>
        <v>-5.44970614964532</v>
      </c>
      <c r="AD10" s="12" t="n">
        <f aca="false">(AB10-AA10)*100</f>
        <v>0.296782670692874</v>
      </c>
      <c r="AE10" s="12" t="n">
        <f aca="false">(AB10-Z10)*100</f>
        <v>-5.15292347895245</v>
      </c>
      <c r="AF10" s="11" t="n">
        <f aca="false">('Base votos'!J75)/'Base votos'!R75</f>
        <v>0.0225628562300892</v>
      </c>
      <c r="AG10" s="11" t="n">
        <f aca="false">('Base votos'!J108)/'Base votos'!R108</f>
        <v>0.0102151187788885</v>
      </c>
      <c r="AH10" s="11" t="n">
        <f aca="false">('Base votos'!J141)/'Base votos'!R141</f>
        <v>0.0215723222144119</v>
      </c>
      <c r="AI10" s="12" t="n">
        <f aca="false">(AG10-AF10)*100</f>
        <v>-1.23477374512007</v>
      </c>
      <c r="AJ10" s="12" t="n">
        <f aca="false">(AH10-AG10)*100</f>
        <v>1.13572034355233</v>
      </c>
      <c r="AK10" s="12" t="n">
        <f aca="false">(AH10-AF10)*100</f>
        <v>-0.0990534015677311</v>
      </c>
      <c r="AL10" s="11" t="n">
        <f aca="false">('Base votos'!K75)/'Base votos'!R75</f>
        <v>0.0560473649796525</v>
      </c>
      <c r="AM10" s="11" t="n">
        <f aca="false">('Base votos'!K108)/'Base votos'!R108</f>
        <v>0.128819332473396</v>
      </c>
      <c r="AN10" s="11" t="n">
        <f aca="false">('Base votos'!K141)/'Base votos'!R141</f>
        <v>0.159911040752314</v>
      </c>
      <c r="AO10" s="12" t="n">
        <f aca="false">(AM10-AL10)*100</f>
        <v>7.27719674937432</v>
      </c>
      <c r="AP10" s="12" t="n">
        <f aca="false">(AN10-AM10)*100</f>
        <v>3.10917082789184</v>
      </c>
      <c r="AQ10" s="12" t="n">
        <f aca="false">(AN10-AL10)*100</f>
        <v>10.3863675772662</v>
      </c>
      <c r="AR10" s="11" t="n">
        <f aca="false">('Base votos'!D75+'Base votos'!E75)/'Base votos'!R75</f>
        <v>0.42452027432516</v>
      </c>
      <c r="AS10" s="11" t="n">
        <f aca="false">('Base votos'!D108+'Base votos'!E108)/'Base votos'!R108</f>
        <v>0.331804928517682</v>
      </c>
      <c r="AT10" s="11" t="n">
        <f aca="false">('Base votos'!D141+'Base votos'!E141)/'Base votos'!R141</f>
        <v>0.418613511645628</v>
      </c>
      <c r="AU10" s="12" t="n">
        <f aca="false">(AS10-AR10)*100</f>
        <v>-9.2715345807477</v>
      </c>
      <c r="AV10" s="12" t="n">
        <f aca="false">(AT10-AS10)*100</f>
        <v>8.68085831279455</v>
      </c>
      <c r="AW10" s="12" t="n">
        <f aca="false">(AT10-AR10)*100</f>
        <v>-0.590676267953155</v>
      </c>
      <c r="AX10" s="11" t="n">
        <f aca="false">('Base votos'!H75+'Base votos'!I75+'Base votos'!J75)/'Base votos'!R75</f>
        <v>0.378558568779838</v>
      </c>
      <c r="AY10" s="11" t="n">
        <f aca="false">('Base votos'!H108+'Base votos'!I108+'Base votos'!J108)/'Base votos'!R108</f>
        <v>0.267836988068365</v>
      </c>
      <c r="AZ10" s="11" t="n">
        <f aca="false">('Base votos'!H141+'Base votos'!I141+'Base votos'!J141)/'Base votos'!R141</f>
        <v>0.317583332841084</v>
      </c>
      <c r="BA10" s="12" t="n">
        <f aca="false">(AY10-AX10)*100</f>
        <v>-11.0721580711473</v>
      </c>
      <c r="BB10" s="12" t="n">
        <f aca="false">(AZ10-AY10)*100</f>
        <v>4.97463447727193</v>
      </c>
      <c r="BC10" s="12" t="n">
        <f aca="false">(AZ10-AX10)*100</f>
        <v>-6.09752359387539</v>
      </c>
    </row>
    <row r="11" customFormat="false" ht="15" hidden="false" customHeight="false" outlineLevel="0" collapsed="false">
      <c r="A11" s="14" t="s">
        <v>88</v>
      </c>
      <c r="B11" s="11" t="n">
        <f aca="false">('Base votos'!D76)/'Base votos'!R76</f>
        <v>0.428103381730421</v>
      </c>
      <c r="C11" s="11" t="n">
        <f aca="false">('Base votos'!D109)/'Base votos'!R109</f>
        <v>0.352220116134292</v>
      </c>
      <c r="D11" s="11" t="n">
        <f aca="false">('Base votos'!D142)/'Base votos'!R142</f>
        <v>0.398845733640801</v>
      </c>
      <c r="E11" s="12" t="n">
        <f aca="false">(C11-B11)*100</f>
        <v>-7.58832655961296</v>
      </c>
      <c r="F11" s="12" t="n">
        <f aca="false">(D11-C11)*100</f>
        <v>4.66256175065093</v>
      </c>
      <c r="G11" s="12" t="n">
        <f aca="false">(D11-B11)*100</f>
        <v>-2.92576480896202</v>
      </c>
      <c r="H11" s="11" t="n">
        <f aca="false">('Base votos'!E76)/'Base votos'!R76</f>
        <v>0.0508267056867929</v>
      </c>
      <c r="I11" s="11" t="n">
        <f aca="false">('Base votos'!E109)/'Base votos'!R109</f>
        <v>0.067997140076131</v>
      </c>
      <c r="J11" s="11" t="n">
        <f aca="false">('Base votos'!E142)/'Base votos'!R142</f>
        <v>0.109982697813588</v>
      </c>
      <c r="K11" s="12" t="n">
        <f aca="false">(I11-H11)*100</f>
        <v>1.71704343893381</v>
      </c>
      <c r="L11" s="12" t="n">
        <f aca="false">(J11-I11)*100</f>
        <v>4.19855577374574</v>
      </c>
      <c r="M11" s="12" t="n">
        <f aca="false">(J11-H11)*100</f>
        <v>5.91559921267955</v>
      </c>
      <c r="N11" s="11" t="n">
        <f aca="false">('Base votos'!F76)/'Base votos'!R76</f>
        <v>0.152952081108019</v>
      </c>
      <c r="O11" s="11" t="n">
        <f aca="false">('Base votos'!F109)/'Base votos'!R109</f>
        <v>0.194644993017242</v>
      </c>
      <c r="P11" s="11" t="n">
        <f aca="false">('Base votos'!F142)/'Base votos'!R142</f>
        <v>0.201466837747515</v>
      </c>
      <c r="Q11" s="12" t="n">
        <f aca="false">(O11-N11)*100</f>
        <v>4.16929119092233</v>
      </c>
      <c r="R11" s="12" t="n">
        <f aca="false">(P11-O11)*100</f>
        <v>0.682184473027317</v>
      </c>
      <c r="S11" s="12" t="n">
        <f aca="false">(P11-N11)*100</f>
        <v>4.85147566394964</v>
      </c>
      <c r="T11" s="11" t="n">
        <f aca="false">('Base votos'!H76)/'Base votos'!R76</f>
        <v>0.0387666947933973</v>
      </c>
      <c r="U11" s="11" t="n">
        <f aca="false">('Base votos'!H109)/'Base votos'!R109</f>
        <v>0.0331684348153411</v>
      </c>
      <c r="V11" s="11" t="n">
        <f aca="false">('Base votos'!H142)/'Base votos'!R142</f>
        <v>0.0462358073410298</v>
      </c>
      <c r="W11" s="12" t="n">
        <f aca="false">(U11-T11)*100</f>
        <v>-0.559825997805619</v>
      </c>
      <c r="X11" s="12" t="n">
        <f aca="false">(V11-U11)*100</f>
        <v>1.30673725256887</v>
      </c>
      <c r="Y11" s="12" t="n">
        <f aca="false">(V11-T11)*100</f>
        <v>0.746911254763247</v>
      </c>
      <c r="Z11" s="11" t="n">
        <f aca="false">('Base votos'!I76)/'Base votos'!R76</f>
        <v>0.132046068011847</v>
      </c>
      <c r="AA11" s="11" t="n">
        <f aca="false">('Base votos'!I109)/'Base votos'!R109</f>
        <v>0.120392994522934</v>
      </c>
      <c r="AB11" s="11" t="n">
        <f aca="false">('Base votos'!I142)/'Base votos'!R142</f>
        <v>0.0918200849513328</v>
      </c>
      <c r="AC11" s="12" t="n">
        <f aca="false">(AA11-Z11)*100</f>
        <v>-1.16530734889133</v>
      </c>
      <c r="AD11" s="12" t="n">
        <f aca="false">(AB11-AA11)*100</f>
        <v>-2.85729095716012</v>
      </c>
      <c r="AE11" s="12" t="n">
        <f aca="false">(AB11-Z11)*100</f>
        <v>-4.02259830605145</v>
      </c>
      <c r="AF11" s="11" t="n">
        <f aca="false">('Base votos'!J76)/'Base votos'!R76</f>
        <v>0.0337516613259115</v>
      </c>
      <c r="AG11" s="11" t="n">
        <f aca="false">('Base votos'!J109)/'Base votos'!R109</f>
        <v>0.0230477789929237</v>
      </c>
      <c r="AH11" s="11" t="n">
        <f aca="false">('Base votos'!J142)/'Base votos'!R142</f>
        <v>0.0159482261899478</v>
      </c>
      <c r="AI11" s="12" t="n">
        <f aca="false">(AG11-AF11)*100</f>
        <v>-1.07038823329878</v>
      </c>
      <c r="AJ11" s="12" t="n">
        <f aca="false">(AH11-AG11)*100</f>
        <v>-0.70995528029759</v>
      </c>
      <c r="AK11" s="12" t="n">
        <f aca="false">(AH11-AF11)*100</f>
        <v>-1.78034351359637</v>
      </c>
      <c r="AL11" s="11" t="n">
        <f aca="false">('Base votos'!K76)/'Base votos'!R76</f>
        <v>0.0276148823226614</v>
      </c>
      <c r="AM11" s="11" t="n">
        <f aca="false">('Base votos'!K109)/'Base votos'!R109</f>
        <v>0.0304915995304736</v>
      </c>
      <c r="AN11" s="11" t="n">
        <f aca="false">('Base votos'!K142)/'Base votos'!R142</f>
        <v>0.0606969169205936</v>
      </c>
      <c r="AO11" s="12" t="n">
        <f aca="false">(AM11-AL11)*100</f>
        <v>0.287671720781218</v>
      </c>
      <c r="AP11" s="12" t="n">
        <f aca="false">(AN11-AM11)*100</f>
        <v>3.020531739012</v>
      </c>
      <c r="AQ11" s="12" t="n">
        <f aca="false">(AN11-AL11)*100</f>
        <v>3.30820345979322</v>
      </c>
      <c r="AR11" s="11" t="n">
        <f aca="false">('Base votos'!D76+'Base votos'!E76)/'Base votos'!R76</f>
        <v>0.478930087417214</v>
      </c>
      <c r="AS11" s="11" t="n">
        <f aca="false">('Base votos'!D109+'Base votos'!E109)/'Base votos'!R109</f>
        <v>0.420217256210423</v>
      </c>
      <c r="AT11" s="11" t="n">
        <f aca="false">('Base votos'!D142+'Base votos'!E142)/'Base votos'!R142</f>
        <v>0.50882843145439</v>
      </c>
      <c r="AU11" s="12" t="n">
        <f aca="false">(AS11-AR11)*100</f>
        <v>-5.87128312067915</v>
      </c>
      <c r="AV11" s="12" t="n">
        <f aca="false">(AT11-AS11)*100</f>
        <v>8.86111752439668</v>
      </c>
      <c r="AW11" s="12" t="n">
        <f aca="false">(AT11-AR11)*100</f>
        <v>2.98983440371753</v>
      </c>
      <c r="AX11" s="11" t="n">
        <f aca="false">('Base votos'!H76+'Base votos'!I76+'Base votos'!J76)/'Base votos'!R76</f>
        <v>0.204564424131156</v>
      </c>
      <c r="AY11" s="11" t="n">
        <f aca="false">('Base votos'!H109+'Base votos'!I109+'Base votos'!J109)/'Base votos'!R109</f>
        <v>0.176609208331199</v>
      </c>
      <c r="AZ11" s="11" t="n">
        <f aca="false">('Base votos'!H142+'Base votos'!I142+'Base votos'!J142)/'Base votos'!R142</f>
        <v>0.15400411848231</v>
      </c>
      <c r="BA11" s="12" t="n">
        <f aca="false">(AY11-AX11)*100</f>
        <v>-2.79552157999574</v>
      </c>
      <c r="BB11" s="12" t="n">
        <f aca="false">(AZ11-AY11)*100</f>
        <v>-2.26050898488884</v>
      </c>
      <c r="BC11" s="12" t="n">
        <f aca="false">(AZ11-AX11)*100</f>
        <v>-5.05603056488458</v>
      </c>
    </row>
    <row r="12" customFormat="false" ht="15" hidden="false" customHeight="false" outlineLevel="0" collapsed="false">
      <c r="A12" s="14" t="s">
        <v>89</v>
      </c>
      <c r="B12" s="11" t="n">
        <f aca="false">('Base votos'!D77)/'Base votos'!R77</f>
        <v>0.287035495873759</v>
      </c>
      <c r="C12" s="11" t="n">
        <f aca="false">('Base votos'!D110)/'Base votos'!R110</f>
        <v>0.29900734785852</v>
      </c>
      <c r="D12" s="11" t="n">
        <f aca="false">('Base votos'!D143)/'Base votos'!R143</f>
        <v>0.418813387392741</v>
      </c>
      <c r="E12" s="12" t="n">
        <f aca="false">(C12-B12)*100</f>
        <v>1.19718519847605</v>
      </c>
      <c r="F12" s="12" t="n">
        <f aca="false">(D12-C12)*100</f>
        <v>11.9806039534221</v>
      </c>
      <c r="G12" s="12" t="n">
        <f aca="false">(D12-B12)*100</f>
        <v>13.1777891518982</v>
      </c>
      <c r="H12" s="11" t="n">
        <f aca="false">('Base votos'!E77)/'Base votos'!R77</f>
        <v>0.0349891541877185</v>
      </c>
      <c r="I12" s="11" t="n">
        <f aca="false">('Base votos'!E110)/'Base votos'!R110</f>
        <v>0.018088344340212</v>
      </c>
      <c r="J12" s="11" t="n">
        <f aca="false">('Base votos'!E143)/'Base votos'!R143</f>
        <v>0.0415460203159535</v>
      </c>
      <c r="K12" s="12" t="n">
        <f aca="false">(I12-H12)*100</f>
        <v>-1.69008098475065</v>
      </c>
      <c r="L12" s="12" t="n">
        <f aca="false">(J12-I12)*100</f>
        <v>2.34576759757415</v>
      </c>
      <c r="M12" s="12" t="n">
        <f aca="false">(J12-H12)*100</f>
        <v>0.655686612823504</v>
      </c>
      <c r="N12" s="11" t="n">
        <f aca="false">('Base votos'!F77)/'Base votos'!R77</f>
        <v>0.0406033385772657</v>
      </c>
      <c r="O12" s="11" t="n">
        <f aca="false">('Base votos'!F110)/'Base votos'!R110</f>
        <v>0.0281368495215649</v>
      </c>
      <c r="P12" s="11" t="n">
        <f aca="false">('Base votos'!F143)/'Base votos'!R143</f>
        <v>0.049448240946987</v>
      </c>
      <c r="Q12" s="12" t="n">
        <f aca="false">(O12-N12)*100</f>
        <v>-1.24664890557008</v>
      </c>
      <c r="R12" s="12" t="n">
        <f aca="false">(P12-O12)*100</f>
        <v>2.13113914254221</v>
      </c>
      <c r="S12" s="12" t="n">
        <f aca="false">(P12-N12)*100</f>
        <v>0.884490236972129</v>
      </c>
      <c r="T12" s="11" t="n">
        <f aca="false">('Base votos'!H77)/'Base votos'!R77</f>
        <v>0.268601641905641</v>
      </c>
      <c r="U12" s="11" t="n">
        <f aca="false">('Base votos'!H110)/'Base votos'!R110</f>
        <v>0.36201602940622</v>
      </c>
      <c r="V12" s="11" t="n">
        <f aca="false">('Base votos'!H143)/'Base votos'!R143</f>
        <v>0.253330577460032</v>
      </c>
      <c r="W12" s="12" t="n">
        <f aca="false">(U12-T12)*100</f>
        <v>9.34143875005785</v>
      </c>
      <c r="X12" s="12" t="n">
        <f aca="false">(V12-U12)*100</f>
        <v>-10.8685451946188</v>
      </c>
      <c r="Y12" s="12" t="n">
        <f aca="false">(V12-T12)*100</f>
        <v>-1.52710644456093</v>
      </c>
      <c r="Z12" s="11" t="n">
        <f aca="false">('Base votos'!I77)/'Base votos'!R77</f>
        <v>0.173118224723083</v>
      </c>
      <c r="AA12" s="11" t="n">
        <f aca="false">('Base votos'!I110)/'Base votos'!R110</f>
        <v>0.121411551788763</v>
      </c>
      <c r="AB12" s="11" t="n">
        <f aca="false">('Base votos'!I143)/'Base votos'!R143</f>
        <v>0.105059057503634</v>
      </c>
      <c r="AC12" s="12" t="n">
        <f aca="false">(AA12-Z12)*100</f>
        <v>-5.17066729343202</v>
      </c>
      <c r="AD12" s="12" t="n">
        <f aca="false">(AB12-AA12)*100</f>
        <v>-1.63524942851286</v>
      </c>
      <c r="AE12" s="12" t="n">
        <f aca="false">(AB12-Z12)*100</f>
        <v>-6.80591672194488</v>
      </c>
      <c r="AF12" s="11" t="n">
        <f aca="false">('Base votos'!J77)/'Base votos'!R77</f>
        <v>0.0207848985487015</v>
      </c>
      <c r="AG12" s="11" t="n">
        <f aca="false">('Base votos'!J110)/'Base votos'!R110</f>
        <v>0.0115810648665313</v>
      </c>
      <c r="AH12" s="11" t="n">
        <f aca="false">('Base votos'!J143)/'Base votos'!R143</f>
        <v>0.016984299519137</v>
      </c>
      <c r="AI12" s="12" t="n">
        <f aca="false">(AG12-AF12)*100</f>
        <v>-0.920383368217018</v>
      </c>
      <c r="AJ12" s="12" t="n">
        <f aca="false">(AH12-AG12)*100</f>
        <v>0.540323465260574</v>
      </c>
      <c r="AK12" s="12" t="n">
        <f aca="false">(AH12-AF12)*100</f>
        <v>-0.380059902956444</v>
      </c>
      <c r="AL12" s="11" t="n">
        <f aca="false">('Base votos'!K77)/'Base votos'!R77</f>
        <v>0.0258024290324139</v>
      </c>
      <c r="AM12" s="11" t="n">
        <f aca="false">('Base votos'!K110)/'Base votos'!R110</f>
        <v>0.084723270584391</v>
      </c>
      <c r="AN12" s="11" t="n">
        <f aca="false">('Base votos'!K143)/'Base votos'!R143</f>
        <v>0.085339184642896</v>
      </c>
      <c r="AO12" s="12" t="n">
        <f aca="false">(AM12-AL12)*100</f>
        <v>5.8920841551977</v>
      </c>
      <c r="AP12" s="12" t="n">
        <f aca="false">(AN12-AM12)*100</f>
        <v>0.0615914058505071</v>
      </c>
      <c r="AQ12" s="12" t="n">
        <f aca="false">(AN12-AL12)*100</f>
        <v>5.95367556104821</v>
      </c>
      <c r="AR12" s="11" t="n">
        <f aca="false">('Base votos'!D77+'Base votos'!E77)/'Base votos'!R77</f>
        <v>0.322024650061478</v>
      </c>
      <c r="AS12" s="11" t="n">
        <f aca="false">('Base votos'!D110+'Base votos'!E110)/'Base votos'!R110</f>
        <v>0.317095692198732</v>
      </c>
      <c r="AT12" s="11" t="n">
        <f aca="false">('Base votos'!D143+'Base votos'!E143)/'Base votos'!R143</f>
        <v>0.460359407708694</v>
      </c>
      <c r="AU12" s="12" t="n">
        <f aca="false">(AS12-AR12)*100</f>
        <v>-0.4928957862746</v>
      </c>
      <c r="AV12" s="12" t="n">
        <f aca="false">(AT12-AS12)*100</f>
        <v>14.3263715509963</v>
      </c>
      <c r="AW12" s="12" t="n">
        <f aca="false">(AT12-AR12)*100</f>
        <v>13.8334757647217</v>
      </c>
      <c r="AX12" s="11" t="n">
        <f aca="false">('Base votos'!H77+'Base votos'!I77+'Base votos'!J77)/'Base votos'!R77</f>
        <v>0.462504765177426</v>
      </c>
      <c r="AY12" s="11" t="n">
        <f aca="false">('Base votos'!H110+'Base votos'!I110+'Base votos'!J110)/'Base votos'!R110</f>
        <v>0.495008646061514</v>
      </c>
      <c r="AZ12" s="11" t="n">
        <f aca="false">('Base votos'!H143+'Base votos'!I143+'Base votos'!J143)/'Base votos'!R143</f>
        <v>0.375373934482803</v>
      </c>
      <c r="BA12" s="12" t="n">
        <f aca="false">(AY12-AX12)*100</f>
        <v>3.25038808840882</v>
      </c>
      <c r="BB12" s="12" t="n">
        <f aca="false">(AZ12-AY12)*100</f>
        <v>-11.9634711578711</v>
      </c>
      <c r="BC12" s="12" t="n">
        <f aca="false">(AZ12-AX12)*100</f>
        <v>-8.71308306946225</v>
      </c>
    </row>
    <row r="13" customFormat="false" ht="15" hidden="false" customHeight="false" outlineLevel="0" collapsed="false">
      <c r="A13" s="14" t="s">
        <v>90</v>
      </c>
      <c r="B13" s="11" t="n">
        <f aca="false">('Base votos'!D78)/'Base votos'!R78</f>
        <v>0.446743423131053</v>
      </c>
      <c r="C13" s="11" t="n">
        <f aca="false">('Base votos'!D111)/'Base votos'!R111</f>
        <v>0.379865484620008</v>
      </c>
      <c r="D13" s="11" t="n">
        <f aca="false">('Base votos'!D144)/'Base votos'!R144</f>
        <v>0.408168115787772</v>
      </c>
      <c r="E13" s="12" t="n">
        <f aca="false">(C13-B13)*100</f>
        <v>-6.68779385110454</v>
      </c>
      <c r="F13" s="12" t="n">
        <f aca="false">(D13-C13)*100</f>
        <v>2.83026311677644</v>
      </c>
      <c r="G13" s="12" t="n">
        <f aca="false">(D13-B13)*100</f>
        <v>-3.8575307343281</v>
      </c>
      <c r="H13" s="11" t="n">
        <f aca="false">('Base votos'!E78)/'Base votos'!R78</f>
        <v>0.0331330269560905</v>
      </c>
      <c r="I13" s="11" t="n">
        <f aca="false">('Base votos'!E111)/'Base votos'!R111</f>
        <v>0.0214866615963441</v>
      </c>
      <c r="J13" s="11" t="n">
        <f aca="false">('Base votos'!E144)/'Base votos'!R144</f>
        <v>0.0442914620510562</v>
      </c>
      <c r="K13" s="12" t="n">
        <f aca="false">(I13-H13)*100</f>
        <v>-1.16463653597464</v>
      </c>
      <c r="L13" s="12" t="n">
        <f aca="false">(J13-I13)*100</f>
        <v>2.28048004547121</v>
      </c>
      <c r="M13" s="12" t="n">
        <f aca="false">(J13-H13)*100</f>
        <v>1.11584350949657</v>
      </c>
      <c r="N13" s="11" t="n">
        <f aca="false">('Base votos'!F78)/'Base votos'!R78</f>
        <v>0.0444427794182635</v>
      </c>
      <c r="O13" s="11" t="n">
        <f aca="false">('Base votos'!F111)/'Base votos'!R111</f>
        <v>0.0297899098938507</v>
      </c>
      <c r="P13" s="11" t="n">
        <f aca="false">('Base votos'!F144)/'Base votos'!R144</f>
        <v>0.0616939484463695</v>
      </c>
      <c r="Q13" s="12" t="n">
        <f aca="false">(O13-N13)*100</f>
        <v>-1.46528695244128</v>
      </c>
      <c r="R13" s="12" t="n">
        <f aca="false">(P13-O13)*100</f>
        <v>3.19040385525188</v>
      </c>
      <c r="S13" s="12" t="n">
        <f aca="false">(P13-N13)*100</f>
        <v>1.7251169028106</v>
      </c>
      <c r="T13" s="11" t="n">
        <f aca="false">('Base votos'!H78)/'Base votos'!R78</f>
        <v>0.159831703129808</v>
      </c>
      <c r="U13" s="11" t="n">
        <f aca="false">('Base votos'!H111)/'Base votos'!R111</f>
        <v>0.259024464347663</v>
      </c>
      <c r="V13" s="11" t="n">
        <f aca="false">('Base votos'!H144)/'Base votos'!R144</f>
        <v>0.252290255762499</v>
      </c>
      <c r="W13" s="12" t="n">
        <f aca="false">(U13-T13)*100</f>
        <v>9.91927612178549</v>
      </c>
      <c r="X13" s="12" t="n">
        <f aca="false">(V13-U13)*100</f>
        <v>-0.673420858516421</v>
      </c>
      <c r="Y13" s="12" t="n">
        <f aca="false">(V13-T13)*100</f>
        <v>9.24585526326906</v>
      </c>
      <c r="Z13" s="11" t="n">
        <f aca="false">('Base votos'!I78)/'Base votos'!R78</f>
        <v>0.0954186742502396</v>
      </c>
      <c r="AA13" s="11" t="n">
        <f aca="false">('Base votos'!I111)/'Base votos'!R111</f>
        <v>0.145844571878225</v>
      </c>
      <c r="AB13" s="11" t="n">
        <f aca="false">('Base votos'!I144)/'Base votos'!R144</f>
        <v>0.090498432132602</v>
      </c>
      <c r="AC13" s="12" t="n">
        <f aca="false">(AA13-Z13)*100</f>
        <v>5.0425897627985</v>
      </c>
      <c r="AD13" s="12" t="n">
        <f aca="false">(AB13-AA13)*100</f>
        <v>-5.53461397456227</v>
      </c>
      <c r="AE13" s="12" t="n">
        <f aca="false">(AB13-Z13)*100</f>
        <v>-0.492024211763768</v>
      </c>
      <c r="AF13" s="11" t="n">
        <f aca="false">('Base votos'!J78)/'Base votos'!R78</f>
        <v>0.109070522121768</v>
      </c>
      <c r="AG13" s="11" t="n">
        <f aca="false">('Base votos'!J111)/'Base votos'!R111</f>
        <v>0.0488792067448258</v>
      </c>
      <c r="AH13" s="11" t="n">
        <f aca="false">('Base votos'!J144)/'Base votos'!R144</f>
        <v>0.0330471294260373</v>
      </c>
      <c r="AI13" s="12" t="n">
        <f aca="false">(AG13-AF13)*100</f>
        <v>-6.01913153769419</v>
      </c>
      <c r="AJ13" s="12" t="n">
        <f aca="false">(AH13-AG13)*100</f>
        <v>-1.58320773187885</v>
      </c>
      <c r="AK13" s="12" t="n">
        <f aca="false">(AH13-AF13)*100</f>
        <v>-7.60233926957304</v>
      </c>
      <c r="AL13" s="11" t="n">
        <f aca="false">('Base votos'!K78)/'Base votos'!R78</f>
        <v>0.0275685467359492</v>
      </c>
      <c r="AM13" s="11" t="n">
        <f aca="false">('Base votos'!K111)/'Base votos'!R111</f>
        <v>0.0361035202631118</v>
      </c>
      <c r="AN13" s="11" t="n">
        <f aca="false">('Base votos'!K144)/'Base votos'!R144</f>
        <v>0.0857569071514412</v>
      </c>
      <c r="AO13" s="12" t="n">
        <f aca="false">(AM13-AL13)*100</f>
        <v>0.853497352716267</v>
      </c>
      <c r="AP13" s="12" t="n">
        <f aca="false">(AN13-AM13)*100</f>
        <v>4.96533868883294</v>
      </c>
      <c r="AQ13" s="12" t="n">
        <f aca="false">(AN13-AL13)*100</f>
        <v>5.8188360415492</v>
      </c>
      <c r="AR13" s="11" t="n">
        <f aca="false">('Base votos'!D78+'Base votos'!E78)/'Base votos'!R78</f>
        <v>0.479876450087144</v>
      </c>
      <c r="AS13" s="11" t="n">
        <f aca="false">('Base votos'!D111+'Base votos'!E111)/'Base votos'!R111</f>
        <v>0.401352146216352</v>
      </c>
      <c r="AT13" s="11" t="n">
        <f aca="false">('Base votos'!D144+'Base votos'!E144)/'Base votos'!R144</f>
        <v>0.452459577838828</v>
      </c>
      <c r="AU13" s="12" t="n">
        <f aca="false">(AS13-AR13)*100</f>
        <v>-7.85243038707919</v>
      </c>
      <c r="AV13" s="12" t="n">
        <f aca="false">(AT13-AS13)*100</f>
        <v>5.11074316224766</v>
      </c>
      <c r="AW13" s="12" t="n">
        <f aca="false">(AT13-AR13)*100</f>
        <v>-2.74168722483153</v>
      </c>
      <c r="AX13" s="11" t="n">
        <f aca="false">('Base votos'!H78+'Base votos'!I78+'Base votos'!J78)/'Base votos'!R78</f>
        <v>0.364320899501815</v>
      </c>
      <c r="AY13" s="11" t="n">
        <f aca="false">('Base votos'!H111+'Base votos'!I111+'Base votos'!J111)/'Base votos'!R111</f>
        <v>0.453748242970713</v>
      </c>
      <c r="AZ13" s="11" t="n">
        <f aca="false">('Base votos'!H144+'Base votos'!I144+'Base votos'!J144)/'Base votos'!R144</f>
        <v>0.375835817321138</v>
      </c>
      <c r="BA13" s="12" t="n">
        <f aca="false">(AY13-AX13)*100</f>
        <v>8.94273434688979</v>
      </c>
      <c r="BB13" s="12" t="n">
        <f aca="false">(AZ13-AY13)*100</f>
        <v>-7.79124256495754</v>
      </c>
      <c r="BC13" s="12" t="n">
        <f aca="false">(AZ13-AX13)*100</f>
        <v>1.15149178193225</v>
      </c>
    </row>
    <row r="14" customFormat="false" ht="15" hidden="false" customHeight="false" outlineLevel="0" collapsed="false">
      <c r="A14" s="14" t="s">
        <v>91</v>
      </c>
      <c r="B14" s="11" t="n">
        <f aca="false">('Base votos'!D79)/'Base votos'!R79</f>
        <v>0.285965791676967</v>
      </c>
      <c r="C14" s="11" t="n">
        <f aca="false">('Base votos'!D112)/'Base votos'!R112</f>
        <v>0.330297703154047</v>
      </c>
      <c r="D14" s="11" t="n">
        <f aca="false">('Base votos'!D145)/'Base votos'!R145</f>
        <v>0.396241301050167</v>
      </c>
      <c r="E14" s="12" t="n">
        <f aca="false">(C14-B14)*100</f>
        <v>4.43319114770798</v>
      </c>
      <c r="F14" s="12" t="n">
        <f aca="false">(D14-C14)*100</f>
        <v>6.59435978961204</v>
      </c>
      <c r="G14" s="12" t="n">
        <f aca="false">(D14-B14)*100</f>
        <v>11.02755093732</v>
      </c>
      <c r="H14" s="11" t="n">
        <f aca="false">('Base votos'!E79)/'Base votos'!R79</f>
        <v>0.0725004473059887</v>
      </c>
      <c r="I14" s="11" t="n">
        <f aca="false">('Base votos'!E112)/'Base votos'!R112</f>
        <v>0.0304863919325529</v>
      </c>
      <c r="J14" s="11" t="n">
        <f aca="false">('Base votos'!E145)/'Base votos'!R145</f>
        <v>0.0587421607263583</v>
      </c>
      <c r="K14" s="12" t="n">
        <f aca="false">(I14-H14)*100</f>
        <v>-4.20140553734358</v>
      </c>
      <c r="L14" s="12" t="n">
        <f aca="false">(J14-I14)*100</f>
        <v>2.82557687938053</v>
      </c>
      <c r="M14" s="12" t="n">
        <f aca="false">(J14-H14)*100</f>
        <v>-1.37582865796305</v>
      </c>
      <c r="N14" s="11" t="n">
        <f aca="false">('Base votos'!F79)/'Base votos'!R79</f>
        <v>0.0436297481018519</v>
      </c>
      <c r="O14" s="11" t="n">
        <f aca="false">('Base votos'!F112)/'Base votos'!R112</f>
        <v>0.0544165892804563</v>
      </c>
      <c r="P14" s="11" t="n">
        <f aca="false">('Base votos'!F145)/'Base votos'!R145</f>
        <v>0.0554877186334977</v>
      </c>
      <c r="Q14" s="12" t="n">
        <f aca="false">(O14-N14)*100</f>
        <v>1.07868411786044</v>
      </c>
      <c r="R14" s="12" t="n">
        <f aca="false">(P14-O14)*100</f>
        <v>0.107112935304132</v>
      </c>
      <c r="S14" s="12" t="n">
        <f aca="false">(P14-N14)*100</f>
        <v>1.18579705316457</v>
      </c>
      <c r="T14" s="11" t="n">
        <f aca="false">('Base votos'!H79)/'Base votos'!R79</f>
        <v>0.249502500133167</v>
      </c>
      <c r="U14" s="11" t="n">
        <f aca="false">('Base votos'!H112)/'Base votos'!R112</f>
        <v>0.180176004989886</v>
      </c>
      <c r="V14" s="11" t="n">
        <f aca="false">('Base votos'!H145)/'Base votos'!R145</f>
        <v>0.135300704999358</v>
      </c>
      <c r="W14" s="12" t="n">
        <f aca="false">(U14-T14)*100</f>
        <v>-6.93264951432814</v>
      </c>
      <c r="X14" s="12" t="n">
        <f aca="false">(V14-U14)*100</f>
        <v>-4.48752999905284</v>
      </c>
      <c r="Y14" s="12" t="n">
        <f aca="false">(V14-T14)*100</f>
        <v>-11.420179513381</v>
      </c>
      <c r="Z14" s="11" t="n">
        <f aca="false">('Base votos'!I79)/'Base votos'!R79</f>
        <v>0.22150182814982</v>
      </c>
      <c r="AA14" s="11" t="n">
        <f aca="false">('Base votos'!I112)/'Base votos'!R112</f>
        <v>0.236904598047603</v>
      </c>
      <c r="AB14" s="11" t="n">
        <f aca="false">('Base votos'!I145)/'Base votos'!R145</f>
        <v>0.234190068242069</v>
      </c>
      <c r="AC14" s="12" t="n">
        <f aca="false">(AA14-Z14)*100</f>
        <v>1.5402769897783</v>
      </c>
      <c r="AD14" s="12" t="n">
        <f aca="false">(AB14-AA14)*100</f>
        <v>-0.271452980553327</v>
      </c>
      <c r="AE14" s="12" t="n">
        <f aca="false">(AB14-Z14)*100</f>
        <v>1.26882400922498</v>
      </c>
      <c r="AF14" s="11" t="n">
        <f aca="false">('Base votos'!J79)/'Base votos'!R79</f>
        <v>0.0175972224688286</v>
      </c>
      <c r="AG14" s="11" t="n">
        <f aca="false">('Base votos'!J112)/'Base votos'!R112</f>
        <v>0.0193723963823326</v>
      </c>
      <c r="AH14" s="11" t="n">
        <f aca="false">('Base votos'!J145)/'Base votos'!R145</f>
        <v>0.0228057495143641</v>
      </c>
      <c r="AI14" s="12" t="n">
        <f aca="false">(AG14-AF14)*100</f>
        <v>0.177517391350402</v>
      </c>
      <c r="AJ14" s="12" t="n">
        <f aca="false">(AH14-AG14)*100</f>
        <v>0.343335313203146</v>
      </c>
      <c r="AK14" s="12" t="n">
        <f aca="false">(AH14-AF14)*100</f>
        <v>0.520852704553548</v>
      </c>
      <c r="AL14" s="11" t="n">
        <f aca="false">('Base votos'!K79)/'Base votos'!R79</f>
        <v>0.0279187227945766</v>
      </c>
      <c r="AM14" s="11" t="n">
        <f aca="false">('Base votos'!K112)/'Base votos'!R112</f>
        <v>0.0513310137796819</v>
      </c>
      <c r="AN14" s="11" t="n">
        <f aca="false">('Base votos'!K145)/'Base votos'!R145</f>
        <v>0.0692269661929905</v>
      </c>
      <c r="AO14" s="12" t="n">
        <f aca="false">(AM14-AL14)*100</f>
        <v>2.34122909851053</v>
      </c>
      <c r="AP14" s="12" t="n">
        <f aca="false">(AN14-AM14)*100</f>
        <v>1.78959524133086</v>
      </c>
      <c r="AQ14" s="12" t="n">
        <f aca="false">(AN14-AL14)*100</f>
        <v>4.13082433984139</v>
      </c>
      <c r="AR14" s="11" t="n">
        <f aca="false">('Base votos'!D79+'Base votos'!E79)/'Base votos'!R79</f>
        <v>0.358466238982956</v>
      </c>
      <c r="AS14" s="11" t="n">
        <f aca="false">('Base votos'!D112+'Base votos'!E112)/'Base votos'!R112</f>
        <v>0.3607840950866</v>
      </c>
      <c r="AT14" s="11" t="n">
        <f aca="false">('Base votos'!D145+'Base votos'!E145)/'Base votos'!R145</f>
        <v>0.454983461776526</v>
      </c>
      <c r="AU14" s="12" t="n">
        <f aca="false">(AS14-AR14)*100</f>
        <v>0.231785610364404</v>
      </c>
      <c r="AV14" s="12" t="n">
        <f aca="false">(AT14-AS14)*100</f>
        <v>9.41993666899257</v>
      </c>
      <c r="AW14" s="12" t="n">
        <f aca="false">(AT14-AR14)*100</f>
        <v>9.65172227935698</v>
      </c>
      <c r="AX14" s="11" t="n">
        <f aca="false">('Base votos'!H79+'Base votos'!I79+'Base votos'!J79)/'Base votos'!R79</f>
        <v>0.488601550751816</v>
      </c>
      <c r="AY14" s="11" t="n">
        <f aca="false">('Base votos'!H112+'Base votos'!I112+'Base votos'!J112)/'Base votos'!R112</f>
        <v>0.436452999419821</v>
      </c>
      <c r="AZ14" s="11" t="n">
        <f aca="false">('Base votos'!H145+'Base votos'!I145+'Base votos'!J145)/'Base votos'!R145</f>
        <v>0.392296522755791</v>
      </c>
      <c r="BA14" s="12" t="n">
        <f aca="false">(AY14-AX14)*100</f>
        <v>-5.21485513319943</v>
      </c>
      <c r="BB14" s="12" t="n">
        <f aca="false">(AZ14-AY14)*100</f>
        <v>-4.41564766640302</v>
      </c>
      <c r="BC14" s="12" t="n">
        <f aca="false">(AZ14-AX14)*100</f>
        <v>-9.63050279960245</v>
      </c>
    </row>
    <row r="15" customFormat="false" ht="15" hidden="false" customHeight="false" outlineLevel="0" collapsed="false">
      <c r="A15" s="14" t="s">
        <v>92</v>
      </c>
      <c r="B15" s="11" t="n">
        <f aca="false">('Base votos'!D80)/'Base votos'!R80</f>
        <v>0.206965821135885</v>
      </c>
      <c r="C15" s="11" t="n">
        <f aca="false">('Base votos'!D113)/'Base votos'!R113</f>
        <v>0.240506291641669</v>
      </c>
      <c r="D15" s="11" t="n">
        <f aca="false">('Base votos'!D146)/'Base votos'!R146</f>
        <v>0.353192518571994</v>
      </c>
      <c r="E15" s="12" t="n">
        <f aca="false">(C15-B15)*100</f>
        <v>3.35404705057832</v>
      </c>
      <c r="F15" s="12" t="n">
        <f aca="false">(D15-C15)*100</f>
        <v>11.2686226930326</v>
      </c>
      <c r="G15" s="12" t="n">
        <f aca="false">(D15-B15)*100</f>
        <v>14.6226697436109</v>
      </c>
      <c r="H15" s="11" t="n">
        <f aca="false">('Base votos'!E80)/'Base votos'!R80</f>
        <v>0.023620241586416</v>
      </c>
      <c r="I15" s="11" t="n">
        <f aca="false">('Base votos'!E113)/'Base votos'!R113</f>
        <v>0.0186879322049954</v>
      </c>
      <c r="J15" s="11" t="n">
        <f aca="false">('Base votos'!E146)/'Base votos'!R146</f>
        <v>0.0257730577718305</v>
      </c>
      <c r="K15" s="12" t="n">
        <f aca="false">(I15-H15)*100</f>
        <v>-0.49323093814206</v>
      </c>
      <c r="L15" s="12" t="n">
        <f aca="false">(J15-I15)*100</f>
        <v>0.708512556683505</v>
      </c>
      <c r="M15" s="12" t="n">
        <f aca="false">(J15-H15)*100</f>
        <v>0.215281618541445</v>
      </c>
      <c r="N15" s="11" t="n">
        <f aca="false">('Base votos'!F80)/'Base votos'!R80</f>
        <v>0.0806009099046963</v>
      </c>
      <c r="O15" s="11" t="n">
        <f aca="false">('Base votos'!F113)/'Base votos'!R113</f>
        <v>0.0538642876314377</v>
      </c>
      <c r="P15" s="11" t="n">
        <f aca="false">('Base votos'!F146)/'Base votos'!R146</f>
        <v>0.0568623615289501</v>
      </c>
      <c r="Q15" s="12" t="n">
        <f aca="false">(O15-N15)*100</f>
        <v>-2.67366222732586</v>
      </c>
      <c r="R15" s="12" t="n">
        <f aca="false">(P15-O15)*100</f>
        <v>0.299807389751246</v>
      </c>
      <c r="S15" s="12" t="n">
        <f aca="false">(P15-N15)*100</f>
        <v>-2.37385483757461</v>
      </c>
      <c r="T15" s="11" t="n">
        <f aca="false">('Base votos'!H80)/'Base votos'!R80</f>
        <v>0.385068719696034</v>
      </c>
      <c r="U15" s="11" t="n">
        <f aca="false">('Base votos'!H113)/'Base votos'!R113</f>
        <v>0.420452078531056</v>
      </c>
      <c r="V15" s="11" t="n">
        <f aca="false">('Base votos'!H146)/'Base votos'!R146</f>
        <v>0.38187161954103</v>
      </c>
      <c r="W15" s="12" t="n">
        <f aca="false">(U15-T15)*100</f>
        <v>3.53833588350219</v>
      </c>
      <c r="X15" s="12" t="n">
        <f aca="false">(V15-U15)*100</f>
        <v>-3.85804589900254</v>
      </c>
      <c r="Y15" s="12" t="n">
        <f aca="false">(V15-T15)*100</f>
        <v>-0.319710015500357</v>
      </c>
      <c r="Z15" s="11" t="n">
        <f aca="false">('Base votos'!I80)/'Base votos'!R80</f>
        <v>0.144709092761294</v>
      </c>
      <c r="AA15" s="11" t="n">
        <f aca="false">('Base votos'!I113)/'Base votos'!R113</f>
        <v>0.120879251002558</v>
      </c>
      <c r="AB15" s="11" t="n">
        <f aca="false">('Base votos'!I146)/'Base votos'!R146</f>
        <v>0.0664341734237615</v>
      </c>
      <c r="AC15" s="12" t="n">
        <f aca="false">(AA15-Z15)*100</f>
        <v>-2.38298417587364</v>
      </c>
      <c r="AD15" s="12" t="n">
        <f aca="false">(AB15-AA15)*100</f>
        <v>-5.44450775787962</v>
      </c>
      <c r="AE15" s="12" t="n">
        <f aca="false">(AB15-Z15)*100</f>
        <v>-7.82749193375326</v>
      </c>
      <c r="AF15" s="11" t="n">
        <f aca="false">('Base votos'!J80)/'Base votos'!R80</f>
        <v>0.0295049277473248</v>
      </c>
      <c r="AG15" s="11" t="n">
        <f aca="false">('Base votos'!J113)/'Base votos'!R113</f>
        <v>0.0217942822634122</v>
      </c>
      <c r="AH15" s="11" t="n">
        <f aca="false">('Base votos'!J146)/'Base votos'!R146</f>
        <v>0.0116887678384184</v>
      </c>
      <c r="AI15" s="12" t="n">
        <f aca="false">(AG15-AF15)*100</f>
        <v>-0.771064548391263</v>
      </c>
      <c r="AJ15" s="12" t="n">
        <f aca="false">(AH15-AG15)*100</f>
        <v>-1.01055144249938</v>
      </c>
      <c r="AK15" s="12" t="n">
        <f aca="false">(AH15-AF15)*100</f>
        <v>-1.78161599089064</v>
      </c>
      <c r="AL15" s="11" t="n">
        <f aca="false">('Base votos'!K80)/'Base votos'!R80</f>
        <v>0.0277414726237464</v>
      </c>
      <c r="AM15" s="11" t="n">
        <f aca="false">('Base votos'!K113)/'Base votos'!R113</f>
        <v>0.043463738198238</v>
      </c>
      <c r="AN15" s="11" t="n">
        <f aca="false">('Base votos'!K146)/'Base votos'!R146</f>
        <v>0.0768049820400071</v>
      </c>
      <c r="AO15" s="12" t="n">
        <f aca="false">(AM15-AL15)*100</f>
        <v>1.57222655744916</v>
      </c>
      <c r="AP15" s="12" t="n">
        <f aca="false">(AN15-AM15)*100</f>
        <v>3.33412438417691</v>
      </c>
      <c r="AQ15" s="12" t="n">
        <f aca="false">(AN15-AL15)*100</f>
        <v>4.90635094162607</v>
      </c>
      <c r="AR15" s="11" t="n">
        <f aca="false">('Base votos'!D80+'Base votos'!E80)/'Base votos'!R80</f>
        <v>0.230586062722301</v>
      </c>
      <c r="AS15" s="11" t="n">
        <f aca="false">('Base votos'!D113+'Base votos'!E113)/'Base votos'!R113</f>
        <v>0.259194223846664</v>
      </c>
      <c r="AT15" s="11" t="n">
        <f aca="false">('Base votos'!D146+'Base votos'!E146)/'Base votos'!R146</f>
        <v>0.378965576343825</v>
      </c>
      <c r="AU15" s="12" t="n">
        <f aca="false">(AS15-AR15)*100</f>
        <v>2.86081611243626</v>
      </c>
      <c r="AV15" s="12" t="n">
        <f aca="false">(AT15-AS15)*100</f>
        <v>11.9771352497161</v>
      </c>
      <c r="AW15" s="12" t="n">
        <f aca="false">(AT15-AR15)*100</f>
        <v>14.8379513621523</v>
      </c>
      <c r="AX15" s="11" t="n">
        <f aca="false">('Base votos'!H80+'Base votos'!I80+'Base votos'!J80)/'Base votos'!R80</f>
        <v>0.559282740204653</v>
      </c>
      <c r="AY15" s="11" t="n">
        <f aca="false">('Base votos'!H113+'Base votos'!I113+'Base votos'!J113)/'Base votos'!R113</f>
        <v>0.563125611797026</v>
      </c>
      <c r="AZ15" s="11" t="n">
        <f aca="false">('Base votos'!H146+'Base votos'!I146+'Base votos'!J146)/'Base votos'!R146</f>
        <v>0.45999456080321</v>
      </c>
      <c r="BA15" s="12" t="n">
        <f aca="false">(AY15-AX15)*100</f>
        <v>0.384287159237273</v>
      </c>
      <c r="BB15" s="12" t="n">
        <f aca="false">(AZ15-AY15)*100</f>
        <v>-10.3131050993815</v>
      </c>
      <c r="BC15" s="12" t="n">
        <f aca="false">(AZ15-AX15)*100</f>
        <v>-9.92881794014426</v>
      </c>
    </row>
    <row r="16" customFormat="false" ht="15" hidden="false" customHeight="false" outlineLevel="0" collapsed="false">
      <c r="A16" s="14" t="s">
        <v>93</v>
      </c>
      <c r="B16" s="11" t="n">
        <f aca="false">('Base votos'!D81)/'Base votos'!R81</f>
        <v>0.400314600581855</v>
      </c>
      <c r="C16" s="11" t="n">
        <f aca="false">('Base votos'!D114)/'Base votos'!R114</f>
        <v>0.39641836758788</v>
      </c>
      <c r="D16" s="11" t="n">
        <f aca="false">('Base votos'!D147)/'Base votos'!R147</f>
        <v>0.479934170036425</v>
      </c>
      <c r="E16" s="12" t="n">
        <f aca="false">(C16-B16)*100</f>
        <v>-0.389623299397579</v>
      </c>
      <c r="F16" s="12" t="n">
        <f aca="false">(D16-C16)*100</f>
        <v>8.35158024485458</v>
      </c>
      <c r="G16" s="12" t="n">
        <f aca="false">(D16-B16)*100</f>
        <v>7.961956945457</v>
      </c>
      <c r="H16" s="11" t="n">
        <f aca="false">('Base votos'!E81)/'Base votos'!R81</f>
        <v>0.0621962235470748</v>
      </c>
      <c r="I16" s="11" t="n">
        <f aca="false">('Base votos'!E114)/'Base votos'!R114</f>
        <v>0.0403134350006915</v>
      </c>
      <c r="J16" s="11" t="n">
        <f aca="false">('Base votos'!E147)/'Base votos'!R147</f>
        <v>0.0711195457289653</v>
      </c>
      <c r="K16" s="12" t="n">
        <f aca="false">(I16-H16)*100</f>
        <v>-2.18827885463833</v>
      </c>
      <c r="L16" s="12" t="n">
        <f aca="false">(J16-I16)*100</f>
        <v>3.08061107282738</v>
      </c>
      <c r="M16" s="12" t="n">
        <f aca="false">(J16-H16)*100</f>
        <v>0.892332218189042</v>
      </c>
      <c r="N16" s="11" t="n">
        <f aca="false">('Base votos'!F81)/'Base votos'!R81</f>
        <v>0.0454993427651211</v>
      </c>
      <c r="O16" s="11" t="n">
        <f aca="false">('Base votos'!F114)/'Base votos'!R114</f>
        <v>0.0354155914685772</v>
      </c>
      <c r="P16" s="11" t="n">
        <f aca="false">('Base votos'!F147)/'Base votos'!R147</f>
        <v>0.10019596592837</v>
      </c>
      <c r="Q16" s="12" t="n">
        <f aca="false">(O16-N16)*100</f>
        <v>-1.00837512965438</v>
      </c>
      <c r="R16" s="12" t="n">
        <f aca="false">(P16-O16)*100</f>
        <v>6.47803744597926</v>
      </c>
      <c r="S16" s="12" t="n">
        <f aca="false">(P16-N16)*100</f>
        <v>5.46966231632488</v>
      </c>
      <c r="T16" s="11" t="n">
        <f aca="false">('Base votos'!H81)/'Base votos'!R81</f>
        <v>0.0442322188374107</v>
      </c>
      <c r="U16" s="11" t="n">
        <f aca="false">('Base votos'!H114)/'Base votos'!R114</f>
        <v>0.0317327639421569</v>
      </c>
      <c r="V16" s="11" t="n">
        <f aca="false">('Base votos'!H147)/'Base votos'!R147</f>
        <v>0.0383751956240137</v>
      </c>
      <c r="W16" s="12" t="n">
        <f aca="false">(U16-T16)*100</f>
        <v>-1.24994548952538</v>
      </c>
      <c r="X16" s="12" t="n">
        <f aca="false">(V16-U16)*100</f>
        <v>0.664243168185687</v>
      </c>
      <c r="Y16" s="12" t="n">
        <f aca="false">(V16-T16)*100</f>
        <v>-0.585702321339694</v>
      </c>
      <c r="Z16" s="11" t="n">
        <f aca="false">('Base votos'!I81)/'Base votos'!R81</f>
        <v>0.181878383513684</v>
      </c>
      <c r="AA16" s="11" t="n">
        <f aca="false">('Base votos'!I114)/'Base votos'!R114</f>
        <v>0.251948849242892</v>
      </c>
      <c r="AB16" s="11" t="n">
        <f aca="false">('Base votos'!I147)/'Base votos'!R147</f>
        <v>0.122332496022393</v>
      </c>
      <c r="AC16" s="12" t="n">
        <f aca="false">(AA16-Z16)*100</f>
        <v>7.00704657292083</v>
      </c>
      <c r="AD16" s="12" t="n">
        <f aca="false">(AB16-AA16)*100</f>
        <v>-12.9616353220499</v>
      </c>
      <c r="AE16" s="12" t="n">
        <f aca="false">(AB16-Z16)*100</f>
        <v>-5.95458874912904</v>
      </c>
      <c r="AF16" s="11" t="n">
        <f aca="false">('Base votos'!J81)/'Base votos'!R81</f>
        <v>0.129863382361186</v>
      </c>
      <c r="AG16" s="11" t="n">
        <f aca="false">('Base votos'!J114)/'Base votos'!R114</f>
        <v>0.130997075461197</v>
      </c>
      <c r="AH16" s="11" t="n">
        <f aca="false">('Base votos'!J147)/'Base votos'!R147</f>
        <v>0.0607539966564005</v>
      </c>
      <c r="AI16" s="12" t="n">
        <f aca="false">(AG16-AF16)*100</f>
        <v>0.113369310001035</v>
      </c>
      <c r="AJ16" s="12" t="n">
        <f aca="false">(AH16-AG16)*100</f>
        <v>-7.02430788047962</v>
      </c>
      <c r="AK16" s="12" t="n">
        <f aca="false">(AH16-AF16)*100</f>
        <v>-6.91093857047858</v>
      </c>
      <c r="AL16" s="11" t="n">
        <f aca="false">('Base votos'!K81)/'Base votos'!R81</f>
        <v>0.0382049700662219</v>
      </c>
      <c r="AM16" s="11" t="n">
        <f aca="false">('Base votos'!K114)/'Base votos'!R114</f>
        <v>0.0291340734069359</v>
      </c>
      <c r="AN16" s="11" t="n">
        <f aca="false">('Base votos'!K147)/'Base votos'!R147</f>
        <v>0.0757962866117302</v>
      </c>
      <c r="AO16" s="12" t="n">
        <f aca="false">(AM16-AL16)*100</f>
        <v>-0.907089665928595</v>
      </c>
      <c r="AP16" s="12" t="n">
        <f aca="false">(AN16-AM16)*100</f>
        <v>4.66622132047943</v>
      </c>
      <c r="AQ16" s="12" t="n">
        <f aca="false">(AN16-AL16)*100</f>
        <v>3.75913165455084</v>
      </c>
      <c r="AR16" s="11" t="n">
        <f aca="false">('Base votos'!D81+'Base votos'!E81)/'Base votos'!R81</f>
        <v>0.46251082412893</v>
      </c>
      <c r="AS16" s="11" t="n">
        <f aca="false">('Base votos'!D114+'Base votos'!E114)/'Base votos'!R114</f>
        <v>0.436731802588571</v>
      </c>
      <c r="AT16" s="11" t="n">
        <f aca="false">('Base votos'!D147+'Base votos'!E147)/'Base votos'!R147</f>
        <v>0.551053715765391</v>
      </c>
      <c r="AU16" s="12" t="n">
        <f aca="false">(AS16-AR16)*100</f>
        <v>-2.57790215403592</v>
      </c>
      <c r="AV16" s="12" t="n">
        <f aca="false">(AT16-AS16)*100</f>
        <v>11.432191317682</v>
      </c>
      <c r="AW16" s="12" t="n">
        <f aca="false">(AT16-AR16)*100</f>
        <v>8.85428916364603</v>
      </c>
      <c r="AX16" s="11" t="n">
        <f aca="false">('Base votos'!H81+'Base votos'!I81+'Base votos'!J81)/'Base votos'!R81</f>
        <v>0.355973984712281</v>
      </c>
      <c r="AY16" s="11" t="n">
        <f aca="false">('Base votos'!H114+'Base votos'!I114+'Base votos'!J114)/'Base votos'!R114</f>
        <v>0.414678688646246</v>
      </c>
      <c r="AZ16" s="11" t="n">
        <f aca="false">('Base votos'!H147+'Base votos'!I147+'Base votos'!J147)/'Base votos'!R147</f>
        <v>0.221461688302807</v>
      </c>
      <c r="BA16" s="12" t="n">
        <f aca="false">(AY16-AX16)*100</f>
        <v>5.87047039339649</v>
      </c>
      <c r="BB16" s="12" t="n">
        <f aca="false">(AZ16-AY16)*100</f>
        <v>-19.3217000343438</v>
      </c>
      <c r="BC16" s="12" t="n">
        <f aca="false">(AZ16-AX16)*100</f>
        <v>-13.4512296409473</v>
      </c>
    </row>
    <row r="17" customFormat="false" ht="15" hidden="false" customHeight="false" outlineLevel="0" collapsed="false">
      <c r="A17" s="14" t="s">
        <v>94</v>
      </c>
      <c r="B17" s="11" t="n">
        <f aca="false">('Base votos'!D82)/'Base votos'!R82</f>
        <v>0.464175395774417</v>
      </c>
      <c r="C17" s="11" t="n">
        <f aca="false">('Base votos'!D115)/'Base votos'!R115</f>
        <v>0.436947488948585</v>
      </c>
      <c r="D17" s="11" t="n">
        <f aca="false">('Base votos'!D148)/'Base votos'!R148</f>
        <v>0.461165589154148</v>
      </c>
      <c r="E17" s="12" t="n">
        <f aca="false">(C17-B17)*100</f>
        <v>-2.72279068258321</v>
      </c>
      <c r="F17" s="12" t="n">
        <f aca="false">(D17-C17)*100</f>
        <v>2.42181002055625</v>
      </c>
      <c r="G17" s="12" t="n">
        <f aca="false">(D17-B17)*100</f>
        <v>-0.300980662026962</v>
      </c>
      <c r="H17" s="11" t="n">
        <f aca="false">('Base votos'!E82)/'Base votos'!R82</f>
        <v>0.044459518590098</v>
      </c>
      <c r="I17" s="11" t="n">
        <f aca="false">('Base votos'!E115)/'Base votos'!R115</f>
        <v>0.0211745965959064</v>
      </c>
      <c r="J17" s="11" t="n">
        <f aca="false">('Base votos'!E148)/'Base votos'!R148</f>
        <v>0.111060963958525</v>
      </c>
      <c r="K17" s="12" t="n">
        <f aca="false">(I17-H17)*100</f>
        <v>-2.32849219941916</v>
      </c>
      <c r="L17" s="12" t="n">
        <f aca="false">(J17-I17)*100</f>
        <v>8.98863673626186</v>
      </c>
      <c r="M17" s="12" t="n">
        <f aca="false">(J17-H17)*100</f>
        <v>6.6601445368427</v>
      </c>
      <c r="N17" s="11" t="n">
        <f aca="false">('Base votos'!F82)/'Base votos'!R82</f>
        <v>0.0257948107614021</v>
      </c>
      <c r="O17" s="11" t="n">
        <f aca="false">('Base votos'!F115)/'Base votos'!R115</f>
        <v>0.0247834361997458</v>
      </c>
      <c r="P17" s="11" t="n">
        <f aca="false">('Base votos'!F148)/'Base votos'!R148</f>
        <v>0.0817307410511755</v>
      </c>
      <c r="Q17" s="12" t="n">
        <f aca="false">(O17-N17)*100</f>
        <v>-0.101137456165636</v>
      </c>
      <c r="R17" s="12" t="n">
        <f aca="false">(P17-O17)*100</f>
        <v>5.69473048514297</v>
      </c>
      <c r="S17" s="12" t="n">
        <f aca="false">(P17-N17)*100</f>
        <v>5.59359302897734</v>
      </c>
      <c r="T17" s="11" t="n">
        <f aca="false">('Base votos'!H82)/'Base votos'!R82</f>
        <v>0.0950146948891197</v>
      </c>
      <c r="U17" s="11" t="n">
        <f aca="false">('Base votos'!H115)/'Base votos'!R115</f>
        <v>0.0831322321231608</v>
      </c>
      <c r="V17" s="11" t="n">
        <f aca="false">('Base votos'!H148)/'Base votos'!R148</f>
        <v>0.0736296964924997</v>
      </c>
      <c r="W17" s="12" t="n">
        <f aca="false">(U17-T17)*100</f>
        <v>-1.18824627659589</v>
      </c>
      <c r="X17" s="12" t="n">
        <f aca="false">(V17-U17)*100</f>
        <v>-0.95025356306611</v>
      </c>
      <c r="Y17" s="12" t="n">
        <f aca="false">(V17-T17)*100</f>
        <v>-2.138499839662</v>
      </c>
      <c r="Z17" s="11" t="n">
        <f aca="false">('Base votos'!I82)/'Base votos'!R82</f>
        <v>0.192797521945017</v>
      </c>
      <c r="AA17" s="11" t="n">
        <f aca="false">('Base votos'!I115)/'Base votos'!R115</f>
        <v>0.279597689349483</v>
      </c>
      <c r="AB17" s="11" t="n">
        <f aca="false">('Base votos'!I148)/'Base votos'!R148</f>
        <v>0.118394170947084</v>
      </c>
      <c r="AC17" s="12" t="n">
        <f aca="false">(AA17-Z17)*100</f>
        <v>8.6800167404466</v>
      </c>
      <c r="AD17" s="12" t="n">
        <f aca="false">(AB17-AA17)*100</f>
        <v>-16.1203518402398</v>
      </c>
      <c r="AE17" s="12" t="n">
        <f aca="false">(AB17-Z17)*100</f>
        <v>-7.44033509979322</v>
      </c>
      <c r="AF17" s="11" t="n">
        <f aca="false">('Base votos'!J82)/'Base votos'!R82</f>
        <v>0.0312135736514186</v>
      </c>
      <c r="AG17" s="11" t="n">
        <f aca="false">('Base votos'!J115)/'Base votos'!R115</f>
        <v>0.0326352168884908</v>
      </c>
      <c r="AH17" s="11" t="n">
        <f aca="false">('Base votos'!J148)/'Base votos'!R148</f>
        <v>0.0153834531329271</v>
      </c>
      <c r="AI17" s="12" t="n">
        <f aca="false">(AG17-AF17)*100</f>
        <v>0.142164323707214</v>
      </c>
      <c r="AJ17" s="12" t="n">
        <f aca="false">(AH17-AG17)*100</f>
        <v>-1.72517637555637</v>
      </c>
      <c r="AK17" s="12" t="n">
        <f aca="false">(AH17-AF17)*100</f>
        <v>-1.58301205184916</v>
      </c>
      <c r="AL17" s="11" t="n">
        <f aca="false">('Base votos'!K82)/'Base votos'!R82</f>
        <v>0.0159412694625282</v>
      </c>
      <c r="AM17" s="11" t="n">
        <f aca="false">('Base votos'!K115)/'Base votos'!R115</f>
        <v>0.0218106080211927</v>
      </c>
      <c r="AN17" s="11" t="n">
        <f aca="false">('Base votos'!K148)/'Base votos'!R148</f>
        <v>0.0881111521405996</v>
      </c>
      <c r="AO17" s="12" t="n">
        <f aca="false">(AM17-AL17)*100</f>
        <v>0.586933855866453</v>
      </c>
      <c r="AP17" s="12" t="n">
        <f aca="false">(AN17-AM17)*100</f>
        <v>6.63005441194069</v>
      </c>
      <c r="AQ17" s="12" t="n">
        <f aca="false">(AN17-AL17)*100</f>
        <v>7.21698826780714</v>
      </c>
      <c r="AR17" s="11" t="n">
        <f aca="false">('Base votos'!D82+'Base votos'!E82)/'Base votos'!R82</f>
        <v>0.508634914364516</v>
      </c>
      <c r="AS17" s="11" t="n">
        <f aca="false">('Base votos'!D115+'Base votos'!E115)/'Base votos'!R115</f>
        <v>0.458122085544492</v>
      </c>
      <c r="AT17" s="11" t="n">
        <f aca="false">('Base votos'!D148+'Base votos'!E148)/'Base votos'!R148</f>
        <v>0.572226553112673</v>
      </c>
      <c r="AU17" s="12" t="n">
        <f aca="false">(AS17-AR17)*100</f>
        <v>-5.05128288200238</v>
      </c>
      <c r="AV17" s="12" t="n">
        <f aca="false">(AT17-AS17)*100</f>
        <v>11.4104467568181</v>
      </c>
      <c r="AW17" s="12" t="n">
        <f aca="false">(AT17-AR17)*100</f>
        <v>6.35916387481573</v>
      </c>
      <c r="AX17" s="11" t="n">
        <f aca="false">('Base votos'!H82+'Base votos'!I82+'Base votos'!J82)/'Base votos'!R82</f>
        <v>0.319025790485555</v>
      </c>
      <c r="AY17" s="11" t="n">
        <f aca="false">('Base votos'!H115+'Base votos'!I115+'Base votos'!J115)/'Base votos'!R115</f>
        <v>0.395365138361134</v>
      </c>
      <c r="AZ17" s="11" t="n">
        <f aca="false">('Base votos'!H148+'Base votos'!I148+'Base votos'!J148)/'Base votos'!R148</f>
        <v>0.207407320572511</v>
      </c>
      <c r="BA17" s="12" t="n">
        <f aca="false">(AY17-AX17)*100</f>
        <v>7.63393478755793</v>
      </c>
      <c r="BB17" s="12" t="n">
        <f aca="false">(AZ17-AY17)*100</f>
        <v>-18.7957817788623</v>
      </c>
      <c r="BC17" s="12" t="n">
        <f aca="false">(AZ17-AX17)*100</f>
        <v>-11.1618469913044</v>
      </c>
    </row>
    <row r="18" customFormat="false" ht="15" hidden="false" customHeight="false" outlineLevel="0" collapsed="false">
      <c r="A18" s="14" t="s">
        <v>95</v>
      </c>
      <c r="B18" s="11" t="n">
        <f aca="false">('Base votos'!D83)/'Base votos'!R83</f>
        <v>0.246470980232204</v>
      </c>
      <c r="C18" s="11" t="n">
        <f aca="false">('Base votos'!D116)/'Base votos'!R116</f>
        <v>0.233499340353987</v>
      </c>
      <c r="D18" s="11" t="n">
        <f aca="false">('Base votos'!D149)/'Base votos'!R149</f>
        <v>0.306943337119796</v>
      </c>
      <c r="E18" s="12" t="n">
        <f aca="false">(C18-B18)*100</f>
        <v>-1.29716398782174</v>
      </c>
      <c r="F18" s="12" t="n">
        <f aca="false">(D18-C18)*100</f>
        <v>7.3443996765809</v>
      </c>
      <c r="G18" s="12" t="n">
        <f aca="false">(D18-B18)*100</f>
        <v>6.04723568875916</v>
      </c>
      <c r="H18" s="11" t="n">
        <f aca="false">('Base votos'!E83)/'Base votos'!R83</f>
        <v>0.0228346479310167</v>
      </c>
      <c r="I18" s="11" t="n">
        <f aca="false">('Base votos'!E116)/'Base votos'!R116</f>
        <v>0.0156957046600971</v>
      </c>
      <c r="J18" s="11" t="n">
        <f aca="false">('Base votos'!E149)/'Base votos'!R149</f>
        <v>0.0290846821788804</v>
      </c>
      <c r="K18" s="12" t="n">
        <f aca="false">(I18-H18)*100</f>
        <v>-0.713894327091954</v>
      </c>
      <c r="L18" s="12" t="n">
        <f aca="false">(J18-I18)*100</f>
        <v>1.33889775187833</v>
      </c>
      <c r="M18" s="12" t="n">
        <f aca="false">(J18-H18)*100</f>
        <v>0.625003424786377</v>
      </c>
      <c r="N18" s="11" t="n">
        <f aca="false">('Base votos'!F83)/'Base votos'!R83</f>
        <v>0.0458341711140856</v>
      </c>
      <c r="O18" s="11" t="n">
        <f aca="false">('Base votos'!F116)/'Base votos'!R116</f>
        <v>0.0358114046356065</v>
      </c>
      <c r="P18" s="11" t="n">
        <f aca="false">('Base votos'!F149)/'Base votos'!R149</f>
        <v>0.0603228658162936</v>
      </c>
      <c r="Q18" s="12" t="n">
        <f aca="false">(O18-N18)*100</f>
        <v>-1.00227664784792</v>
      </c>
      <c r="R18" s="12" t="n">
        <f aca="false">(P18-O18)*100</f>
        <v>2.45114611806871</v>
      </c>
      <c r="S18" s="12" t="n">
        <f aca="false">(P18-N18)*100</f>
        <v>1.4488694702208</v>
      </c>
      <c r="T18" s="11" t="n">
        <f aca="false">('Base votos'!H83)/'Base votos'!R83</f>
        <v>0.158597928431502</v>
      </c>
      <c r="U18" s="11" t="n">
        <f aca="false">('Base votos'!H116)/'Base votos'!R116</f>
        <v>0.16331827636532</v>
      </c>
      <c r="V18" s="11" t="n">
        <f aca="false">('Base votos'!H149)/'Base votos'!R149</f>
        <v>0.180395532444808</v>
      </c>
      <c r="W18" s="12" t="n">
        <f aca="false">(U18-T18)*100</f>
        <v>0.472034793381834</v>
      </c>
      <c r="X18" s="12" t="n">
        <f aca="false">(V18-U18)*100</f>
        <v>1.70772560794878</v>
      </c>
      <c r="Y18" s="12" t="n">
        <f aca="false">(V18-T18)*100</f>
        <v>2.17976040133061</v>
      </c>
      <c r="Z18" s="11" t="n">
        <f aca="false">('Base votos'!I83)/'Base votos'!R83</f>
        <v>0.147832780876769</v>
      </c>
      <c r="AA18" s="11" t="n">
        <f aca="false">('Base votos'!I116)/'Base votos'!R116</f>
        <v>0.140256691386431</v>
      </c>
      <c r="AB18" s="11" t="n">
        <f aca="false">('Base votos'!I149)/'Base votos'!R149</f>
        <v>0.0932752794704493</v>
      </c>
      <c r="AC18" s="12" t="n">
        <f aca="false">(AA18-Z18)*100</f>
        <v>-0.757608949033758</v>
      </c>
      <c r="AD18" s="12" t="n">
        <f aca="false">(AB18-AA18)*100</f>
        <v>-4.69814119159818</v>
      </c>
      <c r="AE18" s="12" t="n">
        <f aca="false">(AB18-Z18)*100</f>
        <v>-5.45575014063194</v>
      </c>
      <c r="AF18" s="11" t="n">
        <f aca="false">('Base votos'!J83)/'Base votos'!R83</f>
        <v>0.0151156711916402</v>
      </c>
      <c r="AG18" s="11" t="n">
        <f aca="false">('Base votos'!J116)/'Base votos'!R116</f>
        <v>0.00944925396938735</v>
      </c>
      <c r="AH18" s="11" t="n">
        <f aca="false">('Base votos'!J149)/'Base votos'!R149</f>
        <v>0.01120991452107</v>
      </c>
      <c r="AI18" s="12" t="n">
        <f aca="false">(AG18-AF18)*100</f>
        <v>-0.566641722225284</v>
      </c>
      <c r="AJ18" s="12" t="n">
        <f aca="false">(AH18-AG18)*100</f>
        <v>0.176066055168265</v>
      </c>
      <c r="AK18" s="12" t="n">
        <f aca="false">(AH18-AF18)*100</f>
        <v>-0.390575667057019</v>
      </c>
      <c r="AL18" s="11" t="n">
        <f aca="false">('Base votos'!K83)/'Base votos'!R83</f>
        <v>0.238628490673346</v>
      </c>
      <c r="AM18" s="11" t="n">
        <f aca="false">('Base votos'!K116)/'Base votos'!R116</f>
        <v>0.316979094860233</v>
      </c>
      <c r="AN18" s="11" t="n">
        <f aca="false">('Base votos'!K149)/'Base votos'!R149</f>
        <v>0.289886748453208</v>
      </c>
      <c r="AO18" s="12" t="n">
        <f aca="false">(AM18-AL18)*100</f>
        <v>7.83506041868872</v>
      </c>
      <c r="AP18" s="12" t="n">
        <f aca="false">(AN18-AM18)*100</f>
        <v>-2.70923464070252</v>
      </c>
      <c r="AQ18" s="12" t="n">
        <f aca="false">(AN18-AL18)*100</f>
        <v>5.1258257779862</v>
      </c>
      <c r="AR18" s="11" t="n">
        <f aca="false">('Base votos'!D83+'Base votos'!E83)/'Base votos'!R83</f>
        <v>0.269305628163221</v>
      </c>
      <c r="AS18" s="11" t="n">
        <f aca="false">('Base votos'!D116+'Base votos'!E116)/'Base votos'!R116</f>
        <v>0.249195045014084</v>
      </c>
      <c r="AT18" s="11" t="n">
        <f aca="false">('Base votos'!D149+'Base votos'!E149)/'Base votos'!R149</f>
        <v>0.336028019298676</v>
      </c>
      <c r="AU18" s="12" t="n">
        <f aca="false">(AS18-AR18)*100</f>
        <v>-2.01105831491369</v>
      </c>
      <c r="AV18" s="12" t="n">
        <f aca="false">(AT18-AS18)*100</f>
        <v>8.68329742845923</v>
      </c>
      <c r="AW18" s="12" t="n">
        <f aca="false">(AT18-AR18)*100</f>
        <v>6.67223911354554</v>
      </c>
      <c r="AX18" s="11" t="n">
        <f aca="false">('Base votos'!H83+'Base votos'!I83+'Base votos'!J83)/'Base votos'!R83</f>
        <v>0.321546380499911</v>
      </c>
      <c r="AY18" s="11" t="n">
        <f aca="false">('Base votos'!H116+'Base votos'!I116+'Base votos'!J116)/'Base votos'!R116</f>
        <v>0.313024221721139</v>
      </c>
      <c r="AZ18" s="11" t="n">
        <f aca="false">('Base votos'!H149+'Base votos'!I149+'Base votos'!J149)/'Base votos'!R149</f>
        <v>0.284880726436327</v>
      </c>
      <c r="BA18" s="12" t="n">
        <f aca="false">(AY18-AX18)*100</f>
        <v>-0.852215877877205</v>
      </c>
      <c r="BB18" s="12" t="n">
        <f aca="false">(AZ18-AY18)*100</f>
        <v>-2.81434952848115</v>
      </c>
      <c r="BC18" s="12" t="n">
        <f aca="false">(AZ18-AX18)*100</f>
        <v>-3.66656540635835</v>
      </c>
    </row>
    <row r="19" customFormat="false" ht="15" hidden="false" customHeight="false" outlineLevel="0" collapsed="false">
      <c r="A19" s="14" t="s">
        <v>96</v>
      </c>
      <c r="B19" s="11" t="n">
        <f aca="false">('Base votos'!D84)/'Base votos'!R84</f>
        <v>0.422818085226777</v>
      </c>
      <c r="C19" s="11" t="n">
        <f aca="false">('Base votos'!D117)/'Base votos'!R117</f>
        <v>0.357666328696687</v>
      </c>
      <c r="D19" s="11" t="n">
        <f aca="false">('Base votos'!D150)/'Base votos'!R150</f>
        <v>0.437555999461595</v>
      </c>
      <c r="E19" s="12" t="n">
        <f aca="false">(C19-B19)*100</f>
        <v>-6.51517565300905</v>
      </c>
      <c r="F19" s="12" t="n">
        <f aca="false">(D19-C19)*100</f>
        <v>7.98896707649084</v>
      </c>
      <c r="G19" s="12" t="n">
        <f aca="false">(D19-B19)*100</f>
        <v>1.47379142348179</v>
      </c>
      <c r="H19" s="11" t="n">
        <f aca="false">('Base votos'!E84)/'Base votos'!R84</f>
        <v>0.0333381382995866</v>
      </c>
      <c r="I19" s="11" t="n">
        <f aca="false">('Base votos'!E117)/'Base votos'!R117</f>
        <v>0.0191976273257508</v>
      </c>
      <c r="J19" s="11" t="n">
        <f aca="false">('Base votos'!E150)/'Base votos'!R150</f>
        <v>0.043823055399712</v>
      </c>
      <c r="K19" s="12" t="n">
        <f aca="false">(I19-H19)*100</f>
        <v>-1.41405109738358</v>
      </c>
      <c r="L19" s="12" t="n">
        <f aca="false">(J19-I19)*100</f>
        <v>2.46254280739612</v>
      </c>
      <c r="M19" s="12" t="n">
        <f aca="false">(J19-H19)*100</f>
        <v>1.04849171001254</v>
      </c>
      <c r="N19" s="11" t="n">
        <f aca="false">('Base votos'!F84)/'Base votos'!R84</f>
        <v>0.0415833604601575</v>
      </c>
      <c r="O19" s="11" t="n">
        <f aca="false">('Base votos'!F117)/'Base votos'!R117</f>
        <v>0.0501058102961706</v>
      </c>
      <c r="P19" s="11" t="n">
        <f aca="false">('Base votos'!F150)/'Base votos'!R150</f>
        <v>0.07324592593122</v>
      </c>
      <c r="Q19" s="12" t="n">
        <f aca="false">(O19-N19)*100</f>
        <v>0.852244983601308</v>
      </c>
      <c r="R19" s="12" t="n">
        <f aca="false">(P19-O19)*100</f>
        <v>2.31401156350494</v>
      </c>
      <c r="S19" s="12" t="n">
        <f aca="false">(P19-N19)*100</f>
        <v>3.16625654710624</v>
      </c>
      <c r="T19" s="11" t="n">
        <f aca="false">('Base votos'!H84)/'Base votos'!R84</f>
        <v>0.143876178767729</v>
      </c>
      <c r="U19" s="11" t="n">
        <f aca="false">('Base votos'!H117)/'Base votos'!R117</f>
        <v>0.135688499011535</v>
      </c>
      <c r="V19" s="11" t="n">
        <f aca="false">('Base votos'!H150)/'Base votos'!R150</f>
        <v>0.12509216609074</v>
      </c>
      <c r="W19" s="12" t="n">
        <f aca="false">(U19-T19)*100</f>
        <v>-0.818767975619397</v>
      </c>
      <c r="X19" s="12" t="n">
        <f aca="false">(V19-U19)*100</f>
        <v>-1.05963329207943</v>
      </c>
      <c r="Y19" s="12" t="n">
        <f aca="false">(V19-T19)*100</f>
        <v>-1.87840126769882</v>
      </c>
      <c r="Z19" s="11" t="n">
        <f aca="false">('Base votos'!I84)/'Base votos'!R84</f>
        <v>0.197237410884323</v>
      </c>
      <c r="AA19" s="11" t="n">
        <f aca="false">('Base votos'!I117)/'Base votos'!R117</f>
        <v>0.265575213101133</v>
      </c>
      <c r="AB19" s="11" t="n">
        <f aca="false">('Base votos'!I150)/'Base votos'!R150</f>
        <v>0.166057149527645</v>
      </c>
      <c r="AC19" s="12" t="n">
        <f aca="false">(AA19-Z19)*100</f>
        <v>6.83378022168102</v>
      </c>
      <c r="AD19" s="12" t="n">
        <f aca="false">(AB19-AA19)*100</f>
        <v>-9.95180635734879</v>
      </c>
      <c r="AE19" s="12" t="n">
        <f aca="false">(AB19-Z19)*100</f>
        <v>-3.11802613566778</v>
      </c>
      <c r="AF19" s="11" t="n">
        <f aca="false">('Base votos'!J84)/'Base votos'!R84</f>
        <v>0.0582749138541167</v>
      </c>
      <c r="AG19" s="11" t="n">
        <f aca="false">('Base votos'!J117)/'Base votos'!R117</f>
        <v>0.0336280625987461</v>
      </c>
      <c r="AH19" s="11" t="n">
        <f aca="false">('Base votos'!J150)/'Base votos'!R150</f>
        <v>0.0203939884481196</v>
      </c>
      <c r="AI19" s="12" t="n">
        <f aca="false">(AG19-AF19)*100</f>
        <v>-2.46468512553706</v>
      </c>
      <c r="AJ19" s="12" t="n">
        <f aca="false">(AH19-AG19)*100</f>
        <v>-1.32340741506265</v>
      </c>
      <c r="AK19" s="12" t="n">
        <f aca="false">(AH19-AF19)*100</f>
        <v>-3.78809254059972</v>
      </c>
      <c r="AL19" s="11" t="n">
        <f aca="false">('Base votos'!K84)/'Base votos'!R84</f>
        <v>0.0233164110249743</v>
      </c>
      <c r="AM19" s="11" t="n">
        <f aca="false">('Base votos'!K117)/'Base votos'!R117</f>
        <v>0.0490633311301301</v>
      </c>
      <c r="AN19" s="11" t="n">
        <f aca="false">('Base votos'!K150)/'Base votos'!R150</f>
        <v>0.100542931233078</v>
      </c>
      <c r="AO19" s="12" t="n">
        <f aca="false">(AM19-AL19)*100</f>
        <v>2.57469201051559</v>
      </c>
      <c r="AP19" s="12" t="n">
        <f aca="false">(AN19-AM19)*100</f>
        <v>5.14796001029479</v>
      </c>
      <c r="AQ19" s="12" t="n">
        <f aca="false">(AN19-AL19)*100</f>
        <v>7.72265202081038</v>
      </c>
      <c r="AR19" s="11" t="n">
        <f aca="false">('Base votos'!D84+'Base votos'!E84)/'Base votos'!R84</f>
        <v>0.456156223526364</v>
      </c>
      <c r="AS19" s="11" t="n">
        <f aca="false">('Base votos'!D117+'Base votos'!E117)/'Base votos'!R117</f>
        <v>0.376863956022438</v>
      </c>
      <c r="AT19" s="11" t="n">
        <f aca="false">('Base votos'!D150+'Base votos'!E150)/'Base votos'!R150</f>
        <v>0.481379054861307</v>
      </c>
      <c r="AU19" s="12" t="n">
        <f aca="false">(AS19-AR19)*100</f>
        <v>-7.92922675039264</v>
      </c>
      <c r="AV19" s="12" t="n">
        <f aca="false">(AT19-AS19)*100</f>
        <v>10.451509883887</v>
      </c>
      <c r="AW19" s="12" t="n">
        <f aca="false">(AT19-AR19)*100</f>
        <v>2.52228313349432</v>
      </c>
      <c r="AX19" s="11" t="n">
        <f aca="false">('Base votos'!H84+'Base votos'!I84+'Base votos'!J84)/'Base votos'!R84</f>
        <v>0.399388503506168</v>
      </c>
      <c r="AY19" s="11" t="n">
        <f aca="false">('Base votos'!H117+'Base votos'!I117+'Base votos'!J117)/'Base votos'!R117</f>
        <v>0.434891774711414</v>
      </c>
      <c r="AZ19" s="11" t="n">
        <f aca="false">('Base votos'!H150+'Base votos'!I150+'Base votos'!J150)/'Base votos'!R150</f>
        <v>0.311543304066505</v>
      </c>
      <c r="BA19" s="12" t="n">
        <f aca="false">(AY19-AX19)*100</f>
        <v>3.55032712052455</v>
      </c>
      <c r="BB19" s="12" t="n">
        <f aca="false">(AZ19-AY19)*100</f>
        <v>-12.3348470644909</v>
      </c>
      <c r="BC19" s="12" t="n">
        <f aca="false">(AZ19-AX19)*100</f>
        <v>-8.78451994396631</v>
      </c>
    </row>
    <row r="20" customFormat="false" ht="15" hidden="false" customHeight="false" outlineLevel="0" collapsed="false">
      <c r="A20" s="14" t="s">
        <v>97</v>
      </c>
      <c r="B20" s="11" t="n">
        <f aca="false">('Base votos'!D85)/'Base votos'!R85</f>
        <v>0.291665927511426</v>
      </c>
      <c r="C20" s="11" t="n">
        <f aca="false">('Base votos'!D118)/'Base votos'!R118</f>
        <v>0.310063194331715</v>
      </c>
      <c r="D20" s="11" t="n">
        <f aca="false">('Base votos'!D151)/'Base votos'!R151</f>
        <v>0.318941315067637</v>
      </c>
      <c r="E20" s="12" t="n">
        <f aca="false">(C20-B20)*100</f>
        <v>1.83972668202897</v>
      </c>
      <c r="F20" s="12" t="n">
        <f aca="false">(D20-C20)*100</f>
        <v>0.887812073592137</v>
      </c>
      <c r="G20" s="12" t="n">
        <f aca="false">(D20-B20)*100</f>
        <v>2.72753875562111</v>
      </c>
      <c r="H20" s="11" t="n">
        <f aca="false">('Base votos'!E85)/'Base votos'!R85</f>
        <v>0.0577291224968613</v>
      </c>
      <c r="I20" s="11" t="n">
        <f aca="false">('Base votos'!E118)/'Base votos'!R118</f>
        <v>0.0569492044693299</v>
      </c>
      <c r="J20" s="11" t="n">
        <f aca="false">('Base votos'!E151)/'Base votos'!R151</f>
        <v>0.0827670889241421</v>
      </c>
      <c r="K20" s="12" t="n">
        <f aca="false">(I20-H20)*100</f>
        <v>-0.0779918027531391</v>
      </c>
      <c r="L20" s="12" t="n">
        <f aca="false">(J20-I20)*100</f>
        <v>2.58178844548122</v>
      </c>
      <c r="M20" s="12" t="n">
        <f aca="false">(J20-H20)*100</f>
        <v>2.50379664272808</v>
      </c>
      <c r="N20" s="11" t="n">
        <f aca="false">('Base votos'!F85)/'Base votos'!R85</f>
        <v>0.0751282455461884</v>
      </c>
      <c r="O20" s="11" t="n">
        <f aca="false">('Base votos'!F118)/'Base votos'!R118</f>
        <v>0.0730261488267666</v>
      </c>
      <c r="P20" s="11" t="n">
        <f aca="false">('Base votos'!F151)/'Base votos'!R151</f>
        <v>0.0841190422231426</v>
      </c>
      <c r="Q20" s="12" t="n">
        <f aca="false">(O20-N20)*100</f>
        <v>-0.210209671942183</v>
      </c>
      <c r="R20" s="12" t="n">
        <f aca="false">(P20-O20)*100</f>
        <v>1.1092893396376</v>
      </c>
      <c r="S20" s="12" t="n">
        <f aca="false">(P20-N20)*100</f>
        <v>0.89907966769542</v>
      </c>
      <c r="T20" s="11" t="n">
        <f aca="false">('Base votos'!H85)/'Base votos'!R85</f>
        <v>0.119285970968685</v>
      </c>
      <c r="U20" s="11" t="n">
        <f aca="false">('Base votos'!H118)/'Base votos'!R118</f>
        <v>0.129536376751619</v>
      </c>
      <c r="V20" s="11" t="n">
        <f aca="false">('Base votos'!H151)/'Base votos'!R151</f>
        <v>0.15547707149723</v>
      </c>
      <c r="W20" s="12" t="n">
        <f aca="false">(U20-T20)*100</f>
        <v>1.0250405782934</v>
      </c>
      <c r="X20" s="12" t="n">
        <f aca="false">(V20-U20)*100</f>
        <v>2.59406947456104</v>
      </c>
      <c r="Y20" s="12" t="n">
        <f aca="false">(V20-T20)*100</f>
        <v>3.61911005285443</v>
      </c>
      <c r="Z20" s="11" t="n">
        <f aca="false">('Base votos'!I85)/'Base votos'!R85</f>
        <v>0.155471463623679</v>
      </c>
      <c r="AA20" s="11" t="n">
        <f aca="false">('Base votos'!I118)/'Base votos'!R118</f>
        <v>0.144523310340413</v>
      </c>
      <c r="AB20" s="11" t="n">
        <f aca="false">('Base votos'!I151)/'Base votos'!R151</f>
        <v>0.10192448207685</v>
      </c>
      <c r="AC20" s="12" t="n">
        <f aca="false">(AA20-Z20)*100</f>
        <v>-1.0948153283266</v>
      </c>
      <c r="AD20" s="12" t="n">
        <f aca="false">(AB20-AA20)*100</f>
        <v>-4.25988282635623</v>
      </c>
      <c r="AE20" s="12" t="n">
        <f aca="false">(AB20-Z20)*100</f>
        <v>-5.35469815468282</v>
      </c>
      <c r="AF20" s="11" t="n">
        <f aca="false">('Base votos'!J85)/'Base votos'!R85</f>
        <v>0.140442367939146</v>
      </c>
      <c r="AG20" s="11" t="n">
        <f aca="false">('Base votos'!J118)/'Base votos'!R118</f>
        <v>0.119192991922374</v>
      </c>
      <c r="AH20" s="11" t="n">
        <f aca="false">('Base votos'!J151)/'Base votos'!R151</f>
        <v>0.0672337902362402</v>
      </c>
      <c r="AI20" s="12" t="n">
        <f aca="false">(AG20-AF20)*100</f>
        <v>-2.12493760167713</v>
      </c>
      <c r="AJ20" s="12" t="n">
        <f aca="false">(AH20-AG20)*100</f>
        <v>-5.19592016861342</v>
      </c>
      <c r="AK20" s="12" t="n">
        <f aca="false">(AH20-AF20)*100</f>
        <v>-7.32085777029055</v>
      </c>
      <c r="AL20" s="11" t="n">
        <f aca="false">('Base votos'!K85)/'Base votos'!R85</f>
        <v>0.0295011639794361</v>
      </c>
      <c r="AM20" s="11" t="n">
        <f aca="false">('Base votos'!K118)/'Base votos'!R118</f>
        <v>0.039343844382815</v>
      </c>
      <c r="AN20" s="11" t="n">
        <f aca="false">('Base votos'!K151)/'Base votos'!R151</f>
        <v>0.107534013738346</v>
      </c>
      <c r="AO20" s="12" t="n">
        <f aca="false">(AM20-AL20)*100</f>
        <v>0.984268040337888</v>
      </c>
      <c r="AP20" s="12" t="n">
        <f aca="false">(AN20-AM20)*100</f>
        <v>6.81901693555313</v>
      </c>
      <c r="AQ20" s="12" t="n">
        <f aca="false">(AN20-AL20)*100</f>
        <v>7.80328497589101</v>
      </c>
      <c r="AR20" s="11" t="n">
        <f aca="false">('Base votos'!D85+'Base votos'!E85)/'Base votos'!R85</f>
        <v>0.349395050008287</v>
      </c>
      <c r="AS20" s="11" t="n">
        <f aca="false">('Base votos'!D118+'Base votos'!E118)/'Base votos'!R118</f>
        <v>0.367012398801045</v>
      </c>
      <c r="AT20" s="11" t="n">
        <f aca="false">('Base votos'!D151+'Base votos'!E151)/'Base votos'!R151</f>
        <v>0.401708403991779</v>
      </c>
      <c r="AU20" s="12" t="n">
        <f aca="false">(AS20-AR20)*100</f>
        <v>1.76173487927583</v>
      </c>
      <c r="AV20" s="12" t="n">
        <f aca="false">(AT20-AS20)*100</f>
        <v>3.46960051907336</v>
      </c>
      <c r="AW20" s="12" t="n">
        <f aca="false">(AT20-AR20)*100</f>
        <v>5.23133539834919</v>
      </c>
      <c r="AX20" s="11" t="n">
        <f aca="false">('Base votos'!H85+'Base votos'!I85+'Base votos'!J85)/'Base votos'!R85</f>
        <v>0.41519980253151</v>
      </c>
      <c r="AY20" s="11" t="n">
        <f aca="false">('Base votos'!H118+'Base votos'!I118+'Base votos'!J118)/'Base votos'!R118</f>
        <v>0.393252679014406</v>
      </c>
      <c r="AZ20" s="11" t="n">
        <f aca="false">('Base votos'!H151+'Base votos'!I151+'Base votos'!J151)/'Base votos'!R151</f>
        <v>0.32463534381032</v>
      </c>
      <c r="BA20" s="12" t="n">
        <f aca="false">(AY20-AX20)*100</f>
        <v>-2.19471235171034</v>
      </c>
      <c r="BB20" s="12" t="n">
        <f aca="false">(AZ20-AY20)*100</f>
        <v>-6.8617335204086</v>
      </c>
      <c r="BC20" s="12" t="n">
        <f aca="false">(AZ20-AX20)*100</f>
        <v>-9.05644587211894</v>
      </c>
    </row>
    <row r="21" customFormat="false" ht="15" hidden="false" customHeight="false" outlineLevel="0" collapsed="false">
      <c r="A21" s="14" t="s">
        <v>98</v>
      </c>
      <c r="B21" s="11" t="n">
        <f aca="false">('Base votos'!D86)/'Base votos'!R86</f>
        <v>0.367347914624499</v>
      </c>
      <c r="C21" s="11" t="n">
        <f aca="false">('Base votos'!D119)/'Base votos'!R119</f>
        <v>0.316413380351582</v>
      </c>
      <c r="D21" s="11" t="n">
        <f aca="false">('Base votos'!D152)/'Base votos'!R152</f>
        <v>0.411529915317585</v>
      </c>
      <c r="E21" s="12" t="n">
        <f aca="false">(C21-B21)*100</f>
        <v>-5.09345342729178</v>
      </c>
      <c r="F21" s="12" t="n">
        <f aca="false">(D21-C21)*100</f>
        <v>9.51165349660031</v>
      </c>
      <c r="G21" s="12" t="n">
        <f aca="false">(D21-B21)*100</f>
        <v>4.41820006930853</v>
      </c>
      <c r="H21" s="11" t="n">
        <f aca="false">('Base votos'!E86)/'Base votos'!R86</f>
        <v>0.0515868354661963</v>
      </c>
      <c r="I21" s="11" t="n">
        <f aca="false">('Base votos'!E119)/'Base votos'!R119</f>
        <v>0.0513264397244734</v>
      </c>
      <c r="J21" s="11" t="n">
        <f aca="false">('Base votos'!E152)/'Base votos'!R152</f>
        <v>0.0775289527846896</v>
      </c>
      <c r="K21" s="12" t="n">
        <f aca="false">(I21-H21)*100</f>
        <v>-0.026039574172286</v>
      </c>
      <c r="L21" s="12" t="n">
        <f aca="false">(J21-I21)*100</f>
        <v>2.62025130602162</v>
      </c>
      <c r="M21" s="12" t="n">
        <f aca="false">(J21-H21)*100</f>
        <v>2.59421173184933</v>
      </c>
      <c r="N21" s="11" t="n">
        <f aca="false">('Base votos'!F86)/'Base votos'!R86</f>
        <v>0.0543976199806863</v>
      </c>
      <c r="O21" s="11" t="n">
        <f aca="false">('Base votos'!F119)/'Base votos'!R119</f>
        <v>0.0395438208147457</v>
      </c>
      <c r="P21" s="11" t="n">
        <f aca="false">('Base votos'!F152)/'Base votos'!R152</f>
        <v>0.0983432146550753</v>
      </c>
      <c r="Q21" s="12" t="n">
        <f aca="false">(O21-N21)*100</f>
        <v>-1.48537991659406</v>
      </c>
      <c r="R21" s="12" t="n">
        <f aca="false">(P21-O21)*100</f>
        <v>5.87993938403296</v>
      </c>
      <c r="S21" s="12" t="n">
        <f aca="false">(P21-N21)*100</f>
        <v>4.39455946743891</v>
      </c>
      <c r="T21" s="11" t="n">
        <f aca="false">('Base votos'!H86)/'Base votos'!R86</f>
        <v>0.0940781219302522</v>
      </c>
      <c r="U21" s="11" t="n">
        <f aca="false">('Base votos'!H119)/'Base votos'!R119</f>
        <v>0.137706767436806</v>
      </c>
      <c r="V21" s="11" t="n">
        <f aca="false">('Base votos'!H152)/'Base votos'!R152</f>
        <v>0.147930042290009</v>
      </c>
      <c r="W21" s="12" t="n">
        <f aca="false">(U21-T21)*100</f>
        <v>4.36286455065539</v>
      </c>
      <c r="X21" s="12" t="n">
        <f aca="false">(V21-U21)*100</f>
        <v>1.0223274853203</v>
      </c>
      <c r="Y21" s="12" t="n">
        <f aca="false">(V21-T21)*100</f>
        <v>5.38519203597569</v>
      </c>
      <c r="Z21" s="11" t="n">
        <f aca="false">('Base votos'!I86)/'Base votos'!R86</f>
        <v>0.0902704652451277</v>
      </c>
      <c r="AA21" s="11" t="n">
        <f aca="false">('Base votos'!I119)/'Base votos'!R119</f>
        <v>0.0909908630997622</v>
      </c>
      <c r="AB21" s="11" t="n">
        <f aca="false">('Base votos'!I152)/'Base votos'!R152</f>
        <v>0.0673721827993324</v>
      </c>
      <c r="AC21" s="12" t="n">
        <f aca="false">(AA21-Z21)*100</f>
        <v>0.0720397854634541</v>
      </c>
      <c r="AD21" s="12" t="n">
        <f aca="false">(AB21-AA21)*100</f>
        <v>-2.36186803004298</v>
      </c>
      <c r="AE21" s="12" t="n">
        <f aca="false">(AB21-Z21)*100</f>
        <v>-2.28982824457953</v>
      </c>
      <c r="AF21" s="11" t="n">
        <f aca="false">('Base votos'!J86)/'Base votos'!R86</f>
        <v>0.108575907294007</v>
      </c>
      <c r="AG21" s="11" t="n">
        <f aca="false">('Base votos'!J119)/'Base votos'!R119</f>
        <v>0.0311858121137734</v>
      </c>
      <c r="AH21" s="11" t="n">
        <f aca="false">('Base votos'!J152)/'Base votos'!R152</f>
        <v>0.0291289077299583</v>
      </c>
      <c r="AI21" s="12" t="n">
        <f aca="false">(AG21-AF21)*100</f>
        <v>-7.73900951802332</v>
      </c>
      <c r="AJ21" s="12" t="n">
        <f aca="false">(AH21-AG21)*100</f>
        <v>-0.205690438381511</v>
      </c>
      <c r="AK21" s="12" t="n">
        <f aca="false">(AH21-AF21)*100</f>
        <v>-7.94469995640483</v>
      </c>
      <c r="AL21" s="11" t="n">
        <f aca="false">('Base votos'!K86)/'Base votos'!R86</f>
        <v>0.0417366157697069</v>
      </c>
      <c r="AM21" s="11" t="n">
        <f aca="false">('Base votos'!K119)/'Base votos'!R119</f>
        <v>0.0672723595262832</v>
      </c>
      <c r="AN21" s="11" t="n">
        <f aca="false">('Base votos'!K152)/'Base votos'!R152</f>
        <v>0.126449175191227</v>
      </c>
      <c r="AO21" s="12" t="n">
        <f aca="false">(AM21-AL21)*100</f>
        <v>2.55357437565763</v>
      </c>
      <c r="AP21" s="12" t="n">
        <f aca="false">(AN21-AM21)*100</f>
        <v>5.91768156649434</v>
      </c>
      <c r="AQ21" s="12" t="n">
        <f aca="false">(AN21-AL21)*100</f>
        <v>8.47125594215197</v>
      </c>
      <c r="AR21" s="11" t="n">
        <f aca="false">('Base votos'!D86+'Base votos'!E86)/'Base votos'!R86</f>
        <v>0.418934750090696</v>
      </c>
      <c r="AS21" s="11" t="n">
        <f aca="false">('Base votos'!D119+'Base votos'!E119)/'Base votos'!R119</f>
        <v>0.367739820076055</v>
      </c>
      <c r="AT21" s="11" t="n">
        <f aca="false">('Base votos'!D152+'Base votos'!E152)/'Base votos'!R152</f>
        <v>0.489058868102274</v>
      </c>
      <c r="AU21" s="12" t="n">
        <f aca="false">(AS21-AR21)*100</f>
        <v>-5.11949300146407</v>
      </c>
      <c r="AV21" s="12" t="n">
        <f aca="false">(AT21-AS21)*100</f>
        <v>12.1319048026219</v>
      </c>
      <c r="AW21" s="12" t="n">
        <f aca="false">(AT21-AR21)*100</f>
        <v>7.01241180115786</v>
      </c>
      <c r="AX21" s="11" t="n">
        <f aca="false">('Base votos'!H86+'Base votos'!I86+'Base votos'!J86)/'Base votos'!R86</f>
        <v>0.292924494469386</v>
      </c>
      <c r="AY21" s="11" t="n">
        <f aca="false">('Base votos'!H119+'Base votos'!I119+'Base votos'!J119)/'Base votos'!R119</f>
        <v>0.259883442650342</v>
      </c>
      <c r="AZ21" s="11" t="n">
        <f aca="false">('Base votos'!H152+'Base votos'!I152+'Base votos'!J152)/'Base votos'!R152</f>
        <v>0.2444311328193</v>
      </c>
      <c r="BA21" s="12" t="n">
        <f aca="false">(AY21-AX21)*100</f>
        <v>-3.30410518190447</v>
      </c>
      <c r="BB21" s="12" t="n">
        <f aca="false">(AZ21-AY21)*100</f>
        <v>-1.54523098310419</v>
      </c>
      <c r="BC21" s="12" t="n">
        <f aca="false">(AZ21-AX21)*100</f>
        <v>-4.84933616500866</v>
      </c>
    </row>
    <row r="22" customFormat="false" ht="15" hidden="false" customHeight="false" outlineLevel="0" collapsed="false">
      <c r="A22" s="14" t="s">
        <v>99</v>
      </c>
      <c r="B22" s="11" t="n">
        <f aca="false">('Base votos'!D87)/'Base votos'!R87</f>
        <v>0.451311599130853</v>
      </c>
      <c r="C22" s="11" t="n">
        <f aca="false">('Base votos'!D120)/'Base votos'!R120</f>
        <v>0.376548362605234</v>
      </c>
      <c r="D22" s="11" t="n">
        <f aca="false">('Base votos'!D153)/'Base votos'!R153</f>
        <v>0.410214467807319</v>
      </c>
      <c r="E22" s="12" t="n">
        <f aca="false">(C22-B22)*100</f>
        <v>-7.4763236525619</v>
      </c>
      <c r="F22" s="12" t="n">
        <f aca="false">(D22-C22)*100</f>
        <v>3.36661052020844</v>
      </c>
      <c r="G22" s="12" t="n">
        <f aca="false">(D22-B22)*100</f>
        <v>-4.10971313235345</v>
      </c>
      <c r="H22" s="11" t="n">
        <f aca="false">('Base votos'!E87)/'Base votos'!R87</f>
        <v>0.0522524838693626</v>
      </c>
      <c r="I22" s="11" t="n">
        <f aca="false">('Base votos'!E120)/'Base votos'!R120</f>
        <v>0.0552775412442271</v>
      </c>
      <c r="J22" s="11" t="n">
        <f aca="false">('Base votos'!E153)/'Base votos'!R153</f>
        <v>0.0587840258719496</v>
      </c>
      <c r="K22" s="12" t="n">
        <f aca="false">(I22-H22)*100</f>
        <v>0.30250573748645</v>
      </c>
      <c r="L22" s="12" t="n">
        <f aca="false">(J22-I22)*100</f>
        <v>0.350648462772254</v>
      </c>
      <c r="M22" s="12" t="n">
        <f aca="false">(J22-H22)*100</f>
        <v>0.653154200258704</v>
      </c>
      <c r="N22" s="11" t="n">
        <f aca="false">('Base votos'!F87)/'Base votos'!R87</f>
        <v>0.0194666522914628</v>
      </c>
      <c r="O22" s="11" t="n">
        <f aca="false">('Base votos'!F120)/'Base votos'!R120</f>
        <v>0.0500257973044963</v>
      </c>
      <c r="P22" s="11" t="n">
        <f aca="false">('Base votos'!F153)/'Base votos'!R153</f>
        <v>0.0986855804024484</v>
      </c>
      <c r="Q22" s="12" t="n">
        <f aca="false">(O22-N22)*100</f>
        <v>3.05591450130335</v>
      </c>
      <c r="R22" s="12" t="n">
        <f aca="false">(P22-O22)*100</f>
        <v>4.86597830979521</v>
      </c>
      <c r="S22" s="12" t="n">
        <f aca="false">(P22-N22)*100</f>
        <v>7.92189281109856</v>
      </c>
      <c r="T22" s="11" t="n">
        <f aca="false">('Base votos'!H87)/'Base votos'!R87</f>
        <v>0.158024266449933</v>
      </c>
      <c r="U22" s="11" t="n">
        <f aca="false">('Base votos'!H120)/'Base votos'!R120</f>
        <v>0.108011006849918</v>
      </c>
      <c r="V22" s="11" t="n">
        <f aca="false">('Base votos'!H153)/'Base votos'!R153</f>
        <v>0.115294501647949</v>
      </c>
      <c r="W22" s="12" t="n">
        <f aca="false">(U22-T22)*100</f>
        <v>-5.00132596000144</v>
      </c>
      <c r="X22" s="12" t="n">
        <f aca="false">(V22-U22)*100</f>
        <v>0.728349479803023</v>
      </c>
      <c r="Y22" s="12" t="n">
        <f aca="false">(V22-T22)*100</f>
        <v>-4.27297648019842</v>
      </c>
      <c r="Z22" s="11" t="n">
        <f aca="false">('Base votos'!I87)/'Base votos'!R87</f>
        <v>0.13023520045116</v>
      </c>
      <c r="AA22" s="11" t="n">
        <f aca="false">('Base votos'!I120)/'Base votos'!R120</f>
        <v>0.0959827514607986</v>
      </c>
      <c r="AB22" s="11" t="n">
        <f aca="false">('Base votos'!I153)/'Base votos'!R153</f>
        <v>0.0807954423949562</v>
      </c>
      <c r="AC22" s="12" t="n">
        <f aca="false">(AA22-Z22)*100</f>
        <v>-3.42524489903617</v>
      </c>
      <c r="AD22" s="12" t="n">
        <f aca="false">(AB22-AA22)*100</f>
        <v>-1.51873090658424</v>
      </c>
      <c r="AE22" s="12" t="n">
        <f aca="false">(AB22-Z22)*100</f>
        <v>-4.94397580562041</v>
      </c>
      <c r="AF22" s="11" t="n">
        <f aca="false">('Base votos'!J87)/'Base votos'!R87</f>
        <v>0.0428477831776941</v>
      </c>
      <c r="AG22" s="11" t="n">
        <f aca="false">('Base votos'!J120)/'Base votos'!R120</f>
        <v>0.0259273396896773</v>
      </c>
      <c r="AH22" s="11" t="n">
        <f aca="false">('Base votos'!J153)/'Base votos'!R153</f>
        <v>0.0181696421034465</v>
      </c>
      <c r="AI22" s="12" t="n">
        <f aca="false">(AG22-AF22)*100</f>
        <v>-1.69204434880168</v>
      </c>
      <c r="AJ22" s="12" t="n">
        <f aca="false">(AH22-AG22)*100</f>
        <v>-0.775769758623077</v>
      </c>
      <c r="AK22" s="12" t="n">
        <f aca="false">(AH22-AF22)*100</f>
        <v>-2.46781410742476</v>
      </c>
      <c r="AL22" s="11" t="n">
        <f aca="false">('Base votos'!K87)/'Base votos'!R87</f>
        <v>0.0568366534525369</v>
      </c>
      <c r="AM22" s="11" t="n">
        <f aca="false">('Base votos'!K120)/'Base votos'!R120</f>
        <v>0.157969689215888</v>
      </c>
      <c r="AN22" s="11" t="n">
        <f aca="false">('Base votos'!K153)/'Base votos'!R153</f>
        <v>0.173905947809645</v>
      </c>
      <c r="AO22" s="12" t="n">
        <f aca="false">(AM22-AL22)*100</f>
        <v>10.1133035763351</v>
      </c>
      <c r="AP22" s="12" t="n">
        <f aca="false">(AN22-AM22)*100</f>
        <v>1.59362585937568</v>
      </c>
      <c r="AQ22" s="12" t="n">
        <f aca="false">(AN22-AL22)*100</f>
        <v>11.7069294357108</v>
      </c>
      <c r="AR22" s="11" t="n">
        <f aca="false">('Base votos'!D87+'Base votos'!E87)/'Base votos'!R87</f>
        <v>0.503564083000216</v>
      </c>
      <c r="AS22" s="11" t="n">
        <f aca="false">('Base votos'!D120+'Base votos'!E120)/'Base votos'!R120</f>
        <v>0.431825903849461</v>
      </c>
      <c r="AT22" s="11" t="n">
        <f aca="false">('Base votos'!D153+'Base votos'!E153)/'Base votos'!R153</f>
        <v>0.468998493679268</v>
      </c>
      <c r="AU22" s="12" t="n">
        <f aca="false">(AS22-AR22)*100</f>
        <v>-7.17381791507544</v>
      </c>
      <c r="AV22" s="12" t="n">
        <f aca="false">(AT22-AS22)*100</f>
        <v>3.71725898298069</v>
      </c>
      <c r="AW22" s="12" t="n">
        <f aca="false">(AT22-AR22)*100</f>
        <v>-3.45655893209475</v>
      </c>
      <c r="AX22" s="11" t="n">
        <f aca="false">('Base votos'!H87+'Base votos'!I87+'Base votos'!J87)/'Base votos'!R87</f>
        <v>0.331107250078787</v>
      </c>
      <c r="AY22" s="11" t="n">
        <f aca="false">('Base votos'!H120+'Base votos'!I120+'Base votos'!J120)/'Base votos'!R120</f>
        <v>0.229921098000394</v>
      </c>
      <c r="AZ22" s="11" t="n">
        <f aca="false">('Base votos'!H153+'Base votos'!I153+'Base votos'!J153)/'Base votos'!R153</f>
        <v>0.214259586146351</v>
      </c>
      <c r="BA22" s="12" t="n">
        <f aca="false">(AY22-AX22)*100</f>
        <v>-10.1186152078393</v>
      </c>
      <c r="BB22" s="12" t="n">
        <f aca="false">(AZ22-AY22)*100</f>
        <v>-1.5661511854043</v>
      </c>
      <c r="BC22" s="12" t="n">
        <f aca="false">(AZ22-AX22)*100</f>
        <v>-11.6847663932436</v>
      </c>
    </row>
    <row r="23" customFormat="false" ht="15" hidden="false" customHeight="false" outlineLevel="0" collapsed="false">
      <c r="A23" s="14" t="s">
        <v>100</v>
      </c>
      <c r="B23" s="11" t="n">
        <f aca="false">('Base votos'!D88)/'Base votos'!R88</f>
        <v>0.183759034833811</v>
      </c>
      <c r="C23" s="11" t="n">
        <f aca="false">('Base votos'!D121)/'Base votos'!R121</f>
        <v>0.145010583335548</v>
      </c>
      <c r="D23" s="11" t="n">
        <f aca="false">('Base votos'!D154)/'Base votos'!R154</f>
        <v>0.25419911590897</v>
      </c>
      <c r="E23" s="12" t="n">
        <f aca="false">(C23-B23)*100</f>
        <v>-3.87484514982623</v>
      </c>
      <c r="F23" s="12" t="n">
        <f aca="false">(D23-C23)*100</f>
        <v>10.9188532573422</v>
      </c>
      <c r="G23" s="12" t="n">
        <f aca="false">(D23-B23)*100</f>
        <v>7.04400810751598</v>
      </c>
      <c r="H23" s="11" t="n">
        <f aca="false">('Base votos'!E88)/'Base votos'!R88</f>
        <v>0.0455246369355577</v>
      </c>
      <c r="I23" s="11" t="n">
        <f aca="false">('Base votos'!E121)/'Base votos'!R121</f>
        <v>0.0190131639999646</v>
      </c>
      <c r="J23" s="11" t="n">
        <f aca="false">('Base votos'!E154)/'Base votos'!R154</f>
        <v>0.0382891169137991</v>
      </c>
      <c r="K23" s="12" t="n">
        <f aca="false">(I23-H23)*100</f>
        <v>-2.65114729355931</v>
      </c>
      <c r="L23" s="12" t="n">
        <f aca="false">(J23-I23)*100</f>
        <v>1.92759529138346</v>
      </c>
      <c r="M23" s="12" t="n">
        <f aca="false">(J23-H23)*100</f>
        <v>-0.723552002175856</v>
      </c>
      <c r="N23" s="11" t="n">
        <f aca="false">('Base votos'!F88)/'Base votos'!R88</f>
        <v>0.0486082011097881</v>
      </c>
      <c r="O23" s="11" t="n">
        <f aca="false">('Base votos'!F121)/'Base votos'!R121</f>
        <v>0.0266754149977919</v>
      </c>
      <c r="P23" s="11" t="n">
        <f aca="false">('Base votos'!F154)/'Base votos'!R154</f>
        <v>0.0540016314620574</v>
      </c>
      <c r="Q23" s="12" t="n">
        <f aca="false">(O23-N23)*100</f>
        <v>-2.19327861119961</v>
      </c>
      <c r="R23" s="12" t="n">
        <f aca="false">(P23-O23)*100</f>
        <v>2.73262164642655</v>
      </c>
      <c r="S23" s="12" t="n">
        <f aca="false">(P23-N23)*100</f>
        <v>0.539343035226936</v>
      </c>
      <c r="T23" s="11" t="n">
        <f aca="false">('Base votos'!H88)/'Base votos'!R88</f>
        <v>0.281965644236261</v>
      </c>
      <c r="U23" s="11" t="n">
        <f aca="false">('Base votos'!H121)/'Base votos'!R121</f>
        <v>0.29974599062026</v>
      </c>
      <c r="V23" s="11" t="n">
        <f aca="false">('Base votos'!H154)/'Base votos'!R154</f>
        <v>0.220452299514913</v>
      </c>
      <c r="W23" s="12" t="n">
        <f aca="false">(U23-T23)*100</f>
        <v>1.77803463839982</v>
      </c>
      <c r="X23" s="12" t="n">
        <f aca="false">(V23-U23)*100</f>
        <v>-7.92936911053465</v>
      </c>
      <c r="Y23" s="12" t="n">
        <f aca="false">(V23-T23)*100</f>
        <v>-6.15133447213483</v>
      </c>
      <c r="Z23" s="11" t="n">
        <f aca="false">('Base votos'!I88)/'Base votos'!R88</f>
        <v>0.182689537317857</v>
      </c>
      <c r="AA23" s="11" t="n">
        <f aca="false">('Base votos'!I121)/'Base votos'!R121</f>
        <v>0.258543029804482</v>
      </c>
      <c r="AB23" s="11" t="n">
        <f aca="false">('Base votos'!I154)/'Base votos'!R154</f>
        <v>0.136860440368163</v>
      </c>
      <c r="AC23" s="12" t="n">
        <f aca="false">(AA23-Z23)*100</f>
        <v>7.58534924866253</v>
      </c>
      <c r="AD23" s="12" t="n">
        <f aca="false">(AB23-AA23)*100</f>
        <v>-12.1682589436319</v>
      </c>
      <c r="AE23" s="12" t="n">
        <f aca="false">(AB23-Z23)*100</f>
        <v>-4.58290969496941</v>
      </c>
      <c r="AF23" s="11" t="n">
        <f aca="false">('Base votos'!J88)/'Base votos'!R88</f>
        <v>0.00958675445766104</v>
      </c>
      <c r="AG23" s="11" t="n">
        <f aca="false">('Base votos'!J121)/'Base votos'!R121</f>
        <v>0.00595129007572716</v>
      </c>
      <c r="AH23" s="11" t="n">
        <f aca="false">('Base votos'!J154)/'Base votos'!R154</f>
        <v>0.0103422193422407</v>
      </c>
      <c r="AI23" s="12" t="n">
        <f aca="false">(AG23-AF23)*100</f>
        <v>-0.363546438193388</v>
      </c>
      <c r="AJ23" s="12" t="n">
        <f aca="false">(AH23-AG23)*100</f>
        <v>0.439092926651355</v>
      </c>
      <c r="AK23" s="12" t="n">
        <f aca="false">(AH23-AF23)*100</f>
        <v>0.0755464884579667</v>
      </c>
      <c r="AL23" s="11" t="n">
        <f aca="false">('Base votos'!K88)/'Base votos'!R88</f>
        <v>0.105877949127875</v>
      </c>
      <c r="AM23" s="11" t="n">
        <f aca="false">('Base votos'!K121)/'Base votos'!R121</f>
        <v>0.193327392302495</v>
      </c>
      <c r="AN23" s="11" t="n">
        <f aca="false">('Base votos'!K154)/'Base votos'!R154</f>
        <v>0.260563558581119</v>
      </c>
      <c r="AO23" s="12" t="n">
        <f aca="false">(AM23-AL23)*100</f>
        <v>8.74494431746191</v>
      </c>
      <c r="AP23" s="12" t="n">
        <f aca="false">(AN23-AM23)*100</f>
        <v>6.7236166278624</v>
      </c>
      <c r="AQ23" s="12" t="n">
        <f aca="false">(AN23-AL23)*100</f>
        <v>15.4685609453243</v>
      </c>
      <c r="AR23" s="11" t="n">
        <f aca="false">('Base votos'!D88+'Base votos'!E88)/'Base votos'!R88</f>
        <v>0.229283671769368</v>
      </c>
      <c r="AS23" s="11" t="n">
        <f aca="false">('Base votos'!D121+'Base votos'!E121)/'Base votos'!R121</f>
        <v>0.164023747335513</v>
      </c>
      <c r="AT23" s="11" t="n">
        <f aca="false">('Base votos'!D154+'Base votos'!E154)/'Base votos'!R154</f>
        <v>0.29248823282277</v>
      </c>
      <c r="AU23" s="12" t="n">
        <f aca="false">(AS23-AR23)*100</f>
        <v>-6.52599244338555</v>
      </c>
      <c r="AV23" s="12" t="n">
        <f aca="false">(AT23-AS23)*100</f>
        <v>12.8464485487257</v>
      </c>
      <c r="AW23" s="12" t="n">
        <f aca="false">(AT23-AR23)*100</f>
        <v>6.32045610534012</v>
      </c>
      <c r="AX23" s="11" t="n">
        <f aca="false">('Base votos'!H88+'Base votos'!I88+'Base votos'!J88)/'Base votos'!R88</f>
        <v>0.474241936011779</v>
      </c>
      <c r="AY23" s="11" t="n">
        <f aca="false">('Base votos'!H121+'Base votos'!I121+'Base votos'!J121)/'Base votos'!R121</f>
        <v>0.564240310500469</v>
      </c>
      <c r="AZ23" s="11" t="n">
        <f aca="false">('Base votos'!H154+'Base votos'!I154+'Base votos'!J154)/'Base votos'!R154</f>
        <v>0.367654959225317</v>
      </c>
      <c r="BA23" s="12" t="n">
        <f aca="false">(AY23-AX23)*100</f>
        <v>8.99983744886896</v>
      </c>
      <c r="BB23" s="12" t="n">
        <f aca="false">(AZ23-AY23)*100</f>
        <v>-19.6585351275152</v>
      </c>
      <c r="BC23" s="12" t="n">
        <f aca="false">(AZ23-AX23)*100</f>
        <v>-10.6586976786463</v>
      </c>
    </row>
    <row r="24" customFormat="false" ht="15" hidden="false" customHeight="false" outlineLevel="0" collapsed="false">
      <c r="A24" s="14" t="s">
        <v>101</v>
      </c>
      <c r="B24" s="11" t="n">
        <f aca="false">('Base votos'!D89)/'Base votos'!R89</f>
        <v>0.468786313969179</v>
      </c>
      <c r="C24" s="11" t="n">
        <f aca="false">('Base votos'!D122)/'Base votos'!R122</f>
        <v>0.450958065878553</v>
      </c>
      <c r="D24" s="11" t="n">
        <f aca="false">('Base votos'!D155)/'Base votos'!R155</f>
        <v>0.483565410950463</v>
      </c>
      <c r="E24" s="12" t="n">
        <f aca="false">(C24-B24)*100</f>
        <v>-1.78282480906264</v>
      </c>
      <c r="F24" s="12" t="n">
        <f aca="false">(D24-C24)*100</f>
        <v>3.26073450719101</v>
      </c>
      <c r="G24" s="12" t="n">
        <f aca="false">(D24-B24)*100</f>
        <v>1.47790969812837</v>
      </c>
      <c r="H24" s="11" t="n">
        <f aca="false">('Base votos'!E89)/'Base votos'!R89</f>
        <v>0.0638423321289607</v>
      </c>
      <c r="I24" s="11" t="n">
        <f aca="false">('Base votos'!E122)/'Base votos'!R122</f>
        <v>0.0683755498077035</v>
      </c>
      <c r="J24" s="11" t="n">
        <f aca="false">('Base votos'!E155)/'Base votos'!R155</f>
        <v>0.117047282532395</v>
      </c>
      <c r="K24" s="12" t="n">
        <f aca="false">(I24-H24)*100</f>
        <v>0.453321767874285</v>
      </c>
      <c r="L24" s="12" t="n">
        <f aca="false">(J24-I24)*100</f>
        <v>4.86717327246914</v>
      </c>
      <c r="M24" s="12" t="n">
        <f aca="false">(J24-H24)*100</f>
        <v>5.32049504034343</v>
      </c>
      <c r="N24" s="11" t="n">
        <f aca="false">('Base votos'!F89)/'Base votos'!R89</f>
        <v>0.0312977301834036</v>
      </c>
      <c r="O24" s="11" t="n">
        <f aca="false">('Base votos'!F122)/'Base votos'!R122</f>
        <v>0.0377913089885423</v>
      </c>
      <c r="P24" s="11" t="n">
        <f aca="false">('Base votos'!F155)/'Base votos'!R155</f>
        <v>0.112765287061418</v>
      </c>
      <c r="Q24" s="12" t="n">
        <f aca="false">(O24-N24)*100</f>
        <v>0.649357880513873</v>
      </c>
      <c r="R24" s="12" t="n">
        <f aca="false">(P24-O24)*100</f>
        <v>7.4973978072876</v>
      </c>
      <c r="S24" s="12" t="n">
        <f aca="false">(P24-N24)*100</f>
        <v>8.14675568780147</v>
      </c>
      <c r="T24" s="11" t="n">
        <f aca="false">('Base votos'!H89)/'Base votos'!R89</f>
        <v>0.0664328695379757</v>
      </c>
      <c r="U24" s="11" t="n">
        <f aca="false">('Base votos'!H122)/'Base votos'!R122</f>
        <v>0.0489208836507644</v>
      </c>
      <c r="V24" s="11" t="n">
        <f aca="false">('Base votos'!H155)/'Base votos'!R155</f>
        <v>0.0438637949271938</v>
      </c>
      <c r="W24" s="12" t="n">
        <f aca="false">(U24-T24)*100</f>
        <v>-1.75119858872113</v>
      </c>
      <c r="X24" s="12" t="n">
        <f aca="false">(V24-U24)*100</f>
        <v>-0.505708872357064</v>
      </c>
      <c r="Y24" s="12" t="n">
        <f aca="false">(V24-T24)*100</f>
        <v>-2.2569074610782</v>
      </c>
      <c r="Z24" s="11" t="n">
        <f aca="false">('Base votos'!I89)/'Base votos'!R89</f>
        <v>0.179290375929755</v>
      </c>
      <c r="AA24" s="11" t="n">
        <f aca="false">('Base votos'!I122)/'Base votos'!R122</f>
        <v>0.210735615758121</v>
      </c>
      <c r="AB24" s="11" t="n">
        <f aca="false">('Base votos'!I155)/'Base votos'!R155</f>
        <v>0.0834439868266079</v>
      </c>
      <c r="AC24" s="12" t="n">
        <f aca="false">(AA24-Z24)*100</f>
        <v>3.14452398283659</v>
      </c>
      <c r="AD24" s="12" t="n">
        <f aca="false">(AB24-AA24)*100</f>
        <v>-12.7291628931513</v>
      </c>
      <c r="AE24" s="12" t="n">
        <f aca="false">(AB24-Z24)*100</f>
        <v>-9.58463891031468</v>
      </c>
      <c r="AF24" s="11" t="n">
        <f aca="false">('Base votos'!J89)/'Base votos'!R89</f>
        <v>0.0706564134535173</v>
      </c>
      <c r="AG24" s="11" t="n">
        <f aca="false">('Base votos'!J122)/'Base votos'!R122</f>
        <v>0.0400691784295719</v>
      </c>
      <c r="AH24" s="11" t="n">
        <f aca="false">('Base votos'!J155)/'Base votos'!R155</f>
        <v>0.0289215544431263</v>
      </c>
      <c r="AI24" s="12" t="n">
        <f aca="false">(AG24-AF24)*100</f>
        <v>-3.05872350239454</v>
      </c>
      <c r="AJ24" s="12" t="n">
        <f aca="false">(AH24-AG24)*100</f>
        <v>-1.11476239864456</v>
      </c>
      <c r="AK24" s="12" t="n">
        <f aca="false">(AH24-AF24)*100</f>
        <v>-4.17348590103911</v>
      </c>
      <c r="AL24" s="11" t="n">
        <f aca="false">('Base votos'!K89)/'Base votos'!R89</f>
        <v>0.020929335780588</v>
      </c>
      <c r="AM24" s="11" t="n">
        <f aca="false">('Base votos'!K122)/'Base votos'!R122</f>
        <v>0.0264325925594311</v>
      </c>
      <c r="AN24" s="11" t="n">
        <f aca="false">('Base votos'!K155)/'Base votos'!R155</f>
        <v>0.0763476952458115</v>
      </c>
      <c r="AO24" s="12" t="n">
        <f aca="false">(AM24-AL24)*100</f>
        <v>0.550325677884303</v>
      </c>
      <c r="AP24" s="12" t="n">
        <f aca="false">(AN24-AM24)*100</f>
        <v>4.99151026863805</v>
      </c>
      <c r="AQ24" s="12" t="n">
        <f aca="false">(AN24-AL24)*100</f>
        <v>5.54183594652235</v>
      </c>
      <c r="AR24" s="11" t="n">
        <f aca="false">('Base votos'!D89+'Base votos'!E89)/'Base votos'!R89</f>
        <v>0.53262864609814</v>
      </c>
      <c r="AS24" s="11" t="n">
        <f aca="false">('Base votos'!D122+'Base votos'!E122)/'Base votos'!R122</f>
        <v>0.519333615686256</v>
      </c>
      <c r="AT24" s="11" t="n">
        <f aca="false">('Base votos'!D155+'Base votos'!E155)/'Base votos'!R155</f>
        <v>0.600612693482858</v>
      </c>
      <c r="AU24" s="12" t="n">
        <f aca="false">(AS24-AR24)*100</f>
        <v>-1.32950304118836</v>
      </c>
      <c r="AV24" s="12" t="n">
        <f aca="false">(AT24-AS24)*100</f>
        <v>8.12790777966015</v>
      </c>
      <c r="AW24" s="12" t="n">
        <f aca="false">(AT24-AR24)*100</f>
        <v>6.79840473847179</v>
      </c>
      <c r="AX24" s="11" t="n">
        <f aca="false">('Base votos'!H89+'Base votos'!I89+'Base votos'!J89)/'Base votos'!R89</f>
        <v>0.316379658921248</v>
      </c>
      <c r="AY24" s="11" t="n">
        <f aca="false">('Base votos'!H122+'Base votos'!I122+'Base votos'!J122)/'Base votos'!R122</f>
        <v>0.299725677838457</v>
      </c>
      <c r="AZ24" s="11" t="n">
        <f aca="false">('Base votos'!H155+'Base votos'!I155+'Base votos'!J155)/'Base votos'!R155</f>
        <v>0.156229336196928</v>
      </c>
      <c r="BA24" s="12" t="n">
        <f aca="false">(AY24-AX24)*100</f>
        <v>-1.66539810827909</v>
      </c>
      <c r="BB24" s="12" t="n">
        <f aca="false">(AZ24-AY24)*100</f>
        <v>-14.3496341641529</v>
      </c>
      <c r="BC24" s="12" t="n">
        <f aca="false">(AZ24-AX24)*100</f>
        <v>-16.015032272432</v>
      </c>
    </row>
    <row r="25" customFormat="false" ht="15" hidden="false" customHeight="false" outlineLevel="0" collapsed="false">
      <c r="A25" s="14" t="s">
        <v>102</v>
      </c>
      <c r="B25" s="11" t="n">
        <f aca="false">('Base votos'!D90)/'Base votos'!R90</f>
        <v>0.394554954133891</v>
      </c>
      <c r="C25" s="11" t="n">
        <f aca="false">('Base votos'!D123)/'Base votos'!R123</f>
        <v>0.329038614574254</v>
      </c>
      <c r="D25" s="11" t="n">
        <f aca="false">('Base votos'!D156)/'Base votos'!R156</f>
        <v>0.430757501949757</v>
      </c>
      <c r="E25" s="12" t="n">
        <f aca="false">(C25-B25)*100</f>
        <v>-6.55163395596364</v>
      </c>
      <c r="F25" s="12" t="n">
        <f aca="false">(D25-C25)*100</f>
        <v>10.1718887375502</v>
      </c>
      <c r="G25" s="12" t="n">
        <f aca="false">(D25-B25)*100</f>
        <v>3.62025478158657</v>
      </c>
      <c r="H25" s="11" t="n">
        <f aca="false">('Base votos'!E90)/'Base votos'!R90</f>
        <v>0.0398099287020456</v>
      </c>
      <c r="I25" s="11" t="n">
        <f aca="false">('Base votos'!E123)/'Base votos'!R123</f>
        <v>0.0521425631516882</v>
      </c>
      <c r="J25" s="11" t="n">
        <f aca="false">('Base votos'!E156)/'Base votos'!R156</f>
        <v>0.0683352769392389</v>
      </c>
      <c r="K25" s="12" t="n">
        <f aca="false">(I25-H25)*100</f>
        <v>1.23326344496427</v>
      </c>
      <c r="L25" s="12" t="n">
        <f aca="false">(J25-I25)*100</f>
        <v>1.61927137875507</v>
      </c>
      <c r="M25" s="12" t="n">
        <f aca="false">(J25-H25)*100</f>
        <v>2.85253482371934</v>
      </c>
      <c r="N25" s="11" t="n">
        <f aca="false">('Base votos'!F90)/'Base votos'!R90</f>
        <v>0.0405685425930363</v>
      </c>
      <c r="O25" s="11" t="n">
        <f aca="false">('Base votos'!F123)/'Base votos'!R123</f>
        <v>0.0536617229876385</v>
      </c>
      <c r="P25" s="11" t="n">
        <f aca="false">('Base votos'!F156)/'Base votos'!R156</f>
        <v>0.100431529716258</v>
      </c>
      <c r="Q25" s="12" t="n">
        <f aca="false">(O25-N25)*100</f>
        <v>1.30931803946022</v>
      </c>
      <c r="R25" s="12" t="n">
        <f aca="false">(P25-O25)*100</f>
        <v>4.67698067286197</v>
      </c>
      <c r="S25" s="12" t="n">
        <f aca="false">(P25-N25)*100</f>
        <v>5.98629871232219</v>
      </c>
      <c r="T25" s="11" t="n">
        <f aca="false">('Base votos'!H90)/'Base votos'!R90</f>
        <v>0.203769436216697</v>
      </c>
      <c r="U25" s="11" t="n">
        <f aca="false">('Base votos'!H123)/'Base votos'!R123</f>
        <v>0.189129959265205</v>
      </c>
      <c r="V25" s="11" t="n">
        <f aca="false">('Base votos'!H156)/'Base votos'!R156</f>
        <v>0.168891972415558</v>
      </c>
      <c r="W25" s="12" t="n">
        <f aca="false">(U25-T25)*100</f>
        <v>-1.46394769514918</v>
      </c>
      <c r="X25" s="12" t="n">
        <f aca="false">(V25-U25)*100</f>
        <v>-2.02379868496477</v>
      </c>
      <c r="Y25" s="12" t="n">
        <f aca="false">(V25-T25)*100</f>
        <v>-3.48774638011395</v>
      </c>
      <c r="Z25" s="11" t="n">
        <f aca="false">('Base votos'!I90)/'Base votos'!R90</f>
        <v>0.165881829891607</v>
      </c>
      <c r="AA25" s="11" t="n">
        <f aca="false">('Base votos'!I123)/'Base votos'!R123</f>
        <v>0.159466009126965</v>
      </c>
      <c r="AB25" s="11" t="n">
        <f aca="false">('Base votos'!I156)/'Base votos'!R156</f>
        <v>0.0822326742295079</v>
      </c>
      <c r="AC25" s="12" t="n">
        <f aca="false">(AA25-Z25)*100</f>
        <v>-0.641582076464178</v>
      </c>
      <c r="AD25" s="12" t="n">
        <f aca="false">(AB25-AA25)*100</f>
        <v>-7.72333348974573</v>
      </c>
      <c r="AE25" s="12" t="n">
        <f aca="false">(AB25-Z25)*100</f>
        <v>-8.36491556620991</v>
      </c>
      <c r="AF25" s="11" t="n">
        <f aca="false">('Base votos'!J90)/'Base votos'!R90</f>
        <v>0.0267058856556037</v>
      </c>
      <c r="AG25" s="11" t="n">
        <f aca="false">('Base votos'!J123)/'Base votos'!R123</f>
        <v>0.026303714156326</v>
      </c>
      <c r="AH25" s="11" t="n">
        <f aca="false">('Base votos'!J156)/'Base votos'!R156</f>
        <v>0.0169924051754043</v>
      </c>
      <c r="AI25" s="12" t="n">
        <f aca="false">(AG25-AF25)*100</f>
        <v>-0.0402171499277643</v>
      </c>
      <c r="AJ25" s="12" t="n">
        <f aca="false">(AH25-AG25)*100</f>
        <v>-0.931130898092173</v>
      </c>
      <c r="AK25" s="12" t="n">
        <f aca="false">(AH25-AF25)*100</f>
        <v>-0.971348048019937</v>
      </c>
      <c r="AL25" s="11" t="n">
        <f aca="false">('Base votos'!K90)/'Base votos'!R90</f>
        <v>0.0352582453561013</v>
      </c>
      <c r="AM25" s="11" t="n">
        <f aca="false">('Base votos'!K123)/'Base votos'!R123</f>
        <v>0.0557646844300937</v>
      </c>
      <c r="AN25" s="11" t="n">
        <f aca="false">('Base votos'!K156)/'Base votos'!R156</f>
        <v>0.08669681716081</v>
      </c>
      <c r="AO25" s="12" t="n">
        <f aca="false">(AM25-AL25)*100</f>
        <v>2.05064390739924</v>
      </c>
      <c r="AP25" s="12" t="n">
        <f aca="false">(AN25-AM25)*100</f>
        <v>3.09321327307163</v>
      </c>
      <c r="AQ25" s="12" t="n">
        <f aca="false">(AN25-AL25)*100</f>
        <v>5.14385718047087</v>
      </c>
      <c r="AR25" s="11" t="n">
        <f aca="false">('Base votos'!D90+'Base votos'!E90)/'Base votos'!R90</f>
        <v>0.434364882835936</v>
      </c>
      <c r="AS25" s="11" t="n">
        <f aca="false">('Base votos'!D123+'Base votos'!E123)/'Base votos'!R123</f>
        <v>0.381181177725943</v>
      </c>
      <c r="AT25" s="11" t="n">
        <f aca="false">('Base votos'!D156+'Base votos'!E156)/'Base votos'!R156</f>
        <v>0.499092778888996</v>
      </c>
      <c r="AU25" s="12" t="n">
        <f aca="false">(AS25-AR25)*100</f>
        <v>-5.31837051099937</v>
      </c>
      <c r="AV25" s="12" t="n">
        <f aca="false">(AT25-AS25)*100</f>
        <v>11.7911601163053</v>
      </c>
      <c r="AW25" s="12" t="n">
        <f aca="false">(AT25-AR25)*100</f>
        <v>6.47278960530591</v>
      </c>
      <c r="AX25" s="11" t="n">
        <f aca="false">('Base votos'!H90+'Base votos'!I90+'Base votos'!J90)/'Base votos'!R90</f>
        <v>0.396357151763908</v>
      </c>
      <c r="AY25" s="11" t="n">
        <f aca="false">('Base votos'!H123+'Base votos'!I123+'Base votos'!J123)/'Base votos'!R123</f>
        <v>0.374899682548497</v>
      </c>
      <c r="AZ25" s="11" t="n">
        <f aca="false">('Base votos'!H156+'Base votos'!I156+'Base votos'!J156)/'Base votos'!R156</f>
        <v>0.26811705182047</v>
      </c>
      <c r="BA25" s="12" t="n">
        <f aca="false">(AY25-AX25)*100</f>
        <v>-2.14574692154113</v>
      </c>
      <c r="BB25" s="12" t="n">
        <f aca="false">(AZ25-AY25)*100</f>
        <v>-10.6782630728027</v>
      </c>
      <c r="BC25" s="12" t="n">
        <f aca="false">(AZ25-AX25)*100</f>
        <v>-12.8240099943438</v>
      </c>
    </row>
    <row r="26" customFormat="false" ht="15" hidden="false" customHeight="false" outlineLevel="0" collapsed="false">
      <c r="A26" s="14" t="s">
        <v>103</v>
      </c>
      <c r="B26" s="11" t="n">
        <f aca="false">('Base votos'!D91)/'Base votos'!R91</f>
        <v>0.280477222563882</v>
      </c>
      <c r="C26" s="11" t="n">
        <f aca="false">('Base votos'!D124)/'Base votos'!R124</f>
        <v>0.245050158467839</v>
      </c>
      <c r="D26" s="11" t="n">
        <f aca="false">('Base votos'!D157)/'Base votos'!R157</f>
        <v>0.355532072566936</v>
      </c>
      <c r="E26" s="12" t="n">
        <f aca="false">(C26-B26)*100</f>
        <v>-3.54270640960435</v>
      </c>
      <c r="F26" s="12" t="n">
        <f aca="false">(D26-C26)*100</f>
        <v>11.0481914099098</v>
      </c>
      <c r="G26" s="12" t="n">
        <f aca="false">(D26-B26)*100</f>
        <v>7.50548500030543</v>
      </c>
      <c r="H26" s="11" t="n">
        <f aca="false">('Base votos'!E91)/'Base votos'!R91</f>
        <v>0.0286586300301125</v>
      </c>
      <c r="I26" s="11" t="n">
        <f aca="false">('Base votos'!E124)/'Base votos'!R124</f>
        <v>0.0105575262004947</v>
      </c>
      <c r="J26" s="11" t="n">
        <f aca="false">('Base votos'!E157)/'Base votos'!R157</f>
        <v>0.029158106723431</v>
      </c>
      <c r="K26" s="12" t="n">
        <f aca="false">(I26-H26)*100</f>
        <v>-1.81011038296178</v>
      </c>
      <c r="L26" s="12" t="n">
        <f aca="false">(J26-I26)*100</f>
        <v>1.86005805229363</v>
      </c>
      <c r="M26" s="12" t="n">
        <f aca="false">(J26-H26)*100</f>
        <v>0.0499476693318467</v>
      </c>
      <c r="N26" s="11" t="n">
        <f aca="false">('Base votos'!F91)/'Base votos'!R91</f>
        <v>0.0488527193804744</v>
      </c>
      <c r="O26" s="11" t="n">
        <f aca="false">('Base votos'!F124)/'Base votos'!R124</f>
        <v>0.0372148103633216</v>
      </c>
      <c r="P26" s="11" t="n">
        <f aca="false">('Base votos'!F157)/'Base votos'!R157</f>
        <v>0.0622452062911152</v>
      </c>
      <c r="Q26" s="12" t="n">
        <f aca="false">(O26-N26)*100</f>
        <v>-1.16379090171528</v>
      </c>
      <c r="R26" s="12" t="n">
        <f aca="false">(P26-O26)*100</f>
        <v>2.50303959277935</v>
      </c>
      <c r="S26" s="12" t="n">
        <f aca="false">(P26-N26)*100</f>
        <v>1.33924869106407</v>
      </c>
      <c r="T26" s="11" t="n">
        <f aca="false">('Base votos'!H91)/'Base votos'!R91</f>
        <v>0.318536806720682</v>
      </c>
      <c r="U26" s="11" t="n">
        <f aca="false">('Base votos'!H124)/'Base votos'!R124</f>
        <v>0.453503028508745</v>
      </c>
      <c r="V26" s="11" t="n">
        <f aca="false">('Base votos'!H157)/'Base votos'!R157</f>
        <v>0.369711896365745</v>
      </c>
      <c r="W26" s="12" t="n">
        <f aca="false">(U26-T26)*100</f>
        <v>13.4966221788063</v>
      </c>
      <c r="X26" s="12" t="n">
        <f aca="false">(V26-U26)*100</f>
        <v>-8.37911321430004</v>
      </c>
      <c r="Y26" s="12" t="n">
        <f aca="false">(V26-T26)*100</f>
        <v>5.11750896450629</v>
      </c>
      <c r="Z26" s="11" t="n">
        <f aca="false">('Base votos'!I91)/'Base votos'!R91</f>
        <v>0.181905029167139</v>
      </c>
      <c r="AA26" s="11" t="n">
        <f aca="false">('Base votos'!I124)/'Base votos'!R124</f>
        <v>0.142942519644157</v>
      </c>
      <c r="AB26" s="11" t="n">
        <f aca="false">('Base votos'!I157)/'Base votos'!R157</f>
        <v>0.0663590432670314</v>
      </c>
      <c r="AC26" s="12" t="n">
        <f aca="false">(AA26-Z26)*100</f>
        <v>-3.89625095229822</v>
      </c>
      <c r="AD26" s="12" t="n">
        <f aca="false">(AB26-AA26)*100</f>
        <v>-7.65834763771257</v>
      </c>
      <c r="AE26" s="12" t="n">
        <f aca="false">(AB26-Z26)*100</f>
        <v>-11.5545985900108</v>
      </c>
      <c r="AF26" s="11" t="n">
        <f aca="false">('Base votos'!J91)/'Base votos'!R91</f>
        <v>0.0223475417405548</v>
      </c>
      <c r="AG26" s="11" t="n">
        <f aca="false">('Base votos'!J124)/'Base votos'!R124</f>
        <v>0.010988355458441</v>
      </c>
      <c r="AH26" s="11" t="n">
        <f aca="false">('Base votos'!J157)/'Base votos'!R157</f>
        <v>0.013286832514336</v>
      </c>
      <c r="AI26" s="12" t="n">
        <f aca="false">(AG26-AF26)*100</f>
        <v>-1.13591862821138</v>
      </c>
      <c r="AJ26" s="12" t="n">
        <f aca="false">(AH26-AG26)*100</f>
        <v>0.229847705589497</v>
      </c>
      <c r="AK26" s="12" t="n">
        <f aca="false">(AH26-AF26)*100</f>
        <v>-0.906070922621879</v>
      </c>
      <c r="AL26" s="11" t="n">
        <f aca="false">('Base votos'!K91)/'Base votos'!R91</f>
        <v>0.0223982931601018</v>
      </c>
      <c r="AM26" s="11" t="n">
        <f aca="false">('Base votos'!K124)/'Base votos'!R124</f>
        <v>0.0183312325804132</v>
      </c>
      <c r="AN26" s="11" t="n">
        <f aca="false">('Base votos'!K157)/'Base votos'!R157</f>
        <v>0.0653858684551251</v>
      </c>
      <c r="AO26" s="12" t="n">
        <f aca="false">(AM26-AL26)*100</f>
        <v>-0.406706057968865</v>
      </c>
      <c r="AP26" s="12" t="n">
        <f aca="false">(AN26-AM26)*100</f>
        <v>4.70546358747119</v>
      </c>
      <c r="AQ26" s="12" t="n">
        <f aca="false">(AN26-AL26)*100</f>
        <v>4.29875752950233</v>
      </c>
      <c r="AR26" s="11" t="n">
        <f aca="false">('Base votos'!D91+'Base votos'!E91)/'Base votos'!R91</f>
        <v>0.309135852593995</v>
      </c>
      <c r="AS26" s="11" t="n">
        <f aca="false">('Base votos'!D124+'Base votos'!E124)/'Base votos'!R124</f>
        <v>0.255607684668333</v>
      </c>
      <c r="AT26" s="11" t="n">
        <f aca="false">('Base votos'!D157+'Base votos'!E157)/'Base votos'!R157</f>
        <v>0.384690179290367</v>
      </c>
      <c r="AU26" s="12" t="n">
        <f aca="false">(AS26-AR26)*100</f>
        <v>-5.35281679256613</v>
      </c>
      <c r="AV26" s="12" t="n">
        <f aca="false">(AT26-AS26)*100</f>
        <v>12.9082494622034</v>
      </c>
      <c r="AW26" s="12" t="n">
        <f aca="false">(AT26-AR26)*100</f>
        <v>7.55543266963727</v>
      </c>
      <c r="AX26" s="11" t="n">
        <f aca="false">('Base votos'!H91+'Base votos'!I91+'Base votos'!J91)/'Base votos'!R91</f>
        <v>0.522789377628376</v>
      </c>
      <c r="AY26" s="11" t="n">
        <f aca="false">('Base votos'!H124+'Base votos'!I124+'Base votos'!J124)/'Base votos'!R124</f>
        <v>0.607433903611343</v>
      </c>
      <c r="AZ26" s="11" t="n">
        <f aca="false">('Base votos'!H157+'Base votos'!I157+'Base votos'!J157)/'Base votos'!R157</f>
        <v>0.449357772147112</v>
      </c>
      <c r="BA26" s="12" t="n">
        <f aca="false">(AY26-AX26)*100</f>
        <v>8.46445259829672</v>
      </c>
      <c r="BB26" s="12" t="n">
        <f aca="false">(AZ26-AY26)*100</f>
        <v>-15.8076131464231</v>
      </c>
      <c r="BC26" s="12" t="n">
        <f aca="false">(AZ26-AX26)*100</f>
        <v>-7.34316054812639</v>
      </c>
    </row>
    <row r="27" customFormat="false" ht="15" hidden="false" customHeight="false" outlineLevel="0" collapsed="false">
      <c r="A27" s="14" t="s">
        <v>104</v>
      </c>
      <c r="B27" s="11" t="n">
        <f aca="false">('Base votos'!D92)/'Base votos'!R92</f>
        <v>0.50367232617633</v>
      </c>
      <c r="C27" s="11" t="n">
        <f aca="false">('Base votos'!D125)/'Base votos'!R125</f>
        <v>0.40628907492689</v>
      </c>
      <c r="D27" s="11" t="n">
        <f aca="false">('Base votos'!D158)/'Base votos'!R158</f>
        <v>0.463876606734099</v>
      </c>
      <c r="E27" s="12" t="n">
        <f aca="false">(C27-B27)*100</f>
        <v>-9.73832512494398</v>
      </c>
      <c r="F27" s="12" t="n">
        <f aca="false">(D27-C27)*100</f>
        <v>5.75875318072089</v>
      </c>
      <c r="G27" s="12" t="n">
        <f aca="false">(D27-B27)*100</f>
        <v>-3.97957194422309</v>
      </c>
      <c r="H27" s="11" t="n">
        <f aca="false">('Base votos'!E92)/'Base votos'!R92</f>
        <v>0.0458413349879715</v>
      </c>
      <c r="I27" s="11" t="n">
        <f aca="false">('Base votos'!E125)/'Base votos'!R125</f>
        <v>0.0319710520182439</v>
      </c>
      <c r="J27" s="11" t="n">
        <f aca="false">('Base votos'!E158)/'Base votos'!R158</f>
        <v>0.0398430927552677</v>
      </c>
      <c r="K27" s="12" t="n">
        <f aca="false">(I27-H27)*100</f>
        <v>-1.38702829697276</v>
      </c>
      <c r="L27" s="12" t="n">
        <f aca="false">(J27-I27)*100</f>
        <v>0.787204073702384</v>
      </c>
      <c r="M27" s="12" t="n">
        <f aca="false">(J27-H27)*100</f>
        <v>-0.599824223270378</v>
      </c>
      <c r="N27" s="11" t="n">
        <f aca="false">('Base votos'!F92)/'Base votos'!R92</f>
        <v>0.0382595794538307</v>
      </c>
      <c r="O27" s="11" t="n">
        <f aca="false">('Base votos'!F125)/'Base votos'!R125</f>
        <v>0.0535119162046433</v>
      </c>
      <c r="P27" s="11" t="n">
        <f aca="false">('Base votos'!F158)/'Base votos'!R158</f>
        <v>0.170462993758926</v>
      </c>
      <c r="Q27" s="12" t="n">
        <f aca="false">(O27-N27)*100</f>
        <v>1.52523367508126</v>
      </c>
      <c r="R27" s="12" t="n">
        <f aca="false">(P27-O27)*100</f>
        <v>11.6951077554283</v>
      </c>
      <c r="S27" s="12" t="n">
        <f aca="false">(P27-N27)*100</f>
        <v>13.2203414305096</v>
      </c>
      <c r="T27" s="11" t="n">
        <f aca="false">('Base votos'!H92)/'Base votos'!R92</f>
        <v>0.146539472133443</v>
      </c>
      <c r="U27" s="11" t="n">
        <f aca="false">('Base votos'!H125)/'Base votos'!R125</f>
        <v>0.158410923201767</v>
      </c>
      <c r="V27" s="11" t="n">
        <f aca="false">('Base votos'!H158)/'Base votos'!R158</f>
        <v>0.118077837340794</v>
      </c>
      <c r="W27" s="12" t="n">
        <f aca="false">(U27-T27)*100</f>
        <v>1.18714510683232</v>
      </c>
      <c r="X27" s="12" t="n">
        <f aca="false">(V27-U27)*100</f>
        <v>-4.03330858609726</v>
      </c>
      <c r="Y27" s="12" t="n">
        <f aca="false">(V27-T27)*100</f>
        <v>-2.84616347926494</v>
      </c>
      <c r="Z27" s="11" t="n">
        <f aca="false">('Base votos'!I92)/'Base votos'!R92</f>
        <v>0.102382817645468</v>
      </c>
      <c r="AA27" s="11" t="n">
        <f aca="false">('Base votos'!I125)/'Base votos'!R125</f>
        <v>0.104992574168996</v>
      </c>
      <c r="AB27" s="11" t="n">
        <f aca="false">('Base votos'!I158)/'Base votos'!R158</f>
        <v>0.0509239332459453</v>
      </c>
      <c r="AC27" s="12" t="n">
        <f aca="false">(AA27-Z27)*100</f>
        <v>0.260975652352757</v>
      </c>
      <c r="AD27" s="12" t="n">
        <f aca="false">(AB27-AA27)*100</f>
        <v>-5.40686409230507</v>
      </c>
      <c r="AE27" s="12" t="n">
        <f aca="false">(AB27-Z27)*100</f>
        <v>-5.14588843995231</v>
      </c>
      <c r="AF27" s="11" t="n">
        <f aca="false">('Base votos'!J92)/'Base votos'!R92</f>
        <v>0.036502797401571</v>
      </c>
      <c r="AG27" s="11" t="n">
        <f aca="false">('Base votos'!J125)/'Base votos'!R125</f>
        <v>0.0313313928068961</v>
      </c>
      <c r="AH27" s="11" t="n">
        <f aca="false">('Base votos'!J158)/'Base votos'!R158</f>
        <v>0.0210526187075695</v>
      </c>
      <c r="AI27" s="12" t="n">
        <f aca="false">(AG27-AF27)*100</f>
        <v>-0.517140459467491</v>
      </c>
      <c r="AJ27" s="12" t="n">
        <f aca="false">(AH27-AG27)*100</f>
        <v>-1.02787740993266</v>
      </c>
      <c r="AK27" s="12" t="n">
        <f aca="false">(AH27-AF27)*100</f>
        <v>-1.54501786940015</v>
      </c>
      <c r="AL27" s="11" t="n">
        <f aca="false">('Base votos'!K92)/'Base votos'!R92</f>
        <v>0.0304823177875916</v>
      </c>
      <c r="AM27" s="11" t="n">
        <f aca="false">('Base votos'!K125)/'Base votos'!R125</f>
        <v>0.0379950766655382</v>
      </c>
      <c r="AN27" s="11" t="n">
        <f aca="false">('Base votos'!K158)/'Base votos'!R158</f>
        <v>0.0921402089487997</v>
      </c>
      <c r="AO27" s="12" t="n">
        <f aca="false">(AM27-AL27)*100</f>
        <v>0.751275887794659</v>
      </c>
      <c r="AP27" s="12" t="n">
        <f aca="false">(AN27-AM27)*100</f>
        <v>5.41451322832615</v>
      </c>
      <c r="AQ27" s="12" t="n">
        <f aca="false">(AN27-AL27)*100</f>
        <v>6.16578911612081</v>
      </c>
      <c r="AR27" s="11" t="n">
        <f aca="false">('Base votos'!D92+'Base votos'!E92)/'Base votos'!R92</f>
        <v>0.549513661164301</v>
      </c>
      <c r="AS27" s="11" t="n">
        <f aca="false">('Base votos'!D125+'Base votos'!E125)/'Base votos'!R125</f>
        <v>0.438260126945134</v>
      </c>
      <c r="AT27" s="11" t="n">
        <f aca="false">('Base votos'!D158+'Base votos'!E158)/'Base votos'!R158</f>
        <v>0.503719699489367</v>
      </c>
      <c r="AU27" s="12" t="n">
        <f aca="false">(AS27-AR27)*100</f>
        <v>-11.1253534219168</v>
      </c>
      <c r="AV27" s="12" t="n">
        <f aca="false">(AT27-AS27)*100</f>
        <v>6.54595725442328</v>
      </c>
      <c r="AW27" s="12" t="n">
        <f aca="false">(AT27-AR27)*100</f>
        <v>-4.57939616749348</v>
      </c>
      <c r="AX27" s="11" t="n">
        <f aca="false">('Base votos'!H92+'Base votos'!I92+'Base votos'!J92)/'Base votos'!R92</f>
        <v>0.285425087180483</v>
      </c>
      <c r="AY27" s="11" t="n">
        <f aca="false">('Base votos'!H125+'Base votos'!I125+'Base votos'!J125)/'Base votos'!R125</f>
        <v>0.294734890177659</v>
      </c>
      <c r="AZ27" s="11" t="n">
        <f aca="false">('Base votos'!H158+'Base votos'!I158+'Base votos'!J158)/'Base votos'!R158</f>
        <v>0.190054389294309</v>
      </c>
      <c r="BA27" s="12" t="n">
        <f aca="false">(AY27-AX27)*100</f>
        <v>0.930980299717588</v>
      </c>
      <c r="BB27" s="12" t="n">
        <f aca="false">(AZ27-AY27)*100</f>
        <v>-10.468050088335</v>
      </c>
      <c r="BC27" s="12" t="n">
        <f aca="false">(AZ27-AX27)*100</f>
        <v>-9.5370697886174</v>
      </c>
    </row>
    <row r="28" customFormat="false" ht="15" hidden="false" customHeight="false" outlineLevel="0" collapsed="false">
      <c r="A28" s="14" t="s">
        <v>105</v>
      </c>
      <c r="B28" s="11" t="n">
        <f aca="false">('Base votos'!D93)/'Base votos'!R93</f>
        <v>0.234413575199878</v>
      </c>
      <c r="C28" s="11" t="n">
        <f aca="false">('Base votos'!D126)/'Base votos'!R126</f>
        <v>0.176746351631939</v>
      </c>
      <c r="D28" s="11" t="n">
        <f aca="false">('Base votos'!D159)/'Base votos'!R159</f>
        <v>0.222162851283188</v>
      </c>
      <c r="E28" s="12" t="n">
        <f aca="false">(C28-B28)*100</f>
        <v>-5.76672235679389</v>
      </c>
      <c r="F28" s="12" t="n">
        <f aca="false">(D28-C28)*100</f>
        <v>4.54164996512491</v>
      </c>
      <c r="G28" s="12" t="n">
        <f aca="false">(D28-B28)*100</f>
        <v>-1.22507239166898</v>
      </c>
      <c r="H28" s="11" t="n">
        <f aca="false">('Base votos'!E93)/'Base votos'!R93</f>
        <v>0.0370968037848216</v>
      </c>
      <c r="I28" s="11" t="n">
        <f aca="false">('Base votos'!E126)/'Base votos'!R126</f>
        <v>0.0377628534119609</v>
      </c>
      <c r="J28" s="11" t="n">
        <f aca="false">('Base votos'!E159)/'Base votos'!R159</f>
        <v>0.0303641705005266</v>
      </c>
      <c r="K28" s="12" t="n">
        <f aca="false">(I28-H28)*100</f>
        <v>0.0666049627139231</v>
      </c>
      <c r="L28" s="12" t="n">
        <f aca="false">(J28-I28)*100</f>
        <v>-0.739868291143428</v>
      </c>
      <c r="M28" s="12" t="n">
        <f aca="false">(J28-H28)*100</f>
        <v>-0.673263328429505</v>
      </c>
      <c r="N28" s="11" t="n">
        <f aca="false">('Base votos'!F93)/'Base votos'!R93</f>
        <v>0.0592531023683852</v>
      </c>
      <c r="O28" s="11" t="n">
        <f aca="false">('Base votos'!F126)/'Base votos'!R126</f>
        <v>0.251519555646271</v>
      </c>
      <c r="P28" s="11" t="n">
        <f aca="false">('Base votos'!F159)/'Base votos'!R159</f>
        <v>0.327295973985182</v>
      </c>
      <c r="Q28" s="12" t="n">
        <f aca="false">(O28-N28)*100</f>
        <v>19.2266453277886</v>
      </c>
      <c r="R28" s="12" t="n">
        <f aca="false">(P28-O28)*100</f>
        <v>7.57764183389107</v>
      </c>
      <c r="S28" s="12" t="n">
        <f aca="false">(P28-N28)*100</f>
        <v>26.8042871616797</v>
      </c>
      <c r="T28" s="11" t="n">
        <f aca="false">('Base votos'!H93)/'Base votos'!R93</f>
        <v>0.220387208757864</v>
      </c>
      <c r="U28" s="11" t="n">
        <f aca="false">('Base votos'!H126)/'Base votos'!R126</f>
        <v>0.183211481979689</v>
      </c>
      <c r="V28" s="11" t="n">
        <f aca="false">('Base votos'!H159)/'Base votos'!R159</f>
        <v>0.160651848567153</v>
      </c>
      <c r="W28" s="12" t="n">
        <f aca="false">(U28-T28)*100</f>
        <v>-3.71757267781751</v>
      </c>
      <c r="X28" s="12" t="n">
        <f aca="false">(V28-U28)*100</f>
        <v>-2.25596334125364</v>
      </c>
      <c r="Y28" s="12" t="n">
        <f aca="false">(V28-T28)*100</f>
        <v>-5.97353601907115</v>
      </c>
      <c r="Z28" s="11" t="n">
        <f aca="false">('Base votos'!I93)/'Base votos'!R93</f>
        <v>0.192908803890115</v>
      </c>
      <c r="AA28" s="11" t="n">
        <f aca="false">('Base votos'!I126)/'Base votos'!R126</f>
        <v>0.141904979716033</v>
      </c>
      <c r="AB28" s="11" t="n">
        <f aca="false">('Base votos'!I159)/'Base votos'!R159</f>
        <v>0.0849805073628587</v>
      </c>
      <c r="AC28" s="12" t="n">
        <f aca="false">(AA28-Z28)*100</f>
        <v>-5.10038241740825</v>
      </c>
      <c r="AD28" s="12" t="n">
        <f aca="false">(AB28-AA28)*100</f>
        <v>-5.6924472353174</v>
      </c>
      <c r="AE28" s="12" t="n">
        <f aca="false">(AB28-Z28)*100</f>
        <v>-10.7928296527256</v>
      </c>
      <c r="AF28" s="11" t="n">
        <f aca="false">('Base votos'!J93)/'Base votos'!R93</f>
        <v>0.113656323710414</v>
      </c>
      <c r="AG28" s="11" t="n">
        <f aca="false">('Base votos'!J126)/'Base votos'!R126</f>
        <v>0.025239173755194</v>
      </c>
      <c r="AH28" s="11" t="n">
        <f aca="false">('Base votos'!J159)/'Base votos'!R159</f>
        <v>0.0265506346654842</v>
      </c>
      <c r="AI28" s="12" t="n">
        <f aca="false">(AG28-AF28)*100</f>
        <v>-8.84171499552203</v>
      </c>
      <c r="AJ28" s="12" t="n">
        <f aca="false">(AH28-AG28)*100</f>
        <v>0.131146091029023</v>
      </c>
      <c r="AK28" s="12" t="n">
        <f aca="false">(AH28-AF28)*100</f>
        <v>-8.71056890449301</v>
      </c>
      <c r="AL28" s="11" t="n">
        <f aca="false">('Base votos'!K93)/'Base votos'!R93</f>
        <v>0.0300876089528166</v>
      </c>
      <c r="AM28" s="11" t="n">
        <f aca="false">('Base votos'!K126)/'Base votos'!R126</f>
        <v>0.0423631211324593</v>
      </c>
      <c r="AN28" s="11" t="n">
        <f aca="false">('Base votos'!K159)/'Base votos'!R159</f>
        <v>0.0958076972821167</v>
      </c>
      <c r="AO28" s="12" t="n">
        <f aca="false">(AM28-AL28)*100</f>
        <v>1.22755121796428</v>
      </c>
      <c r="AP28" s="12" t="n">
        <f aca="false">(AN28-AM28)*100</f>
        <v>5.34445761496573</v>
      </c>
      <c r="AQ28" s="12" t="n">
        <f aca="false">(AN28-AL28)*100</f>
        <v>6.57200883293001</v>
      </c>
      <c r="AR28" s="11" t="n">
        <f aca="false">('Base votos'!D93+'Base votos'!E93)/'Base votos'!R93</f>
        <v>0.2715103789847</v>
      </c>
      <c r="AS28" s="11" t="n">
        <f aca="false">('Base votos'!D126+'Base votos'!E126)/'Base votos'!R126</f>
        <v>0.2145092050439</v>
      </c>
      <c r="AT28" s="11" t="n">
        <f aca="false">('Base votos'!D159+'Base votos'!E159)/'Base votos'!R159</f>
        <v>0.252527021783715</v>
      </c>
      <c r="AU28" s="12" t="n">
        <f aca="false">(AS28-AR28)*100</f>
        <v>-5.70011739407997</v>
      </c>
      <c r="AV28" s="12" t="n">
        <f aca="false">(AT28-AS28)*100</f>
        <v>3.80178167398148</v>
      </c>
      <c r="AW28" s="12" t="n">
        <f aca="false">(AT28-AR28)*100</f>
        <v>-1.89833572009849</v>
      </c>
      <c r="AX28" s="11" t="n">
        <f aca="false">('Base votos'!H93+'Base votos'!I93+'Base votos'!J93)/'Base votos'!R93</f>
        <v>0.526952336358393</v>
      </c>
      <c r="AY28" s="11" t="n">
        <f aca="false">('Base votos'!H126+'Base votos'!I126+'Base votos'!J126)/'Base votos'!R126</f>
        <v>0.350355635450916</v>
      </c>
      <c r="AZ28" s="11" t="n">
        <f aca="false">('Base votos'!H159+'Base votos'!I159+'Base votos'!J159)/'Base votos'!R159</f>
        <v>0.272182990595495</v>
      </c>
      <c r="BA28" s="12" t="n">
        <f aca="false">(AY28-AX28)*100</f>
        <v>-17.6596700907478</v>
      </c>
      <c r="BB28" s="12" t="n">
        <f aca="false">(AZ28-AY28)*100</f>
        <v>-7.81726448554201</v>
      </c>
      <c r="BC28" s="12" t="n">
        <f aca="false">(AZ28-AX28)*100</f>
        <v>-25.4769345762898</v>
      </c>
    </row>
    <row r="29" customFormat="false" ht="15" hidden="false" customHeight="false" outlineLevel="0" collapsed="false">
      <c r="A29" s="14" t="s">
        <v>106</v>
      </c>
      <c r="B29" s="11" t="n">
        <f aca="false">('Base votos'!D94)/'Base votos'!R94</f>
        <v>0.448386902146672</v>
      </c>
      <c r="C29" s="11" t="n">
        <f aca="false">('Base votos'!D127)/'Base votos'!R127</f>
        <v>0.477560602554275</v>
      </c>
      <c r="D29" s="11" t="n">
        <f aca="false">('Base votos'!D160)/'Base votos'!R160</f>
        <v>0.516885025341915</v>
      </c>
      <c r="E29" s="12" t="n">
        <f aca="false">(C29-B29)*100</f>
        <v>2.9173700407603</v>
      </c>
      <c r="F29" s="12" t="n">
        <f aca="false">(D29-C29)*100</f>
        <v>3.93244227876406</v>
      </c>
      <c r="G29" s="12" t="n">
        <f aca="false">(D29-B29)*100</f>
        <v>6.84981231952437</v>
      </c>
      <c r="H29" s="11" t="n">
        <f aca="false">('Base votos'!E94)/'Base votos'!R94</f>
        <v>0.0357814714199964</v>
      </c>
      <c r="I29" s="11" t="n">
        <f aca="false">('Base votos'!E127)/'Base votos'!R127</f>
        <v>0.032833314048511</v>
      </c>
      <c r="J29" s="11" t="n">
        <f aca="false">('Base votos'!E160)/'Base votos'!R160</f>
        <v>0.0438568745526006</v>
      </c>
      <c r="K29" s="12" t="n">
        <f aca="false">(I29-H29)*100</f>
        <v>-0.294815737148544</v>
      </c>
      <c r="L29" s="12" t="n">
        <f aca="false">(J29-I29)*100</f>
        <v>1.10235605040896</v>
      </c>
      <c r="M29" s="12" t="n">
        <f aca="false">(J29-H29)*100</f>
        <v>0.807540313260414</v>
      </c>
      <c r="N29" s="11" t="n">
        <f aca="false">('Base votos'!F94)/'Base votos'!R94</f>
        <v>0.0230562998533407</v>
      </c>
      <c r="O29" s="11" t="n">
        <f aca="false">('Base votos'!F127)/'Base votos'!R127</f>
        <v>0.020927045517002</v>
      </c>
      <c r="P29" s="11" t="n">
        <f aca="false">('Base votos'!F160)/'Base votos'!R160</f>
        <v>0.07161417936537</v>
      </c>
      <c r="Q29" s="12" t="n">
        <f aca="false">(O29-N29)*100</f>
        <v>-0.21292543363387</v>
      </c>
      <c r="R29" s="12" t="n">
        <f aca="false">(P29-O29)*100</f>
        <v>5.06871338483681</v>
      </c>
      <c r="S29" s="12" t="n">
        <f aca="false">(P29-N29)*100</f>
        <v>4.85578795120294</v>
      </c>
      <c r="T29" s="11" t="n">
        <f aca="false">('Base votos'!H94)/'Base votos'!R94</f>
        <v>0.12424040371537</v>
      </c>
      <c r="U29" s="11" t="n">
        <f aca="false">('Base votos'!H127)/'Base votos'!R127</f>
        <v>0.084574191122232</v>
      </c>
      <c r="V29" s="11" t="n">
        <f aca="false">('Base votos'!H160)/'Base votos'!R160</f>
        <v>0.119635936031527</v>
      </c>
      <c r="W29" s="12" t="n">
        <f aca="false">(U29-T29)*100</f>
        <v>-3.96662125931375</v>
      </c>
      <c r="X29" s="12" t="n">
        <f aca="false">(V29-U29)*100</f>
        <v>3.50617449092952</v>
      </c>
      <c r="Y29" s="12" t="n">
        <f aca="false">(V29-T29)*100</f>
        <v>-0.460446768384233</v>
      </c>
      <c r="Z29" s="11" t="n">
        <f aca="false">('Base votos'!I94)/'Base votos'!R94</f>
        <v>0.233796310620734</v>
      </c>
      <c r="AA29" s="11" t="n">
        <f aca="false">('Base votos'!I127)/'Base votos'!R127</f>
        <v>0.240774020451554</v>
      </c>
      <c r="AB29" s="11" t="n">
        <f aca="false">('Base votos'!I160)/'Base votos'!R160</f>
        <v>0.128816232143749</v>
      </c>
      <c r="AC29" s="12" t="n">
        <f aca="false">(AA29-Z29)*100</f>
        <v>0.697770983082008</v>
      </c>
      <c r="AD29" s="12" t="n">
        <f aca="false">(AB29-AA29)*100</f>
        <v>-11.1957788307805</v>
      </c>
      <c r="AE29" s="12" t="n">
        <f aca="false">(AB29-Z29)*100</f>
        <v>-10.4980078476985</v>
      </c>
      <c r="AF29" s="11" t="n">
        <f aca="false">('Base votos'!J94)/'Base votos'!R94</f>
        <v>0.0214110235830667</v>
      </c>
      <c r="AG29" s="11" t="n">
        <f aca="false">('Base votos'!J127)/'Base votos'!R127</f>
        <v>0.0164840032398502</v>
      </c>
      <c r="AH29" s="11" t="n">
        <f aca="false">('Base votos'!J160)/'Base votos'!R160</f>
        <v>0.0143856420532021</v>
      </c>
      <c r="AI29" s="12" t="n">
        <f aca="false">(AG29-AF29)*100</f>
        <v>-0.492702034321657</v>
      </c>
      <c r="AJ29" s="12" t="n">
        <f aca="false">(AH29-AG29)*100</f>
        <v>-0.209836118664803</v>
      </c>
      <c r="AK29" s="12" t="n">
        <f aca="false">(AH29-AF29)*100</f>
        <v>-0.70253815298646</v>
      </c>
      <c r="AL29" s="11" t="n">
        <f aca="false">('Base votos'!K94)/'Base votos'!R94</f>
        <v>0.0301301369439167</v>
      </c>
      <c r="AM29" s="11" t="n">
        <f aca="false">('Base votos'!K127)/'Base votos'!R127</f>
        <v>0.0420068629861583</v>
      </c>
      <c r="AN29" s="11" t="n">
        <f aca="false">('Base votos'!K160)/'Base votos'!R160</f>
        <v>0.0689127569188953</v>
      </c>
      <c r="AO29" s="12" t="n">
        <f aca="false">(AM29-AL29)*100</f>
        <v>1.18767260422416</v>
      </c>
      <c r="AP29" s="12" t="n">
        <f aca="false">(AN29-AM29)*100</f>
        <v>2.6905893932737</v>
      </c>
      <c r="AQ29" s="12" t="n">
        <f aca="false">(AN29-AL29)*100</f>
        <v>3.87826199749785</v>
      </c>
      <c r="AR29" s="11" t="n">
        <f aca="false">('Base votos'!D94+'Base votos'!E94)/'Base votos'!R94</f>
        <v>0.484168373566668</v>
      </c>
      <c r="AS29" s="11" t="n">
        <f aca="false">('Base votos'!D127+'Base votos'!E127)/'Base votos'!R127</f>
        <v>0.510393916602786</v>
      </c>
      <c r="AT29" s="11" t="n">
        <f aca="false">('Base votos'!D160+'Base votos'!E160)/'Base votos'!R160</f>
        <v>0.560741899894516</v>
      </c>
      <c r="AU29" s="12" t="n">
        <f aca="false">(AS29-AR29)*100</f>
        <v>2.62255430361176</v>
      </c>
      <c r="AV29" s="12" t="n">
        <f aca="false">(AT29-AS29)*100</f>
        <v>5.03479832917302</v>
      </c>
      <c r="AW29" s="12" t="n">
        <f aca="false">(AT29-AR29)*100</f>
        <v>7.65735263278478</v>
      </c>
      <c r="AX29" s="11" t="n">
        <f aca="false">('Base votos'!H94+'Base votos'!I94+'Base votos'!J94)/'Base votos'!R94</f>
        <v>0.37944773791917</v>
      </c>
      <c r="AY29" s="11" t="n">
        <f aca="false">('Base votos'!H127+'Base votos'!I127+'Base votos'!J127)/'Base votos'!R127</f>
        <v>0.341832214813636</v>
      </c>
      <c r="AZ29" s="11" t="n">
        <f aca="false">('Base votos'!H160+'Base votos'!I160+'Base votos'!J160)/'Base votos'!R160</f>
        <v>0.262837810228478</v>
      </c>
      <c r="BA29" s="12" t="n">
        <f aca="false">(AY29-AX29)*100</f>
        <v>-3.7615523105534</v>
      </c>
      <c r="BB29" s="12" t="n">
        <f aca="false">(AZ29-AY29)*100</f>
        <v>-7.8994404585158</v>
      </c>
      <c r="BC29" s="12" t="n">
        <f aca="false">(AZ29-AX29)*100</f>
        <v>-11.6609927690692</v>
      </c>
    </row>
    <row r="30" customFormat="false" ht="15" hidden="false" customHeight="false" outlineLevel="0" collapsed="false">
      <c r="A30" s="14" t="s">
        <v>107</v>
      </c>
      <c r="B30" s="11" t="n">
        <f aca="false">('Base votos'!D95)/'Base votos'!R95</f>
        <v>0.414753171798678</v>
      </c>
      <c r="C30" s="11" t="n">
        <f aca="false">('Base votos'!D128)/'Base votos'!R128</f>
        <v>0.421388030322155</v>
      </c>
      <c r="D30" s="11" t="n">
        <f aca="false">('Base votos'!D161)/'Base votos'!R161</f>
        <v>0.470961110896088</v>
      </c>
      <c r="E30" s="12" t="n">
        <f aca="false">(C30-B30)*100</f>
        <v>0.663485852347712</v>
      </c>
      <c r="F30" s="12" t="n">
        <f aca="false">(D30-C30)*100</f>
        <v>4.95730805739332</v>
      </c>
      <c r="G30" s="12" t="n">
        <f aca="false">(D30-B30)*100</f>
        <v>5.62079390974103</v>
      </c>
      <c r="H30" s="11" t="n">
        <f aca="false">('Base votos'!E95)/'Base votos'!R95</f>
        <v>0.0380946691725523</v>
      </c>
      <c r="I30" s="11" t="n">
        <f aca="false">('Base votos'!E128)/'Base votos'!R128</f>
        <v>0.0472951757648082</v>
      </c>
      <c r="J30" s="11" t="n">
        <f aca="false">('Base votos'!E161)/'Base votos'!R161</f>
        <v>0.0626594934912464</v>
      </c>
      <c r="K30" s="12" t="n">
        <f aca="false">(I30-H30)*100</f>
        <v>0.920050659225595</v>
      </c>
      <c r="L30" s="12" t="n">
        <f aca="false">(J30-I30)*100</f>
        <v>1.53643177264382</v>
      </c>
      <c r="M30" s="12" t="n">
        <f aca="false">(J30-H30)*100</f>
        <v>2.45648243186941</v>
      </c>
      <c r="N30" s="11" t="n">
        <f aca="false">('Base votos'!F95)/'Base votos'!R95</f>
        <v>0.0247071743995295</v>
      </c>
      <c r="O30" s="11" t="n">
        <f aca="false">('Base votos'!F128)/'Base votos'!R128</f>
        <v>0.0280303638804597</v>
      </c>
      <c r="P30" s="11" t="n">
        <f aca="false">('Base votos'!F161)/'Base votos'!R161</f>
        <v>0.0589352909049468</v>
      </c>
      <c r="Q30" s="12" t="n">
        <f aca="false">(O30-N30)*100</f>
        <v>0.332318948093024</v>
      </c>
      <c r="R30" s="12" t="n">
        <f aca="false">(P30-O30)*100</f>
        <v>3.09049270244871</v>
      </c>
      <c r="S30" s="12" t="n">
        <f aca="false">(P30-N30)*100</f>
        <v>3.42281165054174</v>
      </c>
      <c r="T30" s="11" t="n">
        <f aca="false">('Base votos'!H95)/'Base votos'!R95</f>
        <v>0.136219390591901</v>
      </c>
      <c r="U30" s="11" t="n">
        <f aca="false">('Base votos'!H128)/'Base votos'!R128</f>
        <v>0.106133800106192</v>
      </c>
      <c r="V30" s="11" t="n">
        <f aca="false">('Base votos'!H161)/'Base votos'!R161</f>
        <v>0.125166750525732</v>
      </c>
      <c r="W30" s="12" t="n">
        <f aca="false">(U30-T30)*100</f>
        <v>-3.00855904857084</v>
      </c>
      <c r="X30" s="12" t="n">
        <f aca="false">(V30-U30)*100</f>
        <v>1.90329504195396</v>
      </c>
      <c r="Y30" s="12" t="n">
        <f aca="false">(V30-T30)*100</f>
        <v>-1.10526400661688</v>
      </c>
      <c r="Z30" s="11" t="n">
        <f aca="false">('Base votos'!I95)/'Base votos'!R95</f>
        <v>0.233164997863258</v>
      </c>
      <c r="AA30" s="11" t="n">
        <f aca="false">('Base votos'!I128)/'Base votos'!R128</f>
        <v>0.213833361672121</v>
      </c>
      <c r="AB30" s="11" t="n">
        <f aca="false">('Base votos'!I161)/'Base votos'!R161</f>
        <v>0.127540607139632</v>
      </c>
      <c r="AC30" s="12" t="n">
        <f aca="false">(AA30-Z30)*100</f>
        <v>-1.93316361911371</v>
      </c>
      <c r="AD30" s="12" t="n">
        <f aca="false">(AB30-AA30)*100</f>
        <v>-8.62927545324888</v>
      </c>
      <c r="AE30" s="12" t="n">
        <f aca="false">(AB30-Z30)*100</f>
        <v>-10.5624390723626</v>
      </c>
      <c r="AF30" s="11" t="n">
        <f aca="false">('Base votos'!J95)/'Base votos'!R95</f>
        <v>0.0176168660193639</v>
      </c>
      <c r="AG30" s="11" t="n">
        <f aca="false">('Base votos'!J128)/'Base votos'!R128</f>
        <v>0.013705889286791</v>
      </c>
      <c r="AH30" s="11" t="n">
        <f aca="false">('Base votos'!J161)/'Base votos'!R161</f>
        <v>0.017164015430068</v>
      </c>
      <c r="AI30" s="12" t="n">
        <f aca="false">(AG30-AF30)*100</f>
        <v>-0.391097673257298</v>
      </c>
      <c r="AJ30" s="12" t="n">
        <f aca="false">(AH30-AG30)*100</f>
        <v>0.345812614327703</v>
      </c>
      <c r="AK30" s="12" t="n">
        <f aca="false">(AH30-AF30)*100</f>
        <v>-0.045285058929595</v>
      </c>
      <c r="AL30" s="11" t="n">
        <f aca="false">('Base votos'!K95)/'Base votos'!R95</f>
        <v>0.0479328741251993</v>
      </c>
      <c r="AM30" s="11" t="n">
        <f aca="false">('Base votos'!K128)/'Base votos'!R128</f>
        <v>0.0799018191415121</v>
      </c>
      <c r="AN30" s="11" t="n">
        <f aca="false">('Base votos'!K161)/'Base votos'!R161</f>
        <v>0.108093904951125</v>
      </c>
      <c r="AO30" s="12" t="n">
        <f aca="false">(AM30-AL30)*100</f>
        <v>3.19689450163128</v>
      </c>
      <c r="AP30" s="12" t="n">
        <f aca="false">(AN30-AM30)*100</f>
        <v>2.81920858096131</v>
      </c>
      <c r="AQ30" s="12" t="n">
        <f aca="false">(AN30-AL30)*100</f>
        <v>6.01610308259259</v>
      </c>
      <c r="AR30" s="11" t="n">
        <f aca="false">('Base votos'!D95+'Base votos'!E95)/'Base votos'!R95</f>
        <v>0.45284784097123</v>
      </c>
      <c r="AS30" s="11" t="n">
        <f aca="false">('Base votos'!D128+'Base votos'!E128)/'Base votos'!R128</f>
        <v>0.468683206086963</v>
      </c>
      <c r="AT30" s="11" t="n">
        <f aca="false">('Base votos'!D161+'Base votos'!E161)/'Base votos'!R161</f>
        <v>0.533620604387334</v>
      </c>
      <c r="AU30" s="12" t="n">
        <f aca="false">(AS30-AR30)*100</f>
        <v>1.5835365115733</v>
      </c>
      <c r="AV30" s="12" t="n">
        <f aca="false">(AT30-AS30)*100</f>
        <v>6.49373983003714</v>
      </c>
      <c r="AW30" s="12" t="n">
        <f aca="false">(AT30-AR30)*100</f>
        <v>8.07727634161045</v>
      </c>
      <c r="AX30" s="11" t="n">
        <f aca="false">('Base votos'!H95+'Base votos'!I95+'Base votos'!J95)/'Base votos'!R95</f>
        <v>0.387001254474522</v>
      </c>
      <c r="AY30" s="11" t="n">
        <f aca="false">('Base votos'!H128+'Base votos'!I128+'Base votos'!J128)/'Base votos'!R128</f>
        <v>0.333673051065104</v>
      </c>
      <c r="AZ30" s="11" t="n">
        <f aca="false">('Base votos'!H161+'Base votos'!I161+'Base votos'!J161)/'Base votos'!R161</f>
        <v>0.269871373095432</v>
      </c>
      <c r="BA30" s="12" t="n">
        <f aca="false">(AY30-AX30)*100</f>
        <v>-5.33282034094185</v>
      </c>
      <c r="BB30" s="12" t="n">
        <f aca="false">(AZ30-AY30)*100</f>
        <v>-6.38016779696721</v>
      </c>
      <c r="BC30" s="12" t="n">
        <f aca="false">(AZ30-AX30)*100</f>
        <v>-11.7129881379091</v>
      </c>
    </row>
    <row r="31" customFormat="false" ht="15" hidden="false" customHeight="false" outlineLevel="0" collapsed="false">
      <c r="A31" s="14" t="s">
        <v>108</v>
      </c>
      <c r="B31" s="11" t="n">
        <f aca="false">('Base votos'!D96)/'Base votos'!R96</f>
        <v>0.641015092133469</v>
      </c>
      <c r="C31" s="11" t="n">
        <f aca="false">('Base votos'!D129)/'Base votos'!R129</f>
        <v>0.581496584410054</v>
      </c>
      <c r="D31" s="11" t="n">
        <f aca="false">('Base votos'!D162)/'Base votos'!R162</f>
        <v>0.609059765020244</v>
      </c>
      <c r="E31" s="12" t="n">
        <f aca="false">(C31-B31)*100</f>
        <v>-5.95185077234147</v>
      </c>
      <c r="F31" s="12" t="n">
        <f aca="false">(D31-C31)*100</f>
        <v>2.75631806101893</v>
      </c>
      <c r="G31" s="12" t="n">
        <f aca="false">(D31-B31)*100</f>
        <v>-3.19553271132255</v>
      </c>
      <c r="H31" s="11" t="n">
        <f aca="false">('Base votos'!E96)/'Base votos'!R96</f>
        <v>0.0214955886198551</v>
      </c>
      <c r="I31" s="11" t="n">
        <f aca="false">('Base votos'!E129)/'Base votos'!R129</f>
        <v>0.0223366028940468</v>
      </c>
      <c r="J31" s="11" t="n">
        <f aca="false">('Base votos'!E162)/'Base votos'!R162</f>
        <v>0.057340296365171</v>
      </c>
      <c r="K31" s="12" t="n">
        <f aca="false">(I31-H31)*100</f>
        <v>0.0841014274191684</v>
      </c>
      <c r="L31" s="12" t="n">
        <f aca="false">(J31-I31)*100</f>
        <v>3.50036934711242</v>
      </c>
      <c r="M31" s="12" t="n">
        <f aca="false">(J31-H31)*100</f>
        <v>3.58447077453159</v>
      </c>
      <c r="N31" s="11" t="n">
        <f aca="false">('Base votos'!F96)/'Base votos'!R96</f>
        <v>0.0430544705927423</v>
      </c>
      <c r="O31" s="11" t="n">
        <f aca="false">('Base votos'!F129)/'Base votos'!R129</f>
        <v>0.0566056260918842</v>
      </c>
      <c r="P31" s="11" t="n">
        <f aca="false">('Base votos'!F162)/'Base votos'!R162</f>
        <v>0.0657266272776923</v>
      </c>
      <c r="Q31" s="12" t="n">
        <f aca="false">(O31-N31)*100</f>
        <v>1.3551155499142</v>
      </c>
      <c r="R31" s="12" t="n">
        <f aca="false">(P31-O31)*100</f>
        <v>0.912100118580804</v>
      </c>
      <c r="S31" s="12" t="n">
        <f aca="false">(P31-N31)*100</f>
        <v>2.267215668495</v>
      </c>
      <c r="T31" s="11" t="n">
        <f aca="false">('Base votos'!H96)/'Base votos'!R96</f>
        <v>0.0162963727911869</v>
      </c>
      <c r="U31" s="11" t="n">
        <f aca="false">('Base votos'!H129)/'Base votos'!R129</f>
        <v>0.0129910877701496</v>
      </c>
      <c r="V31" s="11" t="n">
        <f aca="false">('Base votos'!H162)/'Base votos'!R162</f>
        <v>0.0228561369616928</v>
      </c>
      <c r="W31" s="12" t="n">
        <f aca="false">(U31-T31)*100</f>
        <v>-0.330528502103727</v>
      </c>
      <c r="X31" s="12" t="n">
        <f aca="false">(V31-U31)*100</f>
        <v>0.986504919154316</v>
      </c>
      <c r="Y31" s="12" t="n">
        <f aca="false">(V31-T31)*100</f>
        <v>0.655976417050589</v>
      </c>
      <c r="Z31" s="11" t="n">
        <f aca="false">('Base votos'!I96)/'Base votos'!R96</f>
        <v>0.093589216145135</v>
      </c>
      <c r="AA31" s="11" t="n">
        <f aca="false">('Base votos'!I129)/'Base votos'!R129</f>
        <v>0.0761674957071675</v>
      </c>
      <c r="AB31" s="11" t="n">
        <f aca="false">('Base votos'!I162)/'Base votos'!R162</f>
        <v>0.0340382124206165</v>
      </c>
      <c r="AC31" s="12" t="n">
        <f aca="false">(AA31-Z31)*100</f>
        <v>-1.74217204379675</v>
      </c>
      <c r="AD31" s="12" t="n">
        <f aca="false">(AB31-AA31)*100</f>
        <v>-4.2129283286551</v>
      </c>
      <c r="AE31" s="12" t="n">
        <f aca="false">(AB31-Z31)*100</f>
        <v>-5.95510037245185</v>
      </c>
      <c r="AF31" s="11" t="n">
        <f aca="false">('Base votos'!J96)/'Base votos'!R96</f>
        <v>0.0959319030145958</v>
      </c>
      <c r="AG31" s="11" t="n">
        <f aca="false">('Base votos'!J129)/'Base votos'!R129</f>
        <v>0.117984860628349</v>
      </c>
      <c r="AH31" s="11" t="n">
        <f aca="false">('Base votos'!J162)/'Base votos'!R162</f>
        <v>0.0740795573028332</v>
      </c>
      <c r="AI31" s="12" t="n">
        <f aca="false">(AG31-AF31)*100</f>
        <v>2.20529576137532</v>
      </c>
      <c r="AJ31" s="12" t="n">
        <f aca="false">(AH31-AG31)*100</f>
        <v>-4.39053033255158</v>
      </c>
      <c r="AK31" s="12" t="n">
        <f aca="false">(AH31-AF31)*100</f>
        <v>-2.18523457117626</v>
      </c>
      <c r="AL31" s="11" t="n">
        <f aca="false">('Base votos'!K96)/'Base votos'!R96</f>
        <v>0.0177954258893133</v>
      </c>
      <c r="AM31" s="11" t="n">
        <f aca="false">('Base votos'!K129)/'Base votos'!R129</f>
        <v>0.0330396029143237</v>
      </c>
      <c r="AN31" s="11" t="n">
        <f aca="false">('Base votos'!K162)/'Base votos'!R162</f>
        <v>0.07334383505378</v>
      </c>
      <c r="AO31" s="12" t="n">
        <f aca="false">(AM31-AL31)*100</f>
        <v>1.52441770250105</v>
      </c>
      <c r="AP31" s="12" t="n">
        <f aca="false">(AN31-AM31)*100</f>
        <v>4.03042321394562</v>
      </c>
      <c r="AQ31" s="12" t="n">
        <f aca="false">(AN31-AL31)*100</f>
        <v>5.55484091644667</v>
      </c>
      <c r="AR31" s="11" t="n">
        <f aca="false">('Base votos'!D96+'Base votos'!E96)/'Base votos'!R96</f>
        <v>0.662510680753324</v>
      </c>
      <c r="AS31" s="11" t="n">
        <f aca="false">('Base votos'!D129+'Base votos'!E129)/'Base votos'!R129</f>
        <v>0.603833187304101</v>
      </c>
      <c r="AT31" s="11" t="n">
        <f aca="false">('Base votos'!D162+'Base votos'!E162)/'Base votos'!R162</f>
        <v>0.666400061385415</v>
      </c>
      <c r="AU31" s="12" t="n">
        <f aca="false">(AS31-AR31)*100</f>
        <v>-5.8677493449223</v>
      </c>
      <c r="AV31" s="12" t="n">
        <f aca="false">(AT31-AS31)*100</f>
        <v>6.25668740813135</v>
      </c>
      <c r="AW31" s="12" t="n">
        <f aca="false">(AT31-AR31)*100</f>
        <v>0.388938063209043</v>
      </c>
      <c r="AX31" s="11" t="n">
        <f aca="false">('Base votos'!H96+'Base votos'!I96+'Base votos'!J96)/'Base votos'!R96</f>
        <v>0.205817491950918</v>
      </c>
      <c r="AY31" s="11" t="n">
        <f aca="false">('Base votos'!H129+'Base votos'!I129+'Base votos'!J129)/'Base votos'!R129</f>
        <v>0.207143444105666</v>
      </c>
      <c r="AZ31" s="11" t="n">
        <f aca="false">('Base votos'!H162+'Base votos'!I162+'Base votos'!J162)/'Base votos'!R162</f>
        <v>0.130973906685142</v>
      </c>
      <c r="BA31" s="12" t="n">
        <f aca="false">(AY31-AX31)*100</f>
        <v>0.132595215474846</v>
      </c>
      <c r="BB31" s="12" t="n">
        <f aca="false">(AZ31-AY31)*100</f>
        <v>-7.61695374205237</v>
      </c>
      <c r="BC31" s="12" t="n">
        <f aca="false">(AZ31-AX31)*100</f>
        <v>-7.48435852657752</v>
      </c>
    </row>
    <row r="32" customFormat="false" ht="15" hidden="false" customHeight="false" outlineLevel="0" collapsed="false">
      <c r="A32" s="14" t="s">
        <v>109</v>
      </c>
      <c r="B32" s="11" t="n">
        <f aca="false">('Base votos'!D97)/'Base votos'!R97</f>
        <v>0.324511243667226</v>
      </c>
      <c r="C32" s="11" t="n">
        <f aca="false">('Base votos'!D130)/'Base votos'!R130</f>
        <v>0.398804056135404</v>
      </c>
      <c r="D32" s="11" t="n">
        <f aca="false">('Base votos'!D163)/'Base votos'!R163</f>
        <v>0.481508993966849</v>
      </c>
      <c r="E32" s="12" t="n">
        <f aca="false">(C32-B32)*100</f>
        <v>7.42928124681785</v>
      </c>
      <c r="F32" s="12" t="n">
        <f aca="false">(D32-C32)*100</f>
        <v>8.2704937831445</v>
      </c>
      <c r="G32" s="12" t="n">
        <f aca="false">(D32-B32)*100</f>
        <v>15.6997750299623</v>
      </c>
      <c r="H32" s="11" t="n">
        <f aca="false">('Base votos'!E97)/'Base votos'!R97</f>
        <v>0.0271520381525858</v>
      </c>
      <c r="I32" s="11" t="n">
        <f aca="false">('Base votos'!E130)/'Base votos'!R130</f>
        <v>0.0249220881215953</v>
      </c>
      <c r="J32" s="11" t="n">
        <f aca="false">('Base votos'!E163)/'Base votos'!R163</f>
        <v>0.0341438662967557</v>
      </c>
      <c r="K32" s="12" t="n">
        <f aca="false">(I32-H32)*100</f>
        <v>-0.222995003099053</v>
      </c>
      <c r="L32" s="12" t="n">
        <f aca="false">(J32-I32)*100</f>
        <v>0.922177817516042</v>
      </c>
      <c r="M32" s="12" t="n">
        <f aca="false">(J32-H32)*100</f>
        <v>0.699182814416989</v>
      </c>
      <c r="N32" s="11" t="n">
        <f aca="false">('Base votos'!F97)/'Base votos'!R97</f>
        <v>0.0246152448263414</v>
      </c>
      <c r="O32" s="11" t="n">
        <f aca="false">('Base votos'!F130)/'Base votos'!R130</f>
        <v>0.0220956144562264</v>
      </c>
      <c r="P32" s="11" t="n">
        <f aca="false">('Base votos'!F163)/'Base votos'!R163</f>
        <v>0.0622527232197621</v>
      </c>
      <c r="Q32" s="12" t="n">
        <f aca="false">(O32-N32)*100</f>
        <v>-0.251963037011496</v>
      </c>
      <c r="R32" s="12" t="n">
        <f aca="false">(P32-O32)*100</f>
        <v>4.01571087635357</v>
      </c>
      <c r="S32" s="12" t="n">
        <f aca="false">(P32-N32)*100</f>
        <v>3.76374783934207</v>
      </c>
      <c r="T32" s="11" t="n">
        <f aca="false">('Base votos'!H97)/'Base votos'!R97</f>
        <v>0.334314611487524</v>
      </c>
      <c r="U32" s="11" t="n">
        <f aca="false">('Base votos'!H130)/'Base votos'!R130</f>
        <v>0.357981145741696</v>
      </c>
      <c r="V32" s="11" t="n">
        <f aca="false">('Base votos'!H163)/'Base votos'!R163</f>
        <v>0.259321397549815</v>
      </c>
      <c r="W32" s="12" t="n">
        <f aca="false">(U32-T32)*100</f>
        <v>2.36665342541725</v>
      </c>
      <c r="X32" s="12" t="n">
        <f aca="false">(V32-U32)*100</f>
        <v>-9.86597481918814</v>
      </c>
      <c r="Y32" s="12" t="n">
        <f aca="false">(V32-T32)*100</f>
        <v>-7.49932139377089</v>
      </c>
      <c r="Z32" s="11" t="n">
        <f aca="false">('Base votos'!I97)/'Base votos'!R97</f>
        <v>0.184640121608911</v>
      </c>
      <c r="AA32" s="11" t="n">
        <f aca="false">('Base votos'!I130)/'Base votos'!R130</f>
        <v>0.0914774256749819</v>
      </c>
      <c r="AB32" s="11" t="n">
        <f aca="false">('Base votos'!I163)/'Base votos'!R163</f>
        <v>0.0461017469992231</v>
      </c>
      <c r="AC32" s="12" t="n">
        <f aca="false">(AA32-Z32)*100</f>
        <v>-9.31626959339295</v>
      </c>
      <c r="AD32" s="12" t="n">
        <f aca="false">(AB32-AA32)*100</f>
        <v>-4.53756786757588</v>
      </c>
      <c r="AE32" s="12" t="n">
        <f aca="false">(AB32-Z32)*100</f>
        <v>-13.8538374609688</v>
      </c>
      <c r="AF32" s="11" t="n">
        <f aca="false">('Base votos'!J97)/'Base votos'!R97</f>
        <v>0.0133531594496165</v>
      </c>
      <c r="AG32" s="11" t="n">
        <f aca="false">('Base votos'!J130)/'Base votos'!R130</f>
        <v>0.00946598102363581</v>
      </c>
      <c r="AH32" s="11" t="n">
        <f aca="false">('Base votos'!J163)/'Base votos'!R163</f>
        <v>0.010801186061179</v>
      </c>
      <c r="AI32" s="12" t="n">
        <f aca="false">(AG32-AF32)*100</f>
        <v>-0.388717842598072</v>
      </c>
      <c r="AJ32" s="12" t="n">
        <f aca="false">(AH32-AG32)*100</f>
        <v>0.133520503754324</v>
      </c>
      <c r="AK32" s="12" t="n">
        <f aca="false">(AH32-AF32)*100</f>
        <v>-0.255197338843749</v>
      </c>
      <c r="AL32" s="11" t="n">
        <f aca="false">('Base votos'!K97)/'Base votos'!R97</f>
        <v>0.0224437448275693</v>
      </c>
      <c r="AM32" s="11" t="n">
        <f aca="false">('Base votos'!K130)/'Base votos'!R130</f>
        <v>0.0309822863216435</v>
      </c>
      <c r="AN32" s="11" t="n">
        <f aca="false">('Base votos'!K163)/'Base votos'!R163</f>
        <v>0.0785300870711649</v>
      </c>
      <c r="AO32" s="12" t="n">
        <f aca="false">(AM32-AL32)*100</f>
        <v>0.853854149407427</v>
      </c>
      <c r="AP32" s="12" t="n">
        <f aca="false">(AN32-AM32)*100</f>
        <v>4.75478007495214</v>
      </c>
      <c r="AQ32" s="12" t="n">
        <f aca="false">(AN32-AL32)*100</f>
        <v>5.60863422435956</v>
      </c>
      <c r="AR32" s="11" t="n">
        <f aca="false">('Base votos'!D97+'Base votos'!E97)/'Base votos'!R97</f>
        <v>0.351663281819812</v>
      </c>
      <c r="AS32" s="11" t="n">
        <f aca="false">('Base votos'!D130+'Base votos'!E130)/'Base votos'!R130</f>
        <v>0.423726144257</v>
      </c>
      <c r="AT32" s="11" t="n">
        <f aca="false">('Base votos'!D163+'Base votos'!E163)/'Base votos'!R163</f>
        <v>0.515652860263605</v>
      </c>
      <c r="AU32" s="12" t="n">
        <f aca="false">(AS32-AR32)*100</f>
        <v>7.2062862437188</v>
      </c>
      <c r="AV32" s="12" t="n">
        <f aca="false">(AT32-AS32)*100</f>
        <v>9.19267160066054</v>
      </c>
      <c r="AW32" s="12" t="n">
        <f aca="false">(AT32-AR32)*100</f>
        <v>16.3989578443793</v>
      </c>
      <c r="AX32" s="11" t="n">
        <f aca="false">('Base votos'!H97+'Base votos'!I97+'Base votos'!J97)/'Base votos'!R97</f>
        <v>0.532307892546052</v>
      </c>
      <c r="AY32" s="11" t="n">
        <f aca="false">('Base votos'!H130+'Base votos'!I130+'Base votos'!J130)/'Base votos'!R130</f>
        <v>0.458924552440314</v>
      </c>
      <c r="AZ32" s="11" t="n">
        <f aca="false">('Base votos'!H163+'Base votos'!I163+'Base votos'!J163)/'Base votos'!R163</f>
        <v>0.316224330610217</v>
      </c>
      <c r="BA32" s="12" t="n">
        <f aca="false">(AY32-AX32)*100</f>
        <v>-7.33833401057377</v>
      </c>
      <c r="BB32" s="12" t="n">
        <f aca="false">(AZ32-AY32)*100</f>
        <v>-14.2700221830097</v>
      </c>
      <c r="BC32" s="12" t="n">
        <f aca="false">(AZ32-AX32)*100</f>
        <v>-21.6083561935835</v>
      </c>
    </row>
    <row r="33" customFormat="false" ht="15" hidden="false" customHeight="false" outlineLevel="0" collapsed="false">
      <c r="A33" s="14" t="s">
        <v>110</v>
      </c>
      <c r="B33" s="11" t="n">
        <f aca="false">('Base votos'!D98)/'Base votos'!R98</f>
        <v>0.490323922919025</v>
      </c>
      <c r="C33" s="11" t="n">
        <f aca="false">('Base votos'!D131)/'Base votos'!R131</f>
        <v>0.357171112203052</v>
      </c>
      <c r="D33" s="11" t="n">
        <f aca="false">('Base votos'!D164)/'Base votos'!R164</f>
        <v>0.397505796914206</v>
      </c>
      <c r="E33" s="12" t="n">
        <f aca="false">(C33-B33)*100</f>
        <v>-13.3152810715974</v>
      </c>
      <c r="F33" s="12" t="n">
        <f aca="false">(D33-C33)*100</f>
        <v>4.03346847111542</v>
      </c>
      <c r="G33" s="12" t="n">
        <f aca="false">(D33-B33)*100</f>
        <v>-9.28181260048193</v>
      </c>
      <c r="H33" s="11" t="n">
        <f aca="false">('Base votos'!E98)/'Base votos'!R98</f>
        <v>0.0608627132332825</v>
      </c>
      <c r="I33" s="11" t="n">
        <f aca="false">('Base votos'!E131)/'Base votos'!R131</f>
        <v>0.0602488387832488</v>
      </c>
      <c r="J33" s="11" t="n">
        <f aca="false">('Base votos'!E164)/'Base votos'!R164</f>
        <v>0.0873637470165442</v>
      </c>
      <c r="K33" s="12" t="n">
        <f aca="false">(I33-H33)*100</f>
        <v>-0.0613874450033684</v>
      </c>
      <c r="L33" s="12" t="n">
        <f aca="false">(J33-I33)*100</f>
        <v>2.71149082332953</v>
      </c>
      <c r="M33" s="12" t="n">
        <f aca="false">(J33-H33)*100</f>
        <v>2.65010337832617</v>
      </c>
      <c r="N33" s="11" t="n">
        <f aca="false">('Base votos'!F98)/'Base votos'!R98</f>
        <v>0.025934474946062</v>
      </c>
      <c r="O33" s="11" t="n">
        <f aca="false">('Base votos'!F131)/'Base votos'!R131</f>
        <v>0.0381076879811362</v>
      </c>
      <c r="P33" s="11" t="n">
        <f aca="false">('Base votos'!F164)/'Base votos'!R164</f>
        <v>0.100072758923168</v>
      </c>
      <c r="Q33" s="12" t="n">
        <f aca="false">(O33-N33)*100</f>
        <v>1.21732130350742</v>
      </c>
      <c r="R33" s="12" t="n">
        <f aca="false">(P33-O33)*100</f>
        <v>6.19650709420317</v>
      </c>
      <c r="S33" s="12" t="n">
        <f aca="false">(P33-N33)*100</f>
        <v>7.4138283977106</v>
      </c>
      <c r="T33" s="11" t="n">
        <f aca="false">('Base votos'!H98)/'Base votos'!R98</f>
        <v>0.119803808178919</v>
      </c>
      <c r="U33" s="11" t="n">
        <f aca="false">('Base votos'!H131)/'Base votos'!R131</f>
        <v>0.10480155014324</v>
      </c>
      <c r="V33" s="11" t="n">
        <f aca="false">('Base votos'!H164)/'Base votos'!R164</f>
        <v>0.089390117026268</v>
      </c>
      <c r="W33" s="12" t="n">
        <f aca="false">(U33-T33)*100</f>
        <v>-1.50022580356786</v>
      </c>
      <c r="X33" s="12" t="n">
        <f aca="false">(V33-U33)*100</f>
        <v>-1.54114331169719</v>
      </c>
      <c r="Y33" s="12" t="n">
        <f aca="false">(V33-T33)*100</f>
        <v>-3.04136911526506</v>
      </c>
      <c r="Z33" s="11" t="n">
        <f aca="false">('Base votos'!I98)/'Base votos'!R98</f>
        <v>0.146616362751731</v>
      </c>
      <c r="AA33" s="11" t="n">
        <f aca="false">('Base votos'!I131)/'Base votos'!R131</f>
        <v>0.141379491506043</v>
      </c>
      <c r="AB33" s="11" t="n">
        <f aca="false">('Base votos'!I164)/'Base votos'!R164</f>
        <v>0.0832892473191397</v>
      </c>
      <c r="AC33" s="12" t="n">
        <f aca="false">(AA33-Z33)*100</f>
        <v>-0.523687124568792</v>
      </c>
      <c r="AD33" s="12" t="n">
        <f aca="false">(AB33-AA33)*100</f>
        <v>-5.80902441869036</v>
      </c>
      <c r="AE33" s="12" t="n">
        <f aca="false">(AB33-Z33)*100</f>
        <v>-6.33271154325915</v>
      </c>
      <c r="AF33" s="11" t="n">
        <f aca="false">('Base votos'!J98)/'Base votos'!R98</f>
        <v>0.037052994398966</v>
      </c>
      <c r="AG33" s="11" t="n">
        <f aca="false">('Base votos'!J131)/'Base votos'!R131</f>
        <v>0.0454102965854201</v>
      </c>
      <c r="AH33" s="11" t="n">
        <f aca="false">('Base votos'!J164)/'Base votos'!R164</f>
        <v>0.0420668974099183</v>
      </c>
      <c r="AI33" s="12" t="n">
        <f aca="false">(AG33-AF33)*100</f>
        <v>0.835730218645416</v>
      </c>
      <c r="AJ33" s="12" t="n">
        <f aca="false">(AH33-AG33)*100</f>
        <v>-0.334339917550179</v>
      </c>
      <c r="AK33" s="12" t="n">
        <f aca="false">(AH33-AF33)*100</f>
        <v>0.501390301095237</v>
      </c>
      <c r="AL33" s="11" t="n">
        <f aca="false">('Base votos'!K98)/'Base votos'!R98</f>
        <v>0.0284736977472998</v>
      </c>
      <c r="AM33" s="11" t="n">
        <f aca="false">('Base votos'!K131)/'Base votos'!R131</f>
        <v>0.0373644474524311</v>
      </c>
      <c r="AN33" s="11" t="n">
        <f aca="false">('Base votos'!K164)/'Base votos'!R164</f>
        <v>0.143306519063518</v>
      </c>
      <c r="AO33" s="12" t="n">
        <f aca="false">(AM33-AL33)*100</f>
        <v>0.889074970513124</v>
      </c>
      <c r="AP33" s="12" t="n">
        <f aca="false">(AN33-AM33)*100</f>
        <v>10.5942071611087</v>
      </c>
      <c r="AQ33" s="12" t="n">
        <f aca="false">(AN33-AL33)*100</f>
        <v>11.4832821316218</v>
      </c>
      <c r="AR33" s="11" t="n">
        <f aca="false">('Base votos'!D98+'Base votos'!E98)/'Base votos'!R98</f>
        <v>0.551186636152308</v>
      </c>
      <c r="AS33" s="11" t="n">
        <f aca="false">('Base votos'!D131+'Base votos'!E131)/'Base votos'!R131</f>
        <v>0.4174199509863</v>
      </c>
      <c r="AT33" s="11" t="n">
        <f aca="false">('Base votos'!D164+'Base votos'!E164)/'Base votos'!R164</f>
        <v>0.48486954393075</v>
      </c>
      <c r="AU33" s="12" t="n">
        <f aca="false">(AS33-AR33)*100</f>
        <v>-13.3766685166007</v>
      </c>
      <c r="AV33" s="12" t="n">
        <f aca="false">(AT33-AS33)*100</f>
        <v>6.74495929444496</v>
      </c>
      <c r="AW33" s="12" t="n">
        <f aca="false">(AT33-AR33)*100</f>
        <v>-6.63170922215576</v>
      </c>
      <c r="AX33" s="11" t="n">
        <f aca="false">('Base votos'!H98+'Base votos'!I98+'Base votos'!J98)/'Base votos'!R98</f>
        <v>0.303473165329616</v>
      </c>
      <c r="AY33" s="11" t="n">
        <f aca="false">('Base votos'!H131+'Base votos'!I131+'Base votos'!J131)/'Base votos'!R131</f>
        <v>0.291591338234703</v>
      </c>
      <c r="AZ33" s="11" t="n">
        <f aca="false">('Base votos'!H164+'Base votos'!I164+'Base votos'!J164)/'Base votos'!R164</f>
        <v>0.214746261755326</v>
      </c>
      <c r="BA33" s="12" t="n">
        <f aca="false">(AY33-AX33)*100</f>
        <v>-1.18818270949124</v>
      </c>
      <c r="BB33" s="12" t="n">
        <f aca="false">(AZ33-AY33)*100</f>
        <v>-7.68450764793773</v>
      </c>
      <c r="BC33" s="12" t="n">
        <f aca="false">(AZ33-AX33)*100</f>
        <v>-8.87269035742897</v>
      </c>
    </row>
    <row r="34" customFormat="false" ht="15" hidden="false" customHeight="false" outlineLevel="0" collapsed="false">
      <c r="A34" s="14" t="s">
        <v>111</v>
      </c>
      <c r="B34" s="11" t="n">
        <f aca="false">('Base votos'!D99)/'Base votos'!R99</f>
        <v>0.416157323247969</v>
      </c>
      <c r="C34" s="11" t="n">
        <f aca="false">('Base votos'!D132)/'Base votos'!R132</f>
        <v>0.391791308258343</v>
      </c>
      <c r="D34" s="11" t="n">
        <f aca="false">('Base votos'!D165)/'Base votos'!R165</f>
        <v>0.496730159000744</v>
      </c>
      <c r="E34" s="12" t="n">
        <f aca="false">(C34-B34)*100</f>
        <v>-2.43660149896264</v>
      </c>
      <c r="F34" s="12" t="n">
        <f aca="false">(D34-C34)*100</f>
        <v>10.4938850742402</v>
      </c>
      <c r="G34" s="12" t="n">
        <f aca="false">(D34-B34)*100</f>
        <v>8.05728357527754</v>
      </c>
      <c r="H34" s="11" t="n">
        <f aca="false">('Base votos'!E99)/'Base votos'!R99</f>
        <v>0.0237951676199691</v>
      </c>
      <c r="I34" s="11" t="n">
        <f aca="false">('Base votos'!E132)/'Base votos'!R132</f>
        <v>0.0311675746236522</v>
      </c>
      <c r="J34" s="11" t="n">
        <f aca="false">('Base votos'!E165)/'Base votos'!R165</f>
        <v>0.0400819130570106</v>
      </c>
      <c r="K34" s="12" t="n">
        <f aca="false">(I34-H34)*100</f>
        <v>0.737240700368309</v>
      </c>
      <c r="L34" s="12" t="n">
        <f aca="false">(J34-I34)*100</f>
        <v>0.891433843335835</v>
      </c>
      <c r="M34" s="12" t="n">
        <f aca="false">(J34-H34)*100</f>
        <v>1.62867454370414</v>
      </c>
      <c r="N34" s="11" t="n">
        <f aca="false">('Base votos'!F99)/'Base votos'!R99</f>
        <v>0.0376450551087477</v>
      </c>
      <c r="O34" s="11" t="n">
        <f aca="false">('Base votos'!F132)/'Base votos'!R132</f>
        <v>0.058175060457391</v>
      </c>
      <c r="P34" s="11" t="n">
        <f aca="false">('Base votos'!F165)/'Base votos'!R165</f>
        <v>0.0686662485596065</v>
      </c>
      <c r="Q34" s="12" t="n">
        <f aca="false">(O34-N34)*100</f>
        <v>2.05300053486433</v>
      </c>
      <c r="R34" s="12" t="n">
        <f aca="false">(P34-O34)*100</f>
        <v>1.04911881022155</v>
      </c>
      <c r="S34" s="12" t="n">
        <f aca="false">(P34-N34)*100</f>
        <v>3.10211934508588</v>
      </c>
      <c r="T34" s="11" t="n">
        <f aca="false">('Base votos'!H99)/'Base votos'!R99</f>
        <v>0.25742066541786</v>
      </c>
      <c r="U34" s="11" t="n">
        <f aca="false">('Base votos'!H132)/'Base votos'!R132</f>
        <v>0.155001313960015</v>
      </c>
      <c r="V34" s="11" t="n">
        <f aca="false">('Base votos'!H165)/'Base votos'!R165</f>
        <v>0.159516825143173</v>
      </c>
      <c r="W34" s="12" t="n">
        <f aca="false">(U34-T34)*100</f>
        <v>-10.2419351457845</v>
      </c>
      <c r="X34" s="12" t="n">
        <f aca="false">(V34-U34)*100</f>
        <v>0.451551118315807</v>
      </c>
      <c r="Y34" s="12" t="n">
        <f aca="false">(V34-T34)*100</f>
        <v>-9.7903840274687</v>
      </c>
      <c r="Z34" s="11" t="n">
        <f aca="false">('Base votos'!I99)/'Base votos'!R99</f>
        <v>0.120504725207655</v>
      </c>
      <c r="AA34" s="11" t="n">
        <f aca="false">('Base votos'!I132)/'Base votos'!R132</f>
        <v>0.111875733996895</v>
      </c>
      <c r="AB34" s="11" t="n">
        <f aca="false">('Base votos'!I165)/'Base votos'!R165</f>
        <v>0.0925503165085109</v>
      </c>
      <c r="AC34" s="12" t="n">
        <f aca="false">(AA34-Z34)*100</f>
        <v>-0.862899121076004</v>
      </c>
      <c r="AD34" s="12" t="n">
        <f aca="false">(AB34-AA34)*100</f>
        <v>-1.93254174883837</v>
      </c>
      <c r="AE34" s="12" t="n">
        <f aca="false">(AB34-Z34)*100</f>
        <v>-2.79544086991438</v>
      </c>
      <c r="AF34" s="11" t="n">
        <f aca="false">('Base votos'!J99)/'Base votos'!R99</f>
        <v>0.0535556050625436</v>
      </c>
      <c r="AG34" s="11" t="n">
        <f aca="false">('Base votos'!J132)/'Base votos'!R132</f>
        <v>0.057873223488676</v>
      </c>
      <c r="AH34" s="11" t="n">
        <f aca="false">('Base votos'!J165)/'Base votos'!R165</f>
        <v>0.024533499476358</v>
      </c>
      <c r="AI34" s="12" t="n">
        <f aca="false">(AG34-AF34)*100</f>
        <v>0.43176184261324</v>
      </c>
      <c r="AJ34" s="12" t="n">
        <f aca="false">(AH34-AG34)*100</f>
        <v>-3.3339724012318</v>
      </c>
      <c r="AK34" s="12" t="n">
        <f aca="false">(AH34-AF34)*100</f>
        <v>-2.90221055861856</v>
      </c>
      <c r="AL34" s="11" t="n">
        <f aca="false">('Base votos'!K99)/'Base votos'!R99</f>
        <v>0.0252336239159178</v>
      </c>
      <c r="AM34" s="11" t="n">
        <f aca="false">('Base votos'!K132)/'Base votos'!R132</f>
        <v>0.0714797017407686</v>
      </c>
      <c r="AN34" s="11" t="n">
        <f aca="false">('Base votos'!K165)/'Base votos'!R165</f>
        <v>0.0838849972793713</v>
      </c>
      <c r="AO34" s="12" t="n">
        <f aca="false">(AM34-AL34)*100</f>
        <v>4.62460778248508</v>
      </c>
      <c r="AP34" s="12" t="n">
        <f aca="false">(AN34-AM34)*100</f>
        <v>1.24052955386027</v>
      </c>
      <c r="AQ34" s="12" t="n">
        <f aca="false">(AN34-AL34)*100</f>
        <v>5.86513733634535</v>
      </c>
      <c r="AR34" s="11" t="n">
        <f aca="false">('Base votos'!D99+'Base votos'!E99)/'Base votos'!R99</f>
        <v>0.439952490867938</v>
      </c>
      <c r="AS34" s="11" t="n">
        <f aca="false">('Base votos'!D132+'Base votos'!E132)/'Base votos'!R132</f>
        <v>0.422958882881995</v>
      </c>
      <c r="AT34" s="11" t="n">
        <f aca="false">('Base votos'!D165+'Base votos'!E165)/'Base votos'!R165</f>
        <v>0.536812072057755</v>
      </c>
      <c r="AU34" s="12" t="n">
        <f aca="false">(AS34-AR34)*100</f>
        <v>-1.69936079859433</v>
      </c>
      <c r="AV34" s="12" t="n">
        <f aca="false">(AT34-AS34)*100</f>
        <v>11.385318917576</v>
      </c>
      <c r="AW34" s="12" t="n">
        <f aca="false">(AT34-AR34)*100</f>
        <v>9.68595811898167</v>
      </c>
      <c r="AX34" s="11" t="n">
        <f aca="false">('Base votos'!H99+'Base votos'!I99+'Base votos'!J99)/'Base votos'!R99</f>
        <v>0.431480995688059</v>
      </c>
      <c r="AY34" s="11" t="n">
        <f aca="false">('Base votos'!H132+'Base votos'!I132+'Base votos'!J132)/'Base votos'!R132</f>
        <v>0.324750271445586</v>
      </c>
      <c r="AZ34" s="11" t="n">
        <f aca="false">('Base votos'!H165+'Base votos'!I165+'Base votos'!J165)/'Base votos'!R165</f>
        <v>0.276600641128042</v>
      </c>
      <c r="BA34" s="12" t="n">
        <f aca="false">(AY34-AX34)*100</f>
        <v>-10.6730724242473</v>
      </c>
      <c r="BB34" s="12" t="n">
        <f aca="false">(AZ34-AY34)*100</f>
        <v>-4.81496303175437</v>
      </c>
      <c r="BC34" s="12" t="n">
        <f aca="false">(AZ34-AX34)*100</f>
        <v>-15.4880354560016</v>
      </c>
    </row>
    <row r="35" customFormat="false" ht="15" hidden="false" customHeight="false" outlineLevel="0" collapsed="false">
      <c r="A35" s="14" t="s">
        <v>112</v>
      </c>
      <c r="B35" s="11" t="n">
        <f aca="false">('Base votos'!D100)/'Base votos'!R100</f>
        <v>0.244373187829132</v>
      </c>
      <c r="C35" s="11" t="n">
        <f aca="false">('Base votos'!D133)/'Base votos'!R133</f>
        <v>0.266379733454147</v>
      </c>
      <c r="D35" s="11" t="n">
        <f aca="false">('Base votos'!D166)/'Base votos'!R166</f>
        <v>0.413558167662842</v>
      </c>
      <c r="E35" s="12" t="n">
        <f aca="false">(C35-B35)*100</f>
        <v>2.20065456250156</v>
      </c>
      <c r="F35" s="12" t="n">
        <f aca="false">(D35-C35)*100</f>
        <v>14.7178434208695</v>
      </c>
      <c r="G35" s="12" t="n">
        <f aca="false">(D35-B35)*100</f>
        <v>16.9184979833711</v>
      </c>
      <c r="H35" s="11" t="n">
        <f aca="false">('Base votos'!E100)/'Base votos'!R100</f>
        <v>0.0161702731317773</v>
      </c>
      <c r="I35" s="11" t="n">
        <f aca="false">('Base votos'!E133)/'Base votos'!R133</f>
        <v>0.0153820742250916</v>
      </c>
      <c r="J35" s="11" t="n">
        <f aca="false">('Base votos'!E166)/'Base votos'!R166</f>
        <v>0.036989631160535</v>
      </c>
      <c r="K35" s="12" t="n">
        <f aca="false">(I35-H35)*100</f>
        <v>-0.0788198906685704</v>
      </c>
      <c r="L35" s="12" t="n">
        <f aca="false">(J35-I35)*100</f>
        <v>2.16075569354434</v>
      </c>
      <c r="M35" s="12" t="n">
        <f aca="false">(J35-H35)*100</f>
        <v>2.08193580287577</v>
      </c>
      <c r="N35" s="11" t="n">
        <f aca="false">('Base votos'!F100)/'Base votos'!R100</f>
        <v>0.0335238635655911</v>
      </c>
      <c r="O35" s="11" t="n">
        <f aca="false">('Base votos'!F133)/'Base votos'!R133</f>
        <v>0.0255427190697323</v>
      </c>
      <c r="P35" s="11" t="n">
        <f aca="false">('Base votos'!F166)/'Base votos'!R166</f>
        <v>0.0563768949846757</v>
      </c>
      <c r="Q35" s="12" t="n">
        <f aca="false">(O35-N35)*100</f>
        <v>-0.798114449585875</v>
      </c>
      <c r="R35" s="12" t="n">
        <f aca="false">(P35-O35)*100</f>
        <v>3.08341759149434</v>
      </c>
      <c r="S35" s="12" t="n">
        <f aca="false">(P35-N35)*100</f>
        <v>2.28530314190847</v>
      </c>
      <c r="T35" s="11" t="n">
        <f aca="false">('Base votos'!H100)/'Base votos'!R100</f>
        <v>0.301834141818157</v>
      </c>
      <c r="U35" s="11" t="n">
        <f aca="false">('Base votos'!H133)/'Base votos'!R133</f>
        <v>0.344972061766149</v>
      </c>
      <c r="V35" s="11" t="n">
        <f aca="false">('Base votos'!H166)/'Base votos'!R166</f>
        <v>0.321617210159819</v>
      </c>
      <c r="W35" s="12" t="n">
        <f aca="false">(U35-T35)*100</f>
        <v>4.31379199479928</v>
      </c>
      <c r="X35" s="12" t="n">
        <f aca="false">(V35-U35)*100</f>
        <v>-2.33548516063307</v>
      </c>
      <c r="Y35" s="12" t="n">
        <f aca="false">(V35-T35)*100</f>
        <v>1.9783068341662</v>
      </c>
      <c r="Z35" s="11" t="n">
        <f aca="false">('Base votos'!I100)/'Base votos'!R100</f>
        <v>0.29827121494163</v>
      </c>
      <c r="AA35" s="11" t="n">
        <f aca="false">('Base votos'!I133)/'Base votos'!R133</f>
        <v>0.234702873107562</v>
      </c>
      <c r="AB35" s="11" t="n">
        <f aca="false">('Base votos'!I166)/'Base votos'!R166</f>
        <v>0.0816003006141453</v>
      </c>
      <c r="AC35" s="12" t="n">
        <f aca="false">(AA35-Z35)*100</f>
        <v>-6.35683418340678</v>
      </c>
      <c r="AD35" s="12" t="n">
        <f aca="false">(AB35-AA35)*100</f>
        <v>-15.3102572493417</v>
      </c>
      <c r="AE35" s="12" t="n">
        <f aca="false">(AB35-Z35)*100</f>
        <v>-21.6670914327485</v>
      </c>
      <c r="AF35" s="11" t="n">
        <f aca="false">('Base votos'!J100)/'Base votos'!R100</f>
        <v>0.0258893909721886</v>
      </c>
      <c r="AG35" s="11" t="n">
        <f aca="false">('Base votos'!J133)/'Base votos'!R133</f>
        <v>0.0226412957299807</v>
      </c>
      <c r="AH35" s="11" t="n">
        <f aca="false">('Base votos'!J166)/'Base votos'!R166</f>
        <v>0.00940828332883195</v>
      </c>
      <c r="AI35" s="12" t="n">
        <f aca="false">(AG35-AF35)*100</f>
        <v>-0.324809524220784</v>
      </c>
      <c r="AJ35" s="12" t="n">
        <f aca="false">(AH35-AG35)*100</f>
        <v>-1.32330124011488</v>
      </c>
      <c r="AK35" s="12" t="n">
        <f aca="false">(AH35-AF35)*100</f>
        <v>-1.64811076433566</v>
      </c>
      <c r="AL35" s="11" t="n">
        <f aca="false">('Base votos'!K100)/'Base votos'!R100</f>
        <v>0.0204563383595485</v>
      </c>
      <c r="AM35" s="11" t="n">
        <f aca="false">('Base votos'!K133)/'Base votos'!R133</f>
        <v>0.0300402084041228</v>
      </c>
      <c r="AN35" s="11" t="n">
        <f aca="false">('Base votos'!K166)/'Base votos'!R166</f>
        <v>0.0513447394481695</v>
      </c>
      <c r="AO35" s="12" t="n">
        <f aca="false">(AM35-AL35)*100</f>
        <v>0.958387004457423</v>
      </c>
      <c r="AP35" s="12" t="n">
        <f aca="false">(AN35-AM35)*100</f>
        <v>2.13045310440467</v>
      </c>
      <c r="AQ35" s="12" t="n">
        <f aca="false">(AN35-AL35)*100</f>
        <v>3.0888401088621</v>
      </c>
      <c r="AR35" s="11" t="n">
        <f aca="false">('Base votos'!D100+'Base votos'!E100)/'Base votos'!R100</f>
        <v>0.260543460960909</v>
      </c>
      <c r="AS35" s="11" t="n">
        <f aca="false">('Base votos'!D133+'Base votos'!E133)/'Base votos'!R133</f>
        <v>0.281761807679239</v>
      </c>
      <c r="AT35" s="11" t="n">
        <f aca="false">('Base votos'!D166+'Base votos'!E166)/'Base votos'!R166</f>
        <v>0.450547798823377</v>
      </c>
      <c r="AU35" s="12" t="n">
        <f aca="false">(AS35-AR35)*100</f>
        <v>2.12183467183298</v>
      </c>
      <c r="AV35" s="12" t="n">
        <f aca="false">(AT35-AS35)*100</f>
        <v>16.8785991144139</v>
      </c>
      <c r="AW35" s="12" t="n">
        <f aca="false">(AT35-AR35)*100</f>
        <v>19.0004337862468</v>
      </c>
      <c r="AX35" s="11" t="n">
        <f aca="false">('Base votos'!H100+'Base votos'!I100+'Base votos'!J100)/'Base votos'!R100</f>
        <v>0.625994747731975</v>
      </c>
      <c r="AY35" s="11" t="n">
        <f aca="false">('Base votos'!H133+'Base votos'!I133+'Base votos'!J133)/'Base votos'!R133</f>
        <v>0.602316230603692</v>
      </c>
      <c r="AZ35" s="11" t="n">
        <f aca="false">('Base votos'!H166+'Base votos'!I166+'Base votos'!J166)/'Base votos'!R166</f>
        <v>0.412625794102796</v>
      </c>
      <c r="BA35" s="12" t="n">
        <f aca="false">(AY35-AX35)*100</f>
        <v>-2.36785171282828</v>
      </c>
      <c r="BB35" s="12" t="n">
        <f aca="false">(AZ35-AY35)*100</f>
        <v>-18.9690436500896</v>
      </c>
      <c r="BC35" s="12" t="n">
        <f aca="false">(AZ35-AX35)*100</f>
        <v>-21.3368953629179</v>
      </c>
    </row>
    <row r="36" customFormat="false" ht="15" hidden="false" customHeight="false" outlineLevel="0" collapsed="false">
      <c r="A36" s="14" t="s">
        <v>113</v>
      </c>
      <c r="B36" s="11" t="n">
        <f aca="false">('Base votos'!D101)/'Base votos'!R101</f>
        <v>0.311728777621596</v>
      </c>
      <c r="C36" s="11" t="n">
        <f aca="false">('Base votos'!D134)/'Base votos'!R134</f>
        <v>0.322557066302588</v>
      </c>
      <c r="D36" s="11" t="n">
        <f aca="false">('Base votos'!D167)/'Base votos'!R167</f>
        <v>0.337526985878865</v>
      </c>
      <c r="E36" s="12" t="n">
        <f aca="false">(C36-B36)*100</f>
        <v>1.08282886809923</v>
      </c>
      <c r="F36" s="12" t="n">
        <f aca="false">(D36-C36)*100</f>
        <v>1.49699195762767</v>
      </c>
      <c r="G36" s="12" t="n">
        <f aca="false">(D36-B36)*100</f>
        <v>2.5798208257269</v>
      </c>
      <c r="H36" s="11" t="n">
        <f aca="false">('Base votos'!E101)/'Base votos'!R101</f>
        <v>0.0738356009040394</v>
      </c>
      <c r="I36" s="11" t="n">
        <f aca="false">('Base votos'!E134)/'Base votos'!R134</f>
        <v>0.0812285636433625</v>
      </c>
      <c r="J36" s="11" t="n">
        <f aca="false">('Base votos'!E167)/'Base votos'!R167</f>
        <v>0.0695963685887647</v>
      </c>
      <c r="K36" s="12" t="n">
        <f aca="false">(I36-H36)*100</f>
        <v>0.739296273932304</v>
      </c>
      <c r="L36" s="12" t="n">
        <f aca="false">(J36-I36)*100</f>
        <v>-1.16321950545978</v>
      </c>
      <c r="M36" s="12" t="n">
        <f aca="false">(J36-H36)*100</f>
        <v>-0.423923231527473</v>
      </c>
      <c r="N36" s="11" t="n">
        <f aca="false">('Base votos'!F101)/'Base votos'!R101</f>
        <v>0.0596368018945797</v>
      </c>
      <c r="O36" s="11" t="n">
        <f aca="false">('Base votos'!F134)/'Base votos'!R134</f>
        <v>0.0467573883795664</v>
      </c>
      <c r="P36" s="11" t="n">
        <f aca="false">('Base votos'!F167)/'Base votos'!R167</f>
        <v>0.0751003737060869</v>
      </c>
      <c r="Q36" s="12" t="n">
        <f aca="false">(O36-N36)*100</f>
        <v>-1.28794135150133</v>
      </c>
      <c r="R36" s="12" t="n">
        <f aca="false">(P36-O36)*100</f>
        <v>2.83429853265205</v>
      </c>
      <c r="S36" s="12" t="n">
        <f aca="false">(P36-N36)*100</f>
        <v>1.54635718115072</v>
      </c>
      <c r="T36" s="11" t="n">
        <f aca="false">('Base votos'!H101)/'Base votos'!R101</f>
        <v>0.127339544868363</v>
      </c>
      <c r="U36" s="11" t="n">
        <f aca="false">('Base votos'!H134)/'Base votos'!R134</f>
        <v>0.10397579088352</v>
      </c>
      <c r="V36" s="11" t="n">
        <f aca="false">('Base votos'!H167)/'Base votos'!R167</f>
        <v>0.120240031773538</v>
      </c>
      <c r="W36" s="12" t="n">
        <f aca="false">(U36-T36)*100</f>
        <v>-2.33637539848428</v>
      </c>
      <c r="X36" s="12" t="n">
        <f aca="false">(V36-U36)*100</f>
        <v>1.62642408900172</v>
      </c>
      <c r="Y36" s="12" t="n">
        <f aca="false">(V36-T36)*100</f>
        <v>-0.709951309482558</v>
      </c>
      <c r="Z36" s="11" t="n">
        <f aca="false">('Base votos'!I101)/'Base votos'!R101</f>
        <v>0.253860232550167</v>
      </c>
      <c r="AA36" s="11" t="n">
        <f aca="false">('Base votos'!I134)/'Base votos'!R134</f>
        <v>0.246988637920023</v>
      </c>
      <c r="AB36" s="11" t="n">
        <f aca="false">('Base votos'!I167)/'Base votos'!R167</f>
        <v>0.188107469009659</v>
      </c>
      <c r="AC36" s="12" t="n">
        <f aca="false">(AA36-Z36)*100</f>
        <v>-0.68715946301437</v>
      </c>
      <c r="AD36" s="12" t="n">
        <f aca="false">(AB36-AA36)*100</f>
        <v>-5.88811689103636</v>
      </c>
      <c r="AE36" s="12" t="n">
        <f aca="false">(AB36-Z36)*100</f>
        <v>-6.57527635405073</v>
      </c>
      <c r="AF36" s="11" t="n">
        <f aca="false">('Base votos'!J101)/'Base votos'!R101</f>
        <v>0.0530859444021024</v>
      </c>
      <c r="AG36" s="11" t="n">
        <f aca="false">('Base votos'!J134)/'Base votos'!R134</f>
        <v>0.0460307688758879</v>
      </c>
      <c r="AH36" s="11" t="n">
        <f aca="false">('Base votos'!J167)/'Base votos'!R167</f>
        <v>0.0473968375892484</v>
      </c>
      <c r="AI36" s="12" t="n">
        <f aca="false">(AG36-AF36)*100</f>
        <v>-0.705517552621449</v>
      </c>
      <c r="AJ36" s="12" t="n">
        <f aca="false">(AH36-AG36)*100</f>
        <v>0.136606871336047</v>
      </c>
      <c r="AK36" s="12" t="n">
        <f aca="false">(AH36-AF36)*100</f>
        <v>-0.568910681285401</v>
      </c>
      <c r="AL36" s="11" t="n">
        <f aca="false">('Base votos'!K101)/'Base votos'!R101</f>
        <v>0.0243586937315889</v>
      </c>
      <c r="AM36" s="11" t="n">
        <f aca="false">('Base votos'!K134)/'Base votos'!R134</f>
        <v>0.0356865328860202</v>
      </c>
      <c r="AN36" s="11" t="n">
        <f aca="false">('Base votos'!K167)/'Base votos'!R167</f>
        <v>0.12098456021046</v>
      </c>
      <c r="AO36" s="12" t="n">
        <f aca="false">(AM36-AL36)*100</f>
        <v>1.13278391544313</v>
      </c>
      <c r="AP36" s="12" t="n">
        <f aca="false">(AN36-AM36)*100</f>
        <v>8.52980273244402</v>
      </c>
      <c r="AQ36" s="12" t="n">
        <f aca="false">(AN36-AL36)*100</f>
        <v>9.66258664788715</v>
      </c>
      <c r="AR36" s="11" t="n">
        <f aca="false">('Base votos'!D101+'Base votos'!E101)/'Base votos'!R101</f>
        <v>0.385564378525635</v>
      </c>
      <c r="AS36" s="11" t="n">
        <f aca="false">('Base votos'!D134+'Base votos'!E134)/'Base votos'!R134</f>
        <v>0.40378562994595</v>
      </c>
      <c r="AT36" s="11" t="n">
        <f aca="false">('Base votos'!D167+'Base votos'!E167)/'Base votos'!R167</f>
        <v>0.407123354467629</v>
      </c>
      <c r="AU36" s="12" t="n">
        <f aca="false">(AS36-AR36)*100</f>
        <v>1.82212514203153</v>
      </c>
      <c r="AV36" s="12" t="n">
        <f aca="false">(AT36-AS36)*100</f>
        <v>0.333772452167891</v>
      </c>
      <c r="AW36" s="12" t="n">
        <f aca="false">(AT36-AR36)*100</f>
        <v>2.15589759419942</v>
      </c>
      <c r="AX36" s="11" t="n">
        <f aca="false">('Base votos'!H101+'Base votos'!I101+'Base votos'!J101)/'Base votos'!R101</f>
        <v>0.434285721820632</v>
      </c>
      <c r="AY36" s="11" t="n">
        <f aca="false">('Base votos'!H134+'Base votos'!I134+'Base votos'!J134)/'Base votos'!R134</f>
        <v>0.396995197679431</v>
      </c>
      <c r="AZ36" s="11" t="n">
        <f aca="false">('Base votos'!H167+'Base votos'!I167+'Base votos'!J167)/'Base votos'!R167</f>
        <v>0.355744338372445</v>
      </c>
      <c r="BA36" s="12" t="n">
        <f aca="false">(AY36-AX36)*100</f>
        <v>-3.7290524141201</v>
      </c>
      <c r="BB36" s="12" t="n">
        <f aca="false">(AZ36-AY36)*100</f>
        <v>-4.12508593069859</v>
      </c>
      <c r="BC36" s="12" t="n">
        <f aca="false">(AZ36-AX36)*100</f>
        <v>-7.85413834481869</v>
      </c>
    </row>
    <row r="37" customFormat="false" ht="15" hidden="false" customHeight="false" outlineLevel="0" collapsed="false">
      <c r="A37" s="16" t="s">
        <v>4</v>
      </c>
      <c r="B37" s="17" t="n">
        <f aca="false">('Base votos'!D102)/'Base votos'!R102</f>
        <v>0.374931498968379</v>
      </c>
      <c r="C37" s="17" t="n">
        <f aca="false">('Base votos'!D135)/'Base votos'!R135</f>
        <v>0.341777616552312</v>
      </c>
      <c r="D37" s="17" t="n">
        <f aca="false">('Base votos'!D168)/'Base votos'!R168</f>
        <v>0.410802050661559</v>
      </c>
      <c r="E37" s="18" t="n">
        <f aca="false">(C37-B37)*100</f>
        <v>-3.3153882416067</v>
      </c>
      <c r="F37" s="18" t="n">
        <f aca="false">(D37-C37)*100</f>
        <v>6.90244341092471</v>
      </c>
      <c r="G37" s="18" t="n">
        <f aca="false">(D37-B37)*100</f>
        <v>3.58705516931801</v>
      </c>
      <c r="H37" s="17" t="n">
        <f aca="false">('Base votos'!E102)/'Base votos'!R102</f>
        <v>0.0381136160912402</v>
      </c>
      <c r="I37" s="17" t="n">
        <f aca="false">('Base votos'!E135)/'Base votos'!R135</f>
        <v>0.0319442895938502</v>
      </c>
      <c r="J37" s="17" t="n">
        <f aca="false">('Base votos'!E168)/'Base votos'!R168</f>
        <v>0.0532880816126493</v>
      </c>
      <c r="K37" s="18" t="n">
        <f aca="false">(I37-H37)*100</f>
        <v>-0.616932649739006</v>
      </c>
      <c r="L37" s="18" t="n">
        <f aca="false">(J37-I37)*100</f>
        <v>2.13437920187992</v>
      </c>
      <c r="M37" s="18" t="n">
        <f aca="false">(J37-H37)*100</f>
        <v>1.51744655214091</v>
      </c>
      <c r="N37" s="17" t="n">
        <f aca="false">('Base votos'!F102)/'Base votos'!R102</f>
        <v>0.0475043919434314</v>
      </c>
      <c r="O37" s="17" t="n">
        <f aca="false">('Base votos'!F135)/'Base votos'!R135</f>
        <v>0.0540538280558894</v>
      </c>
      <c r="P37" s="17" t="n">
        <f aca="false">('Base votos'!F168)/'Base votos'!R168</f>
        <v>0.0830253110038417</v>
      </c>
      <c r="Q37" s="18" t="n">
        <f aca="false">(O37-N37)*100</f>
        <v>0.654943611245801</v>
      </c>
      <c r="R37" s="18" t="n">
        <f aca="false">(P37-O37)*100</f>
        <v>2.89714829479523</v>
      </c>
      <c r="S37" s="18" t="n">
        <f aca="false">(P37-N37)*100</f>
        <v>3.55209190604103</v>
      </c>
      <c r="T37" s="17" t="n">
        <f aca="false">('Base votos'!H102)/'Base votos'!R102</f>
        <v>0.180441766090298</v>
      </c>
      <c r="U37" s="17" t="n">
        <f aca="false">('Base votos'!H135)/'Base votos'!R135</f>
        <v>0.18268376108719</v>
      </c>
      <c r="V37" s="17" t="n">
        <f aca="false">('Base votos'!H168)/'Base votos'!R168</f>
        <v>0.16994463165359</v>
      </c>
      <c r="W37" s="18" t="n">
        <f aca="false">(U37-T37)*100</f>
        <v>0.224199499689157</v>
      </c>
      <c r="X37" s="18" t="n">
        <f aca="false">(V37-U37)*100</f>
        <v>-1.27391294335995</v>
      </c>
      <c r="Y37" s="18" t="n">
        <f aca="false">(V37-T37)*100</f>
        <v>-1.04971344367079</v>
      </c>
      <c r="Z37" s="17" t="n">
        <f aca="false">('Base votos'!I102)/'Base votos'!R102</f>
        <v>0.166069040514156</v>
      </c>
      <c r="AA37" s="17" t="n">
        <f aca="false">('Base votos'!I135)/'Base votos'!R135</f>
        <v>0.177699764726563</v>
      </c>
      <c r="AB37" s="17" t="n">
        <f aca="false">('Base votos'!I168)/'Base votos'!R168</f>
        <v>0.111365669136428</v>
      </c>
      <c r="AC37" s="18" t="n">
        <f aca="false">(AA37-Z37)*100</f>
        <v>1.16307242124066</v>
      </c>
      <c r="AD37" s="18" t="n">
        <f aca="false">(AB37-AA37)*100</f>
        <v>-6.63340955901345</v>
      </c>
      <c r="AE37" s="18" t="n">
        <f aca="false">(AB37-Z37)*100</f>
        <v>-5.47033713777279</v>
      </c>
      <c r="AF37" s="17" t="n">
        <f aca="false">('Base votos'!J102)/'Base votos'!R102</f>
        <v>0.0522761827314896</v>
      </c>
      <c r="AG37" s="17" t="n">
        <f aca="false">('Base votos'!J135)/'Base votos'!R135</f>
        <v>0.0359005821206836</v>
      </c>
      <c r="AH37" s="17" t="n">
        <f aca="false">('Base votos'!J168)/'Base votos'!R168</f>
        <v>0.023446844026452</v>
      </c>
      <c r="AI37" s="18" t="n">
        <f aca="false">(AG37-AF37)*100</f>
        <v>-1.6375600610806</v>
      </c>
      <c r="AJ37" s="18" t="n">
        <f aca="false">(AH37-AG37)*100</f>
        <v>-1.24537380942316</v>
      </c>
      <c r="AK37" s="18" t="n">
        <f aca="false">(AH37-AF37)*100</f>
        <v>-2.88293387050376</v>
      </c>
      <c r="AL37" s="17" t="n">
        <f aca="false">('Base votos'!K102)/'Base votos'!R102</f>
        <v>0.0434754220527665</v>
      </c>
      <c r="AM37" s="17" t="n">
        <f aca="false">('Base votos'!K135)/'Base votos'!R135</f>
        <v>0.0701910345439349</v>
      </c>
      <c r="AN37" s="17" t="n">
        <f aca="false">('Base votos'!K168)/'Base votos'!R168</f>
        <v>0.109261643048987</v>
      </c>
      <c r="AO37" s="18" t="n">
        <f aca="false">(AM37-AL37)*100</f>
        <v>2.67156124911685</v>
      </c>
      <c r="AP37" s="18" t="n">
        <f aca="false">(AN37-AM37)*100</f>
        <v>3.90706085050519</v>
      </c>
      <c r="AQ37" s="18" t="n">
        <f aca="false">(AN37-AL37)*100</f>
        <v>6.57862209962204</v>
      </c>
      <c r="AR37" s="17" t="n">
        <f aca="false">('Base votos'!D102+'Base votos'!E102)/'Base votos'!R102</f>
        <v>0.41304511505962</v>
      </c>
      <c r="AS37" s="17" t="n">
        <f aca="false">('Base votos'!D135+'Base votos'!E135)/'Base votos'!R135</f>
        <v>0.373721906146163</v>
      </c>
      <c r="AT37" s="17" t="n">
        <f aca="false">('Base votos'!D168+'Base votos'!E168)/'Base votos'!R168</f>
        <v>0.464090132274209</v>
      </c>
      <c r="AU37" s="18" t="n">
        <f aca="false">(AS37-AR37)*100</f>
        <v>-3.9323208913457</v>
      </c>
      <c r="AV37" s="18" t="n">
        <f aca="false">(AT37-AS37)*100</f>
        <v>9.03682261280462</v>
      </c>
      <c r="AW37" s="18" t="n">
        <f aca="false">(AT37-AR37)*100</f>
        <v>5.10450172145892</v>
      </c>
      <c r="AX37" s="17" t="n">
        <f aca="false">('Base votos'!H102+'Base votos'!I102+'Base votos'!J102)/'Base votos'!R102</f>
        <v>0.398786989335944</v>
      </c>
      <c r="AY37" s="17" t="n">
        <f aca="false">('Base votos'!H135+'Base votos'!I135+'Base votos'!J135)/'Base votos'!R135</f>
        <v>0.396284107934436</v>
      </c>
      <c r="AZ37" s="17" t="n">
        <f aca="false">('Base votos'!H168+'Base votos'!I168+'Base votos'!J168)/'Base votos'!R168</f>
        <v>0.30475714481647</v>
      </c>
      <c r="BA37" s="18" t="n">
        <f aca="false">(AY37-AX37)*100</f>
        <v>-0.250288140150778</v>
      </c>
      <c r="BB37" s="18" t="n">
        <f aca="false">(AZ37-AY37)*100</f>
        <v>-9.15269631179656</v>
      </c>
      <c r="BC37" s="18" t="n">
        <f aca="false">(AZ37-AX37)*100</f>
        <v>-9.40298445194734</v>
      </c>
    </row>
  </sheetData>
  <mergeCells count="9">
    <mergeCell ref="B3:G3"/>
    <mergeCell ref="H3:M3"/>
    <mergeCell ref="N3:S3"/>
    <mergeCell ref="T3:Y3"/>
    <mergeCell ref="Z3:AE3"/>
    <mergeCell ref="AF3:AK3"/>
    <mergeCell ref="AL3:AQ3"/>
    <mergeCell ref="AR3:AW3"/>
    <mergeCell ref="AX3:BC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46" min="2" style="0" width="13"/>
    <col collapsed="false" customWidth="true" hidden="false" outlineLevel="0" max="52" min="47" style="0" width="22"/>
  </cols>
  <sheetData>
    <row r="1" customFormat="false" ht="16.15" hidden="false" customHeight="false" outlineLevel="0" collapsed="false">
      <c r="A1" s="5" t="s">
        <v>139</v>
      </c>
    </row>
    <row r="2" customFormat="false" ht="15" hidden="false" customHeight="false" outlineLevel="0" collapsed="false">
      <c r="A2" s="2" t="s">
        <v>115</v>
      </c>
    </row>
    <row r="3" customFormat="false" ht="15" hidden="false" customHeight="true" outlineLevel="0" collapsed="false">
      <c r="A3" s="6"/>
      <c r="B3" s="6" t="s">
        <v>53</v>
      </c>
      <c r="C3" s="6"/>
      <c r="D3" s="6"/>
      <c r="E3" s="6"/>
      <c r="F3" s="6"/>
      <c r="G3" s="6"/>
      <c r="H3" s="6" t="s">
        <v>54</v>
      </c>
      <c r="I3" s="6"/>
      <c r="J3" s="6"/>
      <c r="K3" s="6"/>
      <c r="L3" s="6"/>
      <c r="M3" s="6"/>
      <c r="N3" s="6" t="s">
        <v>51</v>
      </c>
      <c r="O3" s="6"/>
      <c r="P3" s="6"/>
      <c r="Q3" s="6"/>
      <c r="R3" s="6"/>
      <c r="S3" s="6"/>
      <c r="T3" s="6"/>
      <c r="U3" s="6"/>
      <c r="V3" s="6"/>
      <c r="W3" s="6" t="s">
        <v>116</v>
      </c>
      <c r="X3" s="6"/>
      <c r="Y3" s="6"/>
      <c r="Z3" s="6"/>
      <c r="AA3" s="6"/>
      <c r="AB3" s="6"/>
      <c r="AC3" s="6" t="s">
        <v>117</v>
      </c>
      <c r="AD3" s="6"/>
      <c r="AE3" s="6"/>
      <c r="AF3" s="6"/>
      <c r="AG3" s="6"/>
      <c r="AH3" s="6"/>
      <c r="AI3" s="6" t="s">
        <v>118</v>
      </c>
      <c r="AJ3" s="6"/>
      <c r="AK3" s="6"/>
      <c r="AL3" s="6"/>
      <c r="AM3" s="6"/>
      <c r="AN3" s="6"/>
      <c r="AO3" s="6" t="s">
        <v>119</v>
      </c>
      <c r="AP3" s="6"/>
      <c r="AQ3" s="6"/>
      <c r="AR3" s="6"/>
      <c r="AS3" s="6"/>
      <c r="AT3" s="6"/>
      <c r="AU3" s="6" t="s">
        <v>120</v>
      </c>
      <c r="AV3" s="6"/>
      <c r="AW3" s="6"/>
      <c r="AX3" s="6"/>
      <c r="AY3" s="6"/>
      <c r="AZ3" s="6"/>
    </row>
    <row r="4" customFormat="false" ht="75" hidden="false" customHeight="true" outlineLevel="0" collapsed="false">
      <c r="A4" s="6" t="s">
        <v>80</v>
      </c>
      <c r="B4" s="6" t="s">
        <v>43</v>
      </c>
      <c r="C4" s="6" t="s">
        <v>45</v>
      </c>
      <c r="D4" s="6" t="s">
        <v>44</v>
      </c>
      <c r="E4" s="7" t="s">
        <v>137</v>
      </c>
      <c r="F4" s="7" t="s">
        <v>138</v>
      </c>
      <c r="G4" s="7" t="s">
        <v>81</v>
      </c>
      <c r="H4" s="6" t="s">
        <v>43</v>
      </c>
      <c r="I4" s="6" t="s">
        <v>45</v>
      </c>
      <c r="J4" s="6" t="s">
        <v>44</v>
      </c>
      <c r="K4" s="7" t="s">
        <v>137</v>
      </c>
      <c r="L4" s="7" t="s">
        <v>138</v>
      </c>
      <c r="M4" s="7" t="s">
        <v>81</v>
      </c>
      <c r="N4" s="6" t="s">
        <v>43</v>
      </c>
      <c r="O4" s="6" t="s">
        <v>45</v>
      </c>
      <c r="P4" s="6" t="s">
        <v>44</v>
      </c>
      <c r="Q4" s="7" t="s">
        <v>140</v>
      </c>
      <c r="R4" s="7" t="s">
        <v>141</v>
      </c>
      <c r="S4" s="7" t="s">
        <v>121</v>
      </c>
      <c r="T4" s="7" t="s">
        <v>142</v>
      </c>
      <c r="U4" s="7" t="s">
        <v>143</v>
      </c>
      <c r="V4" s="7" t="s">
        <v>122</v>
      </c>
      <c r="W4" s="6" t="s">
        <v>123</v>
      </c>
      <c r="X4" s="6" t="s">
        <v>144</v>
      </c>
      <c r="Y4" s="6" t="s">
        <v>124</v>
      </c>
      <c r="Z4" s="7" t="s">
        <v>137</v>
      </c>
      <c r="AA4" s="7" t="s">
        <v>138</v>
      </c>
      <c r="AB4" s="7" t="s">
        <v>81</v>
      </c>
      <c r="AC4" s="6" t="s">
        <v>125</v>
      </c>
      <c r="AD4" s="6" t="s">
        <v>145</v>
      </c>
      <c r="AE4" s="6" t="s">
        <v>126</v>
      </c>
      <c r="AF4" s="7" t="s">
        <v>137</v>
      </c>
      <c r="AG4" s="7" t="s">
        <v>138</v>
      </c>
      <c r="AH4" s="7" t="s">
        <v>81</v>
      </c>
      <c r="AI4" s="6" t="s">
        <v>127</v>
      </c>
      <c r="AJ4" s="6" t="s">
        <v>146</v>
      </c>
      <c r="AK4" s="6" t="s">
        <v>128</v>
      </c>
      <c r="AL4" s="7" t="s">
        <v>137</v>
      </c>
      <c r="AM4" s="7" t="s">
        <v>138</v>
      </c>
      <c r="AN4" s="7" t="s">
        <v>81</v>
      </c>
      <c r="AO4" s="6" t="s">
        <v>43</v>
      </c>
      <c r="AP4" s="6" t="s">
        <v>45</v>
      </c>
      <c r="AQ4" s="6" t="s">
        <v>44</v>
      </c>
      <c r="AR4" s="7" t="s">
        <v>137</v>
      </c>
      <c r="AS4" s="7" t="s">
        <v>138</v>
      </c>
      <c r="AT4" s="7" t="s">
        <v>81</v>
      </c>
      <c r="AU4" s="6" t="s">
        <v>129</v>
      </c>
      <c r="AV4" s="6" t="s">
        <v>147</v>
      </c>
      <c r="AW4" s="6" t="s">
        <v>130</v>
      </c>
      <c r="AX4" s="6" t="s">
        <v>148</v>
      </c>
      <c r="AY4" s="6" t="s">
        <v>149</v>
      </c>
      <c r="AZ4" s="6" t="s">
        <v>131</v>
      </c>
    </row>
    <row r="5" customFormat="false" ht="23.85" hidden="false" customHeight="false" outlineLevel="0" collapsed="false">
      <c r="A5" s="14" t="s">
        <v>82</v>
      </c>
      <c r="B5" s="11" t="n">
        <f aca="false">'Base votos'!R70/'Base votos'!S70</f>
        <v>0.589858688555172</v>
      </c>
      <c r="C5" s="11" t="n">
        <f aca="false">'Base votos'!R103/'Base votos'!S103</f>
        <v>0.505290389036486</v>
      </c>
      <c r="D5" s="11" t="n">
        <f aca="false">'Base votos'!R136/'Base votos'!S136</f>
        <v>0.598452477612321</v>
      </c>
      <c r="E5" s="12" t="n">
        <f aca="false">(C5-B5)*100</f>
        <v>-8.45682995186864</v>
      </c>
      <c r="F5" s="12" t="n">
        <f aca="false">(D5-C5)*100</f>
        <v>9.31620885758354</v>
      </c>
      <c r="G5" s="12" t="n">
        <f aca="false">(D5-B5)*100</f>
        <v>0.859378905714903</v>
      </c>
      <c r="H5" s="11" t="n">
        <f aca="false">'Base votos'!Q70/'Base votos'!R70</f>
        <v>0.0392488063813003</v>
      </c>
      <c r="I5" s="11" t="n">
        <f aca="false">'Base votos'!Q103/'Base votos'!R103</f>
        <v>0.0328523521264842</v>
      </c>
      <c r="J5" s="11" t="n">
        <f aca="false">'Base votos'!Q136/'Base votos'!R136</f>
        <v>0.0317638209166131</v>
      </c>
      <c r="K5" s="12" t="n">
        <f aca="false">(I5-H5)*100</f>
        <v>-0.639645425481612</v>
      </c>
      <c r="L5" s="12" t="n">
        <f aca="false">(J5-I5)*100</f>
        <v>-0.108853120987106</v>
      </c>
      <c r="M5" s="12" t="n">
        <f aca="false">(J5-H5)*100</f>
        <v>-0.748498546468718</v>
      </c>
      <c r="N5" s="9" t="n">
        <f aca="false">'Base votos'!R70</f>
        <v>556501</v>
      </c>
      <c r="O5" s="9" t="n">
        <f aca="false">'Base votos'!R103</f>
        <v>514088</v>
      </c>
      <c r="P5" s="9" t="n">
        <f aca="false">'Base votos'!R136</f>
        <v>656722</v>
      </c>
      <c r="Q5" s="10" t="n">
        <f aca="false">O5-N5</f>
        <v>-42413</v>
      </c>
      <c r="R5" s="10" t="n">
        <f aca="false">P5-O5</f>
        <v>142634</v>
      </c>
      <c r="S5" s="10" t="n">
        <f aca="false">P5-N5</f>
        <v>100221</v>
      </c>
      <c r="T5" s="19" t="n">
        <f aca="false">O5/N5-1</f>
        <v>-0.0762136995261464</v>
      </c>
      <c r="U5" s="19" t="n">
        <f aca="false">P5/O5-1</f>
        <v>0.27745055321268</v>
      </c>
      <c r="V5" s="19" t="n">
        <f aca="false">P5/N5-1</f>
        <v>0.180091320590619</v>
      </c>
      <c r="W5" s="11" t="n">
        <f aca="false">'Base votos'!U70/'Base votos'!R70</f>
        <v>0.320838596875837</v>
      </c>
      <c r="X5" s="11" t="n">
        <f aca="false">'Base votos'!U103/'Base votos'!R103</f>
        <v>0.309561787087036</v>
      </c>
      <c r="Y5" s="11" t="n">
        <f aca="false">'Base votos'!U136/'Base votos'!R136</f>
        <v>0.372589923894738</v>
      </c>
      <c r="Z5" s="12" t="n">
        <f aca="false">(X5-W5)*100</f>
        <v>-1.1276809788801</v>
      </c>
      <c r="AA5" s="12" t="n">
        <f aca="false">(Y5-X5)*100</f>
        <v>6.30281368077021</v>
      </c>
      <c r="AB5" s="12" t="n">
        <f aca="false">(Y5-W5)*100</f>
        <v>5.17513270189011</v>
      </c>
      <c r="AC5" s="11" t="n">
        <f aca="false">'Base votos'!V70/'Base votos'!R70</f>
        <v>0.373859166470501</v>
      </c>
      <c r="AD5" s="11" t="n">
        <f aca="false">'Base votos'!V103/'Base votos'!R103</f>
        <v>0.564380028321999</v>
      </c>
      <c r="AE5" s="11" t="n">
        <f aca="false">'Base votos'!V136/'Base votos'!R136</f>
        <v>0.514138402550851</v>
      </c>
      <c r="AF5" s="12" t="n">
        <f aca="false">(AD5-AC5)*100</f>
        <v>19.0520861851499</v>
      </c>
      <c r="AG5" s="12" t="n">
        <f aca="false">(AE5-AD5)*100</f>
        <v>-5.02416257711482</v>
      </c>
      <c r="AH5" s="12" t="n">
        <f aca="false">(AE5-AC5)*100</f>
        <v>14.0279236080351</v>
      </c>
      <c r="AI5" s="11" t="n">
        <f aca="false">'Base votos'!W70/'Base votos'!R70</f>
        <v>0.265075893843857</v>
      </c>
      <c r="AJ5" s="11" t="n">
        <f aca="false">'Base votos'!W103/'Base votos'!R103</f>
        <v>0.0388279827578158</v>
      </c>
      <c r="AK5" s="11" t="n">
        <f aca="false">'Base votos'!W136/'Base votos'!R136</f>
        <v>0.0806170647549496</v>
      </c>
      <c r="AL5" s="12" t="n">
        <f aca="false">(AJ5-AI5)*100</f>
        <v>-22.6247911086041</v>
      </c>
      <c r="AM5" s="12" t="n">
        <f aca="false">(AK5-AJ5)*100</f>
        <v>4.17890819971338</v>
      </c>
      <c r="AN5" s="12" t="n">
        <f aca="false">(AK5-AI5)*100</f>
        <v>-18.4458829088907</v>
      </c>
      <c r="AO5" s="20" t="n">
        <f aca="false">(MAX('Base votos'!U70:W70)-LARGE('Base votos'!U70:W70,2))/'Base votos'!R70*100</f>
        <v>5.30205695946638</v>
      </c>
      <c r="AP5" s="20" t="n">
        <f aca="false">(MAX('Base votos'!U103:W103)-LARGE('Base votos'!U103:W103,2))/'Base votos'!R103*100</f>
        <v>25.4818241234964</v>
      </c>
      <c r="AQ5" s="20" t="n">
        <f aca="false">(MAX('Base votos'!U136:W136)-LARGE('Base votos'!U136:W136,2))/'Base votos'!R136*100</f>
        <v>14.1548478656113</v>
      </c>
      <c r="AR5" s="12" t="n">
        <f aca="false">(AP5-AO5)</f>
        <v>20.17976716403</v>
      </c>
      <c r="AS5" s="12" t="n">
        <f aca="false">(AQ5-AP5)</f>
        <v>-11.326976257885</v>
      </c>
      <c r="AT5" s="12" t="n">
        <f aca="false">(AQ5-AO5)</f>
        <v>8.85279090614495</v>
      </c>
      <c r="AU5" s="21" t="s">
        <v>132</v>
      </c>
      <c r="AV5" s="21" t="s">
        <v>132</v>
      </c>
      <c r="AW5" s="21" t="s">
        <v>132</v>
      </c>
      <c r="AX5" s="21" t="s">
        <v>150</v>
      </c>
      <c r="AY5" s="21" t="s">
        <v>150</v>
      </c>
      <c r="AZ5" s="21" t="s">
        <v>150</v>
      </c>
    </row>
    <row r="6" customFormat="false" ht="23.85" hidden="false" customHeight="false" outlineLevel="0" collapsed="false">
      <c r="A6" s="14" t="s">
        <v>83</v>
      </c>
      <c r="B6" s="11" t="n">
        <f aca="false">'Base votos'!R71/'Base votos'!S71</f>
        <v>0.525055398604537</v>
      </c>
      <c r="C6" s="11" t="n">
        <f aca="false">'Base votos'!R104/'Base votos'!S104</f>
        <v>0.384756229990141</v>
      </c>
      <c r="D6" s="11" t="n">
        <f aca="false">'Base votos'!R137/'Base votos'!S137</f>
        <v>0.482336448364327</v>
      </c>
      <c r="E6" s="12" t="n">
        <f aca="false">(C6-B6)*100</f>
        <v>-14.0299168614396</v>
      </c>
      <c r="F6" s="12" t="n">
        <f aca="false">(D6-C6)*100</f>
        <v>9.75802183741862</v>
      </c>
      <c r="G6" s="12" t="n">
        <f aca="false">(D6-B6)*100</f>
        <v>-4.27189502402099</v>
      </c>
      <c r="H6" s="11" t="n">
        <f aca="false">'Base votos'!Q71/'Base votos'!R71</f>
        <v>0.0292283492676179</v>
      </c>
      <c r="I6" s="11" t="n">
        <f aca="false">'Base votos'!Q104/'Base votos'!R104</f>
        <v>0.0329111670042513</v>
      </c>
      <c r="J6" s="11" t="n">
        <f aca="false">'Base votos'!Q137/'Base votos'!R137</f>
        <v>0.0522811746926439</v>
      </c>
      <c r="K6" s="12" t="n">
        <f aca="false">(I6-H6)*100</f>
        <v>0.368281773663345</v>
      </c>
      <c r="L6" s="12" t="n">
        <f aca="false">(J6-I6)*100</f>
        <v>1.93700076883925</v>
      </c>
      <c r="M6" s="12" t="n">
        <f aca="false">(J6-H6)*100</f>
        <v>2.3052825425026</v>
      </c>
      <c r="N6" s="9" t="n">
        <f aca="false">'Base votos'!R71</f>
        <v>1434224</v>
      </c>
      <c r="O6" s="9" t="n">
        <f aca="false">'Base votos'!R104</f>
        <v>1123175</v>
      </c>
      <c r="P6" s="9" t="n">
        <f aca="false">'Base votos'!R137</f>
        <v>1542429</v>
      </c>
      <c r="Q6" s="10" t="n">
        <f aca="false">O6-N6</f>
        <v>-311049</v>
      </c>
      <c r="R6" s="10" t="n">
        <f aca="false">P6-O6</f>
        <v>419254</v>
      </c>
      <c r="S6" s="10" t="n">
        <f aca="false">P6-N6</f>
        <v>108205</v>
      </c>
      <c r="T6" s="19" t="n">
        <f aca="false">O6/N6-1</f>
        <v>-0.216876164392731</v>
      </c>
      <c r="U6" s="19" t="n">
        <f aca="false">P6/O6-1</f>
        <v>0.373275758452601</v>
      </c>
      <c r="V6" s="19" t="n">
        <f aca="false">P6/N6-1</f>
        <v>0.0754449793058825</v>
      </c>
      <c r="W6" s="11" t="n">
        <f aca="false">'Base votos'!U71/'Base votos'!R71</f>
        <v>0.588881513626881</v>
      </c>
      <c r="X6" s="11" t="n">
        <f aca="false">'Base votos'!U104/'Base votos'!R104</f>
        <v>0.492115654283616</v>
      </c>
      <c r="Y6" s="11" t="n">
        <f aca="false">'Base votos'!U137/'Base votos'!R137</f>
        <v>0.639277399478355</v>
      </c>
      <c r="Z6" s="12" t="n">
        <f aca="false">(X6-W6)*100</f>
        <v>-9.67658593432655</v>
      </c>
      <c r="AA6" s="12" t="n">
        <f aca="false">(Y6-X6)*100</f>
        <v>14.716174519474</v>
      </c>
      <c r="AB6" s="12" t="n">
        <f aca="false">(Y6-W6)*100</f>
        <v>5.03958858514741</v>
      </c>
      <c r="AC6" s="11" t="n">
        <f aca="false">'Base votos'!V71/'Base votos'!R71</f>
        <v>0.233529072167249</v>
      </c>
      <c r="AD6" s="11" t="n">
        <f aca="false">'Base votos'!V104/'Base votos'!R104</f>
        <v>0.218247379081621</v>
      </c>
      <c r="AE6" s="11" t="n">
        <f aca="false">'Base votos'!V137/'Base votos'!R137</f>
        <v>0.216736718513462</v>
      </c>
      <c r="AF6" s="12" t="n">
        <f aca="false">(AD6-AC6)*100</f>
        <v>-1.52816930856274</v>
      </c>
      <c r="AG6" s="12" t="n">
        <f aca="false">(AE6-AD6)*100</f>
        <v>-0.151066056815974</v>
      </c>
      <c r="AH6" s="12" t="n">
        <f aca="false">(AE6-AC6)*100</f>
        <v>-1.67923536537871</v>
      </c>
      <c r="AI6" s="11" t="n">
        <f aca="false">'Base votos'!W71/'Base votos'!R71</f>
        <v>0.147446981782483</v>
      </c>
      <c r="AJ6" s="11" t="n">
        <f aca="false">'Base votos'!W104/'Base votos'!R104</f>
        <v>0.0463418434349055</v>
      </c>
      <c r="AK6" s="11" t="n">
        <f aca="false">'Base votos'!W137/'Base votos'!R137</f>
        <v>0.0903607232488497</v>
      </c>
      <c r="AL6" s="12" t="n">
        <f aca="false">(AJ6-AI6)*100</f>
        <v>-10.1105138347578</v>
      </c>
      <c r="AM6" s="12" t="n">
        <f aca="false">(AK6-AJ6)*100</f>
        <v>4.40188798139442</v>
      </c>
      <c r="AN6" s="12" t="n">
        <f aca="false">(AK6-AI6)*100</f>
        <v>-5.70862585336334</v>
      </c>
      <c r="AO6" s="20" t="n">
        <f aca="false">(MAX('Base votos'!U71:W71)-LARGE('Base votos'!U71:W71,2))/'Base votos'!R71*100</f>
        <v>35.5352441459633</v>
      </c>
      <c r="AP6" s="20" t="n">
        <f aca="false">(MAX('Base votos'!U104:W104)-LARGE('Base votos'!U104:W104,2))/'Base votos'!R104*100</f>
        <v>27.3868275201994</v>
      </c>
      <c r="AQ6" s="20" t="n">
        <f aca="false">(MAX('Base votos'!U137:W137)-LARGE('Base votos'!U137:W137,2))/'Base votos'!R137*100</f>
        <v>42.2540680964894</v>
      </c>
      <c r="AR6" s="12" t="n">
        <f aca="false">(AP6-AO6)</f>
        <v>-8.14841662576382</v>
      </c>
      <c r="AS6" s="12" t="n">
        <f aca="false">(AQ6-AP6)</f>
        <v>14.8672405762899</v>
      </c>
      <c r="AT6" s="12" t="n">
        <f aca="false">(AQ6-AO6)</f>
        <v>6.71882395052612</v>
      </c>
      <c r="AU6" s="21" t="s">
        <v>74</v>
      </c>
      <c r="AV6" s="21" t="s">
        <v>74</v>
      </c>
      <c r="AW6" s="21" t="s">
        <v>74</v>
      </c>
      <c r="AX6" s="21" t="s">
        <v>134</v>
      </c>
      <c r="AY6" s="21" t="s">
        <v>134</v>
      </c>
      <c r="AZ6" s="21" t="s">
        <v>134</v>
      </c>
    </row>
    <row r="7" customFormat="false" ht="23.85" hidden="false" customHeight="false" outlineLevel="0" collapsed="false">
      <c r="A7" s="14" t="s">
        <v>84</v>
      </c>
      <c r="B7" s="11" t="n">
        <f aca="false">'Base votos'!R72/'Base votos'!S72</f>
        <v>0.581166956636301</v>
      </c>
      <c r="C7" s="11" t="n">
        <f aca="false">'Base votos'!R105/'Base votos'!S105</f>
        <v>0.498326365792341</v>
      </c>
      <c r="D7" s="11" t="n">
        <f aca="false">'Base votos'!R138/'Base votos'!S138</f>
        <v>0.546324332252335</v>
      </c>
      <c r="E7" s="12" t="n">
        <f aca="false">(C7-B7)*100</f>
        <v>-8.28405908439594</v>
      </c>
      <c r="F7" s="12" t="n">
        <f aca="false">(D7-C7)*100</f>
        <v>4.79979664599933</v>
      </c>
      <c r="G7" s="12" t="n">
        <f aca="false">(D7-B7)*100</f>
        <v>-3.48426243839661</v>
      </c>
      <c r="H7" s="11" t="n">
        <f aca="false">'Base votos'!Q72/'Base votos'!R72</f>
        <v>0.0369840682475072</v>
      </c>
      <c r="I7" s="11" t="n">
        <f aca="false">'Base votos'!Q105/'Base votos'!R105</f>
        <v>0.0309233044882559</v>
      </c>
      <c r="J7" s="11" t="n">
        <f aca="false">'Base votos'!Q138/'Base votos'!R138</f>
        <v>0.0322096640923992</v>
      </c>
      <c r="K7" s="12" t="n">
        <f aca="false">(I7-H7)*100</f>
        <v>-0.606076375925129</v>
      </c>
      <c r="L7" s="12" t="n">
        <f aca="false">(J7-I7)*100</f>
        <v>0.128635960414326</v>
      </c>
      <c r="M7" s="12" t="n">
        <f aca="false">(J7-H7)*100</f>
        <v>-0.477440415510803</v>
      </c>
      <c r="N7" s="9" t="n">
        <f aca="false">'Base votos'!R72</f>
        <v>299967</v>
      </c>
      <c r="O7" s="9" t="n">
        <f aca="false">'Base votos'!R105</f>
        <v>279886</v>
      </c>
      <c r="P7" s="9" t="n">
        <f aca="false">'Base votos'!R138</f>
        <v>335241</v>
      </c>
      <c r="Q7" s="10" t="n">
        <f aca="false">O7-N7</f>
        <v>-20081</v>
      </c>
      <c r="R7" s="10" t="n">
        <f aca="false">P7-O7</f>
        <v>55355</v>
      </c>
      <c r="S7" s="10" t="n">
        <f aca="false">P7-N7</f>
        <v>35274</v>
      </c>
      <c r="T7" s="19" t="n">
        <f aca="false">O7/N7-1</f>
        <v>-0.0669440305100227</v>
      </c>
      <c r="U7" s="19" t="n">
        <f aca="false">P7/O7-1</f>
        <v>0.197776952044761</v>
      </c>
      <c r="V7" s="19" t="n">
        <f aca="false">P7/N7-1</f>
        <v>0.117592935222875</v>
      </c>
      <c r="W7" s="11" t="n">
        <f aca="false">'Base votos'!U72/'Base votos'!R72</f>
        <v>0.511139558684789</v>
      </c>
      <c r="X7" s="11" t="n">
        <f aca="false">'Base votos'!U105/'Base votos'!R105</f>
        <v>0.459887239804778</v>
      </c>
      <c r="Y7" s="11" t="n">
        <f aca="false">'Base votos'!U138/'Base votos'!R138</f>
        <v>0.56716213112358</v>
      </c>
      <c r="Z7" s="12" t="n">
        <f aca="false">(X7-W7)*100</f>
        <v>-5.1252318880011</v>
      </c>
      <c r="AA7" s="12" t="n">
        <f aca="false">(Y7-X7)*100</f>
        <v>10.7274891318802</v>
      </c>
      <c r="AB7" s="12" t="n">
        <f aca="false">(Y7-W7)*100</f>
        <v>5.60225724387911</v>
      </c>
      <c r="AC7" s="11" t="n">
        <f aca="false">'Base votos'!V72/'Base votos'!R72</f>
        <v>0.28602812976094</v>
      </c>
      <c r="AD7" s="11" t="n">
        <f aca="false">'Base votos'!V105/'Base votos'!R105</f>
        <v>0.402496016235181</v>
      </c>
      <c r="AE7" s="11" t="n">
        <f aca="false">'Base votos'!V138/'Base votos'!R138</f>
        <v>0.326821599983296</v>
      </c>
      <c r="AF7" s="12" t="n">
        <f aca="false">(AD7-AC7)*100</f>
        <v>11.6467886474241</v>
      </c>
      <c r="AG7" s="12" t="n">
        <f aca="false">(AE7-AD7)*100</f>
        <v>-7.56744162518859</v>
      </c>
      <c r="AH7" s="12" t="n">
        <f aca="false">(AE7-AC7)*100</f>
        <v>4.07934702223552</v>
      </c>
      <c r="AI7" s="11" t="n">
        <f aca="false">'Base votos'!W72/'Base votos'!R72</f>
        <v>0.165111495597849</v>
      </c>
      <c r="AJ7" s="11" t="n">
        <f aca="false">'Base votos'!W105/'Base votos'!R105</f>
        <v>0.0327883495423137</v>
      </c>
      <c r="AK7" s="11" t="n">
        <f aca="false">'Base votos'!W138/'Base votos'!R138</f>
        <v>0.0728431188309306</v>
      </c>
      <c r="AL7" s="12" t="n">
        <f aca="false">(AJ7-AI7)*100</f>
        <v>-13.2323146055535</v>
      </c>
      <c r="AM7" s="12" t="n">
        <f aca="false">(AK7-AJ7)*100</f>
        <v>4.00547692886169</v>
      </c>
      <c r="AN7" s="12" t="n">
        <f aca="false">(AK7-AI7)*100</f>
        <v>-9.22683767669185</v>
      </c>
      <c r="AO7" s="20" t="n">
        <f aca="false">(MAX('Base votos'!U72:W72)-LARGE('Base votos'!U72:W72,2))/'Base votos'!R72*100</f>
        <v>22.5111428923848</v>
      </c>
      <c r="AP7" s="20" t="n">
        <f aca="false">(MAX('Base votos'!U105:W105)-LARGE('Base votos'!U105:W105,2))/'Base votos'!R105*100</f>
        <v>5.73912235695962</v>
      </c>
      <c r="AQ7" s="20" t="n">
        <f aca="false">(MAX('Base votos'!U138:W138)-LARGE('Base votos'!U138:W138,2))/'Base votos'!R138*100</f>
        <v>24.0340531140284</v>
      </c>
      <c r="AR7" s="12" t="n">
        <f aca="false">(AP7-AO7)</f>
        <v>-16.7720205354252</v>
      </c>
      <c r="AS7" s="12" t="n">
        <f aca="false">(AQ7-AP7)</f>
        <v>18.2949307570688</v>
      </c>
      <c r="AT7" s="12" t="n">
        <f aca="false">(AQ7-AO7)</f>
        <v>1.52291022164358</v>
      </c>
      <c r="AU7" s="21" t="s">
        <v>74</v>
      </c>
      <c r="AV7" s="21" t="s">
        <v>74</v>
      </c>
      <c r="AW7" s="21" t="s">
        <v>74</v>
      </c>
      <c r="AX7" s="21" t="s">
        <v>134</v>
      </c>
      <c r="AY7" s="21" t="s">
        <v>134</v>
      </c>
      <c r="AZ7" s="21" t="s">
        <v>134</v>
      </c>
    </row>
    <row r="8" customFormat="false" ht="23.85" hidden="false" customHeight="false" outlineLevel="0" collapsed="false">
      <c r="A8" s="14" t="s">
        <v>85</v>
      </c>
      <c r="B8" s="11" t="n">
        <f aca="false">'Base votos'!R73/'Base votos'!S73</f>
        <v>0.699783196481304</v>
      </c>
      <c r="C8" s="11" t="n">
        <f aca="false">'Base votos'!R106/'Base votos'!S106</f>
        <v>0.634697570093458</v>
      </c>
      <c r="D8" s="11" t="n">
        <f aca="false">'Base votos'!R139/'Base votos'!S139</f>
        <v>0.641844870130057</v>
      </c>
      <c r="E8" s="12" t="n">
        <f aca="false">(C8-B8)*100</f>
        <v>-6.50856263878459</v>
      </c>
      <c r="F8" s="12" t="n">
        <f aca="false">(D8-C8)*100</f>
        <v>0.714730003659914</v>
      </c>
      <c r="G8" s="12" t="n">
        <f aca="false">(D8-B8)*100</f>
        <v>-5.79383263512467</v>
      </c>
      <c r="H8" s="11" t="n">
        <f aca="false">'Base votos'!Q73/'Base votos'!R73</f>
        <v>0.0340819051858447</v>
      </c>
      <c r="I8" s="11" t="n">
        <f aca="false">'Base votos'!Q106/'Base votos'!R106</f>
        <v>0.0259344946684446</v>
      </c>
      <c r="J8" s="11" t="n">
        <f aca="false">'Base votos'!Q139/'Base votos'!R139</f>
        <v>0.0292550865002232</v>
      </c>
      <c r="K8" s="12" t="n">
        <f aca="false">(I8-H8)*100</f>
        <v>-0.814741051740001</v>
      </c>
      <c r="L8" s="12" t="n">
        <f aca="false">(J8-I8)*100</f>
        <v>0.332059183177854</v>
      </c>
      <c r="M8" s="12" t="n">
        <f aca="false">(J8-H8)*100</f>
        <v>-0.482681868562147</v>
      </c>
      <c r="N8" s="9" t="n">
        <f aca="false">'Base votos'!R73</f>
        <v>449300</v>
      </c>
      <c r="O8" s="9" t="n">
        <f aca="false">'Base votos'!R106</f>
        <v>424454</v>
      </c>
      <c r="P8" s="9" t="n">
        <f aca="false">'Base votos'!R139</f>
        <v>445837</v>
      </c>
      <c r="Q8" s="10" t="n">
        <f aca="false">O8-N8</f>
        <v>-24846</v>
      </c>
      <c r="R8" s="10" t="n">
        <f aca="false">P8-O8</f>
        <v>21383</v>
      </c>
      <c r="S8" s="10" t="n">
        <f aca="false">P8-N8</f>
        <v>-3463</v>
      </c>
      <c r="T8" s="19" t="n">
        <f aca="false">O8/N8-1</f>
        <v>-0.0552993545515246</v>
      </c>
      <c r="U8" s="19" t="n">
        <f aca="false">P8/O8-1</f>
        <v>0.0503776616547376</v>
      </c>
      <c r="V8" s="19" t="n">
        <f aca="false">P8/N8-1</f>
        <v>-0.00770754507010907</v>
      </c>
      <c r="W8" s="11" t="n">
        <f aca="false">'Base votos'!U73/'Base votos'!R73</f>
        <v>0.457518361896283</v>
      </c>
      <c r="X8" s="11" t="n">
        <f aca="false">'Base votos'!U106/'Base votos'!R106</f>
        <v>0.438198249987042</v>
      </c>
      <c r="Y8" s="11" t="n">
        <f aca="false">'Base votos'!U139/'Base votos'!R139</f>
        <v>0.50084447903606</v>
      </c>
      <c r="Z8" s="12" t="n">
        <f aca="false">(X8-W8)*100</f>
        <v>-1.93201119092409</v>
      </c>
      <c r="AA8" s="12" t="n">
        <f aca="false">(Y8-X8)*100</f>
        <v>6.26462290490181</v>
      </c>
      <c r="AB8" s="12" t="n">
        <f aca="false">(Y8-W8)*100</f>
        <v>4.33261171397771</v>
      </c>
      <c r="AC8" s="11" t="n">
        <f aca="false">'Base votos'!V73/'Base votos'!R73</f>
        <v>0.190574226574672</v>
      </c>
      <c r="AD8" s="11" t="n">
        <f aca="false">'Base votos'!V106/'Base votos'!R106</f>
        <v>0.321542499304989</v>
      </c>
      <c r="AE8" s="11" t="n">
        <f aca="false">'Base votos'!V139/'Base votos'!R139</f>
        <v>0.152329214488703</v>
      </c>
      <c r="AF8" s="12" t="n">
        <f aca="false">(AD8-AC8)*100</f>
        <v>13.0968272730318</v>
      </c>
      <c r="AG8" s="12" t="n">
        <f aca="false">(AE8-AD8)*100</f>
        <v>-16.9213284816286</v>
      </c>
      <c r="AH8" s="12" t="n">
        <f aca="false">(AE8-AC8)*100</f>
        <v>-3.82450120859685</v>
      </c>
      <c r="AI8" s="11" t="n">
        <f aca="false">'Base votos'!W73/'Base votos'!R73</f>
        <v>0.317536167371467</v>
      </c>
      <c r="AJ8" s="11" t="n">
        <f aca="false">'Base votos'!W106/'Base votos'!R106</f>
        <v>0.188458584440246</v>
      </c>
      <c r="AK8" s="11" t="n">
        <f aca="false">'Base votos'!W139/'Base votos'!R139</f>
        <v>0.316967860451241</v>
      </c>
      <c r="AL8" s="12" t="n">
        <f aca="false">(AJ8-AI8)*100</f>
        <v>-12.9077582931221</v>
      </c>
      <c r="AM8" s="12" t="n">
        <f aca="false">(AK8-AJ8)*100</f>
        <v>12.8509276010996</v>
      </c>
      <c r="AN8" s="12" t="n">
        <f aca="false">(AK8-AI8)*100</f>
        <v>-0.0568306920225581</v>
      </c>
      <c r="AO8" s="20" t="n">
        <f aca="false">(MAX('Base votos'!U73:W73)-LARGE('Base votos'!U73:W73,2))/'Base votos'!R73*100</f>
        <v>13.9982194524816</v>
      </c>
      <c r="AP8" s="20" t="n">
        <f aca="false">(MAX('Base votos'!U106:W106)-LARGE('Base votos'!U106:W106,2))/'Base votos'!R106*100</f>
        <v>11.6655750682053</v>
      </c>
      <c r="AQ8" s="20" t="n">
        <f aca="false">(MAX('Base votos'!U139:W139)-LARGE('Base votos'!U139:W139,2))/'Base votos'!R139*100</f>
        <v>18.3876618584819</v>
      </c>
      <c r="AR8" s="12" t="n">
        <f aca="false">(AP8-AO8)</f>
        <v>-2.33264438427637</v>
      </c>
      <c r="AS8" s="12" t="n">
        <f aca="false">(AQ8-AP8)</f>
        <v>6.72208679027664</v>
      </c>
      <c r="AT8" s="12" t="n">
        <f aca="false">(AQ8-AO8)</f>
        <v>4.38944240600027</v>
      </c>
      <c r="AU8" s="21" t="s">
        <v>74</v>
      </c>
      <c r="AV8" s="21" t="s">
        <v>74</v>
      </c>
      <c r="AW8" s="21" t="s">
        <v>74</v>
      </c>
      <c r="AX8" s="21" t="s">
        <v>134</v>
      </c>
      <c r="AY8" s="21" t="s">
        <v>134</v>
      </c>
      <c r="AZ8" s="21" t="s">
        <v>134</v>
      </c>
    </row>
    <row r="9" customFormat="false" ht="23.85" hidden="false" customHeight="false" outlineLevel="0" collapsed="false">
      <c r="A9" s="14" t="s">
        <v>86</v>
      </c>
      <c r="B9" s="11" t="n">
        <f aca="false">'Base votos'!R74/'Base votos'!S74</f>
        <v>0.633665692090146</v>
      </c>
      <c r="C9" s="11" t="n">
        <f aca="false">'Base votos'!R107/'Base votos'!S107</f>
        <v>0.578166803709893</v>
      </c>
      <c r="D9" s="11" t="n">
        <f aca="false">'Base votos'!R140/'Base votos'!S140</f>
        <v>0.653978921554801</v>
      </c>
      <c r="E9" s="12" t="n">
        <f aca="false">(C9-B9)*100</f>
        <v>-5.54988883802536</v>
      </c>
      <c r="F9" s="12" t="n">
        <f aca="false">(D9-C9)*100</f>
        <v>7.5812117844908</v>
      </c>
      <c r="G9" s="12" t="n">
        <f aca="false">(D9-B9)*100</f>
        <v>2.03132294646544</v>
      </c>
      <c r="H9" s="11" t="n">
        <f aca="false">'Base votos'!Q74/'Base votos'!R74</f>
        <v>0.0240025846570421</v>
      </c>
      <c r="I9" s="11" t="n">
        <f aca="false">'Base votos'!Q107/'Base votos'!R107</f>
        <v>0.0205046763844116</v>
      </c>
      <c r="J9" s="11" t="n">
        <f aca="false">'Base votos'!Q140/'Base votos'!R140</f>
        <v>0.0219584362701103</v>
      </c>
      <c r="K9" s="12" t="n">
        <f aca="false">(I9-H9)*100</f>
        <v>-0.349790827263045</v>
      </c>
      <c r="L9" s="12" t="n">
        <f aca="false">(J9-I9)*100</f>
        <v>0.145375988569869</v>
      </c>
      <c r="M9" s="12" t="n">
        <f aca="false">(J9-H9)*100</f>
        <v>-0.204414838693176</v>
      </c>
      <c r="N9" s="9" t="n">
        <f aca="false">'Base votos'!R74</f>
        <v>1364978</v>
      </c>
      <c r="O9" s="9" t="n">
        <f aca="false">'Base votos'!R107</f>
        <v>1307848</v>
      </c>
      <c r="P9" s="9" t="n">
        <f aca="false">'Base votos'!R140</f>
        <v>1576615</v>
      </c>
      <c r="Q9" s="10" t="n">
        <f aca="false">O9-N9</f>
        <v>-57130</v>
      </c>
      <c r="R9" s="10" t="n">
        <f aca="false">P9-O9</f>
        <v>268767</v>
      </c>
      <c r="S9" s="10" t="n">
        <f aca="false">P9-N9</f>
        <v>211637</v>
      </c>
      <c r="T9" s="19" t="n">
        <f aca="false">O9/N9-1</f>
        <v>-0.0418541544259321</v>
      </c>
      <c r="U9" s="19" t="n">
        <f aca="false">P9/O9-1</f>
        <v>0.205503238908497</v>
      </c>
      <c r="V9" s="19" t="n">
        <f aca="false">P9/N9-1</f>
        <v>0.155047920186259</v>
      </c>
      <c r="W9" s="11" t="n">
        <f aca="false">'Base votos'!U74/'Base votos'!R74</f>
        <v>0.344458298961595</v>
      </c>
      <c r="X9" s="11" t="n">
        <f aca="false">'Base votos'!U107/'Base votos'!R107</f>
        <v>0.377601219713606</v>
      </c>
      <c r="Y9" s="11" t="n">
        <f aca="false">'Base votos'!U140/'Base votos'!R140</f>
        <v>0.472216742831953</v>
      </c>
      <c r="Z9" s="12" t="n">
        <f aca="false">(X9-W9)*100</f>
        <v>3.31429207520109</v>
      </c>
      <c r="AA9" s="12" t="n">
        <f aca="false">(Y9-X9)*100</f>
        <v>9.46155231183474</v>
      </c>
      <c r="AB9" s="12" t="n">
        <f aca="false">(Y9-W9)*100</f>
        <v>12.7758443870358</v>
      </c>
      <c r="AC9" s="11" t="n">
        <f aca="false">'Base votos'!V74/'Base votos'!R74</f>
        <v>0.295633336214943</v>
      </c>
      <c r="AD9" s="11" t="n">
        <f aca="false">'Base votos'!V107/'Base votos'!R107</f>
        <v>0.551926523571547</v>
      </c>
      <c r="AE9" s="11" t="n">
        <f aca="false">'Base votos'!V140/'Base votos'!R140</f>
        <v>0.466798172033122</v>
      </c>
      <c r="AF9" s="12" t="n">
        <f aca="false">(AD9-AC9)*100</f>
        <v>25.6293187356604</v>
      </c>
      <c r="AG9" s="12" t="n">
        <f aca="false">(AE9-AD9)*100</f>
        <v>-8.5128351538425</v>
      </c>
      <c r="AH9" s="12" t="n">
        <f aca="false">(AE9-AC9)*100</f>
        <v>17.1164835818179</v>
      </c>
      <c r="AI9" s="11" t="n">
        <f aca="false">'Base votos'!W74/'Base votos'!R74</f>
        <v>0.335590024161562</v>
      </c>
      <c r="AJ9" s="11" t="n">
        <f aca="false">'Base votos'!W107/'Base votos'!R107</f>
        <v>0.0179661550883589</v>
      </c>
      <c r="AK9" s="11" t="n">
        <f aca="false">'Base votos'!W140/'Base votos'!R140</f>
        <v>0.0386930227100465</v>
      </c>
      <c r="AL9" s="12" t="n">
        <f aca="false">(AJ9-AI9)*100</f>
        <v>-31.7623869073203</v>
      </c>
      <c r="AM9" s="12" t="n">
        <f aca="false">(AK9-AJ9)*100</f>
        <v>2.07268676216876</v>
      </c>
      <c r="AN9" s="12" t="n">
        <f aca="false">(AK9-AI9)*100</f>
        <v>-29.6897001451515</v>
      </c>
      <c r="AO9" s="20" t="n">
        <f aca="false">(MAX('Base votos'!U74:W74)-LARGE('Base votos'!U74:W74,2))/'Base votos'!R74*100</f>
        <v>0.886827480003341</v>
      </c>
      <c r="AP9" s="20" t="n">
        <f aca="false">(MAX('Base votos'!U107:W107)-LARGE('Base votos'!U107:W107,2))/'Base votos'!R107*100</f>
        <v>17.4325303857941</v>
      </c>
      <c r="AQ9" s="20" t="n">
        <f aca="false">(MAX('Base votos'!U140:W140)-LARGE('Base votos'!U140:W140,2))/'Base votos'!R140*100</f>
        <v>0.541857079883167</v>
      </c>
      <c r="AR9" s="12" t="n">
        <f aca="false">(AP9-AO9)</f>
        <v>16.5457029057907</v>
      </c>
      <c r="AS9" s="12" t="n">
        <f aca="false">(AQ9-AP9)</f>
        <v>-16.8906733059109</v>
      </c>
      <c r="AT9" s="12" t="n">
        <f aca="false">(AQ9-AO9)</f>
        <v>-0.344970400120173</v>
      </c>
      <c r="AU9" s="21" t="s">
        <v>74</v>
      </c>
      <c r="AV9" s="21" t="s">
        <v>132</v>
      </c>
      <c r="AW9" s="21" t="s">
        <v>74</v>
      </c>
      <c r="AX9" s="21" t="s">
        <v>133</v>
      </c>
      <c r="AY9" s="21" t="s">
        <v>135</v>
      </c>
      <c r="AZ9" s="21" t="s">
        <v>134</v>
      </c>
    </row>
    <row r="10" customFormat="false" ht="23.85" hidden="false" customHeight="false" outlineLevel="0" collapsed="false">
      <c r="A10" s="14" t="s">
        <v>87</v>
      </c>
      <c r="B10" s="11" t="n">
        <f aca="false">'Base votos'!R75/'Base votos'!S75</f>
        <v>0.631087955984323</v>
      </c>
      <c r="C10" s="11" t="n">
        <f aca="false">'Base votos'!R108/'Base votos'!S108</f>
        <v>0.535117441611737</v>
      </c>
      <c r="D10" s="11" t="n">
        <f aca="false">'Base votos'!R141/'Base votos'!S141</f>
        <v>0.579478920462033</v>
      </c>
      <c r="E10" s="12" t="n">
        <f aca="false">(C10-B10)*100</f>
        <v>-9.59705143725861</v>
      </c>
      <c r="F10" s="12" t="n">
        <f aca="false">(D10-C10)*100</f>
        <v>4.43614788502961</v>
      </c>
      <c r="G10" s="12" t="n">
        <f aca="false">(D10-B10)*100</f>
        <v>-5.160903552229</v>
      </c>
      <c r="H10" s="11" t="n">
        <f aca="false">'Base votos'!Q75/'Base votos'!R75</f>
        <v>0.0347235699293287</v>
      </c>
      <c r="I10" s="11" t="n">
        <f aca="false">'Base votos'!Q108/'Base votos'!R108</f>
        <v>0.0282771686552725</v>
      </c>
      <c r="J10" s="11" t="n">
        <f aca="false">'Base votos'!Q141/'Base votos'!R141</f>
        <v>0.0316142027632892</v>
      </c>
      <c r="K10" s="12" t="n">
        <f aca="false">(I10-H10)*100</f>
        <v>-0.644640127405623</v>
      </c>
      <c r="L10" s="12" t="n">
        <f aca="false">(J10-I10)*100</f>
        <v>0.333703410801675</v>
      </c>
      <c r="M10" s="12" t="n">
        <f aca="false">(J10-H10)*100</f>
        <v>-0.310936716603948</v>
      </c>
      <c r="N10" s="9" t="n">
        <f aca="false">'Base votos'!R75</f>
        <v>334931</v>
      </c>
      <c r="O10" s="9" t="n">
        <f aca="false">'Base votos'!R108</f>
        <v>297696</v>
      </c>
      <c r="P10" s="9" t="n">
        <f aca="false">'Base votos'!R141</f>
        <v>338582</v>
      </c>
      <c r="Q10" s="10" t="n">
        <f aca="false">O10-N10</f>
        <v>-37235</v>
      </c>
      <c r="R10" s="10" t="n">
        <f aca="false">P10-O10</f>
        <v>40886</v>
      </c>
      <c r="S10" s="10" t="n">
        <f aca="false">P10-N10</f>
        <v>3651</v>
      </c>
      <c r="T10" s="19" t="n">
        <f aca="false">O10/N10-1</f>
        <v>-0.111172151876058</v>
      </c>
      <c r="U10" s="19" t="n">
        <f aca="false">P10/O10-1</f>
        <v>0.137341448994948</v>
      </c>
      <c r="V10" s="19" t="n">
        <f aca="false">P10/N10-1</f>
        <v>0.0109007526923457</v>
      </c>
      <c r="W10" s="11" t="n">
        <f aca="false">'Base votos'!U75/'Base votos'!R75</f>
        <v>0.444637850781206</v>
      </c>
      <c r="X10" s="11" t="n">
        <f aca="false">'Base votos'!U108/'Base votos'!R108</f>
        <v>0.500722213264538</v>
      </c>
      <c r="Y10" s="11" t="n">
        <f aca="false">'Base votos'!U141/'Base votos'!R141</f>
        <v>0.489990607888193</v>
      </c>
      <c r="Z10" s="12" t="n">
        <f aca="false">(X10-W10)*100</f>
        <v>5.60843624833327</v>
      </c>
      <c r="AA10" s="12" t="n">
        <f aca="false">(Y10-X10)*100</f>
        <v>-1.07316053763458</v>
      </c>
      <c r="AB10" s="12" t="n">
        <f aca="false">(Y10-W10)*100</f>
        <v>4.53527571069869</v>
      </c>
      <c r="AC10" s="11" t="n">
        <f aca="false">'Base votos'!V75/'Base votos'!R75</f>
        <v>0.233600353505647</v>
      </c>
      <c r="AD10" s="11" t="n">
        <f aca="false">'Base votos'!V108/'Base votos'!R108</f>
        <v>0.267836988068365</v>
      </c>
      <c r="AE10" s="11" t="n">
        <f aca="false">'Base votos'!V141/'Base votos'!R141</f>
        <v>0.317583332841084</v>
      </c>
      <c r="AF10" s="12" t="n">
        <f aca="false">(AD10-AC10)*100</f>
        <v>3.42366345627176</v>
      </c>
      <c r="AG10" s="12" t="n">
        <f aca="false">(AE10-AD10)*100</f>
        <v>4.97463447727193</v>
      </c>
      <c r="AH10" s="12" t="n">
        <f aca="false">(AE10-AC10)*100</f>
        <v>8.39829793354369</v>
      </c>
      <c r="AI10" s="11" t="n">
        <f aca="false">'Base votos'!W75/'Base votos'!R75</f>
        <v>0.286417202349141</v>
      </c>
      <c r="AJ10" s="11" t="n">
        <f aca="false">'Base votos'!W108/'Base votos'!R108</f>
        <v>0.128819332473396</v>
      </c>
      <c r="AK10" s="11" t="n">
        <f aca="false">'Base votos'!W141/'Base votos'!R141</f>
        <v>0.159911040752314</v>
      </c>
      <c r="AL10" s="12" t="n">
        <f aca="false">(AJ10-AI10)*100</f>
        <v>-15.7597869875745</v>
      </c>
      <c r="AM10" s="12" t="n">
        <f aca="false">(AK10-AJ10)*100</f>
        <v>3.10917082789184</v>
      </c>
      <c r="AN10" s="12" t="n">
        <f aca="false">(AK10-AI10)*100</f>
        <v>-12.6506161596827</v>
      </c>
      <c r="AO10" s="20" t="n">
        <f aca="false">(MAX('Base votos'!U75:W75)-LARGE('Base votos'!U75:W75,2))/'Base votos'!R75*100</f>
        <v>15.8220648432065</v>
      </c>
      <c r="AP10" s="20" t="n">
        <f aca="false">(MAX('Base votos'!U108:W108)-LARGE('Base votos'!U108:W108,2))/'Base votos'!R108*100</f>
        <v>23.2885225196173</v>
      </c>
      <c r="AQ10" s="20" t="n">
        <f aca="false">(MAX('Base votos'!U141:W141)-LARGE('Base votos'!U141:W141,2))/'Base votos'!R141*100</f>
        <v>17.2407275047108</v>
      </c>
      <c r="AR10" s="12" t="n">
        <f aca="false">(AP10-AO10)</f>
        <v>7.46645767641082</v>
      </c>
      <c r="AS10" s="12" t="n">
        <f aca="false">(AQ10-AP10)</f>
        <v>-6.04779501490651</v>
      </c>
      <c r="AT10" s="12" t="n">
        <f aca="false">(AQ10-AO10)</f>
        <v>1.41866266150431</v>
      </c>
      <c r="AU10" s="21" t="s">
        <v>74</v>
      </c>
      <c r="AV10" s="21" t="s">
        <v>74</v>
      </c>
      <c r="AW10" s="21" t="s">
        <v>74</v>
      </c>
      <c r="AX10" s="21" t="s">
        <v>134</v>
      </c>
      <c r="AY10" s="21" t="s">
        <v>134</v>
      </c>
      <c r="AZ10" s="21" t="s">
        <v>134</v>
      </c>
    </row>
    <row r="11" customFormat="false" ht="23.85" hidden="false" customHeight="false" outlineLevel="0" collapsed="false">
      <c r="A11" s="14" t="s">
        <v>88</v>
      </c>
      <c r="B11" s="11" t="n">
        <f aca="false">'Base votos'!R76/'Base votos'!S76</f>
        <v>0.689009288457443</v>
      </c>
      <c r="C11" s="11" t="n">
        <f aca="false">'Base votos'!R109/'Base votos'!S109</f>
        <v>0.613371619620329</v>
      </c>
      <c r="D11" s="11" t="n">
        <f aca="false">'Base votos'!R142/'Base votos'!S142</f>
        <v>0.622568392274831</v>
      </c>
      <c r="E11" s="12" t="n">
        <f aca="false">(C11-B11)*100</f>
        <v>-7.56376688371142</v>
      </c>
      <c r="F11" s="12" t="n">
        <f aca="false">(D11-C11)*100</f>
        <v>0.919677265450247</v>
      </c>
      <c r="G11" s="12" t="n">
        <f aca="false">(D11-B11)*100</f>
        <v>-6.64408961826117</v>
      </c>
      <c r="H11" s="11" t="n">
        <f aca="false">'Base votos'!Q76/'Base votos'!R76</f>
        <v>0.0811221443786215</v>
      </c>
      <c r="I11" s="11" t="n">
        <f aca="false">'Base votos'!Q109/'Base votos'!R109</f>
        <v>0.062642133093373</v>
      </c>
      <c r="J11" s="11" t="n">
        <f aca="false">'Base votos'!Q142/'Base votos'!R142</f>
        <v>0.0701807465634861</v>
      </c>
      <c r="K11" s="12" t="n">
        <f aca="false">(I11-H11)*100</f>
        <v>-1.84800112852486</v>
      </c>
      <c r="L11" s="12" t="n">
        <f aca="false">(J11-I11)*100</f>
        <v>0.753861347011313</v>
      </c>
      <c r="M11" s="12" t="n">
        <f aca="false">(J11-H11)*100</f>
        <v>-1.09413978151355</v>
      </c>
      <c r="N11" s="9" t="n">
        <f aca="false">'Base votos'!R76</f>
        <v>2406963</v>
      </c>
      <c r="O11" s="9" t="n">
        <f aca="false">'Base votos'!R109</f>
        <v>2244815</v>
      </c>
      <c r="P11" s="9" t="n">
        <f aca="false">'Base votos'!R142</f>
        <v>2455759</v>
      </c>
      <c r="Q11" s="10" t="n">
        <f aca="false">O11-N11</f>
        <v>-162148</v>
      </c>
      <c r="R11" s="10" t="n">
        <f aca="false">P11-O11</f>
        <v>210944</v>
      </c>
      <c r="S11" s="10" t="n">
        <f aca="false">P11-N11</f>
        <v>48796</v>
      </c>
      <c r="T11" s="19" t="n">
        <f aca="false">O11/N11-1</f>
        <v>-0.0673662204196741</v>
      </c>
      <c r="U11" s="19" t="n">
        <f aca="false">P11/O11-1</f>
        <v>0.0939694362341663</v>
      </c>
      <c r="V11" s="19" t="n">
        <f aca="false">P11/N11-1</f>
        <v>0.0202728500604288</v>
      </c>
      <c r="W11" s="11" t="n">
        <f aca="false">'Base votos'!U76/'Base votos'!R76</f>
        <v>0.50264628081113</v>
      </c>
      <c r="X11" s="11" t="n">
        <f aca="false">'Base votos'!U109/'Base votos'!R109</f>
        <v>0.614862249227665</v>
      </c>
      <c r="Y11" s="11" t="n">
        <f aca="false">'Base votos'!U142/'Base votos'!R142</f>
        <v>0.710295269201905</v>
      </c>
      <c r="Z11" s="12" t="n">
        <f aca="false">(X11-W11)*100</f>
        <v>11.2215968416535</v>
      </c>
      <c r="AA11" s="12" t="n">
        <f aca="false">(Y11-X11)*100</f>
        <v>9.54330199742399</v>
      </c>
      <c r="AB11" s="12" t="n">
        <f aca="false">(Y11-W11)*100</f>
        <v>20.7648988390775</v>
      </c>
      <c r="AC11" s="11" t="n">
        <f aca="false">'Base votos'!V76/'Base votos'!R76</f>
        <v>0.10013323844197</v>
      </c>
      <c r="AD11" s="11" t="n">
        <f aca="false">'Base votos'!V109/'Base votos'!R109</f>
        <v>0.176609208331199</v>
      </c>
      <c r="AE11" s="11" t="n">
        <f aca="false">'Base votos'!V142/'Base votos'!R142</f>
        <v>0.15400411848231</v>
      </c>
      <c r="AF11" s="12" t="n">
        <f aca="false">(AD11-AC11)*100</f>
        <v>7.64759698892285</v>
      </c>
      <c r="AG11" s="12" t="n">
        <f aca="false">(AE11-AD11)*100</f>
        <v>-2.26050898488884</v>
      </c>
      <c r="AH11" s="12" t="n">
        <f aca="false">(AE11-AC11)*100</f>
        <v>5.38708800403401</v>
      </c>
      <c r="AI11" s="11" t="n">
        <f aca="false">'Base votos'!W76/'Base votos'!R76</f>
        <v>0.314103291159856</v>
      </c>
      <c r="AJ11" s="11" t="n">
        <f aca="false">'Base votos'!W109/'Base votos'!R109</f>
        <v>0.0304915995304736</v>
      </c>
      <c r="AK11" s="11" t="n">
        <f aca="false">'Base votos'!W142/'Base votos'!R142</f>
        <v>0.0606969169205936</v>
      </c>
      <c r="AL11" s="12" t="n">
        <f aca="false">(AJ11-AI11)*100</f>
        <v>-28.3611691629382</v>
      </c>
      <c r="AM11" s="12" t="n">
        <f aca="false">(AK11-AJ11)*100</f>
        <v>3.020531739012</v>
      </c>
      <c r="AN11" s="12" t="n">
        <f aca="false">(AK11-AI11)*100</f>
        <v>-25.3406374239262</v>
      </c>
      <c r="AO11" s="20" t="n">
        <f aca="false">(MAX('Base votos'!U76:W76)-LARGE('Base votos'!U76:W76,2))/'Base votos'!R76*100</f>
        <v>18.8542989651274</v>
      </c>
      <c r="AP11" s="20" t="n">
        <f aca="false">(MAX('Base votos'!U109:W109)-LARGE('Base votos'!U109:W109,2))/'Base votos'!R109*100</f>
        <v>43.8253040896466</v>
      </c>
      <c r="AQ11" s="20" t="n">
        <f aca="false">(MAX('Base votos'!U142:W142)-LARGE('Base votos'!U142:W142,2))/'Base votos'!R142*100</f>
        <v>55.6291150719594</v>
      </c>
      <c r="AR11" s="12" t="n">
        <f aca="false">(AP11-AO11)</f>
        <v>24.9710051245192</v>
      </c>
      <c r="AS11" s="12" t="n">
        <f aca="false">(AQ11-AP11)</f>
        <v>11.8038109823128</v>
      </c>
      <c r="AT11" s="12" t="n">
        <f aca="false">(AQ11-AO11)</f>
        <v>36.774816106832</v>
      </c>
      <c r="AU11" s="21" t="s">
        <v>74</v>
      </c>
      <c r="AV11" s="21" t="s">
        <v>74</v>
      </c>
      <c r="AW11" s="21" t="s">
        <v>74</v>
      </c>
      <c r="AX11" s="21" t="s">
        <v>134</v>
      </c>
      <c r="AY11" s="21" t="s">
        <v>134</v>
      </c>
      <c r="AZ11" s="21" t="s">
        <v>134</v>
      </c>
    </row>
    <row r="12" customFormat="false" ht="23.85" hidden="false" customHeight="false" outlineLevel="0" collapsed="false">
      <c r="A12" s="14" t="s">
        <v>89</v>
      </c>
      <c r="B12" s="11" t="n">
        <f aca="false">'Base votos'!R77/'Base votos'!S77</f>
        <v>0.54342570138605</v>
      </c>
      <c r="C12" s="11" t="n">
        <f aca="false">'Base votos'!R110/'Base votos'!S110</f>
        <v>0.467309489467184</v>
      </c>
      <c r="D12" s="11" t="n">
        <f aca="false">'Base votos'!R143/'Base votos'!S143</f>
        <v>0.527383319102109</v>
      </c>
      <c r="E12" s="12" t="n">
        <f aca="false">(C12-B12)*100</f>
        <v>-7.61162119188659</v>
      </c>
      <c r="F12" s="12" t="n">
        <f aca="false">(D12-C12)*100</f>
        <v>6.00738296349255</v>
      </c>
      <c r="G12" s="12" t="n">
        <f aca="false">(D12-B12)*100</f>
        <v>-1.60423822839404</v>
      </c>
      <c r="H12" s="11" t="n">
        <f aca="false">'Base votos'!Q77/'Base votos'!R77</f>
        <v>0.0454336177227016</v>
      </c>
      <c r="I12" s="11" t="n">
        <f aca="false">'Base votos'!Q110/'Base votos'!R110</f>
        <v>0.0329156559880352</v>
      </c>
      <c r="J12" s="11" t="n">
        <f aca="false">'Base votos'!Q143/'Base votos'!R143</f>
        <v>0.0288296335119115</v>
      </c>
      <c r="K12" s="12" t="n">
        <f aca="false">(I12-H12)*100</f>
        <v>-1.25179617346663</v>
      </c>
      <c r="L12" s="12" t="n">
        <f aca="false">(J12-I12)*100</f>
        <v>-0.408602247612378</v>
      </c>
      <c r="M12" s="12" t="n">
        <f aca="false">(J12-H12)*100</f>
        <v>-1.66039842107901</v>
      </c>
      <c r="N12" s="9" t="n">
        <f aca="false">'Base votos'!R77</f>
        <v>1489976</v>
      </c>
      <c r="O12" s="9" t="n">
        <f aca="false">'Base votos'!R110</f>
        <v>1352639</v>
      </c>
      <c r="P12" s="9" t="n">
        <f aca="false">'Base votos'!R143</f>
        <v>1625619</v>
      </c>
      <c r="Q12" s="10" t="n">
        <f aca="false">O12-N12</f>
        <v>-137337</v>
      </c>
      <c r="R12" s="10" t="n">
        <f aca="false">P12-O12</f>
        <v>272980</v>
      </c>
      <c r="S12" s="10" t="n">
        <f aca="false">P12-N12</f>
        <v>135643</v>
      </c>
      <c r="T12" s="19" t="n">
        <f aca="false">O12/N12-1</f>
        <v>-0.0921739679028387</v>
      </c>
      <c r="U12" s="19" t="n">
        <f aca="false">P12/O12-1</f>
        <v>0.201812900559573</v>
      </c>
      <c r="V12" s="19" t="n">
        <f aca="false">P12/N12-1</f>
        <v>0.0910370368381772</v>
      </c>
      <c r="W12" s="11" t="n">
        <f aca="false">'Base votos'!U77/'Base votos'!R77</f>
        <v>0.346014298216884</v>
      </c>
      <c r="X12" s="11" t="n">
        <f aca="false">'Base votos'!U110/'Base votos'!R110</f>
        <v>0.345232541720296</v>
      </c>
      <c r="Y12" s="11" t="n">
        <f aca="false">'Base votos'!U143/'Base votos'!R143</f>
        <v>0.509807648655681</v>
      </c>
      <c r="Z12" s="12" t="n">
        <f aca="false">(X12-W12)*100</f>
        <v>-0.0781756496587627</v>
      </c>
      <c r="AA12" s="12" t="n">
        <f aca="false">(Y12-X12)*100</f>
        <v>16.4575106935385</v>
      </c>
      <c r="AB12" s="12" t="n">
        <f aca="false">(Y12-W12)*100</f>
        <v>16.3793350438797</v>
      </c>
      <c r="AC12" s="11" t="n">
        <f aca="false">'Base votos'!V77/'Base votos'!R77</f>
        <v>0.315188969486757</v>
      </c>
      <c r="AD12" s="11" t="n">
        <f aca="false">'Base votos'!V110/'Base votos'!R110</f>
        <v>0.495008646061514</v>
      </c>
      <c r="AE12" s="11" t="n">
        <f aca="false">'Base votos'!V143/'Base votos'!R143</f>
        <v>0.375373934482803</v>
      </c>
      <c r="AF12" s="12" t="n">
        <f aca="false">(AD12-AC12)*100</f>
        <v>17.9819676574757</v>
      </c>
      <c r="AG12" s="12" t="n">
        <f aca="false">(AE12-AD12)*100</f>
        <v>-11.9634711578711</v>
      </c>
      <c r="AH12" s="12" t="n">
        <f aca="false">(AE12-AC12)*100</f>
        <v>6.01849649960463</v>
      </c>
      <c r="AI12" s="11" t="n">
        <f aca="false">'Base votos'!W77/'Base votos'!R77</f>
        <v>0.243625400677595</v>
      </c>
      <c r="AJ12" s="11" t="n">
        <f aca="false">'Base votos'!W110/'Base votos'!R110</f>
        <v>0.084723270584391</v>
      </c>
      <c r="AK12" s="11" t="n">
        <f aca="false">'Base votos'!W143/'Base votos'!R143</f>
        <v>0.085339184642896</v>
      </c>
      <c r="AL12" s="12" t="n">
        <f aca="false">(AJ12-AI12)*100</f>
        <v>-15.8902130093204</v>
      </c>
      <c r="AM12" s="12" t="n">
        <f aca="false">(AK12-AJ12)*100</f>
        <v>0.0615914058505071</v>
      </c>
      <c r="AN12" s="12" t="n">
        <f aca="false">(AK12-AI12)*100</f>
        <v>-15.8286216034699</v>
      </c>
      <c r="AO12" s="20" t="n">
        <f aca="false">(MAX('Base votos'!U77:W77)-LARGE('Base votos'!U77:W77,2))/'Base votos'!R77*100</f>
        <v>3.08253287301272</v>
      </c>
      <c r="AP12" s="20" t="n">
        <f aca="false">(MAX('Base votos'!U110:W110)-LARGE('Base votos'!U110:W110,2))/'Base votos'!R110*100</f>
        <v>14.9776104341217</v>
      </c>
      <c r="AQ12" s="20" t="n">
        <f aca="false">(MAX('Base votos'!U143:W143)-LARGE('Base votos'!U143:W143,2))/'Base votos'!R143*100</f>
        <v>13.4433714172878</v>
      </c>
      <c r="AR12" s="12" t="n">
        <f aca="false">(AP12-AO12)</f>
        <v>11.895077561109</v>
      </c>
      <c r="AS12" s="12" t="n">
        <f aca="false">(AQ12-AP12)</f>
        <v>-1.53423901683393</v>
      </c>
      <c r="AT12" s="12" t="n">
        <f aca="false">(AQ12-AO12)</f>
        <v>10.3608385442751</v>
      </c>
      <c r="AU12" s="21" t="s">
        <v>74</v>
      </c>
      <c r="AV12" s="21" t="s">
        <v>132</v>
      </c>
      <c r="AW12" s="21" t="s">
        <v>74</v>
      </c>
      <c r="AX12" s="21" t="s">
        <v>133</v>
      </c>
      <c r="AY12" s="21" t="s">
        <v>135</v>
      </c>
      <c r="AZ12" s="21" t="s">
        <v>134</v>
      </c>
    </row>
    <row r="13" customFormat="false" ht="23.85" hidden="false" customHeight="false" outlineLevel="0" collapsed="false">
      <c r="A13" s="14" t="s">
        <v>90</v>
      </c>
      <c r="B13" s="11" t="n">
        <f aca="false">'Base votos'!R78/'Base votos'!S78</f>
        <v>0.703526416852909</v>
      </c>
      <c r="C13" s="11" t="n">
        <f aca="false">'Base votos'!R111/'Base votos'!S111</f>
        <v>0.522557412517109</v>
      </c>
      <c r="D13" s="11" t="n">
        <f aca="false">'Base votos'!R144/'Base votos'!S144</f>
        <v>0.697607928842863</v>
      </c>
      <c r="E13" s="12" t="n">
        <f aca="false">(C13-B13)*100</f>
        <v>-18.09690043358</v>
      </c>
      <c r="F13" s="12" t="n">
        <f aca="false">(D13-C13)*100</f>
        <v>17.5050516325755</v>
      </c>
      <c r="G13" s="12" t="n">
        <f aca="false">(D13-B13)*100</f>
        <v>-0.591848801004591</v>
      </c>
      <c r="H13" s="11" t="n">
        <f aca="false">'Base votos'!Q78/'Base votos'!R78</f>
        <v>0.0355649592258076</v>
      </c>
      <c r="I13" s="11" t="n">
        <f aca="false">'Base votos'!Q111/'Base votos'!R111</f>
        <v>0.0296318418886615</v>
      </c>
      <c r="J13" s="11" t="n">
        <f aca="false">'Base votos'!Q144/'Base votos'!R144</f>
        <v>0.0230682774890879</v>
      </c>
      <c r="K13" s="12" t="n">
        <f aca="false">(I13-H13)*100</f>
        <v>-0.593311733714603</v>
      </c>
      <c r="L13" s="12" t="n">
        <f aca="false">(J13-I13)*100</f>
        <v>-0.656356439957361</v>
      </c>
      <c r="M13" s="12" t="n">
        <f aca="false">(J13-H13)*100</f>
        <v>-1.24966817367196</v>
      </c>
      <c r="N13" s="9" t="n">
        <f aca="false">'Base votos'!R78</f>
        <v>5365281</v>
      </c>
      <c r="O13" s="9" t="n">
        <f aca="false">'Base votos'!R111</f>
        <v>4061543</v>
      </c>
      <c r="P13" s="9" t="n">
        <f aca="false">'Base votos'!R144</f>
        <v>5524383</v>
      </c>
      <c r="Q13" s="10" t="n">
        <f aca="false">O13-N13</f>
        <v>-1303738</v>
      </c>
      <c r="R13" s="10" t="n">
        <f aca="false">P13-O13</f>
        <v>1462840</v>
      </c>
      <c r="S13" s="10" t="n">
        <f aca="false">P13-N13</f>
        <v>159102</v>
      </c>
      <c r="T13" s="19" t="n">
        <f aca="false">O13/N13-1</f>
        <v>-0.242995287665269</v>
      </c>
      <c r="U13" s="19" t="n">
        <f aca="false">P13/O13-1</f>
        <v>0.360168536932885</v>
      </c>
      <c r="V13" s="19" t="n">
        <f aca="false">P13/N13-1</f>
        <v>0.0296539920276311</v>
      </c>
      <c r="W13" s="11" t="n">
        <f aca="false">'Base votos'!U78/'Base votos'!R78</f>
        <v>0.508675128106058</v>
      </c>
      <c r="X13" s="11" t="n">
        <f aca="false">'Base votos'!U111/'Base votos'!R111</f>
        <v>0.431142056110202</v>
      </c>
      <c r="Y13" s="11" t="n">
        <f aca="false">'Base votos'!U144/'Base votos'!R144</f>
        <v>0.514153526285198</v>
      </c>
      <c r="Z13" s="12" t="n">
        <f aca="false">(X13-W13)*100</f>
        <v>-7.75330719958557</v>
      </c>
      <c r="AA13" s="12" t="n">
        <f aca="false">(Y13-X13)*100</f>
        <v>8.30114701749954</v>
      </c>
      <c r="AB13" s="12" t="n">
        <f aca="false">(Y13-W13)*100</f>
        <v>0.547839817913964</v>
      </c>
      <c r="AC13" s="11" t="n">
        <f aca="false">'Base votos'!V78/'Base votos'!R78</f>
        <v>0.296470771987525</v>
      </c>
      <c r="AD13" s="11" t="n">
        <f aca="false">'Base votos'!V111/'Base votos'!R111</f>
        <v>0.453748242970713</v>
      </c>
      <c r="AE13" s="11" t="n">
        <f aca="false">'Base votos'!V144/'Base votos'!R144</f>
        <v>0.375835817321138</v>
      </c>
      <c r="AF13" s="12" t="n">
        <f aca="false">(AD13-AC13)*100</f>
        <v>15.7277470983188</v>
      </c>
      <c r="AG13" s="12" t="n">
        <f aca="false">(AE13-AD13)*100</f>
        <v>-7.79124256495754</v>
      </c>
      <c r="AH13" s="12" t="n">
        <f aca="false">(AE13-AC13)*100</f>
        <v>7.9365045333613</v>
      </c>
      <c r="AI13" s="11" t="n">
        <f aca="false">'Base votos'!W78/'Base votos'!R78</f>
        <v>0.15840866489565</v>
      </c>
      <c r="AJ13" s="11" t="n">
        <f aca="false">'Base votos'!W111/'Base votos'!R111</f>
        <v>0.0361035202631118</v>
      </c>
      <c r="AK13" s="11" t="n">
        <f aca="false">'Base votos'!W144/'Base votos'!R144</f>
        <v>0.0857569071514412</v>
      </c>
      <c r="AL13" s="12" t="n">
        <f aca="false">(AJ13-AI13)*100</f>
        <v>-12.2305144632539</v>
      </c>
      <c r="AM13" s="12" t="n">
        <f aca="false">(AK13-AJ13)*100</f>
        <v>4.96533868883294</v>
      </c>
      <c r="AN13" s="12" t="n">
        <f aca="false">(AK13-AI13)*100</f>
        <v>-7.26517577442092</v>
      </c>
      <c r="AO13" s="20" t="n">
        <f aca="false">(MAX('Base votos'!U78:W78)-LARGE('Base votos'!U78:W78,2))/'Base votos'!R78*100</f>
        <v>21.2204356118533</v>
      </c>
      <c r="AP13" s="20" t="n">
        <f aca="false">(MAX('Base votos'!U111:W111)-LARGE('Base votos'!U111:W111,2))/'Base votos'!R111*100</f>
        <v>2.26061868605109</v>
      </c>
      <c r="AQ13" s="20" t="n">
        <f aca="false">(MAX('Base votos'!U144:W144)-LARGE('Base votos'!U144:W144,2))/'Base votos'!R144*100</f>
        <v>13.831770896406</v>
      </c>
      <c r="AR13" s="12" t="n">
        <f aca="false">(AP13-AO13)</f>
        <v>-18.9598169258022</v>
      </c>
      <c r="AS13" s="12" t="n">
        <f aca="false">(AQ13-AP13)</f>
        <v>11.5711522103549</v>
      </c>
      <c r="AT13" s="12" t="n">
        <f aca="false">(AQ13-AO13)</f>
        <v>-7.38866471544734</v>
      </c>
      <c r="AU13" s="21" t="s">
        <v>74</v>
      </c>
      <c r="AV13" s="21" t="s">
        <v>132</v>
      </c>
      <c r="AW13" s="21" t="s">
        <v>74</v>
      </c>
      <c r="AX13" s="21" t="s">
        <v>133</v>
      </c>
      <c r="AY13" s="21" t="s">
        <v>135</v>
      </c>
      <c r="AZ13" s="21" t="s">
        <v>134</v>
      </c>
    </row>
    <row r="14" customFormat="false" ht="23.85" hidden="false" customHeight="false" outlineLevel="0" collapsed="false">
      <c r="A14" s="14" t="s">
        <v>91</v>
      </c>
      <c r="B14" s="11" t="n">
        <f aca="false">'Base votos'!R79/'Base votos'!S79</f>
        <v>0.572144264303782</v>
      </c>
      <c r="C14" s="11" t="n">
        <f aca="false">'Base votos'!R112/'Base votos'!S112</f>
        <v>0.430638483689397</v>
      </c>
      <c r="D14" s="11" t="n">
        <f aca="false">'Base votos'!R145/'Base votos'!S145</f>
        <v>0.551394587076011</v>
      </c>
      <c r="E14" s="12" t="n">
        <f aca="false">(C14-B14)*100</f>
        <v>-14.1505780614385</v>
      </c>
      <c r="F14" s="12" t="n">
        <f aca="false">(D14-C14)*100</f>
        <v>12.0756103386614</v>
      </c>
      <c r="G14" s="12" t="n">
        <f aca="false">(D14-B14)*100</f>
        <v>-2.07496772277717</v>
      </c>
      <c r="H14" s="11" t="n">
        <f aca="false">'Base votos'!Q79/'Base votos'!R79</f>
        <v>0.0344131960047039</v>
      </c>
      <c r="I14" s="11" t="n">
        <f aca="false">'Base votos'!Q112/'Base votos'!R112</f>
        <v>0.0267544310501933</v>
      </c>
      <c r="J14" s="11" t="n">
        <f aca="false">'Base votos'!Q145/'Base votos'!R145</f>
        <v>0.0274875784900583</v>
      </c>
      <c r="K14" s="12" t="n">
        <f aca="false">(I14-H14)*100</f>
        <v>-0.765876495451058</v>
      </c>
      <c r="L14" s="12" t="n">
        <f aca="false">(J14-I14)*100</f>
        <v>0.0733147439864943</v>
      </c>
      <c r="M14" s="12" t="n">
        <f aca="false">(J14-H14)*100</f>
        <v>-0.692561751464563</v>
      </c>
      <c r="N14" s="9" t="n">
        <f aca="false">'Base votos'!R79</f>
        <v>732161</v>
      </c>
      <c r="O14" s="9" t="n">
        <f aca="false">'Base votos'!R112</f>
        <v>573961</v>
      </c>
      <c r="P14" s="9" t="n">
        <f aca="false">'Base votos'!R145</f>
        <v>770639</v>
      </c>
      <c r="Q14" s="10" t="n">
        <f aca="false">O14-N14</f>
        <v>-158200</v>
      </c>
      <c r="R14" s="10" t="n">
        <f aca="false">P14-O14</f>
        <v>196678</v>
      </c>
      <c r="S14" s="10" t="n">
        <f aca="false">P14-N14</f>
        <v>38478</v>
      </c>
      <c r="T14" s="19" t="n">
        <f aca="false">O14/N14-1</f>
        <v>-0.216072694393719</v>
      </c>
      <c r="U14" s="19" t="n">
        <f aca="false">P14/O14-1</f>
        <v>0.34266788161565</v>
      </c>
      <c r="V14" s="19" t="n">
        <f aca="false">P14/N14-1</f>
        <v>0.0525540147590489</v>
      </c>
      <c r="W14" s="11" t="n">
        <f aca="false">'Base votos'!U79/'Base votos'!R79</f>
        <v>0.380408134276477</v>
      </c>
      <c r="X14" s="11" t="n">
        <f aca="false">'Base votos'!U112/'Base votos'!R112</f>
        <v>0.415200684367056</v>
      </c>
      <c r="Y14" s="11" t="n">
        <f aca="false">'Base votos'!U145/'Base votos'!R145</f>
        <v>0.510471180410023</v>
      </c>
      <c r="Z14" s="12" t="n">
        <f aca="false">(X14-W14)*100</f>
        <v>3.47925500905789</v>
      </c>
      <c r="AA14" s="12" t="n">
        <f aca="false">(Y14-X14)*100</f>
        <v>9.52704960429671</v>
      </c>
      <c r="AB14" s="12" t="n">
        <f aca="false">(Y14-W14)*100</f>
        <v>13.0063046133546</v>
      </c>
      <c r="AC14" s="11" t="n">
        <f aca="false">'Base votos'!V79/'Base votos'!R79</f>
        <v>0.295018445396573</v>
      </c>
      <c r="AD14" s="11" t="n">
        <f aca="false">'Base votos'!V112/'Base votos'!R112</f>
        <v>0.436452999419821</v>
      </c>
      <c r="AE14" s="11" t="n">
        <f aca="false">'Base votos'!V145/'Base votos'!R145</f>
        <v>0.392296522755791</v>
      </c>
      <c r="AF14" s="12" t="n">
        <f aca="false">(AD14-AC14)*100</f>
        <v>14.1434554023249</v>
      </c>
      <c r="AG14" s="12" t="n">
        <f aca="false">(AE14-AD14)*100</f>
        <v>-4.41564766640302</v>
      </c>
      <c r="AH14" s="12" t="n">
        <f aca="false">(AE14-AC14)*100</f>
        <v>9.72780773592183</v>
      </c>
      <c r="AI14" s="11" t="n">
        <f aca="false">'Base votos'!W79/'Base votos'!R79</f>
        <v>0.289728625261384</v>
      </c>
      <c r="AJ14" s="11" t="n">
        <f aca="false">'Base votos'!W112/'Base votos'!R112</f>
        <v>0.0513310137796819</v>
      </c>
      <c r="AK14" s="11" t="n">
        <f aca="false">'Base votos'!W145/'Base votos'!R145</f>
        <v>0.0692269661929905</v>
      </c>
      <c r="AL14" s="12" t="n">
        <f aca="false">(AJ14-AI14)*100</f>
        <v>-23.8397611481702</v>
      </c>
      <c r="AM14" s="12" t="n">
        <f aca="false">(AK14-AJ14)*100</f>
        <v>1.78959524133086</v>
      </c>
      <c r="AN14" s="12" t="n">
        <f aca="false">(AK14-AI14)*100</f>
        <v>-22.0501659068393</v>
      </c>
      <c r="AO14" s="20" t="n">
        <f aca="false">(MAX('Base votos'!U79:W79)-LARGE('Base votos'!U79:W79,2))/'Base votos'!R79*100</f>
        <v>8.53896888799048</v>
      </c>
      <c r="AP14" s="20" t="n">
        <f aca="false">(MAX('Base votos'!U112:W112)-LARGE('Base votos'!U112:W112,2))/'Base votos'!R112*100</f>
        <v>2.12523150527649</v>
      </c>
      <c r="AQ14" s="20" t="n">
        <f aca="false">(MAX('Base votos'!U145:W145)-LARGE('Base votos'!U145:W145,2))/'Base votos'!R145*100</f>
        <v>11.8174657654232</v>
      </c>
      <c r="AR14" s="12" t="n">
        <f aca="false">(AP14-AO14)</f>
        <v>-6.41373738271399</v>
      </c>
      <c r="AS14" s="12" t="n">
        <f aca="false">(AQ14-AP14)</f>
        <v>9.69223426014675</v>
      </c>
      <c r="AT14" s="12" t="n">
        <f aca="false">(AQ14-AO14)</f>
        <v>3.27849687743276</v>
      </c>
      <c r="AU14" s="21" t="s">
        <v>74</v>
      </c>
      <c r="AV14" s="21" t="s">
        <v>132</v>
      </c>
      <c r="AW14" s="21" t="s">
        <v>74</v>
      </c>
      <c r="AX14" s="21" t="s">
        <v>133</v>
      </c>
      <c r="AY14" s="21" t="s">
        <v>135</v>
      </c>
      <c r="AZ14" s="21" t="s">
        <v>134</v>
      </c>
    </row>
    <row r="15" customFormat="false" ht="23.85" hidden="false" customHeight="false" outlineLevel="0" collapsed="false">
      <c r="A15" s="14" t="s">
        <v>92</v>
      </c>
      <c r="B15" s="11" t="n">
        <f aca="false">'Base votos'!R80/'Base votos'!S80</f>
        <v>0.529208211641532</v>
      </c>
      <c r="C15" s="11" t="n">
        <f aca="false">'Base votos'!R113/'Base votos'!S113</f>
        <v>0.442163977227906</v>
      </c>
      <c r="D15" s="11" t="n">
        <f aca="false">'Base votos'!R146/'Base votos'!S146</f>
        <v>0.563960992725773</v>
      </c>
      <c r="E15" s="12" t="n">
        <f aca="false">(C15-B15)*100</f>
        <v>-8.70442344136264</v>
      </c>
      <c r="F15" s="12" t="n">
        <f aca="false">(D15-C15)*100</f>
        <v>12.1797015497867</v>
      </c>
      <c r="G15" s="12" t="n">
        <f aca="false">(D15-B15)*100</f>
        <v>3.47527810842411</v>
      </c>
      <c r="H15" s="11" t="n">
        <f aca="false">'Base votos'!Q80/'Base votos'!R80</f>
        <v>0.043392353592693</v>
      </c>
      <c r="I15" s="11" t="n">
        <f aca="false">'Base votos'!Q113/'Base votos'!R113</f>
        <v>0.0292508052038271</v>
      </c>
      <c r="J15" s="11" t="n">
        <f aca="false">'Base votos'!Q146/'Base votos'!R146</f>
        <v>0.0266953723152224</v>
      </c>
      <c r="K15" s="12" t="n">
        <f aca="false">(I15-H15)*100</f>
        <v>-1.41415483888659</v>
      </c>
      <c r="L15" s="12" t="n">
        <f aca="false">(J15-I15)*100</f>
        <v>-0.255543288860471</v>
      </c>
      <c r="M15" s="12" t="n">
        <f aca="false">(J15-H15)*100</f>
        <v>-1.66969812774706</v>
      </c>
      <c r="N15" s="9" t="n">
        <f aca="false">'Base votos'!R80</f>
        <v>2306835</v>
      </c>
      <c r="O15" s="9" t="n">
        <f aca="false">'Base votos'!R113</f>
        <v>2026816</v>
      </c>
      <c r="P15" s="9" t="n">
        <f aca="false">'Base votos'!R146</f>
        <v>2724667</v>
      </c>
      <c r="Q15" s="10" t="n">
        <f aca="false">O15-N15</f>
        <v>-280019</v>
      </c>
      <c r="R15" s="10" t="n">
        <f aca="false">P15-O15</f>
        <v>697851</v>
      </c>
      <c r="S15" s="10" t="n">
        <f aca="false">P15-N15</f>
        <v>417832</v>
      </c>
      <c r="T15" s="19" t="n">
        <f aca="false">O15/N15-1</f>
        <v>-0.12138666181153</v>
      </c>
      <c r="U15" s="19" t="n">
        <f aca="false">P15/O15-1</f>
        <v>0.3443090048628</v>
      </c>
      <c r="V15" s="19" t="n">
        <f aca="false">P15/N15-1</f>
        <v>0.181127822319325</v>
      </c>
      <c r="W15" s="11" t="n">
        <f aca="false">'Base votos'!U80/'Base votos'!R80</f>
        <v>0.248703093199123</v>
      </c>
      <c r="X15" s="11" t="n">
        <f aca="false">'Base votos'!U113/'Base votos'!R113</f>
        <v>0.313058511478102</v>
      </c>
      <c r="Y15" s="11" t="n">
        <f aca="false">'Base votos'!U146/'Base votos'!R146</f>
        <v>0.435827937872775</v>
      </c>
      <c r="Z15" s="12" t="n">
        <f aca="false">(X15-W15)*100</f>
        <v>6.43554182789781</v>
      </c>
      <c r="AA15" s="12" t="n">
        <f aca="false">(Y15-X15)*100</f>
        <v>12.2769426394673</v>
      </c>
      <c r="AB15" s="12" t="n">
        <f aca="false">(Y15-W15)*100</f>
        <v>18.7124844673651</v>
      </c>
      <c r="AC15" s="11" t="n">
        <f aca="false">'Base votos'!V80/'Base votos'!R80</f>
        <v>0.442315120067105</v>
      </c>
      <c r="AD15" s="11" t="n">
        <f aca="false">'Base votos'!V113/'Base votos'!R113</f>
        <v>0.563125611797026</v>
      </c>
      <c r="AE15" s="11" t="n">
        <f aca="false">'Base votos'!V146/'Base votos'!R146</f>
        <v>0.45999456080321</v>
      </c>
      <c r="AF15" s="12" t="n">
        <f aca="false">(AD15-AC15)*100</f>
        <v>12.0810491729921</v>
      </c>
      <c r="AG15" s="12" t="n">
        <f aca="false">(AE15-AD15)*100</f>
        <v>-10.3131050993815</v>
      </c>
      <c r="AH15" s="12" t="n">
        <f aca="false">(AE15-AC15)*100</f>
        <v>1.76794407361052</v>
      </c>
      <c r="AI15" s="11" t="n">
        <f aca="false">'Base votos'!W80/'Base votos'!R80</f>
        <v>0.256904373308017</v>
      </c>
      <c r="AJ15" s="11" t="n">
        <f aca="false">'Base votos'!W113/'Base votos'!R113</f>
        <v>0.043463738198238</v>
      </c>
      <c r="AK15" s="11" t="n">
        <f aca="false">'Base votos'!W146/'Base votos'!R146</f>
        <v>0.0768049820400071</v>
      </c>
      <c r="AL15" s="12" t="n">
        <f aca="false">(AJ15-AI15)*100</f>
        <v>-21.3440635109779</v>
      </c>
      <c r="AM15" s="12" t="n">
        <f aca="false">(AK15-AJ15)*100</f>
        <v>3.33412438417691</v>
      </c>
      <c r="AN15" s="12" t="n">
        <f aca="false">(AK15-AI15)*100</f>
        <v>-18.009939126801</v>
      </c>
      <c r="AO15" s="20" t="n">
        <f aca="false">(MAX('Base votos'!U80:W80)-LARGE('Base votos'!U80:W80,2))/'Base votos'!R80*100</f>
        <v>18.5410746759088</v>
      </c>
      <c r="AP15" s="20" t="n">
        <f aca="false">(MAX('Base votos'!U113:W113)-LARGE('Base votos'!U113:W113,2))/'Base votos'!R113*100</f>
        <v>25.0067100318924</v>
      </c>
      <c r="AQ15" s="20" t="n">
        <f aca="false">(MAX('Base votos'!U146:W146)-LARGE('Base votos'!U146:W146,2))/'Base votos'!R146*100</f>
        <v>2.41666229304352</v>
      </c>
      <c r="AR15" s="12" t="n">
        <f aca="false">(AP15-AO15)</f>
        <v>6.46563535598362</v>
      </c>
      <c r="AS15" s="12" t="n">
        <f aca="false">(AQ15-AP15)</f>
        <v>-22.5900477388489</v>
      </c>
      <c r="AT15" s="12" t="n">
        <f aca="false">(AQ15-AO15)</f>
        <v>-16.1244123828653</v>
      </c>
      <c r="AU15" s="21" t="s">
        <v>132</v>
      </c>
      <c r="AV15" s="21" t="s">
        <v>132</v>
      </c>
      <c r="AW15" s="21" t="s">
        <v>132</v>
      </c>
      <c r="AX15" s="21" t="s">
        <v>150</v>
      </c>
      <c r="AY15" s="21" t="s">
        <v>150</v>
      </c>
      <c r="AZ15" s="21" t="s">
        <v>150</v>
      </c>
    </row>
    <row r="16" customFormat="false" ht="23.85" hidden="false" customHeight="false" outlineLevel="0" collapsed="false">
      <c r="A16" s="14" t="s">
        <v>93</v>
      </c>
      <c r="B16" s="11" t="n">
        <f aca="false">'Base votos'!R81/'Base votos'!S81</f>
        <v>0.641082884966836</v>
      </c>
      <c r="C16" s="11" t="n">
        <f aca="false">'Base votos'!R114/'Base votos'!S114</f>
        <v>0.57832471800386</v>
      </c>
      <c r="D16" s="11" t="n">
        <f aca="false">'Base votos'!R147/'Base votos'!S147</f>
        <v>0.580864878933443</v>
      </c>
      <c r="E16" s="12" t="n">
        <f aca="false">(C16-B16)*100</f>
        <v>-6.27581669629755</v>
      </c>
      <c r="F16" s="12" t="n">
        <f aca="false">(D16-C16)*100</f>
        <v>0.254016092958287</v>
      </c>
      <c r="G16" s="12" t="n">
        <f aca="false">(D16-B16)*100</f>
        <v>-6.02180060333927</v>
      </c>
      <c r="H16" s="11" t="n">
        <f aca="false">'Base votos'!Q81/'Base votos'!R81</f>
        <v>0.0517950922309231</v>
      </c>
      <c r="I16" s="11" t="n">
        <f aca="false">'Base votos'!Q114/'Base votos'!R114</f>
        <v>0.036760137220575</v>
      </c>
      <c r="J16" s="11" t="n">
        <f aca="false">'Base votos'!Q147/'Base votos'!R147</f>
        <v>0.0503194133917215</v>
      </c>
      <c r="K16" s="12" t="n">
        <f aca="false">(I16-H16)*100</f>
        <v>-1.50349550103481</v>
      </c>
      <c r="L16" s="12" t="n">
        <f aca="false">(J16-I16)*100</f>
        <v>1.35592761711465</v>
      </c>
      <c r="M16" s="12" t="n">
        <f aca="false">(J16-H16)*100</f>
        <v>-0.147567883920156</v>
      </c>
      <c r="N16" s="9" t="n">
        <f aca="false">'Base votos'!R81</f>
        <v>1605210</v>
      </c>
      <c r="O16" s="9" t="n">
        <f aca="false">'Base votos'!R114</f>
        <v>1482285</v>
      </c>
      <c r="P16" s="9" t="n">
        <f aca="false">'Base votos'!R147</f>
        <v>1535471</v>
      </c>
      <c r="Q16" s="10" t="n">
        <f aca="false">O16-N16</f>
        <v>-122925</v>
      </c>
      <c r="R16" s="10" t="n">
        <f aca="false">P16-O16</f>
        <v>53186</v>
      </c>
      <c r="S16" s="10" t="n">
        <f aca="false">P16-N16</f>
        <v>-69739</v>
      </c>
      <c r="T16" s="19" t="n">
        <f aca="false">O16/N16-1</f>
        <v>-0.0765787653951819</v>
      </c>
      <c r="U16" s="19" t="n">
        <f aca="false">P16/O16-1</f>
        <v>0.0358810889943566</v>
      </c>
      <c r="V16" s="19" t="n">
        <f aca="false">P16/N16-1</f>
        <v>-0.0434454058970477</v>
      </c>
      <c r="W16" s="11" t="n">
        <f aca="false">'Base votos'!U81/'Base votos'!R81</f>
        <v>0.484818808753995</v>
      </c>
      <c r="X16" s="11" t="n">
        <f aca="false">'Base votos'!U114/'Base votos'!R114</f>
        <v>0.472147394057148</v>
      </c>
      <c r="Y16" s="11" t="n">
        <f aca="false">'Base votos'!U147/'Base votos'!R147</f>
        <v>0.65124968169376</v>
      </c>
      <c r="Z16" s="12" t="n">
        <f aca="false">(X16-W16)*100</f>
        <v>-1.26714146968466</v>
      </c>
      <c r="AA16" s="12" t="n">
        <f aca="false">(Y16-X16)*100</f>
        <v>17.9102287636612</v>
      </c>
      <c r="AB16" s="12" t="n">
        <f aca="false">(Y16-W16)*100</f>
        <v>16.6430872939766</v>
      </c>
      <c r="AC16" s="11" t="n">
        <f aca="false">'Base votos'!V81/'Base votos'!R81</f>
        <v>0.212300571264819</v>
      </c>
      <c r="AD16" s="11" t="n">
        <f aca="false">'Base votos'!V114/'Base votos'!R114</f>
        <v>0.414678688646246</v>
      </c>
      <c r="AE16" s="11" t="n">
        <f aca="false">'Base votos'!V147/'Base votos'!R147</f>
        <v>0.221461688302807</v>
      </c>
      <c r="AF16" s="12" t="n">
        <f aca="false">(AD16-AC16)*100</f>
        <v>20.2378117381427</v>
      </c>
      <c r="AG16" s="12" t="n">
        <f aca="false">(AE16-AD16)*100</f>
        <v>-19.3217000343438</v>
      </c>
      <c r="AH16" s="12" t="n">
        <f aca="false">(AE16-AC16)*100</f>
        <v>0.916111703798847</v>
      </c>
      <c r="AI16" s="11" t="n">
        <f aca="false">'Base votos'!W81/'Base votos'!R81</f>
        <v>0.244590427420711</v>
      </c>
      <c r="AJ16" s="11" t="n">
        <f aca="false">'Base votos'!W114/'Base votos'!R114</f>
        <v>0.0291340734069359</v>
      </c>
      <c r="AK16" s="11" t="n">
        <f aca="false">'Base votos'!W147/'Base votos'!R147</f>
        <v>0.0757962866117302</v>
      </c>
      <c r="AL16" s="12" t="n">
        <f aca="false">(AJ16-AI16)*100</f>
        <v>-21.5456354013775</v>
      </c>
      <c r="AM16" s="12" t="n">
        <f aca="false">(AK16-AJ16)*100</f>
        <v>4.66622132047943</v>
      </c>
      <c r="AN16" s="12" t="n">
        <f aca="false">(AK16-AI16)*100</f>
        <v>-16.8794140808981</v>
      </c>
      <c r="AO16" s="20" t="n">
        <f aca="false">(MAX('Base votos'!U81:W81)-LARGE('Base votos'!U81:W81,2))/'Base votos'!R81*100</f>
        <v>24.0228381333284</v>
      </c>
      <c r="AP16" s="20" t="n">
        <f aca="false">(MAX('Base votos'!U114:W114)-LARGE('Base votos'!U114:W114,2))/'Base votos'!R114*100</f>
        <v>5.74687054109028</v>
      </c>
      <c r="AQ16" s="20" t="n">
        <f aca="false">(MAX('Base votos'!U147:W147)-LARGE('Base votos'!U147:W147,2))/'Base votos'!R147*100</f>
        <v>42.9787993390953</v>
      </c>
      <c r="AR16" s="12" t="n">
        <f aca="false">(AP16-AO16)</f>
        <v>-18.2759675922381</v>
      </c>
      <c r="AS16" s="12" t="n">
        <f aca="false">(AQ16-AP16)</f>
        <v>37.231928798005</v>
      </c>
      <c r="AT16" s="12" t="n">
        <f aca="false">(AQ16-AO16)</f>
        <v>18.955961205767</v>
      </c>
      <c r="AU16" s="21" t="s">
        <v>74</v>
      </c>
      <c r="AV16" s="21" t="s">
        <v>74</v>
      </c>
      <c r="AW16" s="21" t="s">
        <v>74</v>
      </c>
      <c r="AX16" s="21" t="s">
        <v>134</v>
      </c>
      <c r="AY16" s="21" t="s">
        <v>134</v>
      </c>
      <c r="AZ16" s="21" t="s">
        <v>134</v>
      </c>
    </row>
    <row r="17" customFormat="false" ht="23.85" hidden="false" customHeight="false" outlineLevel="0" collapsed="false">
      <c r="A17" s="14" t="s">
        <v>94</v>
      </c>
      <c r="B17" s="11" t="n">
        <f aca="false">'Base votos'!R82/'Base votos'!S82</f>
        <v>0.654816823941305</v>
      </c>
      <c r="C17" s="11" t="n">
        <f aca="false">'Base votos'!R115/'Base votos'!S115</f>
        <v>0.467495656087103</v>
      </c>
      <c r="D17" s="11" t="n">
        <f aca="false">'Base votos'!R148/'Base votos'!S148</f>
        <v>0.643437671678042</v>
      </c>
      <c r="E17" s="12" t="n">
        <f aca="false">(C17-B17)*100</f>
        <v>-18.7321167854202</v>
      </c>
      <c r="F17" s="12" t="n">
        <f aca="false">(D17-C17)*100</f>
        <v>17.5942015590938</v>
      </c>
      <c r="G17" s="12" t="n">
        <f aca="false">(D17-B17)*100</f>
        <v>-1.13791522632635</v>
      </c>
      <c r="H17" s="11" t="n">
        <f aca="false">'Base votos'!Q82/'Base votos'!R82</f>
        <v>0.0463244034639137</v>
      </c>
      <c r="I17" s="11" t="n">
        <f aca="false">'Base votos'!Q115/'Base votos'!R115</f>
        <v>0.0353406528762327</v>
      </c>
      <c r="J17" s="11" t="n">
        <f aca="false">'Base votos'!Q148/'Base votos'!R148</f>
        <v>0.0497824460218003</v>
      </c>
      <c r="K17" s="12" t="n">
        <f aca="false">(I17-H17)*100</f>
        <v>-1.0983750587681</v>
      </c>
      <c r="L17" s="12" t="n">
        <f aca="false">(J17-I17)*100</f>
        <v>1.44417931455676</v>
      </c>
      <c r="M17" s="12" t="n">
        <f aca="false">(J17-H17)*100</f>
        <v>0.345804255788661</v>
      </c>
      <c r="N17" s="9" t="n">
        <f aca="false">'Base votos'!R82</f>
        <v>1387217</v>
      </c>
      <c r="O17" s="9" t="n">
        <f aca="false">'Base votos'!R115</f>
        <v>1047151</v>
      </c>
      <c r="P17" s="9" t="n">
        <f aca="false">'Base votos'!R148</f>
        <v>1535481</v>
      </c>
      <c r="Q17" s="10" t="n">
        <f aca="false">O17-N17</f>
        <v>-340066</v>
      </c>
      <c r="R17" s="10" t="n">
        <f aca="false">P17-O17</f>
        <v>488330</v>
      </c>
      <c r="S17" s="10" t="n">
        <f aca="false">P17-N17</f>
        <v>148264</v>
      </c>
      <c r="T17" s="19" t="n">
        <f aca="false">O17/N17-1</f>
        <v>-0.24514261287167</v>
      </c>
      <c r="U17" s="19" t="n">
        <f aca="false">P17/O17-1</f>
        <v>0.466341530495602</v>
      </c>
      <c r="V17" s="19" t="n">
        <f aca="false">P17/N17-1</f>
        <v>0.106878736347666</v>
      </c>
      <c r="W17" s="11" t="n">
        <f aca="false">'Base votos'!U82/'Base votos'!R82</f>
        <v>0.546141663488841</v>
      </c>
      <c r="X17" s="11" t="n">
        <f aca="false">'Base votos'!U115/'Base votos'!R115</f>
        <v>0.482905521744237</v>
      </c>
      <c r="Y17" s="11" t="n">
        <f aca="false">'Base votos'!U148/'Base votos'!R148</f>
        <v>0.653957294163848</v>
      </c>
      <c r="Z17" s="12" t="n">
        <f aca="false">(X17-W17)*100</f>
        <v>-6.32361417446039</v>
      </c>
      <c r="AA17" s="12" t="n">
        <f aca="false">(Y17-X17)*100</f>
        <v>17.1051772419611</v>
      </c>
      <c r="AB17" s="12" t="n">
        <f aca="false">(Y17-W17)*100</f>
        <v>10.7815630675007</v>
      </c>
      <c r="AC17" s="11" t="n">
        <f aca="false">'Base votos'!V82/'Base votos'!R82</f>
        <v>0.142169538003067</v>
      </c>
      <c r="AD17" s="11" t="n">
        <f aca="false">'Base votos'!V115/'Base votos'!R115</f>
        <v>0.395365138361134</v>
      </c>
      <c r="AE17" s="11" t="n">
        <f aca="false">'Base votos'!V148/'Base votos'!R148</f>
        <v>0.207407320572511</v>
      </c>
      <c r="AF17" s="12" t="n">
        <f aca="false">(AD17-AC17)*100</f>
        <v>25.3195600358068</v>
      </c>
      <c r="AG17" s="12" t="n">
        <f aca="false">(AE17-AD17)*100</f>
        <v>-18.7957817788623</v>
      </c>
      <c r="AH17" s="12" t="n">
        <f aca="false">(AE17-AC17)*100</f>
        <v>6.52377825694446</v>
      </c>
      <c r="AI17" s="11" t="n">
        <f aca="false">'Base votos'!W82/'Base votos'!R82</f>
        <v>0.261660576535611</v>
      </c>
      <c r="AJ17" s="11" t="n">
        <f aca="false">'Base votos'!W115/'Base votos'!R115</f>
        <v>0.0218106080211927</v>
      </c>
      <c r="AK17" s="11" t="n">
        <f aca="false">'Base votos'!W148/'Base votos'!R148</f>
        <v>0.0881111521405996</v>
      </c>
      <c r="AL17" s="12" t="n">
        <f aca="false">(AJ17-AI17)*100</f>
        <v>-23.9849968514418</v>
      </c>
      <c r="AM17" s="12" t="n">
        <f aca="false">(AK17-AJ17)*100</f>
        <v>6.63005441194069</v>
      </c>
      <c r="AN17" s="12" t="n">
        <f aca="false">(AK17-AI17)*100</f>
        <v>-17.3549424395011</v>
      </c>
      <c r="AO17" s="20" t="n">
        <f aca="false">(MAX('Base votos'!U82:W82)-LARGE('Base votos'!U82:W82,2))/'Base votos'!R82*100</f>
        <v>28.4481086953231</v>
      </c>
      <c r="AP17" s="20" t="n">
        <f aca="false">(MAX('Base votos'!U115:W115)-LARGE('Base votos'!U115:W115,2))/'Base votos'!R115*100</f>
        <v>8.75403833831033</v>
      </c>
      <c r="AQ17" s="20" t="n">
        <f aca="false">(MAX('Base votos'!U148:W148)-LARGE('Base votos'!U148:W148,2))/'Base votos'!R148*100</f>
        <v>44.6549973591337</v>
      </c>
      <c r="AR17" s="12" t="n">
        <f aca="false">(AP17-AO17)</f>
        <v>-19.6940703570128</v>
      </c>
      <c r="AS17" s="12" t="n">
        <f aca="false">(AQ17-AP17)</f>
        <v>35.9009590208234</v>
      </c>
      <c r="AT17" s="12" t="n">
        <f aca="false">(AQ17-AO17)</f>
        <v>16.2068886638106</v>
      </c>
      <c r="AU17" s="21" t="s">
        <v>74</v>
      </c>
      <c r="AV17" s="21" t="s">
        <v>74</v>
      </c>
      <c r="AW17" s="21" t="s">
        <v>74</v>
      </c>
      <c r="AX17" s="21" t="s">
        <v>134</v>
      </c>
      <c r="AY17" s="21" t="s">
        <v>134</v>
      </c>
      <c r="AZ17" s="21" t="s">
        <v>134</v>
      </c>
    </row>
    <row r="18" customFormat="false" ht="23.85" hidden="false" customHeight="false" outlineLevel="0" collapsed="false">
      <c r="A18" s="14" t="s">
        <v>95</v>
      </c>
      <c r="B18" s="11" t="n">
        <f aca="false">'Base votos'!R83/'Base votos'!S83</f>
        <v>0.590375479971965</v>
      </c>
      <c r="C18" s="11" t="n">
        <f aca="false">'Base votos'!R116/'Base votos'!S116</f>
        <v>0.483019406760649</v>
      </c>
      <c r="D18" s="11" t="n">
        <f aca="false">'Base votos'!R149/'Base votos'!S149</f>
        <v>0.578099337604281</v>
      </c>
      <c r="E18" s="12" t="n">
        <f aca="false">(C18-B18)*100</f>
        <v>-10.7356073211316</v>
      </c>
      <c r="F18" s="12" t="n">
        <f aca="false">(D18-C18)*100</f>
        <v>9.5079930843632</v>
      </c>
      <c r="G18" s="12" t="n">
        <f aca="false">(D18-B18)*100</f>
        <v>-1.2276142367684</v>
      </c>
      <c r="H18" s="11" t="n">
        <f aca="false">'Base votos'!Q83/'Base votos'!R83</f>
        <v>0.0353778056080565</v>
      </c>
      <c r="I18" s="11" t="n">
        <f aca="false">'Base votos'!Q116/'Base votos'!R116</f>
        <v>0.0252036828066954</v>
      </c>
      <c r="J18" s="11" t="n">
        <f aca="false">'Base votos'!Q149/'Base votos'!R149</f>
        <v>0.028019298676097</v>
      </c>
      <c r="K18" s="12" t="n">
        <f aca="false">(I18-H18)*100</f>
        <v>-1.01741228013611</v>
      </c>
      <c r="L18" s="12" t="n">
        <f aca="false">(J18-I18)*100</f>
        <v>0.281561586940167</v>
      </c>
      <c r="M18" s="12" t="n">
        <f aca="false">(J18-H18)*100</f>
        <v>-0.735850693195946</v>
      </c>
      <c r="N18" s="9" t="n">
        <f aca="false">'Base votos'!R83</f>
        <v>3481420</v>
      </c>
      <c r="O18" s="9" t="n">
        <f aca="false">'Base votos'!R116</f>
        <v>2997062</v>
      </c>
      <c r="P18" s="9" t="n">
        <f aca="false">'Base votos'!R149</f>
        <v>3826791</v>
      </c>
      <c r="Q18" s="10" t="n">
        <f aca="false">O18-N18</f>
        <v>-484358</v>
      </c>
      <c r="R18" s="10" t="n">
        <f aca="false">P18-O18</f>
        <v>829729</v>
      </c>
      <c r="S18" s="10" t="n">
        <f aca="false">P18-N18</f>
        <v>345371</v>
      </c>
      <c r="T18" s="19" t="n">
        <f aca="false">O18/N18-1</f>
        <v>-0.139126563298884</v>
      </c>
      <c r="U18" s="19" t="n">
        <f aca="false">P18/O18-1</f>
        <v>0.276847459278453</v>
      </c>
      <c r="V18" s="19" t="n">
        <f aca="false">P18/N18-1</f>
        <v>0.0992040604121307</v>
      </c>
      <c r="W18" s="11" t="n">
        <f aca="false">'Base votos'!U83/'Base votos'!R83</f>
        <v>0.290621642892843</v>
      </c>
      <c r="X18" s="11" t="n">
        <f aca="false">'Base votos'!U116/'Base votos'!R116</f>
        <v>0.28500644964969</v>
      </c>
      <c r="Y18" s="11" t="n">
        <f aca="false">'Base votos'!U149/'Base votos'!R149</f>
        <v>0.39635088511497</v>
      </c>
      <c r="Z18" s="12" t="n">
        <f aca="false">(X18-W18)*100</f>
        <v>-0.561519324315235</v>
      </c>
      <c r="AA18" s="12" t="n">
        <f aca="false">(Y18-X18)*100</f>
        <v>11.1344435465279</v>
      </c>
      <c r="AB18" s="12" t="n">
        <f aca="false">(Y18-W18)*100</f>
        <v>10.5729242222127</v>
      </c>
      <c r="AC18" s="11" t="n">
        <f aca="false">'Base votos'!V83/'Base votos'!R83</f>
        <v>0.412342090296488</v>
      </c>
      <c r="AD18" s="11" t="n">
        <f aca="false">'Base votos'!V116/'Base votos'!R116</f>
        <v>0.313024221721139</v>
      </c>
      <c r="AE18" s="11" t="n">
        <f aca="false">'Base votos'!V149/'Base votos'!R149</f>
        <v>0.284880726436327</v>
      </c>
      <c r="AF18" s="12" t="n">
        <f aca="false">(AD18-AC18)*100</f>
        <v>-9.93178685753493</v>
      </c>
      <c r="AG18" s="12" t="n">
        <f aca="false">(AE18-AD18)*100</f>
        <v>-2.81434952848115</v>
      </c>
      <c r="AH18" s="12" t="n">
        <f aca="false">(AE18-AC18)*100</f>
        <v>-12.7461363860161</v>
      </c>
      <c r="AI18" s="11" t="n">
        <f aca="false">'Base votos'!W83/'Base votos'!R83</f>
        <v>0.218996271636286</v>
      </c>
      <c r="AJ18" s="11" t="n">
        <f aca="false">'Base votos'!W116/'Base votos'!R116</f>
        <v>0.316979094860233</v>
      </c>
      <c r="AK18" s="11" t="n">
        <f aca="false">'Base votos'!W149/'Base votos'!R149</f>
        <v>0.289886748453208</v>
      </c>
      <c r="AL18" s="12" t="n">
        <f aca="false">(AJ18-AI18)*100</f>
        <v>9.79828232239468</v>
      </c>
      <c r="AM18" s="12" t="n">
        <f aca="false">(AK18-AJ18)*100</f>
        <v>-2.70923464070252</v>
      </c>
      <c r="AN18" s="12" t="n">
        <f aca="false">(AK18-AI18)*100</f>
        <v>7.08904768169216</v>
      </c>
      <c r="AO18" s="20" t="n">
        <f aca="false">(MAX('Base votos'!U83:W83)-LARGE('Base votos'!U83:W83,2))/'Base votos'!R83*100</f>
        <v>12.1720447403646</v>
      </c>
      <c r="AP18" s="20" t="n">
        <f aca="false">(MAX('Base votos'!U116:W116)-LARGE('Base votos'!U116:W116,2))/'Base votos'!R116*100</f>
        <v>0.395487313909422</v>
      </c>
      <c r="AQ18" s="20" t="n">
        <f aca="false">(MAX('Base votos'!U149:W149)-LARGE('Base votos'!U149:W149,2))/'Base votos'!R149*100</f>
        <v>10.6464136661762</v>
      </c>
      <c r="AR18" s="12" t="n">
        <f aca="false">(AP18-AO18)</f>
        <v>-11.7765574264551</v>
      </c>
      <c r="AS18" s="12" t="n">
        <f aca="false">(AQ18-AP18)</f>
        <v>10.2509263522668</v>
      </c>
      <c r="AT18" s="12" t="n">
        <f aca="false">(AQ18-AO18)</f>
        <v>-1.52563107418839</v>
      </c>
      <c r="AU18" s="21" t="s">
        <v>132</v>
      </c>
      <c r="AV18" s="21" t="s">
        <v>62</v>
      </c>
      <c r="AW18" s="21" t="s">
        <v>74</v>
      </c>
      <c r="AX18" s="21" t="s">
        <v>151</v>
      </c>
      <c r="AY18" s="21" t="s">
        <v>152</v>
      </c>
      <c r="AZ18" s="21" t="s">
        <v>135</v>
      </c>
    </row>
    <row r="19" customFormat="false" ht="23.85" hidden="false" customHeight="false" outlineLevel="0" collapsed="false">
      <c r="A19" s="14" t="s">
        <v>96</v>
      </c>
      <c r="B19" s="11" t="n">
        <f aca="false">'Base votos'!R84/'Base votos'!S84</f>
        <v>0.676595800065313</v>
      </c>
      <c r="C19" s="11" t="n">
        <f aca="false">'Base votos'!R117/'Base votos'!S117</f>
        <v>0.543002920516479</v>
      </c>
      <c r="D19" s="11" t="n">
        <f aca="false">'Base votos'!R150/'Base votos'!S150</f>
        <v>0.644447260832195</v>
      </c>
      <c r="E19" s="12" t="n">
        <f aca="false">(C19-B19)*100</f>
        <v>-13.3592879548835</v>
      </c>
      <c r="F19" s="12" t="n">
        <f aca="false">(D19-C19)*100</f>
        <v>10.1444340315716</v>
      </c>
      <c r="G19" s="12" t="n">
        <f aca="false">(D19-B19)*100</f>
        <v>-3.21485392331189</v>
      </c>
      <c r="H19" s="11" t="n">
        <f aca="false">'Base votos'!Q84/'Base votos'!R84</f>
        <v>0.0292612451824384</v>
      </c>
      <c r="I19" s="11" t="n">
        <f aca="false">'Base votos'!Q117/'Base votos'!R117</f>
        <v>0.0285385739611143</v>
      </c>
      <c r="J19" s="11" t="n">
        <f aca="false">'Base votos'!Q150/'Base votos'!R150</f>
        <v>0.0324586637316457</v>
      </c>
      <c r="K19" s="12" t="n">
        <f aca="false">(I19-H19)*100</f>
        <v>-0.0722671221324099</v>
      </c>
      <c r="L19" s="12" t="n">
        <f aca="false">(J19-I19)*100</f>
        <v>0.392008977053139</v>
      </c>
      <c r="M19" s="12" t="n">
        <f aca="false">(J19-H19)*100</f>
        <v>0.319741854920729</v>
      </c>
      <c r="N19" s="9" t="n">
        <f aca="false">'Base votos'!R84</f>
        <v>8005606</v>
      </c>
      <c r="O19" s="9" t="n">
        <f aca="false">'Base votos'!R117</f>
        <v>6720518</v>
      </c>
      <c r="P19" s="9" t="n">
        <f aca="false">'Base votos'!R150</f>
        <v>8395170</v>
      </c>
      <c r="Q19" s="10" t="n">
        <f aca="false">O19-N19</f>
        <v>-1285088</v>
      </c>
      <c r="R19" s="10" t="n">
        <f aca="false">P19-O19</f>
        <v>1674652</v>
      </c>
      <c r="S19" s="10" t="n">
        <f aca="false">P19-N19</f>
        <v>389564</v>
      </c>
      <c r="T19" s="19" t="n">
        <f aca="false">O19/N19-1</f>
        <v>-0.160523513148161</v>
      </c>
      <c r="U19" s="19" t="n">
        <f aca="false">P19/O19-1</f>
        <v>0.249184958659437</v>
      </c>
      <c r="V19" s="19" t="n">
        <f aca="false">P19/N19-1</f>
        <v>0.048661400523583</v>
      </c>
      <c r="W19" s="11" t="n">
        <f aca="false">'Base votos'!U84/'Base votos'!R84</f>
        <v>0.480877025424434</v>
      </c>
      <c r="X19" s="11" t="n">
        <f aca="false">'Base votos'!U117/'Base votos'!R117</f>
        <v>0.426969766318608</v>
      </c>
      <c r="Y19" s="11" t="n">
        <f aca="false">'Base votos'!U150/'Base votos'!R150</f>
        <v>0.554624980792527</v>
      </c>
      <c r="Z19" s="12" t="n">
        <f aca="false">(X19-W19)*100</f>
        <v>-5.39072591058257</v>
      </c>
      <c r="AA19" s="12" t="n">
        <f aca="false">(Y19-X19)*100</f>
        <v>12.7655214473919</v>
      </c>
      <c r="AB19" s="12" t="n">
        <f aca="false">(Y19-W19)*100</f>
        <v>7.37479553680933</v>
      </c>
      <c r="AC19" s="11" t="n">
        <f aca="false">'Base votos'!V84/'Base votos'!R84</f>
        <v>0.22546750364682</v>
      </c>
      <c r="AD19" s="11" t="n">
        <f aca="false">'Base votos'!V117/'Base votos'!R117</f>
        <v>0.434891774711414</v>
      </c>
      <c r="AE19" s="11" t="n">
        <f aca="false">'Base votos'!V150/'Base votos'!R150</f>
        <v>0.311543304066505</v>
      </c>
      <c r="AF19" s="12" t="n">
        <f aca="false">(AD19-AC19)*100</f>
        <v>20.9424271064594</v>
      </c>
      <c r="AG19" s="12" t="n">
        <f aca="false">(AE19-AD19)*100</f>
        <v>-12.3348470644909</v>
      </c>
      <c r="AH19" s="12" t="n">
        <f aca="false">(AE19-AC19)*100</f>
        <v>8.60758004196854</v>
      </c>
      <c r="AI19" s="11" t="n">
        <f aca="false">'Base votos'!W84/'Base votos'!R84</f>
        <v>0.26384561018866</v>
      </c>
      <c r="AJ19" s="11" t="n">
        <f aca="false">'Base votos'!W117/'Base votos'!R117</f>
        <v>0.0490633311301301</v>
      </c>
      <c r="AK19" s="11" t="n">
        <f aca="false">'Base votos'!W150/'Base votos'!R150</f>
        <v>0.100542931233078</v>
      </c>
      <c r="AL19" s="12" t="n">
        <f aca="false">(AJ19-AI19)*100</f>
        <v>-21.478227905853</v>
      </c>
      <c r="AM19" s="12" t="n">
        <f aca="false">(AK19-AJ19)*100</f>
        <v>5.14796001029479</v>
      </c>
      <c r="AN19" s="12" t="n">
        <f aca="false">(AK19-AI19)*100</f>
        <v>-16.3302678955582</v>
      </c>
      <c r="AO19" s="20" t="n">
        <f aca="false">(MAX('Base votos'!U84:W84)-LARGE('Base votos'!U84:W84,2))/'Base votos'!R84*100</f>
        <v>21.7031415235774</v>
      </c>
      <c r="AP19" s="20" t="n">
        <f aca="false">(MAX('Base votos'!U117:W117)-LARGE('Base votos'!U117:W117,2))/'Base votos'!R117*100</f>
        <v>0.792200839280544</v>
      </c>
      <c r="AQ19" s="20" t="n">
        <f aca="false">(MAX('Base votos'!U150:W150)-LARGE('Base votos'!U150:W150,2))/'Base votos'!R150*100</f>
        <v>24.3081676726022</v>
      </c>
      <c r="AR19" s="12" t="n">
        <f aca="false">(AP19-AO19)</f>
        <v>-20.9109406842968</v>
      </c>
      <c r="AS19" s="12" t="n">
        <f aca="false">(AQ19-AP19)</f>
        <v>23.5159668333217</v>
      </c>
      <c r="AT19" s="12" t="n">
        <f aca="false">(AQ19-AO19)</f>
        <v>2.60502614902487</v>
      </c>
      <c r="AU19" s="21" t="s">
        <v>74</v>
      </c>
      <c r="AV19" s="21" t="s">
        <v>132</v>
      </c>
      <c r="AW19" s="21" t="s">
        <v>74</v>
      </c>
      <c r="AX19" s="21" t="s">
        <v>133</v>
      </c>
      <c r="AY19" s="21" t="s">
        <v>135</v>
      </c>
      <c r="AZ19" s="21" t="s">
        <v>134</v>
      </c>
    </row>
    <row r="20" customFormat="false" ht="23.85" hidden="false" customHeight="false" outlineLevel="0" collapsed="false">
      <c r="A20" s="14" t="s">
        <v>97</v>
      </c>
      <c r="B20" s="11" t="n">
        <f aca="false">'Base votos'!R85/'Base votos'!S85</f>
        <v>0.585795931794962</v>
      </c>
      <c r="C20" s="11" t="n">
        <f aca="false">'Base votos'!R118/'Base votos'!S118</f>
        <v>0.496957085028063</v>
      </c>
      <c r="D20" s="11" t="n">
        <f aca="false">'Base votos'!R151/'Base votos'!S151</f>
        <v>0.553955678307609</v>
      </c>
      <c r="E20" s="12" t="n">
        <f aca="false">(C20-B20)*100</f>
        <v>-8.8838846766899</v>
      </c>
      <c r="F20" s="12" t="n">
        <f aca="false">(D20-C20)*100</f>
        <v>5.69985932795459</v>
      </c>
      <c r="G20" s="12" t="n">
        <f aca="false">(D20-B20)*100</f>
        <v>-3.18402534873531</v>
      </c>
      <c r="H20" s="11" t="n">
        <f aca="false">'Base votos'!Q85/'Base votos'!R85</f>
        <v>0.059923273151736</v>
      </c>
      <c r="I20" s="11" t="n">
        <f aca="false">'Base votos'!Q118/'Base votos'!R118</f>
        <v>0.046121687956267</v>
      </c>
      <c r="J20" s="11" t="n">
        <f aca="false">'Base votos'!Q151/'Base votos'!R151</f>
        <v>0.0505170439892782</v>
      </c>
      <c r="K20" s="12" t="n">
        <f aca="false">(I20-H20)*100</f>
        <v>-1.3801585195469</v>
      </c>
      <c r="L20" s="12" t="n">
        <f aca="false">(J20-I20)*100</f>
        <v>0.439535603301119</v>
      </c>
      <c r="M20" s="12" t="n">
        <f aca="false">(J20-H20)*100</f>
        <v>-0.940622916245783</v>
      </c>
      <c r="N20" s="9" t="n">
        <f aca="false">'Base votos'!R85</f>
        <v>1972973</v>
      </c>
      <c r="O20" s="9" t="n">
        <f aca="false">'Base votos'!R118</f>
        <v>1749524</v>
      </c>
      <c r="P20" s="9" t="n">
        <f aca="false">'Base votos'!R151</f>
        <v>2047408</v>
      </c>
      <c r="Q20" s="10" t="n">
        <f aca="false">O20-N20</f>
        <v>-223449</v>
      </c>
      <c r="R20" s="10" t="n">
        <f aca="false">P20-O20</f>
        <v>297884</v>
      </c>
      <c r="S20" s="10" t="n">
        <f aca="false">P20-N20</f>
        <v>74435</v>
      </c>
      <c r="T20" s="19" t="n">
        <f aca="false">O20/N20-1</f>
        <v>-0.113254971051302</v>
      </c>
      <c r="U20" s="19" t="n">
        <f aca="false">P20/O20-1</f>
        <v>0.170265740852941</v>
      </c>
      <c r="V20" s="19" t="n">
        <f aca="false">P20/N20-1</f>
        <v>0.0377273282503106</v>
      </c>
      <c r="W20" s="11" t="n">
        <f aca="false">'Base votos'!U85/'Base votos'!R85</f>
        <v>0.373796296249366</v>
      </c>
      <c r="X20" s="11" t="n">
        <f aca="false">'Base votos'!U118/'Base votos'!R118</f>
        <v>0.440038547627812</v>
      </c>
      <c r="Y20" s="11" t="n">
        <f aca="false">'Base votos'!U151/'Base votos'!R151</f>
        <v>0.485827446214922</v>
      </c>
      <c r="Z20" s="12" t="n">
        <f aca="false">(X20-W20)*100</f>
        <v>6.62422513784461</v>
      </c>
      <c r="AA20" s="12" t="n">
        <f aca="false">(Y20-X20)*100</f>
        <v>4.57888985871096</v>
      </c>
      <c r="AB20" s="12" t="n">
        <f aca="false">(Y20-W20)*100</f>
        <v>11.2031149965556</v>
      </c>
      <c r="AC20" s="11" t="n">
        <f aca="false">'Base votos'!V85/'Base votos'!R85</f>
        <v>0.289229502887267</v>
      </c>
      <c r="AD20" s="11" t="n">
        <f aca="false">'Base votos'!V118/'Base votos'!R118</f>
        <v>0.393252679014406</v>
      </c>
      <c r="AE20" s="11" t="n">
        <f aca="false">'Base votos'!V151/'Base votos'!R151</f>
        <v>0.32463534381032</v>
      </c>
      <c r="AF20" s="12" t="n">
        <f aca="false">(AD20-AC20)*100</f>
        <v>10.4023176127139</v>
      </c>
      <c r="AG20" s="12" t="n">
        <f aca="false">(AE20-AD20)*100</f>
        <v>-6.8617335204086</v>
      </c>
      <c r="AH20" s="12" t="n">
        <f aca="false">(AE20-AC20)*100</f>
        <v>3.54058409230531</v>
      </c>
      <c r="AI20" s="11" t="n">
        <f aca="false">'Base votos'!W85/'Base votos'!R85</f>
        <v>0.254045037615821</v>
      </c>
      <c r="AJ20" s="11" t="n">
        <f aca="false">'Base votos'!W118/'Base votos'!R118</f>
        <v>0.039343844382815</v>
      </c>
      <c r="AK20" s="11" t="n">
        <f aca="false">'Base votos'!W151/'Base votos'!R151</f>
        <v>0.107534013738346</v>
      </c>
      <c r="AL20" s="12" t="n">
        <f aca="false">(AJ20-AI20)*100</f>
        <v>-21.4701193233006</v>
      </c>
      <c r="AM20" s="12" t="n">
        <f aca="false">(AK20-AJ20)*100</f>
        <v>6.81901693555313</v>
      </c>
      <c r="AN20" s="12" t="n">
        <f aca="false">(AK20-AI20)*100</f>
        <v>-14.6511023877475</v>
      </c>
      <c r="AO20" s="20" t="n">
        <f aca="false">(MAX('Base votos'!U85:W85)-LARGE('Base votos'!U85:W85,2))/'Base votos'!R85*100</f>
        <v>8.45667933620987</v>
      </c>
      <c r="AP20" s="20" t="n">
        <f aca="false">(MAX('Base votos'!U118:W118)-LARGE('Base votos'!U118:W118,2))/'Base votos'!R118*100</f>
        <v>4.67858686134057</v>
      </c>
      <c r="AQ20" s="20" t="n">
        <f aca="false">(MAX('Base votos'!U151:W151)-LARGE('Base votos'!U151:W151,2))/'Base votos'!R151*100</f>
        <v>16.1192102404601</v>
      </c>
      <c r="AR20" s="12" t="n">
        <f aca="false">(AP20-AO20)</f>
        <v>-3.7780924748693</v>
      </c>
      <c r="AS20" s="12" t="n">
        <f aca="false">(AQ20-AP20)</f>
        <v>11.4406233791196</v>
      </c>
      <c r="AT20" s="12" t="n">
        <f aca="false">(AQ20-AO20)</f>
        <v>7.66253090425026</v>
      </c>
      <c r="AU20" s="21" t="s">
        <v>74</v>
      </c>
      <c r="AV20" s="21" t="s">
        <v>74</v>
      </c>
      <c r="AW20" s="21" t="s">
        <v>74</v>
      </c>
      <c r="AX20" s="21" t="s">
        <v>134</v>
      </c>
      <c r="AY20" s="21" t="s">
        <v>134</v>
      </c>
      <c r="AZ20" s="21" t="s">
        <v>134</v>
      </c>
    </row>
    <row r="21" customFormat="false" ht="23.85" hidden="false" customHeight="false" outlineLevel="0" collapsed="false">
      <c r="A21" s="14" t="s">
        <v>98</v>
      </c>
      <c r="B21" s="11" t="n">
        <f aca="false">'Base votos'!R86/'Base votos'!S86</f>
        <v>0.668356532220806</v>
      </c>
      <c r="C21" s="11" t="n">
        <f aca="false">'Base votos'!R119/'Base votos'!S119</f>
        <v>0.532058047581585</v>
      </c>
      <c r="D21" s="11" t="n">
        <f aca="false">'Base votos'!R152/'Base votos'!S152</f>
        <v>0.630192234475727</v>
      </c>
      <c r="E21" s="12" t="n">
        <f aca="false">(C21-B21)*100</f>
        <v>-13.6298484639221</v>
      </c>
      <c r="F21" s="12" t="n">
        <f aca="false">(D21-C21)*100</f>
        <v>9.81341868941424</v>
      </c>
      <c r="G21" s="12" t="n">
        <f aca="false">(D21-B21)*100</f>
        <v>-3.81642977450786</v>
      </c>
      <c r="H21" s="11" t="n">
        <f aca="false">'Base votos'!Q86/'Base votos'!R86</f>
        <v>0.0524184285178205</v>
      </c>
      <c r="I21" s="11" t="n">
        <f aca="false">'Base votos'!Q119/'Base votos'!R119</f>
        <v>0.0484571038048852</v>
      </c>
      <c r="J21" s="11" t="n">
        <f aca="false">'Base votos'!Q152/'Base votos'!R152</f>
        <v>0.0408472337418978</v>
      </c>
      <c r="K21" s="12" t="n">
        <f aca="false">(I21-H21)*100</f>
        <v>-0.396132471293536</v>
      </c>
      <c r="L21" s="12" t="n">
        <f aca="false">(J21-I21)*100</f>
        <v>-0.760987006298733</v>
      </c>
      <c r="M21" s="12" t="n">
        <f aca="false">(J21-H21)*100</f>
        <v>-1.15711947759227</v>
      </c>
      <c r="N21" s="9" t="n">
        <f aca="false">'Base votos'!R86</f>
        <v>962009</v>
      </c>
      <c r="O21" s="9" t="n">
        <f aca="false">'Base votos'!R119</f>
        <v>796003</v>
      </c>
      <c r="P21" s="9" t="n">
        <f aca="false">'Base votos'!R152</f>
        <v>976590</v>
      </c>
      <c r="Q21" s="10" t="n">
        <f aca="false">O21-N21</f>
        <v>-166006</v>
      </c>
      <c r="R21" s="10" t="n">
        <f aca="false">P21-O21</f>
        <v>180587</v>
      </c>
      <c r="S21" s="10" t="n">
        <f aca="false">P21-N21</f>
        <v>14581</v>
      </c>
      <c r="T21" s="19" t="n">
        <f aca="false">O21/N21-1</f>
        <v>-0.172561795159921</v>
      </c>
      <c r="U21" s="19" t="n">
        <f aca="false">P21/O21-1</f>
        <v>0.226867235424992</v>
      </c>
      <c r="V21" s="19" t="n">
        <f aca="false">P21/N21-1</f>
        <v>0.0151568228571666</v>
      </c>
      <c r="W21" s="11" t="n">
        <f aca="false">'Base votos'!U86/'Base votos'!R86</f>
        <v>0.464535155076512</v>
      </c>
      <c r="X21" s="11" t="n">
        <f aca="false">'Base votos'!U119/'Base votos'!R119</f>
        <v>0.407283640890801</v>
      </c>
      <c r="Y21" s="11" t="n">
        <f aca="false">'Base votos'!U152/'Base votos'!R152</f>
        <v>0.58740208275735</v>
      </c>
      <c r="Z21" s="12" t="n">
        <f aca="false">(X21-W21)*100</f>
        <v>-5.72515141857111</v>
      </c>
      <c r="AA21" s="12" t="n">
        <f aca="false">(Y21-X21)*100</f>
        <v>18.0118441866549</v>
      </c>
      <c r="AB21" s="12" t="n">
        <f aca="false">(Y21-W21)*100</f>
        <v>12.2866927680838</v>
      </c>
      <c r="AC21" s="11" t="n">
        <f aca="false">'Base votos'!V86/'Base votos'!R86</f>
        <v>0.244390644993966</v>
      </c>
      <c r="AD21" s="11" t="n">
        <f aca="false">'Base votos'!V119/'Base votos'!R119</f>
        <v>0.259883442650342</v>
      </c>
      <c r="AE21" s="11" t="n">
        <f aca="false">'Base votos'!V152/'Base votos'!R152</f>
        <v>0.2444311328193</v>
      </c>
      <c r="AF21" s="12" t="n">
        <f aca="false">(AD21-AC21)*100</f>
        <v>1.5492797656376</v>
      </c>
      <c r="AG21" s="12" t="n">
        <f aca="false">(AE21-AD21)*100</f>
        <v>-1.54523098310419</v>
      </c>
      <c r="AH21" s="12" t="n">
        <f aca="false">(AE21-AC21)*100</f>
        <v>0.00404878253340568</v>
      </c>
      <c r="AI21" s="11" t="n">
        <f aca="false">'Base votos'!W86/'Base votos'!R86</f>
        <v>0.184253993465758</v>
      </c>
      <c r="AJ21" s="11" t="n">
        <f aca="false">'Base votos'!W119/'Base votos'!R119</f>
        <v>0.0672723595262832</v>
      </c>
      <c r="AK21" s="11" t="n">
        <f aca="false">'Base votos'!W152/'Base votos'!R152</f>
        <v>0.126449175191227</v>
      </c>
      <c r="AL21" s="12" t="n">
        <f aca="false">(AJ21-AI21)*100</f>
        <v>-11.6981633939474</v>
      </c>
      <c r="AM21" s="12" t="n">
        <f aca="false">(AK21-AJ21)*100</f>
        <v>5.91768156649434</v>
      </c>
      <c r="AN21" s="12" t="n">
        <f aca="false">(AK21-AI21)*100</f>
        <v>-5.7804818274531</v>
      </c>
      <c r="AO21" s="20" t="n">
        <f aca="false">(MAX('Base votos'!U86:W86)-LARGE('Base votos'!U86:W86,2))/'Base votos'!R86*100</f>
        <v>22.0144510082546</v>
      </c>
      <c r="AP21" s="20" t="n">
        <f aca="false">(MAX('Base votos'!U119:W119)-LARGE('Base votos'!U119:W119,2))/'Base votos'!R119*100</f>
        <v>14.7400198240459</v>
      </c>
      <c r="AQ21" s="20" t="n">
        <f aca="false">(MAX('Base votos'!U152:W152)-LARGE('Base votos'!U152:W152,2))/'Base votos'!R152*100</f>
        <v>34.297094993805</v>
      </c>
      <c r="AR21" s="12" t="n">
        <f aca="false">(AP21-AO21)</f>
        <v>-7.27443118420871</v>
      </c>
      <c r="AS21" s="12" t="n">
        <f aca="false">(AQ21-AP21)</f>
        <v>19.5570751697591</v>
      </c>
      <c r="AT21" s="12" t="n">
        <f aca="false">(AQ21-AO21)</f>
        <v>12.2826439855504</v>
      </c>
      <c r="AU21" s="21" t="s">
        <v>74</v>
      </c>
      <c r="AV21" s="21" t="s">
        <v>74</v>
      </c>
      <c r="AW21" s="21" t="s">
        <v>74</v>
      </c>
      <c r="AX21" s="21" t="s">
        <v>134</v>
      </c>
      <c r="AY21" s="21" t="s">
        <v>134</v>
      </c>
      <c r="AZ21" s="21" t="s">
        <v>134</v>
      </c>
    </row>
    <row r="22" customFormat="false" ht="23.85" hidden="false" customHeight="false" outlineLevel="0" collapsed="false">
      <c r="A22" s="14" t="s">
        <v>99</v>
      </c>
      <c r="B22" s="11" t="n">
        <f aca="false">'Base votos'!R87/'Base votos'!S87</f>
        <v>0.569562747767802</v>
      </c>
      <c r="C22" s="11" t="n">
        <f aca="false">'Base votos'!R120/'Base votos'!S120</f>
        <v>0.534817410499962</v>
      </c>
      <c r="D22" s="11" t="n">
        <f aca="false">'Base votos'!R153/'Base votos'!S153</f>
        <v>0.560729270865875</v>
      </c>
      <c r="E22" s="12" t="n">
        <f aca="false">(C22-B22)*100</f>
        <v>-3.47453372678399</v>
      </c>
      <c r="F22" s="12" t="n">
        <f aca="false">(D22-C22)*100</f>
        <v>2.59118603659132</v>
      </c>
      <c r="G22" s="12" t="n">
        <f aca="false">(D22-B22)*100</f>
        <v>-0.883347690192671</v>
      </c>
      <c r="H22" s="11" t="n">
        <f aca="false">'Base votos'!Q87/'Base votos'!R87</f>
        <v>0.0390763655061454</v>
      </c>
      <c r="I22" s="11" t="n">
        <f aca="false">'Base votos'!Q120/'Base votos'!R120</f>
        <v>0.042710269005063</v>
      </c>
      <c r="J22" s="11" t="n">
        <f aca="false">'Base votos'!Q153/'Base votos'!R153</f>
        <v>0.0432087070215556</v>
      </c>
      <c r="K22" s="12" t="n">
        <f aca="false">(I22-H22)*100</f>
        <v>0.363390349891758</v>
      </c>
      <c r="L22" s="12" t="n">
        <f aca="false">(J22-I22)*100</f>
        <v>0.0498438016492603</v>
      </c>
      <c r="M22" s="12" t="n">
        <f aca="false">(J22-H22)*100</f>
        <v>0.413234151541018</v>
      </c>
      <c r="N22" s="9" t="n">
        <f aca="false">'Base votos'!R87</f>
        <v>482312</v>
      </c>
      <c r="O22" s="9" t="n">
        <f aca="false">'Base votos'!R120</f>
        <v>476794</v>
      </c>
      <c r="P22" s="9" t="n">
        <f aca="false">'Base votos'!R153</f>
        <v>533087</v>
      </c>
      <c r="Q22" s="10" t="n">
        <f aca="false">O22-N22</f>
        <v>-5518</v>
      </c>
      <c r="R22" s="10" t="n">
        <f aca="false">P22-O22</f>
        <v>56293</v>
      </c>
      <c r="S22" s="10" t="n">
        <f aca="false">P22-N22</f>
        <v>50775</v>
      </c>
      <c r="T22" s="19" t="n">
        <f aca="false">O22/N22-1</f>
        <v>-0.0114407271641593</v>
      </c>
      <c r="U22" s="19" t="n">
        <f aca="false">P22/O22-1</f>
        <v>0.118065663577981</v>
      </c>
      <c r="V22" s="19" t="n">
        <f aca="false">P22/N22-1</f>
        <v>0.105274179369371</v>
      </c>
      <c r="W22" s="11" t="n">
        <f aca="false">'Base votos'!U87/'Base votos'!R87</f>
        <v>0.528305329330392</v>
      </c>
      <c r="X22" s="11" t="n">
        <f aca="false">'Base votos'!U120/'Base votos'!R120</f>
        <v>0.481851701153958</v>
      </c>
      <c r="Y22" s="11" t="n">
        <f aca="false">'Base votos'!U153/'Base votos'!R153</f>
        <v>0.567684074081717</v>
      </c>
      <c r="Z22" s="12" t="n">
        <f aca="false">(X22-W22)*100</f>
        <v>-4.64536281764345</v>
      </c>
      <c r="AA22" s="12" t="n">
        <f aca="false">(Y22-X22)*100</f>
        <v>8.5832372927759</v>
      </c>
      <c r="AB22" s="12" t="n">
        <f aca="false">(Y22-W22)*100</f>
        <v>3.93787447513245</v>
      </c>
      <c r="AC22" s="11" t="n">
        <f aca="false">'Base votos'!V87/'Base votos'!R87</f>
        <v>0.257708703080164</v>
      </c>
      <c r="AD22" s="11" t="n">
        <f aca="false">'Base votos'!V120/'Base votos'!R120</f>
        <v>0.229921098000394</v>
      </c>
      <c r="AE22" s="11" t="n">
        <f aca="false">'Base votos'!V153/'Base votos'!R153</f>
        <v>0.214259586146351</v>
      </c>
      <c r="AF22" s="12" t="n">
        <f aca="false">(AD22-AC22)*100</f>
        <v>-2.77876050797695</v>
      </c>
      <c r="AG22" s="12" t="n">
        <f aca="false">(AE22-AD22)*100</f>
        <v>-1.5661511854043</v>
      </c>
      <c r="AH22" s="12" t="n">
        <f aca="false">(AE22-AC22)*100</f>
        <v>-4.34491169338125</v>
      </c>
      <c r="AI22" s="11" t="n">
        <f aca="false">'Base votos'!W87/'Base votos'!R87</f>
        <v>0.174552986448606</v>
      </c>
      <c r="AJ22" s="11" t="n">
        <f aca="false">'Base votos'!W120/'Base votos'!R120</f>
        <v>0.157969689215888</v>
      </c>
      <c r="AK22" s="11" t="n">
        <f aca="false">'Base votos'!W153/'Base votos'!R153</f>
        <v>0.173905947809645</v>
      </c>
      <c r="AL22" s="12" t="n">
        <f aca="false">(AJ22-AI22)*100</f>
        <v>-1.65832972327181</v>
      </c>
      <c r="AM22" s="12" t="n">
        <f aca="false">(AK22-AJ22)*100</f>
        <v>1.59362585937568</v>
      </c>
      <c r="AN22" s="12" t="n">
        <f aca="false">(AK22-AI22)*100</f>
        <v>-0.0647038638961289</v>
      </c>
      <c r="AO22" s="20" t="n">
        <f aca="false">(MAX('Base votos'!U87:W87)-LARGE('Base votos'!U87:W87,2))/'Base votos'!R87*100</f>
        <v>27.0596626250228</v>
      </c>
      <c r="AP22" s="20" t="n">
        <f aca="false">(MAX('Base votos'!U120:W120)-LARGE('Base votos'!U120:W120,2))/'Base votos'!R120*100</f>
        <v>25.1930603153563</v>
      </c>
      <c r="AQ22" s="20" t="n">
        <f aca="false">(MAX('Base votos'!U153:W153)-LARGE('Base votos'!U153:W153,2))/'Base votos'!R153*100</f>
        <v>35.3424487935365</v>
      </c>
      <c r="AR22" s="12" t="n">
        <f aca="false">(AP22-AO22)</f>
        <v>-1.86660230966649</v>
      </c>
      <c r="AS22" s="12" t="n">
        <f aca="false">(AQ22-AP22)</f>
        <v>10.1493884781802</v>
      </c>
      <c r="AT22" s="12" t="n">
        <f aca="false">(AQ22-AO22)</f>
        <v>8.28278616851371</v>
      </c>
      <c r="AU22" s="21" t="s">
        <v>74</v>
      </c>
      <c r="AV22" s="21" t="s">
        <v>74</v>
      </c>
      <c r="AW22" s="21" t="s">
        <v>74</v>
      </c>
      <c r="AX22" s="21" t="s">
        <v>134</v>
      </c>
      <c r="AY22" s="21" t="s">
        <v>134</v>
      </c>
      <c r="AZ22" s="21" t="s">
        <v>134</v>
      </c>
    </row>
    <row r="23" customFormat="false" ht="23.85" hidden="false" customHeight="false" outlineLevel="0" collapsed="false">
      <c r="A23" s="14" t="s">
        <v>100</v>
      </c>
      <c r="B23" s="11" t="n">
        <f aca="false">'Base votos'!R88/'Base votos'!S88</f>
        <v>0.556313152036765</v>
      </c>
      <c r="C23" s="11" t="n">
        <f aca="false">'Base votos'!R121/'Base votos'!S121</f>
        <v>0.511829381375017</v>
      </c>
      <c r="D23" s="11" t="n">
        <f aca="false">'Base votos'!R154/'Base votos'!S154</f>
        <v>0.566027646702788</v>
      </c>
      <c r="E23" s="12" t="n">
        <f aca="false">(C23-B23)*100</f>
        <v>-4.44837706617488</v>
      </c>
      <c r="F23" s="12" t="n">
        <f aca="false">(D23-C23)*100</f>
        <v>5.41982653277716</v>
      </c>
      <c r="G23" s="12" t="n">
        <f aca="false">(D23-B23)*100</f>
        <v>0.971449466602281</v>
      </c>
      <c r="H23" s="11" t="n">
        <f aca="false">'Base votos'!Q88/'Base votos'!R88</f>
        <v>0.031907905200109</v>
      </c>
      <c r="I23" s="11" t="n">
        <f aca="false">'Base votos'!Q121/'Base votos'!R121</f>
        <v>0.0248945047330057</v>
      </c>
      <c r="J23" s="11" t="n">
        <f aca="false">'Base votos'!Q154/'Base votos'!R154</f>
        <v>0.0246194903540399</v>
      </c>
      <c r="K23" s="12" t="n">
        <f aca="false">(I23-H23)*100</f>
        <v>-0.701340046710329</v>
      </c>
      <c r="L23" s="12" t="n">
        <f aca="false">(J23-I23)*100</f>
        <v>-0.0275014378965766</v>
      </c>
      <c r="M23" s="12" t="n">
        <f aca="false">(J23-H23)*100</f>
        <v>-0.728841484606905</v>
      </c>
      <c r="N23" s="9" t="n">
        <f aca="false">'Base votos'!R88</f>
        <v>2169243</v>
      </c>
      <c r="O23" s="9" t="n">
        <f aca="false">'Base votos'!R121</f>
        <v>2144409</v>
      </c>
      <c r="P23" s="9" t="n">
        <f aca="false">'Base votos'!R154</f>
        <v>2527794</v>
      </c>
      <c r="Q23" s="10" t="n">
        <f aca="false">O23-N23</f>
        <v>-24834</v>
      </c>
      <c r="R23" s="10" t="n">
        <f aca="false">P23-O23</f>
        <v>383385</v>
      </c>
      <c r="S23" s="10" t="n">
        <f aca="false">P23-N23</f>
        <v>358551</v>
      </c>
      <c r="T23" s="19" t="n">
        <f aca="false">O23/N23-1</f>
        <v>-0.0114482333237909</v>
      </c>
      <c r="U23" s="19" t="n">
        <f aca="false">P23/O23-1</f>
        <v>0.178783524971216</v>
      </c>
      <c r="V23" s="19" t="n">
        <f aca="false">P23/N23-1</f>
        <v>0.165288536139105</v>
      </c>
      <c r="W23" s="11" t="n">
        <f aca="false">'Base votos'!U88/'Base votos'!R88</f>
        <v>0.247780446911665</v>
      </c>
      <c r="X23" s="11" t="n">
        <f aca="false">'Base votos'!U121/'Base votos'!R121</f>
        <v>0.190699162333305</v>
      </c>
      <c r="Y23" s="11" t="n">
        <f aca="false">'Base votos'!U154/'Base votos'!R154</f>
        <v>0.346489864284827</v>
      </c>
      <c r="Z23" s="12" t="n">
        <f aca="false">(X23-W23)*100</f>
        <v>-5.70812845783597</v>
      </c>
      <c r="AA23" s="12" t="n">
        <f aca="false">(Y23-X23)*100</f>
        <v>15.5790701951522</v>
      </c>
      <c r="AB23" s="12" t="n">
        <f aca="false">(Y23-W23)*100</f>
        <v>9.87094173731625</v>
      </c>
      <c r="AC23" s="11" t="n">
        <f aca="false">'Base votos'!V88/'Base votos'!R88</f>
        <v>0.397430347821798</v>
      </c>
      <c r="AD23" s="11" t="n">
        <f aca="false">'Base votos'!V121/'Base votos'!R121</f>
        <v>0.564240310500469</v>
      </c>
      <c r="AE23" s="11" t="n">
        <f aca="false">'Base votos'!V154/'Base votos'!R154</f>
        <v>0.367654959225317</v>
      </c>
      <c r="AF23" s="12" t="n">
        <f aca="false">(AD23-AC23)*100</f>
        <v>16.6809962678671</v>
      </c>
      <c r="AG23" s="12" t="n">
        <f aca="false">(AE23-AD23)*100</f>
        <v>-19.6585351275152</v>
      </c>
      <c r="AH23" s="12" t="n">
        <f aca="false">(AE23-AC23)*100</f>
        <v>-2.97753885964812</v>
      </c>
      <c r="AI23" s="11" t="n">
        <f aca="false">'Base votos'!W88/'Base votos'!R88</f>
        <v>0.261428986978407</v>
      </c>
      <c r="AJ23" s="11" t="n">
        <f aca="false">'Base votos'!W121/'Base votos'!R121</f>
        <v>0.193327392302495</v>
      </c>
      <c r="AK23" s="11" t="n">
        <f aca="false">'Base votos'!W154/'Base votos'!R154</f>
        <v>0.260563558581119</v>
      </c>
      <c r="AL23" s="12" t="n">
        <f aca="false">(AJ23-AI23)*100</f>
        <v>-6.81015946759122</v>
      </c>
      <c r="AM23" s="12" t="n">
        <f aca="false">(AK23-AJ23)*100</f>
        <v>6.7236166278624</v>
      </c>
      <c r="AN23" s="12" t="n">
        <f aca="false">(AK23-AI23)*100</f>
        <v>-0.0865428397288204</v>
      </c>
      <c r="AO23" s="20" t="n">
        <f aca="false">(MAX('Base votos'!U88:W88)-LARGE('Base votos'!U88:W88,2))/'Base votos'!R88*100</f>
        <v>13.6001360843391</v>
      </c>
      <c r="AP23" s="20" t="n">
        <f aca="false">(MAX('Base votos'!U121:W121)-LARGE('Base votos'!U121:W121,2))/'Base votos'!R121*100</f>
        <v>37.0912918197974</v>
      </c>
      <c r="AQ23" s="20" t="n">
        <f aca="false">(MAX('Base votos'!U154:W154)-LARGE('Base votos'!U154:W154,2))/'Base votos'!R154*100</f>
        <v>2.11650949404896</v>
      </c>
      <c r="AR23" s="12" t="n">
        <f aca="false">(AP23-AO23)</f>
        <v>23.4911557354583</v>
      </c>
      <c r="AS23" s="12" t="n">
        <f aca="false">(AQ23-AP23)</f>
        <v>-34.9747823257485</v>
      </c>
      <c r="AT23" s="12" t="n">
        <f aca="false">(AQ23-AO23)</f>
        <v>-11.4836265902901</v>
      </c>
      <c r="AU23" s="21" t="s">
        <v>132</v>
      </c>
      <c r="AV23" s="21" t="s">
        <v>132</v>
      </c>
      <c r="AW23" s="21" t="s">
        <v>132</v>
      </c>
      <c r="AX23" s="21" t="s">
        <v>150</v>
      </c>
      <c r="AY23" s="21" t="s">
        <v>150</v>
      </c>
      <c r="AZ23" s="21" t="s">
        <v>150</v>
      </c>
    </row>
    <row r="24" customFormat="false" ht="23.85" hidden="false" customHeight="false" outlineLevel="0" collapsed="false">
      <c r="A24" s="14" t="s">
        <v>101</v>
      </c>
      <c r="B24" s="11" t="n">
        <f aca="false">'Base votos'!R89/'Base votos'!S89</f>
        <v>0.6719868876445</v>
      </c>
      <c r="C24" s="11" t="n">
        <f aca="false">'Base votos'!R122/'Base votos'!S122</f>
        <v>0.566294382919758</v>
      </c>
      <c r="D24" s="11" t="n">
        <f aca="false">'Base votos'!R155/'Base votos'!S155</f>
        <v>0.599676862299509</v>
      </c>
      <c r="E24" s="12" t="n">
        <f aca="false">(C24-B24)*100</f>
        <v>-10.5692504724742</v>
      </c>
      <c r="F24" s="12" t="n">
        <f aca="false">(D24-C24)*100</f>
        <v>3.33824793797508</v>
      </c>
      <c r="G24" s="12" t="n">
        <f aca="false">(D24-B24)*100</f>
        <v>-7.23100253449914</v>
      </c>
      <c r="H24" s="11" t="n">
        <f aca="false">'Base votos'!Q89/'Base votos'!R89</f>
        <v>0.0446610106426437</v>
      </c>
      <c r="I24" s="11" t="n">
        <f aca="false">'Base votos'!Q122/'Base votos'!R122</f>
        <v>0.039242736529969</v>
      </c>
      <c r="J24" s="11" t="n">
        <f aca="false">'Base votos'!Q155/'Base votos'!R155</f>
        <v>0.0532631795544496</v>
      </c>
      <c r="K24" s="12" t="n">
        <f aca="false">(I24-H24)*100</f>
        <v>-0.541827411267477</v>
      </c>
      <c r="L24" s="12" t="n">
        <f aca="false">(J24-I24)*100</f>
        <v>1.40204430244806</v>
      </c>
      <c r="M24" s="12" t="n">
        <f aca="false">(J24-H24)*100</f>
        <v>0.860216891180581</v>
      </c>
      <c r="N24" s="9" t="n">
        <f aca="false">'Base votos'!R89</f>
        <v>1921609</v>
      </c>
      <c r="O24" s="9" t="n">
        <f aca="false">'Base votos'!R122</f>
        <v>1697639</v>
      </c>
      <c r="P24" s="9" t="n">
        <f aca="false">'Base votos'!R155</f>
        <v>1866186</v>
      </c>
      <c r="Q24" s="10" t="n">
        <f aca="false">O24-N24</f>
        <v>-223970</v>
      </c>
      <c r="R24" s="10" t="n">
        <f aca="false">P24-O24</f>
        <v>168547</v>
      </c>
      <c r="S24" s="10" t="n">
        <f aca="false">P24-N24</f>
        <v>-55423</v>
      </c>
      <c r="T24" s="19" t="n">
        <f aca="false">O24/N24-1</f>
        <v>-0.116553367516493</v>
      </c>
      <c r="U24" s="19" t="n">
        <f aca="false">P24/O24-1</f>
        <v>0.0992831809354049</v>
      </c>
      <c r="V24" s="19" t="n">
        <f aca="false">P24/N24-1</f>
        <v>-0.0288419756568584</v>
      </c>
      <c r="W24" s="11" t="n">
        <f aca="false">'Base votos'!U89/'Base votos'!R89</f>
        <v>0.553120848205853</v>
      </c>
      <c r="X24" s="11" t="n">
        <f aca="false">'Base votos'!U122/'Base votos'!R122</f>
        <v>0.557124924674798</v>
      </c>
      <c r="Y24" s="11" t="n">
        <f aca="false">'Base votos'!U155/'Base votos'!R155</f>
        <v>0.713377980544276</v>
      </c>
      <c r="Z24" s="12" t="n">
        <f aca="false">(X24-W24)*100</f>
        <v>0.400407646894585</v>
      </c>
      <c r="AA24" s="12" t="n">
        <f aca="false">(Y24-X24)*100</f>
        <v>15.6253055869477</v>
      </c>
      <c r="AB24" s="12" t="n">
        <f aca="false">(Y24-W24)*100</f>
        <v>16.0257132338423</v>
      </c>
      <c r="AC24" s="11" t="n">
        <f aca="false">'Base votos'!V89/'Base votos'!R89</f>
        <v>0.158018618772081</v>
      </c>
      <c r="AD24" s="11" t="n">
        <f aca="false">'Base votos'!V122/'Base votos'!R122</f>
        <v>0.299725677838457</v>
      </c>
      <c r="AE24" s="11" t="n">
        <f aca="false">'Base votos'!V155/'Base votos'!R155</f>
        <v>0.156229336196928</v>
      </c>
      <c r="AF24" s="12" t="n">
        <f aca="false">(AD24-AC24)*100</f>
        <v>14.1707059066376</v>
      </c>
      <c r="AG24" s="12" t="n">
        <f aca="false">(AE24-AD24)*100</f>
        <v>-14.3496341641529</v>
      </c>
      <c r="AH24" s="12" t="n">
        <f aca="false">(AE24-AC24)*100</f>
        <v>-0.178928257515323</v>
      </c>
      <c r="AI24" s="11" t="n">
        <f aca="false">'Base votos'!W89/'Base votos'!R89</f>
        <v>0.241156759777874</v>
      </c>
      <c r="AJ24" s="11" t="n">
        <f aca="false">'Base votos'!W122/'Base votos'!R122</f>
        <v>0.0264325925594311</v>
      </c>
      <c r="AK24" s="11" t="n">
        <f aca="false">'Base votos'!W155/'Base votos'!R155</f>
        <v>0.0763476952458115</v>
      </c>
      <c r="AL24" s="12" t="n">
        <f aca="false">(AJ24-AI24)*100</f>
        <v>-21.4724167218443</v>
      </c>
      <c r="AM24" s="12" t="n">
        <f aca="false">(AK24-AJ24)*100</f>
        <v>4.99151026863805</v>
      </c>
      <c r="AN24" s="12" t="n">
        <f aca="false">(AK24-AI24)*100</f>
        <v>-16.4809064532062</v>
      </c>
      <c r="AO24" s="20" t="n">
        <f aca="false">(MAX('Base votos'!U89:W89)-LARGE('Base votos'!U89:W89,2))/'Base votos'!R89*100</f>
        <v>31.1964088427979</v>
      </c>
      <c r="AP24" s="20" t="n">
        <f aca="false">(MAX('Base votos'!U122:W122)-LARGE('Base votos'!U122:W122,2))/'Base votos'!R122*100</f>
        <v>25.7399246836342</v>
      </c>
      <c r="AQ24" s="20" t="n">
        <f aca="false">(MAX('Base votos'!U155:W155)-LARGE('Base votos'!U155:W155,2))/'Base votos'!R155*100</f>
        <v>55.7148644347348</v>
      </c>
      <c r="AR24" s="12" t="n">
        <f aca="false">(AP24-AO24)</f>
        <v>-5.45648415916374</v>
      </c>
      <c r="AS24" s="12" t="n">
        <f aca="false">(AQ24-AP24)</f>
        <v>29.9749397511007</v>
      </c>
      <c r="AT24" s="12" t="n">
        <f aca="false">(AQ24-AO24)</f>
        <v>24.5184555919369</v>
      </c>
      <c r="AU24" s="21" t="s">
        <v>74</v>
      </c>
      <c r="AV24" s="21" t="s">
        <v>74</v>
      </c>
      <c r="AW24" s="21" t="s">
        <v>74</v>
      </c>
      <c r="AX24" s="21" t="s">
        <v>134</v>
      </c>
      <c r="AY24" s="21" t="s">
        <v>134</v>
      </c>
      <c r="AZ24" s="21" t="s">
        <v>134</v>
      </c>
    </row>
    <row r="25" customFormat="false" ht="23.85" hidden="false" customHeight="false" outlineLevel="0" collapsed="false">
      <c r="A25" s="14" t="s">
        <v>102</v>
      </c>
      <c r="B25" s="11" t="n">
        <f aca="false">'Base votos'!R90/'Base votos'!S90</f>
        <v>0.687370086626866</v>
      </c>
      <c r="C25" s="11" t="n">
        <f aca="false">'Base votos'!R123/'Base votos'!S123</f>
        <v>0.562304731054442</v>
      </c>
      <c r="D25" s="11" t="n">
        <f aca="false">'Base votos'!R156/'Base votos'!S156</f>
        <v>0.653115168187267</v>
      </c>
      <c r="E25" s="12" t="n">
        <f aca="false">(C25-B25)*100</f>
        <v>-12.5065355572423</v>
      </c>
      <c r="F25" s="12" t="n">
        <f aca="false">(D25-C25)*100</f>
        <v>9.08104371328246</v>
      </c>
      <c r="G25" s="12" t="n">
        <f aca="false">(D25-B25)*100</f>
        <v>-3.42549184395987</v>
      </c>
      <c r="H25" s="11" t="n">
        <f aca="false">'Base votos'!Q90/'Base votos'!R90</f>
        <v>0.0482402050999484</v>
      </c>
      <c r="I25" s="11" t="n">
        <f aca="false">'Base votos'!Q123/'Base votos'!R123</f>
        <v>0.0443903081429444</v>
      </c>
      <c r="J25" s="11" t="n">
        <f aca="false">'Base votos'!Q156/'Base votos'!R156</f>
        <v>0.0449886335958431</v>
      </c>
      <c r="K25" s="12" t="n">
        <f aca="false">(I25-H25)*100</f>
        <v>-0.384989695700401</v>
      </c>
      <c r="L25" s="12" t="n">
        <f aca="false">(J25-I25)*100</f>
        <v>0.0598325452898799</v>
      </c>
      <c r="M25" s="12" t="n">
        <f aca="false">(J25-H25)*100</f>
        <v>-0.325157150410521</v>
      </c>
      <c r="N25" s="9" t="n">
        <f aca="false">'Base votos'!R90</f>
        <v>3063482</v>
      </c>
      <c r="O25" s="9" t="n">
        <f aca="false">'Base votos'!R123</f>
        <v>2665289</v>
      </c>
      <c r="P25" s="9" t="n">
        <f aca="false">'Base votos'!R156</f>
        <v>3251688</v>
      </c>
      <c r="Q25" s="10" t="n">
        <f aca="false">O25-N25</f>
        <v>-398193</v>
      </c>
      <c r="R25" s="10" t="n">
        <f aca="false">P25-O25</f>
        <v>586399</v>
      </c>
      <c r="S25" s="10" t="n">
        <f aca="false">P25-N25</f>
        <v>188206</v>
      </c>
      <c r="T25" s="19" t="n">
        <f aca="false">O25/N25-1</f>
        <v>-0.129980525428255</v>
      </c>
      <c r="U25" s="19" t="n">
        <f aca="false">P25/O25-1</f>
        <v>0.220013289365619</v>
      </c>
      <c r="V25" s="19" t="n">
        <f aca="false">P25/N25-1</f>
        <v>0.0614353209844223</v>
      </c>
      <c r="W25" s="11" t="n">
        <f aca="false">'Base votos'!U90/'Base votos'!R90</f>
        <v>0.453248623625012</v>
      </c>
      <c r="X25" s="11" t="n">
        <f aca="false">'Base votos'!U123/'Base votos'!R123</f>
        <v>0.434842900713581</v>
      </c>
      <c r="Y25" s="11" t="n">
        <f aca="false">'Base votos'!U156/'Base votos'!R156</f>
        <v>0.599524308605254</v>
      </c>
      <c r="Z25" s="12" t="n">
        <f aca="false">(X25-W25)*100</f>
        <v>-1.84057229114312</v>
      </c>
      <c r="AA25" s="12" t="n">
        <f aca="false">(Y25-X25)*100</f>
        <v>16.4681407891672</v>
      </c>
      <c r="AB25" s="12" t="n">
        <f aca="false">(Y25-W25)*100</f>
        <v>14.6275684980241</v>
      </c>
      <c r="AC25" s="11" t="n">
        <f aca="false">'Base votos'!V90/'Base votos'!R90</f>
        <v>0.265733567228402</v>
      </c>
      <c r="AD25" s="11" t="n">
        <f aca="false">'Base votos'!V123/'Base votos'!R123</f>
        <v>0.374899682548497</v>
      </c>
      <c r="AE25" s="11" t="n">
        <f aca="false">'Base votos'!V156/'Base votos'!R156</f>
        <v>0.26811705182047</v>
      </c>
      <c r="AF25" s="12" t="n">
        <f aca="false">(AD25-AC25)*100</f>
        <v>10.9166115320094</v>
      </c>
      <c r="AG25" s="12" t="n">
        <f aca="false">(AE25-AD25)*100</f>
        <v>-10.6782630728027</v>
      </c>
      <c r="AH25" s="12" t="n">
        <f aca="false">(AE25-AC25)*100</f>
        <v>0.238348459206766</v>
      </c>
      <c r="AI25" s="11" t="n">
        <f aca="false">'Base votos'!W90/'Base votos'!R90</f>
        <v>0.232365654506865</v>
      </c>
      <c r="AJ25" s="11" t="n">
        <f aca="false">'Base votos'!W123/'Base votos'!R123</f>
        <v>0.0557646844300937</v>
      </c>
      <c r="AK25" s="11" t="n">
        <f aca="false">'Base votos'!W156/'Base votos'!R156</f>
        <v>0.08669681716081</v>
      </c>
      <c r="AL25" s="12" t="n">
        <f aca="false">(AJ25-AI25)*100</f>
        <v>-17.6600970076771</v>
      </c>
      <c r="AM25" s="12" t="n">
        <f aca="false">(AK25-AJ25)*100</f>
        <v>3.09321327307163</v>
      </c>
      <c r="AN25" s="12" t="n">
        <f aca="false">(AK25-AI25)*100</f>
        <v>-14.5668837346055</v>
      </c>
      <c r="AO25" s="20" t="n">
        <f aca="false">(MAX('Base votos'!U90:W90)-LARGE('Base votos'!U90:W90,2))/'Base votos'!R90*100</f>
        <v>18.751505639661</v>
      </c>
      <c r="AP25" s="20" t="n">
        <f aca="false">(MAX('Base votos'!U123:W123)-LARGE('Base votos'!U123:W123,2))/'Base votos'!R123*100</f>
        <v>5.99432181650845</v>
      </c>
      <c r="AQ25" s="20" t="n">
        <f aca="false">(MAX('Base votos'!U156:W156)-LARGE('Base votos'!U156:W156,2))/'Base votos'!R156*100</f>
        <v>33.1407256784784</v>
      </c>
      <c r="AR25" s="12" t="n">
        <f aca="false">(AP25-AO25)</f>
        <v>-12.7571838231526</v>
      </c>
      <c r="AS25" s="12" t="n">
        <f aca="false">(AQ25-AP25)</f>
        <v>27.1464038619699</v>
      </c>
      <c r="AT25" s="12" t="n">
        <f aca="false">(AQ25-AO25)</f>
        <v>14.3892200388174</v>
      </c>
      <c r="AU25" s="21" t="s">
        <v>74</v>
      </c>
      <c r="AV25" s="21" t="s">
        <v>74</v>
      </c>
      <c r="AW25" s="21" t="s">
        <v>74</v>
      </c>
      <c r="AX25" s="21" t="s">
        <v>134</v>
      </c>
      <c r="AY25" s="21" t="s">
        <v>134</v>
      </c>
      <c r="AZ25" s="21" t="s">
        <v>134</v>
      </c>
    </row>
    <row r="26" customFormat="false" ht="23.85" hidden="false" customHeight="false" outlineLevel="0" collapsed="false">
      <c r="A26" s="14" t="s">
        <v>103</v>
      </c>
      <c r="B26" s="11" t="n">
        <f aca="false">'Base votos'!R91/'Base votos'!S91</f>
        <v>0.634824912679025</v>
      </c>
      <c r="C26" s="11" t="n">
        <f aca="false">'Base votos'!R124/'Base votos'!S124</f>
        <v>0.521332912534022</v>
      </c>
      <c r="D26" s="11" t="n">
        <f aca="false">'Base votos'!R157/'Base votos'!S157</f>
        <v>0.623848235343056</v>
      </c>
      <c r="E26" s="12" t="n">
        <f aca="false">(C26-B26)*100</f>
        <v>-11.3492000145003</v>
      </c>
      <c r="F26" s="12" t="n">
        <f aca="false">(D26-C26)*100</f>
        <v>10.2515322809034</v>
      </c>
      <c r="G26" s="12" t="n">
        <f aca="false">(D26-B26)*100</f>
        <v>-1.09766773359687</v>
      </c>
      <c r="H26" s="11" t="n">
        <f aca="false">'Base votos'!Q91/'Base votos'!R91</f>
        <v>0.0474585480317405</v>
      </c>
      <c r="I26" s="11" t="n">
        <f aca="false">'Base votos'!Q124/'Base votos'!R124</f>
        <v>0.0302331670037814</v>
      </c>
      <c r="J26" s="11" t="n">
        <f aca="false">'Base votos'!Q157/'Base votos'!R157</f>
        <v>0.0374397990516399</v>
      </c>
      <c r="K26" s="12" t="n">
        <f aca="false">(I26-H26)*100</f>
        <v>-1.72253810279592</v>
      </c>
      <c r="L26" s="12" t="n">
        <f aca="false">(J26-I26)*100</f>
        <v>0.720663204785853</v>
      </c>
      <c r="M26" s="12" t="n">
        <f aca="false">(J26-H26)*100</f>
        <v>-1.00187489801007</v>
      </c>
      <c r="N26" s="9" t="n">
        <f aca="false">'Base votos'!R91</f>
        <v>1004898</v>
      </c>
      <c r="O26" s="9" t="n">
        <f aca="false">'Base votos'!R124</f>
        <v>905231</v>
      </c>
      <c r="P26" s="9" t="n">
        <f aca="false">'Base votos'!R157</f>
        <v>1184782</v>
      </c>
      <c r="Q26" s="10" t="n">
        <f aca="false">O26-N26</f>
        <v>-99667</v>
      </c>
      <c r="R26" s="10" t="n">
        <f aca="false">P26-O26</f>
        <v>279551</v>
      </c>
      <c r="S26" s="10" t="n">
        <f aca="false">P26-N26</f>
        <v>179884</v>
      </c>
      <c r="T26" s="19" t="n">
        <f aca="false">O26/N26-1</f>
        <v>-0.0991812104313075</v>
      </c>
      <c r="U26" s="19" t="n">
        <f aca="false">P26/O26-1</f>
        <v>0.308817307405513</v>
      </c>
      <c r="V26" s="19" t="n">
        <f aca="false">P26/N26-1</f>
        <v>0.17900722262359</v>
      </c>
      <c r="W26" s="11" t="n">
        <f aca="false">'Base votos'!U91/'Base votos'!R91</f>
        <v>0.335251936017387</v>
      </c>
      <c r="X26" s="11" t="n">
        <f aca="false">'Base votos'!U124/'Base votos'!R124</f>
        <v>0.292822495031655</v>
      </c>
      <c r="Y26" s="11" t="n">
        <f aca="false">'Base votos'!U157/'Base votos'!R157</f>
        <v>0.446935385581483</v>
      </c>
      <c r="Z26" s="12" t="n">
        <f aca="false">(X26-W26)*100</f>
        <v>-4.24294409857319</v>
      </c>
      <c r="AA26" s="12" t="n">
        <f aca="false">(Y26-X26)*100</f>
        <v>15.4112890549828</v>
      </c>
      <c r="AB26" s="12" t="n">
        <f aca="false">(Y26-W26)*100</f>
        <v>11.1683449564096</v>
      </c>
      <c r="AC26" s="11" t="n">
        <f aca="false">'Base votos'!V91/'Base votos'!R91</f>
        <v>0.363282641621339</v>
      </c>
      <c r="AD26" s="11" t="n">
        <f aca="false">'Base votos'!V124/'Base votos'!R124</f>
        <v>0.607433903611343</v>
      </c>
      <c r="AE26" s="11" t="n">
        <f aca="false">'Base votos'!V157/'Base votos'!R157</f>
        <v>0.449357772147112</v>
      </c>
      <c r="AF26" s="12" t="n">
        <f aca="false">(AD26-AC26)*100</f>
        <v>24.4151261990005</v>
      </c>
      <c r="AG26" s="12" t="n">
        <f aca="false">(AE26-AD26)*100</f>
        <v>-15.8076131464231</v>
      </c>
      <c r="AH26" s="12" t="n">
        <f aca="false">(AE26-AC26)*100</f>
        <v>8.60751305257736</v>
      </c>
      <c r="AI26" s="11" t="n">
        <f aca="false">'Base votos'!W91/'Base votos'!R91</f>
        <v>0.253110265917536</v>
      </c>
      <c r="AJ26" s="11" t="n">
        <f aca="false">'Base votos'!W124/'Base votos'!R124</f>
        <v>0.0183312325804132</v>
      </c>
      <c r="AK26" s="11" t="n">
        <f aca="false">'Base votos'!W157/'Base votos'!R157</f>
        <v>0.0653858684551251</v>
      </c>
      <c r="AL26" s="12" t="n">
        <f aca="false">(AJ26-AI26)*100</f>
        <v>-23.4779033337123</v>
      </c>
      <c r="AM26" s="12" t="n">
        <f aca="false">(AK26-AJ26)*100</f>
        <v>4.70546358747119</v>
      </c>
      <c r="AN26" s="12" t="n">
        <f aca="false">(AK26-AI26)*100</f>
        <v>-18.7724397462411</v>
      </c>
      <c r="AO26" s="20" t="n">
        <f aca="false">(MAX('Base votos'!U91:W91)-LARGE('Base votos'!U91:W91,2))/'Base votos'!R91*100</f>
        <v>2.80307056039518</v>
      </c>
      <c r="AP26" s="20" t="n">
        <f aca="false">(MAX('Base votos'!U124:W124)-LARGE('Base votos'!U124:W124,2))/'Base votos'!R124*100</f>
        <v>31.4611408579689</v>
      </c>
      <c r="AQ26" s="20" t="n">
        <f aca="false">(MAX('Base votos'!U157:W157)-LARGE('Base votos'!U157:W157,2))/'Base votos'!R157*100</f>
        <v>0.24223865656298</v>
      </c>
      <c r="AR26" s="12" t="n">
        <f aca="false">(AP26-AO26)</f>
        <v>28.6580702975737</v>
      </c>
      <c r="AS26" s="12" t="n">
        <f aca="false">(AQ26-AP26)</f>
        <v>-31.2189022014059</v>
      </c>
      <c r="AT26" s="12" t="n">
        <f aca="false">(AQ26-AO26)</f>
        <v>-2.56083190383221</v>
      </c>
      <c r="AU26" s="21" t="s">
        <v>132</v>
      </c>
      <c r="AV26" s="21" t="s">
        <v>132</v>
      </c>
      <c r="AW26" s="21" t="s">
        <v>132</v>
      </c>
      <c r="AX26" s="21" t="s">
        <v>150</v>
      </c>
      <c r="AY26" s="21" t="s">
        <v>150</v>
      </c>
      <c r="AZ26" s="21" t="s">
        <v>150</v>
      </c>
    </row>
    <row r="27" customFormat="false" ht="23.85" hidden="false" customHeight="false" outlineLevel="0" collapsed="false">
      <c r="A27" s="14" t="s">
        <v>104</v>
      </c>
      <c r="B27" s="11" t="n">
        <f aca="false">'Base votos'!R92/'Base votos'!S92</f>
        <v>0.596695034029252</v>
      </c>
      <c r="C27" s="11" t="n">
        <f aca="false">'Base votos'!R125/'Base votos'!S125</f>
        <v>0.444447216822386</v>
      </c>
      <c r="D27" s="11" t="n">
        <f aca="false">'Base votos'!R158/'Base votos'!S158</f>
        <v>0.560103335246442</v>
      </c>
      <c r="E27" s="12" t="n">
        <f aca="false">(C27-B27)*100</f>
        <v>-15.2247817206866</v>
      </c>
      <c r="F27" s="12" t="n">
        <f aca="false">(D27-C27)*100</f>
        <v>11.5656118424056</v>
      </c>
      <c r="G27" s="12" t="n">
        <f aca="false">(D27-B27)*100</f>
        <v>-3.65916987828103</v>
      </c>
      <c r="H27" s="11" t="n">
        <f aca="false">'Base votos'!Q92/'Base votos'!R92</f>
        <v>0.0355724100637128</v>
      </c>
      <c r="I27" s="11" t="n">
        <f aca="false">'Base votos'!Q125/'Base votos'!R125</f>
        <v>0.0395636027103858</v>
      </c>
      <c r="J27" s="11" t="n">
        <f aca="false">'Base votos'!Q158/'Base votos'!R158</f>
        <v>0.0423718036507346</v>
      </c>
      <c r="K27" s="12" t="n">
        <f aca="false">(I27-H27)*100</f>
        <v>0.399119264667298</v>
      </c>
      <c r="L27" s="12" t="n">
        <f aca="false">(J27-I27)*100</f>
        <v>0.280820094034886</v>
      </c>
      <c r="M27" s="12" t="n">
        <f aca="false">(J27-H27)*100</f>
        <v>0.679939358702184</v>
      </c>
      <c r="N27" s="9" t="n">
        <f aca="false">'Base votos'!R92</f>
        <v>721205</v>
      </c>
      <c r="O27" s="9" t="n">
        <f aca="false">'Base votos'!R125</f>
        <v>587813</v>
      </c>
      <c r="P27" s="9" t="n">
        <f aca="false">'Base votos'!R158</f>
        <v>817808</v>
      </c>
      <c r="Q27" s="10" t="n">
        <f aca="false">O27-N27</f>
        <v>-133392</v>
      </c>
      <c r="R27" s="10" t="n">
        <f aca="false">P27-O27</f>
        <v>229995</v>
      </c>
      <c r="S27" s="10" t="n">
        <f aca="false">P27-N27</f>
        <v>96603</v>
      </c>
      <c r="T27" s="19" t="n">
        <f aca="false">O27/N27-1</f>
        <v>-0.184957120374928</v>
      </c>
      <c r="U27" s="19" t="n">
        <f aca="false">P27/O27-1</f>
        <v>0.391272394451977</v>
      </c>
      <c r="V27" s="19" t="n">
        <f aca="false">P27/N27-1</f>
        <v>0.133946658717008</v>
      </c>
      <c r="W27" s="11" t="n">
        <f aca="false">'Base votos'!U92/'Base votos'!R92</f>
        <v>0.590054145492613</v>
      </c>
      <c r="X27" s="11" t="n">
        <f aca="false">'Base votos'!U125/'Base votos'!R125</f>
        <v>0.491772043149777</v>
      </c>
      <c r="Y27" s="11" t="n">
        <f aca="false">'Base votos'!U158/'Base votos'!R158</f>
        <v>0.674182693248293</v>
      </c>
      <c r="Z27" s="12" t="n">
        <f aca="false">(X27-W27)*100</f>
        <v>-9.82821023428358</v>
      </c>
      <c r="AA27" s="12" t="n">
        <f aca="false">(Y27-X27)*100</f>
        <v>18.2410650098516</v>
      </c>
      <c r="AB27" s="12" t="n">
        <f aca="false">(Y27-W27)*100</f>
        <v>8.412854775568</v>
      </c>
      <c r="AC27" s="11" t="n">
        <f aca="false">'Base votos'!V92/'Base votos'!R92</f>
        <v>0.213524587322606</v>
      </c>
      <c r="AD27" s="11" t="n">
        <f aca="false">'Base votos'!V125/'Base votos'!R125</f>
        <v>0.294734890177659</v>
      </c>
      <c r="AE27" s="11" t="n">
        <f aca="false">'Base votos'!V158/'Base votos'!R158</f>
        <v>0.190054389294309</v>
      </c>
      <c r="AF27" s="12" t="n">
        <f aca="false">(AD27-AC27)*100</f>
        <v>8.12103028550526</v>
      </c>
      <c r="AG27" s="12" t="n">
        <f aca="false">(AE27-AD27)*100</f>
        <v>-10.468050088335</v>
      </c>
      <c r="AH27" s="12" t="n">
        <f aca="false">(AE27-AC27)*100</f>
        <v>-2.34701980282973</v>
      </c>
      <c r="AI27" s="11" t="n">
        <f aca="false">'Base votos'!W92/'Base votos'!R92</f>
        <v>0.15998363849391</v>
      </c>
      <c r="AJ27" s="11" t="n">
        <f aca="false">'Base votos'!W125/'Base votos'!R125</f>
        <v>0.0379950766655382</v>
      </c>
      <c r="AK27" s="11" t="n">
        <f aca="false">'Base votos'!W158/'Base votos'!R158</f>
        <v>0.0921402089487997</v>
      </c>
      <c r="AL27" s="12" t="n">
        <f aca="false">(AJ27-AI27)*100</f>
        <v>-12.1988561828371</v>
      </c>
      <c r="AM27" s="12" t="n">
        <f aca="false">(AK27-AJ27)*100</f>
        <v>5.41451322832615</v>
      </c>
      <c r="AN27" s="12" t="n">
        <f aca="false">(AK27-AI27)*100</f>
        <v>-6.78434295451098</v>
      </c>
      <c r="AO27" s="20" t="n">
        <f aca="false">(MAX('Base votos'!U92:W92)-LARGE('Base votos'!U92:W92,2))/'Base votos'!R92*100</f>
        <v>37.6529558170007</v>
      </c>
      <c r="AP27" s="20" t="n">
        <f aca="false">(MAX('Base votos'!U125:W125)-LARGE('Base votos'!U125:W125,2))/'Base votos'!R125*100</f>
        <v>19.7037152972119</v>
      </c>
      <c r="AQ27" s="20" t="n">
        <f aca="false">(MAX('Base votos'!U158:W158)-LARGE('Base votos'!U158:W158,2))/'Base votos'!R158*100</f>
        <v>48.4128303953984</v>
      </c>
      <c r="AR27" s="12" t="n">
        <f aca="false">(AP27-AO27)</f>
        <v>-17.9492405197888</v>
      </c>
      <c r="AS27" s="12" t="n">
        <f aca="false">(AQ27-AP27)</f>
        <v>28.7091150981866</v>
      </c>
      <c r="AT27" s="12" t="n">
        <f aca="false">(AQ27-AO27)</f>
        <v>10.7598745783977</v>
      </c>
      <c r="AU27" s="21" t="s">
        <v>74</v>
      </c>
      <c r="AV27" s="21" t="s">
        <v>74</v>
      </c>
      <c r="AW27" s="21" t="s">
        <v>74</v>
      </c>
      <c r="AX27" s="21" t="s">
        <v>134</v>
      </c>
      <c r="AY27" s="21" t="s">
        <v>134</v>
      </c>
      <c r="AZ27" s="21" t="s">
        <v>134</v>
      </c>
    </row>
    <row r="28" customFormat="false" ht="23.85" hidden="false" customHeight="false" outlineLevel="0" collapsed="false">
      <c r="A28" s="14" t="s">
        <v>105</v>
      </c>
      <c r="B28" s="11" t="n">
        <f aca="false">'Base votos'!R93/'Base votos'!S93</f>
        <v>0.634970617820968</v>
      </c>
      <c r="C28" s="11" t="n">
        <f aca="false">'Base votos'!R126/'Base votos'!S126</f>
        <v>0.589822076101146</v>
      </c>
      <c r="D28" s="11" t="n">
        <f aca="false">'Base votos'!R159/'Base votos'!S159</f>
        <v>0.619103571247184</v>
      </c>
      <c r="E28" s="12" t="n">
        <f aca="false">(C28-B28)*100</f>
        <v>-4.51485417198219</v>
      </c>
      <c r="F28" s="12" t="n">
        <f aca="false">(D28-C28)*100</f>
        <v>2.92814951460384</v>
      </c>
      <c r="G28" s="12" t="n">
        <f aca="false">(D28-B28)*100</f>
        <v>-1.58670465737835</v>
      </c>
      <c r="H28" s="11" t="n">
        <f aca="false">'Base votos'!Q93/'Base votos'!R93</f>
        <v>0.0618024806184236</v>
      </c>
      <c r="I28" s="11" t="n">
        <f aca="false">'Base votos'!Q126/'Base votos'!R126</f>
        <v>0.0547499075765885</v>
      </c>
      <c r="J28" s="11" t="n">
        <f aca="false">'Base votos'!Q159/'Base votos'!R159</f>
        <v>0.0512203684200802</v>
      </c>
      <c r="K28" s="12" t="n">
        <f aca="false">(I28-H28)*100</f>
        <v>-0.705257304183517</v>
      </c>
      <c r="L28" s="12" t="n">
        <f aca="false">(J28-I28)*100</f>
        <v>-0.352953915650828</v>
      </c>
      <c r="M28" s="12" t="n">
        <f aca="false">(J28-H28)*100</f>
        <v>-1.05821121983435</v>
      </c>
      <c r="N28" s="9" t="n">
        <f aca="false">'Base votos'!R93</f>
        <v>1253639</v>
      </c>
      <c r="O28" s="9" t="n">
        <f aca="false">'Base votos'!R126</f>
        <v>1219929</v>
      </c>
      <c r="P28" s="9" t="n">
        <f aca="false">'Base votos'!R159</f>
        <v>1353075</v>
      </c>
      <c r="Q28" s="10" t="n">
        <f aca="false">O28-N28</f>
        <v>-33710</v>
      </c>
      <c r="R28" s="10" t="n">
        <f aca="false">P28-O28</f>
        <v>133146</v>
      </c>
      <c r="S28" s="10" t="n">
        <f aca="false">P28-N28</f>
        <v>99436</v>
      </c>
      <c r="T28" s="19" t="n">
        <f aca="false">O28/N28-1</f>
        <v>-0.026889718651063</v>
      </c>
      <c r="U28" s="19" t="n">
        <f aca="false">P28/O28-1</f>
        <v>0.109142417304614</v>
      </c>
      <c r="V28" s="19" t="n">
        <f aca="false">P28/N28-1</f>
        <v>0.0793178897593327</v>
      </c>
      <c r="W28" s="11" t="n">
        <f aca="false">'Base votos'!U93/'Base votos'!R93</f>
        <v>0.28978916578058</v>
      </c>
      <c r="X28" s="11" t="n">
        <f aca="false">'Base votos'!U126/'Base votos'!R126</f>
        <v>0.466028760690171</v>
      </c>
      <c r="Y28" s="11" t="n">
        <f aca="false">'Base votos'!U159/'Base votos'!R159</f>
        <v>0.579822995768897</v>
      </c>
      <c r="Z28" s="12" t="n">
        <f aca="false">(X28-W28)*100</f>
        <v>17.6239594909592</v>
      </c>
      <c r="AA28" s="12" t="n">
        <f aca="false">(Y28-X28)*100</f>
        <v>11.3794235078725</v>
      </c>
      <c r="AB28" s="12" t="n">
        <f aca="false">(Y28-W28)*100</f>
        <v>29.0033829988317</v>
      </c>
      <c r="AC28" s="11" t="n">
        <f aca="false">'Base votos'!V93/'Base votos'!R93</f>
        <v>0.364131141421095</v>
      </c>
      <c r="AD28" s="11" t="n">
        <f aca="false">'Base votos'!V126/'Base votos'!R126</f>
        <v>0.350355635450916</v>
      </c>
      <c r="AE28" s="11" t="n">
        <f aca="false">'Base votos'!V159/'Base votos'!R159</f>
        <v>0.272182990595495</v>
      </c>
      <c r="AF28" s="12" t="n">
        <f aca="false">(AD28-AC28)*100</f>
        <v>-1.37755059701793</v>
      </c>
      <c r="AG28" s="12" t="n">
        <f aca="false">(AE28-AD28)*100</f>
        <v>-7.81726448554201</v>
      </c>
      <c r="AH28" s="12" t="n">
        <f aca="false">(AE28-AC28)*100</f>
        <v>-9.19481508255995</v>
      </c>
      <c r="AI28" s="11" t="n">
        <f aca="false">'Base votos'!W93/'Base votos'!R93</f>
        <v>0.283508250780328</v>
      </c>
      <c r="AJ28" s="11" t="n">
        <f aca="false">'Base votos'!W126/'Base votos'!R126</f>
        <v>0.0423631211324593</v>
      </c>
      <c r="AK28" s="11" t="n">
        <f aca="false">'Base votos'!W159/'Base votos'!R159</f>
        <v>0.0958076972821167</v>
      </c>
      <c r="AL28" s="12" t="n">
        <f aca="false">(AJ28-AI28)*100</f>
        <v>-24.1145129647869</v>
      </c>
      <c r="AM28" s="12" t="n">
        <f aca="false">(AK28-AJ28)*100</f>
        <v>5.34445761496573</v>
      </c>
      <c r="AN28" s="12" t="n">
        <f aca="false">(AK28-AI28)*100</f>
        <v>-18.7700553498212</v>
      </c>
      <c r="AO28" s="20" t="n">
        <f aca="false">(MAX('Base votos'!U93:W93)-LARGE('Base votos'!U93:W93,2))/'Base votos'!R93*100</f>
        <v>7.43419756405153</v>
      </c>
      <c r="AP28" s="20" t="n">
        <f aca="false">(MAX('Base votos'!U126:W126)-LARGE('Base votos'!U126:W126,2))/'Base votos'!R126*100</f>
        <v>11.5673125239256</v>
      </c>
      <c r="AQ28" s="20" t="n">
        <f aca="false">(MAX('Base votos'!U159:W159)-LARGE('Base votos'!U159:W159,2))/'Base votos'!R159*100</f>
        <v>30.7640005173401</v>
      </c>
      <c r="AR28" s="12" t="n">
        <f aca="false">(AP28-AO28)</f>
        <v>4.13311495987404</v>
      </c>
      <c r="AS28" s="12" t="n">
        <f aca="false">(AQ28-AP28)</f>
        <v>19.1966879934146</v>
      </c>
      <c r="AT28" s="12" t="n">
        <f aca="false">(AQ28-AO28)</f>
        <v>23.3298029532886</v>
      </c>
      <c r="AU28" s="21" t="s">
        <v>132</v>
      </c>
      <c r="AV28" s="21" t="s">
        <v>74</v>
      </c>
      <c r="AW28" s="21" t="s">
        <v>74</v>
      </c>
      <c r="AX28" s="21" t="s">
        <v>135</v>
      </c>
      <c r="AY28" s="21" t="s">
        <v>134</v>
      </c>
      <c r="AZ28" s="21" t="s">
        <v>135</v>
      </c>
    </row>
    <row r="29" customFormat="false" ht="23.85" hidden="false" customHeight="false" outlineLevel="0" collapsed="false">
      <c r="A29" s="14" t="s">
        <v>106</v>
      </c>
      <c r="B29" s="11" t="n">
        <f aca="false">'Base votos'!R94/'Base votos'!S94</f>
        <v>0.605450020559576</v>
      </c>
      <c r="C29" s="11" t="n">
        <f aca="false">'Base votos'!R127/'Base votos'!S127</f>
        <v>0.491184883449356</v>
      </c>
      <c r="D29" s="11" t="n">
        <f aca="false">'Base votos'!R160/'Base votos'!S160</f>
        <v>0.559795012733339</v>
      </c>
      <c r="E29" s="12" t="n">
        <f aca="false">(C29-B29)*100</f>
        <v>-11.4265137110221</v>
      </c>
      <c r="F29" s="12" t="n">
        <f aca="false">(D29-C29)*100</f>
        <v>6.86101292839831</v>
      </c>
      <c r="G29" s="12" t="n">
        <f aca="false">(D29-B29)*100</f>
        <v>-4.56550078262378</v>
      </c>
      <c r="H29" s="11" t="n">
        <f aca="false">'Base votos'!Q94/'Base votos'!R94</f>
        <v>0.0301502484545078</v>
      </c>
      <c r="I29" s="11" t="n">
        <f aca="false">'Base votos'!Q127/'Base votos'!R127</f>
        <v>0.02992974298153</v>
      </c>
      <c r="J29" s="11" t="n">
        <f aca="false">'Base votos'!Q160/'Base votos'!R160</f>
        <v>0.0352569680808399</v>
      </c>
      <c r="K29" s="12" t="n">
        <f aca="false">(I29-H29)*100</f>
        <v>-0.0220505472977802</v>
      </c>
      <c r="L29" s="12" t="n">
        <f aca="false">(J29-I29)*100</f>
        <v>0.532722509930992</v>
      </c>
      <c r="M29" s="12" t="n">
        <f aca="false">(J29-H29)*100</f>
        <v>0.510671962633211</v>
      </c>
      <c r="N29" s="9" t="n">
        <f aca="false">'Base votos'!R94</f>
        <v>1292792</v>
      </c>
      <c r="O29" s="9" t="n">
        <f aca="false">'Base votos'!R127</f>
        <v>1106224</v>
      </c>
      <c r="P29" s="9" t="n">
        <f aca="false">'Base votos'!R160</f>
        <v>1321526</v>
      </c>
      <c r="Q29" s="10" t="n">
        <f aca="false">O29-N29</f>
        <v>-186568</v>
      </c>
      <c r="R29" s="10" t="n">
        <f aca="false">P29-O29</f>
        <v>215302</v>
      </c>
      <c r="S29" s="10" t="n">
        <f aca="false">P29-N29</f>
        <v>28734</v>
      </c>
      <c r="T29" s="19" t="n">
        <f aca="false">O29/N29-1</f>
        <v>-0.144314011844133</v>
      </c>
      <c r="U29" s="19" t="n">
        <f aca="false">P29/O29-1</f>
        <v>0.194627851140456</v>
      </c>
      <c r="V29" s="19" t="n">
        <f aca="false">P29/N29-1</f>
        <v>0.0222263132816416</v>
      </c>
      <c r="W29" s="11" t="n">
        <f aca="false">'Base votos'!U94/'Base votos'!R94</f>
        <v>0.501904405349043</v>
      </c>
      <c r="X29" s="11" t="n">
        <f aca="false">'Base votos'!U127/'Base votos'!R127</f>
        <v>0.531320962119788</v>
      </c>
      <c r="Y29" s="11" t="n">
        <f aca="false">'Base votos'!U160/'Base votos'!R160</f>
        <v>0.632356079259886</v>
      </c>
      <c r="Z29" s="12" t="n">
        <f aca="false">(X29-W29)*100</f>
        <v>2.94165567707446</v>
      </c>
      <c r="AA29" s="12" t="n">
        <f aca="false">(Y29-X29)*100</f>
        <v>10.1035117140098</v>
      </c>
      <c r="AB29" s="12" t="n">
        <f aca="false">(Y29-W29)*100</f>
        <v>13.0451673910843</v>
      </c>
      <c r="AC29" s="11" t="n">
        <f aca="false">'Base votos'!V94/'Base votos'!R94</f>
        <v>0.175781564242353</v>
      </c>
      <c r="AD29" s="11" t="n">
        <f aca="false">'Base votos'!V127/'Base votos'!R127</f>
        <v>0.341832214813636</v>
      </c>
      <c r="AE29" s="11" t="n">
        <f aca="false">'Base votos'!V160/'Base votos'!R160</f>
        <v>0.262837810228478</v>
      </c>
      <c r="AF29" s="12" t="n">
        <f aca="false">(AD29-AC29)*100</f>
        <v>16.6050650571283</v>
      </c>
      <c r="AG29" s="12" t="n">
        <f aca="false">(AE29-AD29)*100</f>
        <v>-7.8994404585158</v>
      </c>
      <c r="AH29" s="12" t="n">
        <f aca="false">(AE29-AC29)*100</f>
        <v>8.70562459861253</v>
      </c>
      <c r="AI29" s="11" t="n">
        <f aca="false">'Base votos'!W94/'Base votos'!R94</f>
        <v>0.277878421277359</v>
      </c>
      <c r="AJ29" s="11" t="n">
        <f aca="false">'Base votos'!W127/'Base votos'!R127</f>
        <v>0.0420068629861583</v>
      </c>
      <c r="AK29" s="11" t="n">
        <f aca="false">'Base votos'!W160/'Base votos'!R160</f>
        <v>0.0689127569188953</v>
      </c>
      <c r="AL29" s="12" t="n">
        <f aca="false">(AJ29-AI29)*100</f>
        <v>-23.5871558291201</v>
      </c>
      <c r="AM29" s="12" t="n">
        <f aca="false">(AK29-AJ29)*100</f>
        <v>2.6905893932737</v>
      </c>
      <c r="AN29" s="12" t="n">
        <f aca="false">(AK29-AI29)*100</f>
        <v>-20.8965664358464</v>
      </c>
      <c r="AO29" s="20" t="n">
        <f aca="false">(MAX('Base votos'!U94:W94)-LARGE('Base votos'!U94:W94,2))/'Base votos'!R94*100</f>
        <v>22.4025984071684</v>
      </c>
      <c r="AP29" s="20" t="n">
        <f aca="false">(MAX('Base votos'!U127:W127)-LARGE('Base votos'!U127:W127,2))/'Base votos'!R127*100</f>
        <v>18.9488747306151</v>
      </c>
      <c r="AQ29" s="20" t="n">
        <f aca="false">(MAX('Base votos'!U160:W160)-LARGE('Base votos'!U160:W160,2))/'Base votos'!R160*100</f>
        <v>36.9518269031408</v>
      </c>
      <c r="AR29" s="12" t="n">
        <f aca="false">(AP29-AO29)</f>
        <v>-3.45372367655322</v>
      </c>
      <c r="AS29" s="12" t="n">
        <f aca="false">(AQ29-AP29)</f>
        <v>18.0029521725256</v>
      </c>
      <c r="AT29" s="12" t="n">
        <f aca="false">(AQ29-AO29)</f>
        <v>14.5492284959724</v>
      </c>
      <c r="AU29" s="21" t="s">
        <v>74</v>
      </c>
      <c r="AV29" s="21" t="s">
        <v>74</v>
      </c>
      <c r="AW29" s="21" t="s">
        <v>74</v>
      </c>
      <c r="AX29" s="21" t="s">
        <v>134</v>
      </c>
      <c r="AY29" s="21" t="s">
        <v>134</v>
      </c>
      <c r="AZ29" s="21" t="s">
        <v>134</v>
      </c>
    </row>
    <row r="30" customFormat="false" ht="23.85" hidden="false" customHeight="false" outlineLevel="0" collapsed="false">
      <c r="A30" s="14" t="s">
        <v>107</v>
      </c>
      <c r="B30" s="11" t="n">
        <f aca="false">'Base votos'!R95/'Base votos'!S95</f>
        <v>0.519845380033366</v>
      </c>
      <c r="C30" s="11" t="n">
        <f aca="false">'Base votos'!R128/'Base votos'!S128</f>
        <v>0.438186094899586</v>
      </c>
      <c r="D30" s="11" t="n">
        <f aca="false">'Base votos'!R161/'Base votos'!S161</f>
        <v>0.507457364354619</v>
      </c>
      <c r="E30" s="12" t="n">
        <f aca="false">(C30-B30)*100</f>
        <v>-8.16592851337802</v>
      </c>
      <c r="F30" s="12" t="n">
        <f aca="false">(D30-C30)*100</f>
        <v>6.92712694550329</v>
      </c>
      <c r="G30" s="12" t="n">
        <f aca="false">(D30-B30)*100</f>
        <v>-1.23880156787473</v>
      </c>
      <c r="H30" s="11" t="n">
        <f aca="false">'Base votos'!Q95/'Base votos'!R95</f>
        <v>0.0336704637879616</v>
      </c>
      <c r="I30" s="11" t="n">
        <f aca="false">'Base votos'!Q128/'Base votos'!R128</f>
        <v>0.0295011990958014</v>
      </c>
      <c r="J30" s="11" t="n">
        <f aca="false">'Base votos'!Q161/'Base votos'!R161</f>
        <v>0.0287675297699681</v>
      </c>
      <c r="K30" s="12" t="n">
        <f aca="false">(I30-H30)*100</f>
        <v>-0.41692646921602</v>
      </c>
      <c r="L30" s="12" t="n">
        <f aca="false">(J30-I30)*100</f>
        <v>-0.0733669325833308</v>
      </c>
      <c r="M30" s="12" t="n">
        <f aca="false">(J30-H30)*100</f>
        <v>-0.49029340179935</v>
      </c>
      <c r="N30" s="9" t="n">
        <f aca="false">'Base votos'!R95</f>
        <v>1088105</v>
      </c>
      <c r="O30" s="9" t="n">
        <f aca="false">'Base votos'!R128</f>
        <v>958639</v>
      </c>
      <c r="P30" s="9" t="n">
        <f aca="false">'Base votos'!R161</f>
        <v>1162665</v>
      </c>
      <c r="Q30" s="10" t="n">
        <f aca="false">O30-N30</f>
        <v>-129466</v>
      </c>
      <c r="R30" s="10" t="n">
        <f aca="false">P30-O30</f>
        <v>204026</v>
      </c>
      <c r="S30" s="10" t="n">
        <f aca="false">P30-N30</f>
        <v>74560</v>
      </c>
      <c r="T30" s="19" t="n">
        <f aca="false">O30/N30-1</f>
        <v>-0.118983002559496</v>
      </c>
      <c r="U30" s="19" t="n">
        <f aca="false">P30/O30-1</f>
        <v>0.212828812514408</v>
      </c>
      <c r="V30" s="19" t="n">
        <f aca="false">P30/N30-1</f>
        <v>0.0685227988107766</v>
      </c>
      <c r="W30" s="11" t="n">
        <f aca="false">'Base votos'!U95/'Base votos'!R95</f>
        <v>0.468374835149181</v>
      </c>
      <c r="X30" s="11" t="n">
        <f aca="false">'Base votos'!U128/'Base votos'!R128</f>
        <v>0.496713569967423</v>
      </c>
      <c r="Y30" s="11" t="n">
        <f aca="false">'Base votos'!U161/'Base votos'!R161</f>
        <v>0.592555895292281</v>
      </c>
      <c r="Z30" s="12" t="n">
        <f aca="false">(X30-W30)*100</f>
        <v>2.83387348182412</v>
      </c>
      <c r="AA30" s="12" t="n">
        <f aca="false">(Y30-X30)*100</f>
        <v>9.58423253248586</v>
      </c>
      <c r="AB30" s="12" t="n">
        <f aca="false">(Y30-W30)*100</f>
        <v>12.41810601431</v>
      </c>
      <c r="AC30" s="11" t="n">
        <f aca="false">'Base votos'!V95/'Base votos'!R95</f>
        <v>0.201769130736464</v>
      </c>
      <c r="AD30" s="11" t="n">
        <f aca="false">'Base votos'!V128/'Base votos'!R128</f>
        <v>0.333673051065104</v>
      </c>
      <c r="AE30" s="11" t="n">
        <f aca="false">'Base votos'!V161/'Base votos'!R161</f>
        <v>0.269871373095432</v>
      </c>
      <c r="AF30" s="12" t="n">
        <f aca="false">(AD30-AC30)*100</f>
        <v>13.190392032864</v>
      </c>
      <c r="AG30" s="12" t="n">
        <f aca="false">(AE30-AD30)*100</f>
        <v>-6.38016779696721</v>
      </c>
      <c r="AH30" s="12" t="n">
        <f aca="false">(AE30-AC30)*100</f>
        <v>6.81022423589678</v>
      </c>
      <c r="AI30" s="11" t="n">
        <f aca="false">'Base votos'!W95/'Base votos'!R95</f>
        <v>0.278999728886459</v>
      </c>
      <c r="AJ30" s="11" t="n">
        <f aca="false">'Base votos'!W128/'Base votos'!R128</f>
        <v>0.0799018191415121</v>
      </c>
      <c r="AK30" s="11" t="n">
        <f aca="false">'Base votos'!W161/'Base votos'!R161</f>
        <v>0.108093904951125</v>
      </c>
      <c r="AL30" s="12" t="n">
        <f aca="false">(AJ30-AI30)*100</f>
        <v>-19.9097909744947</v>
      </c>
      <c r="AM30" s="12" t="n">
        <f aca="false">(AK30-AJ30)*100</f>
        <v>2.81920858096131</v>
      </c>
      <c r="AN30" s="12" t="n">
        <f aca="false">(AK30-AI30)*100</f>
        <v>-17.0905823935333</v>
      </c>
      <c r="AO30" s="20" t="n">
        <f aca="false">(MAX('Base votos'!U95:W95)-LARGE('Base votos'!U95:W95,2))/'Base votos'!R95*100</f>
        <v>18.9375106262723</v>
      </c>
      <c r="AP30" s="20" t="n">
        <f aca="false">(MAX('Base votos'!U128:W128)-LARGE('Base votos'!U128:W128,2))/'Base votos'!R128*100</f>
        <v>16.3040518902319</v>
      </c>
      <c r="AQ30" s="20" t="n">
        <f aca="false">(MAX('Base votos'!U161:W161)-LARGE('Base votos'!U161:W161,2))/'Base votos'!R161*100</f>
        <v>32.2684522196849</v>
      </c>
      <c r="AR30" s="12" t="n">
        <f aca="false">(AP30-AO30)</f>
        <v>-2.6334587360404</v>
      </c>
      <c r="AS30" s="12" t="n">
        <f aca="false">(AQ30-AP30)</f>
        <v>15.9644003294531</v>
      </c>
      <c r="AT30" s="12" t="n">
        <f aca="false">(AQ30-AO30)</f>
        <v>13.3309415934127</v>
      </c>
      <c r="AU30" s="21" t="s">
        <v>74</v>
      </c>
      <c r="AV30" s="21" t="s">
        <v>74</v>
      </c>
      <c r="AW30" s="21" t="s">
        <v>74</v>
      </c>
      <c r="AX30" s="21" t="s">
        <v>134</v>
      </c>
      <c r="AY30" s="21" t="s">
        <v>134</v>
      </c>
      <c r="AZ30" s="21" t="s">
        <v>134</v>
      </c>
    </row>
    <row r="31" customFormat="false" ht="23.85" hidden="false" customHeight="false" outlineLevel="0" collapsed="false">
      <c r="A31" s="14" t="s">
        <v>108</v>
      </c>
      <c r="B31" s="11" t="n">
        <f aca="false">'Base votos'!R96/'Base votos'!S96</f>
        <v>0.711510543262753</v>
      </c>
      <c r="C31" s="11" t="n">
        <f aca="false">'Base votos'!R129/'Base votos'!S129</f>
        <v>0.534599333053775</v>
      </c>
      <c r="D31" s="11" t="n">
        <f aca="false">'Base votos'!R162/'Base votos'!S162</f>
        <v>0.611469689952733</v>
      </c>
      <c r="E31" s="12" t="n">
        <f aca="false">(C31-B31)*100</f>
        <v>-17.6911210208978</v>
      </c>
      <c r="F31" s="12" t="n">
        <f aca="false">(D31-C31)*100</f>
        <v>7.6870356898958</v>
      </c>
      <c r="G31" s="12" t="n">
        <f aca="false">(D31-B31)*100</f>
        <v>-10.0040853310019</v>
      </c>
      <c r="H31" s="11" t="n">
        <f aca="false">'Base votos'!Q96/'Base votos'!R96</f>
        <v>0.034228379073885</v>
      </c>
      <c r="I31" s="11" t="n">
        <f aca="false">'Base votos'!Q129/'Base votos'!R129</f>
        <v>0.029555178239261</v>
      </c>
      <c r="J31" s="11" t="n">
        <f aca="false">'Base votos'!Q162/'Base votos'!R162</f>
        <v>0.0628848436703062</v>
      </c>
      <c r="K31" s="12" t="n">
        <f aca="false">(I31-H31)*100</f>
        <v>-0.467320083462402</v>
      </c>
      <c r="L31" s="12" t="n">
        <f aca="false">(J31-I31)*100</f>
        <v>3.33296654310452</v>
      </c>
      <c r="M31" s="12" t="n">
        <f aca="false">(J31-H31)*100</f>
        <v>2.86564645964212</v>
      </c>
      <c r="N31" s="9" t="n">
        <f aca="false">'Base votos'!R96</f>
        <v>1200758</v>
      </c>
      <c r="O31" s="9" t="n">
        <f aca="false">'Base votos'!R129</f>
        <v>937027</v>
      </c>
      <c r="P31" s="9" t="n">
        <f aca="false">'Base votos'!R162</f>
        <v>1107755</v>
      </c>
      <c r="Q31" s="10" t="n">
        <f aca="false">O31-N31</f>
        <v>-263731</v>
      </c>
      <c r="R31" s="10" t="n">
        <f aca="false">P31-O31</f>
        <v>170728</v>
      </c>
      <c r="S31" s="10" t="n">
        <f aca="false">P31-N31</f>
        <v>-93003</v>
      </c>
      <c r="T31" s="19" t="n">
        <f aca="false">O31/N31-1</f>
        <v>-0.219637095901089</v>
      </c>
      <c r="U31" s="19" t="n">
        <f aca="false">P31/O31-1</f>
        <v>0.182201793544903</v>
      </c>
      <c r="V31" s="19" t="n">
        <f aca="false">P31/N31-1</f>
        <v>-0.0774535751583583</v>
      </c>
      <c r="W31" s="11" t="n">
        <f aca="false">'Base votos'!U96/'Base votos'!R96</f>
        <v>0.681339620473068</v>
      </c>
      <c r="X31" s="11" t="n">
        <f aca="false">'Base votos'!U129/'Base votos'!R129</f>
        <v>0.660438813395985</v>
      </c>
      <c r="Y31" s="11" t="n">
        <f aca="false">'Base votos'!U162/'Base votos'!R162</f>
        <v>0.732126688663107</v>
      </c>
      <c r="Z31" s="12" t="n">
        <f aca="false">(X31-W31)*100</f>
        <v>-2.09008070770824</v>
      </c>
      <c r="AA31" s="12" t="n">
        <f aca="false">(Y31-X31)*100</f>
        <v>7.16878752671215</v>
      </c>
      <c r="AB31" s="12" t="n">
        <f aca="false">(Y31-W31)*100</f>
        <v>5.07870681900391</v>
      </c>
      <c r="AC31" s="11" t="n">
        <f aca="false">'Base votos'!V96/'Base votos'!R96</f>
        <v>0.130023701695096</v>
      </c>
      <c r="AD31" s="11" t="n">
        <f aca="false">'Base votos'!V129/'Base votos'!R129</f>
        <v>0.207143444105666</v>
      </c>
      <c r="AE31" s="11" t="n">
        <f aca="false">'Base votos'!V162/'Base votos'!R162</f>
        <v>0.130973906685142</v>
      </c>
      <c r="AF31" s="12" t="n">
        <f aca="false">(AD31-AC31)*100</f>
        <v>7.71197424105702</v>
      </c>
      <c r="AG31" s="12" t="n">
        <f aca="false">(AE31-AD31)*100</f>
        <v>-7.61695374205237</v>
      </c>
      <c r="AH31" s="12" t="n">
        <f aca="false">(AE31-AC31)*100</f>
        <v>0.0950204990046527</v>
      </c>
      <c r="AI31" s="11" t="n">
        <f aca="false">'Base votos'!W96/'Base votos'!R96</f>
        <v>0.148613625726416</v>
      </c>
      <c r="AJ31" s="11" t="n">
        <f aca="false">'Base votos'!W129/'Base votos'!R129</f>
        <v>0.0330396029143237</v>
      </c>
      <c r="AK31" s="11" t="n">
        <f aca="false">'Base votos'!W162/'Base votos'!R162</f>
        <v>0.07334383505378</v>
      </c>
      <c r="AL31" s="12" t="n">
        <f aca="false">(AJ31-AI31)*100</f>
        <v>-11.5574022812092</v>
      </c>
      <c r="AM31" s="12" t="n">
        <f aca="false">(AK31-AJ31)*100</f>
        <v>4.03042321394562</v>
      </c>
      <c r="AN31" s="12" t="n">
        <f aca="false">(AK31-AI31)*100</f>
        <v>-7.52697906726362</v>
      </c>
      <c r="AO31" s="20" t="n">
        <f aca="false">(MAX('Base votos'!U96:W96)-LARGE('Base votos'!U96:W96,2))/'Base votos'!R96*100</f>
        <v>53.2725994746652</v>
      </c>
      <c r="AP31" s="20" t="n">
        <f aca="false">(MAX('Base votos'!U129:W129)-LARGE('Base votos'!U129:W129,2))/'Base votos'!R129*100</f>
        <v>45.3295369290319</v>
      </c>
      <c r="AQ31" s="20" t="n">
        <f aca="false">(MAX('Base votos'!U162:W162)-LARGE('Base votos'!U162:W162,2))/'Base votos'!R162*100</f>
        <v>60.1152781977964</v>
      </c>
      <c r="AR31" s="12" t="n">
        <f aca="false">(AP31-AO31)</f>
        <v>-7.94306254563325</v>
      </c>
      <c r="AS31" s="12" t="n">
        <f aca="false">(AQ31-AP31)</f>
        <v>14.7857412687645</v>
      </c>
      <c r="AT31" s="12" t="n">
        <f aca="false">(AQ31-AO31)</f>
        <v>6.84267872313127</v>
      </c>
      <c r="AU31" s="21" t="s">
        <v>74</v>
      </c>
      <c r="AV31" s="21" t="s">
        <v>74</v>
      </c>
      <c r="AW31" s="21" t="s">
        <v>74</v>
      </c>
      <c r="AX31" s="21" t="s">
        <v>134</v>
      </c>
      <c r="AY31" s="21" t="s">
        <v>134</v>
      </c>
      <c r="AZ31" s="21" t="s">
        <v>134</v>
      </c>
    </row>
    <row r="32" customFormat="false" ht="23.85" hidden="false" customHeight="false" outlineLevel="0" collapsed="false">
      <c r="A32" s="14" t="s">
        <v>109</v>
      </c>
      <c r="B32" s="11" t="n">
        <f aca="false">'Base votos'!R97/'Base votos'!S97</f>
        <v>0.619621910835779</v>
      </c>
      <c r="C32" s="11" t="n">
        <f aca="false">'Base votos'!R130/'Base votos'!S130</f>
        <v>0.526819754626027</v>
      </c>
      <c r="D32" s="11" t="n">
        <f aca="false">'Base votos'!R163/'Base votos'!S163</f>
        <v>0.566542751973234</v>
      </c>
      <c r="E32" s="12" t="n">
        <f aca="false">(C32-B32)*100</f>
        <v>-9.28021562097518</v>
      </c>
      <c r="F32" s="12" t="n">
        <f aca="false">(D32-C32)*100</f>
        <v>3.9722997347207</v>
      </c>
      <c r="G32" s="12" t="n">
        <f aca="false">(D32-B32)*100</f>
        <v>-5.30791588625449</v>
      </c>
      <c r="H32" s="11" t="n">
        <f aca="false">'Base votos'!Q97/'Base votos'!R97</f>
        <v>0.0289778908515816</v>
      </c>
      <c r="I32" s="11" t="n">
        <f aca="false">'Base votos'!Q130/'Base votos'!R130</f>
        <v>0.0219769774908906</v>
      </c>
      <c r="J32" s="11" t="n">
        <f aca="false">'Base votos'!Q163/'Base votos'!R163</f>
        <v>0.0265457393118813</v>
      </c>
      <c r="K32" s="12" t="n">
        <f aca="false">(I32-H32)*100</f>
        <v>-0.7000913360691</v>
      </c>
      <c r="L32" s="12" t="n">
        <f aca="false">(J32-I32)*100</f>
        <v>0.456876182099068</v>
      </c>
      <c r="M32" s="12" t="n">
        <f aca="false">(J32-H32)*100</f>
        <v>-0.243215153970032</v>
      </c>
      <c r="N32" s="9" t="n">
        <f aca="false">'Base votos'!R97</f>
        <v>1628828</v>
      </c>
      <c r="O32" s="9" t="n">
        <f aca="false">'Base votos'!R130</f>
        <v>1441372</v>
      </c>
      <c r="P32" s="9" t="n">
        <f aca="false">'Base votos'!R163</f>
        <v>1614082</v>
      </c>
      <c r="Q32" s="10" t="n">
        <f aca="false">O32-N32</f>
        <v>-187456</v>
      </c>
      <c r="R32" s="10" t="n">
        <f aca="false">P32-O32</f>
        <v>172710</v>
      </c>
      <c r="S32" s="10" t="n">
        <f aca="false">P32-N32</f>
        <v>-14746</v>
      </c>
      <c r="T32" s="19" t="n">
        <f aca="false">O32/N32-1</f>
        <v>-0.115086430243095</v>
      </c>
      <c r="U32" s="19" t="n">
        <f aca="false">P32/O32-1</f>
        <v>0.119823334989163</v>
      </c>
      <c r="V32" s="19" t="n">
        <f aca="false">P32/N32-1</f>
        <v>-0.00905313513765726</v>
      </c>
      <c r="W32" s="11" t="n">
        <f aca="false">'Base votos'!U97/'Base votos'!R97</f>
        <v>0.370967959784581</v>
      </c>
      <c r="X32" s="11" t="n">
        <f aca="false">'Base votos'!U130/'Base votos'!R130</f>
        <v>0.445821758713226</v>
      </c>
      <c r="Y32" s="11" t="n">
        <f aca="false">'Base votos'!U163/'Base votos'!R163</f>
        <v>0.577905583483367</v>
      </c>
      <c r="Z32" s="12" t="n">
        <f aca="false">(X32-W32)*100</f>
        <v>7.48537989286447</v>
      </c>
      <c r="AA32" s="12" t="n">
        <f aca="false">(Y32-X32)*100</f>
        <v>13.2083824770141</v>
      </c>
      <c r="AB32" s="12" t="n">
        <f aca="false">(Y32-W32)*100</f>
        <v>20.6937623698786</v>
      </c>
      <c r="AC32" s="11" t="n">
        <f aca="false">'Base votos'!V97/'Base votos'!R97</f>
        <v>0.370111515764709</v>
      </c>
      <c r="AD32" s="11" t="n">
        <f aca="false">'Base votos'!V130/'Base votos'!R130</f>
        <v>0.458924552440314</v>
      </c>
      <c r="AE32" s="11" t="n">
        <f aca="false">'Base votos'!V163/'Base votos'!R163</f>
        <v>0.316224330610217</v>
      </c>
      <c r="AF32" s="12" t="n">
        <f aca="false">(AD32-AC32)*100</f>
        <v>8.88130366756045</v>
      </c>
      <c r="AG32" s="12" t="n">
        <f aca="false">(AE32-AD32)*100</f>
        <v>-14.2700221830097</v>
      </c>
      <c r="AH32" s="12" t="n">
        <f aca="false">(AE32-AC32)*100</f>
        <v>-5.38871851544925</v>
      </c>
      <c r="AI32" s="11" t="n">
        <f aca="false">'Base votos'!W97/'Base votos'!R97</f>
        <v>0.224296242451628</v>
      </c>
      <c r="AJ32" s="11" t="n">
        <f aca="false">'Base votos'!W130/'Base votos'!R130</f>
        <v>0.0309822863216435</v>
      </c>
      <c r="AK32" s="11" t="n">
        <f aca="false">'Base votos'!W163/'Base votos'!R163</f>
        <v>0.0785300870711649</v>
      </c>
      <c r="AL32" s="12" t="n">
        <f aca="false">(AJ32-AI32)*100</f>
        <v>-19.3313956129984</v>
      </c>
      <c r="AM32" s="12" t="n">
        <f aca="false">(AK32-AJ32)*100</f>
        <v>4.75478007495214</v>
      </c>
      <c r="AN32" s="12" t="n">
        <f aca="false">(AK32-AI32)*100</f>
        <v>-14.5766155380463</v>
      </c>
      <c r="AO32" s="20" t="n">
        <f aca="false">(MAX('Base votos'!U97:W97)-LARGE('Base votos'!U97:W97,2))/'Base votos'!R97*100</f>
        <v>0.0856444019871957</v>
      </c>
      <c r="AP32" s="20" t="n">
        <f aca="false">(MAX('Base votos'!U130:W130)-LARGE('Base votos'!U130:W130,2))/'Base votos'!R130*100</f>
        <v>1.31027937270878</v>
      </c>
      <c r="AQ32" s="20" t="n">
        <f aca="false">(MAX('Base votos'!U163:W163)-LARGE('Base votos'!U163:W163,2))/'Base votos'!R163*100</f>
        <v>26.168125287315</v>
      </c>
      <c r="AR32" s="12" t="n">
        <f aca="false">(AP32-AO32)</f>
        <v>1.22463497072158</v>
      </c>
      <c r="AS32" s="12" t="n">
        <f aca="false">(AQ32-AP32)</f>
        <v>24.8578459146062</v>
      </c>
      <c r="AT32" s="12" t="n">
        <f aca="false">(AQ32-AO32)</f>
        <v>26.0824808853278</v>
      </c>
      <c r="AU32" s="21" t="s">
        <v>74</v>
      </c>
      <c r="AV32" s="21" t="s">
        <v>132</v>
      </c>
      <c r="AW32" s="21" t="s">
        <v>74</v>
      </c>
      <c r="AX32" s="21" t="s">
        <v>133</v>
      </c>
      <c r="AY32" s="21" t="s">
        <v>135</v>
      </c>
      <c r="AZ32" s="21" t="s">
        <v>134</v>
      </c>
    </row>
    <row r="33" customFormat="false" ht="23.85" hidden="false" customHeight="false" outlineLevel="0" collapsed="false">
      <c r="A33" s="14" t="s">
        <v>110</v>
      </c>
      <c r="B33" s="11" t="n">
        <f aca="false">'Base votos'!R98/'Base votos'!S98</f>
        <v>0.662052502342693</v>
      </c>
      <c r="C33" s="11" t="n">
        <f aca="false">'Base votos'!R131/'Base votos'!S131</f>
        <v>0.664852403641676</v>
      </c>
      <c r="D33" s="11" t="n">
        <f aca="false">'Base votos'!R164/'Base votos'!S164</f>
        <v>0.706077622878565</v>
      </c>
      <c r="E33" s="12" t="n">
        <f aca="false">(C33-B33)*100</f>
        <v>0.279990129898333</v>
      </c>
      <c r="F33" s="12" t="n">
        <f aca="false">(D33-C33)*100</f>
        <v>4.12252192368888</v>
      </c>
      <c r="G33" s="12" t="n">
        <f aca="false">(D33-B33)*100</f>
        <v>4.40251205358722</v>
      </c>
      <c r="H33" s="11" t="n">
        <f aca="false">'Base votos'!Q98/'Base votos'!R98</f>
        <v>0.0390286735591549</v>
      </c>
      <c r="I33" s="11" t="n">
        <f aca="false">'Base votos'!Q131/'Base votos'!R131</f>
        <v>0.051748701260573</v>
      </c>
      <c r="J33" s="11" t="n">
        <f aca="false">'Base votos'!Q164/'Base votos'!R164</f>
        <v>0.0561726086453921</v>
      </c>
      <c r="K33" s="12" t="n">
        <f aca="false">(I33-H33)*100</f>
        <v>1.27200277014181</v>
      </c>
      <c r="L33" s="12" t="n">
        <f aca="false">(J33-I33)*100</f>
        <v>0.442390738481903</v>
      </c>
      <c r="M33" s="12" t="n">
        <f aca="false">(J33-H33)*100</f>
        <v>1.71439350862372</v>
      </c>
      <c r="N33" s="9" t="n">
        <f aca="false">'Base votos'!R98</f>
        <v>610423</v>
      </c>
      <c r="O33" s="9" t="n">
        <f aca="false">'Base votos'!R131</f>
        <v>647166</v>
      </c>
      <c r="P33" s="9" t="n">
        <f aca="false">'Base votos'!R164</f>
        <v>735305</v>
      </c>
      <c r="Q33" s="10" t="n">
        <f aca="false">O33-N33</f>
        <v>36743</v>
      </c>
      <c r="R33" s="10" t="n">
        <f aca="false">P33-O33</f>
        <v>88139</v>
      </c>
      <c r="S33" s="10" t="n">
        <f aca="false">P33-N33</f>
        <v>124882</v>
      </c>
      <c r="T33" s="19" t="n">
        <f aca="false">O33/N33-1</f>
        <v>0.0601926860554074</v>
      </c>
      <c r="U33" s="19" t="n">
        <f aca="false">P33/O33-1</f>
        <v>0.136192259791151</v>
      </c>
      <c r="V33" s="19" t="n">
        <f aca="false">P33/N33-1</f>
        <v>0.204582723783344</v>
      </c>
      <c r="W33" s="11" t="n">
        <f aca="false">'Base votos'!U98/'Base votos'!R98</f>
        <v>0.577702675030266</v>
      </c>
      <c r="X33" s="11" t="n">
        <f aca="false">'Base votos'!U131/'Base votos'!R131</f>
        <v>0.455527638967437</v>
      </c>
      <c r="Y33" s="11" t="n">
        <f aca="false">'Base votos'!U164/'Base votos'!R164</f>
        <v>0.584942302853918</v>
      </c>
      <c r="Z33" s="12" t="n">
        <f aca="false">(X33-W33)*100</f>
        <v>-12.2175036062829</v>
      </c>
      <c r="AA33" s="12" t="n">
        <f aca="false">(Y33-X33)*100</f>
        <v>12.9414663886481</v>
      </c>
      <c r="AB33" s="12" t="n">
        <f aca="false">(Y33-W33)*100</f>
        <v>0.723962782365195</v>
      </c>
      <c r="AC33" s="11" t="n">
        <f aca="false">'Base votos'!V98/'Base votos'!R98</f>
        <v>0.185330500325184</v>
      </c>
      <c r="AD33" s="11" t="n">
        <f aca="false">'Base votos'!V131/'Base votos'!R131</f>
        <v>0.291591338234703</v>
      </c>
      <c r="AE33" s="11" t="n">
        <f aca="false">'Base votos'!V164/'Base votos'!R164</f>
        <v>0.214746261755326</v>
      </c>
      <c r="AF33" s="12" t="n">
        <f aca="false">(AD33-AC33)*100</f>
        <v>10.6260837909519</v>
      </c>
      <c r="AG33" s="12" t="n">
        <f aca="false">(AE33-AD33)*100</f>
        <v>-7.68450764793773</v>
      </c>
      <c r="AH33" s="12" t="n">
        <f aca="false">(AE33-AC33)*100</f>
        <v>2.94157614301417</v>
      </c>
      <c r="AI33" s="11" t="n">
        <f aca="false">'Base votos'!W98/'Base votos'!R98</f>
        <v>0.196006703548195</v>
      </c>
      <c r="AJ33" s="11" t="n">
        <f aca="false">'Base votos'!W131/'Base votos'!R131</f>
        <v>0.0373644474524311</v>
      </c>
      <c r="AK33" s="11" t="n">
        <f aca="false">'Base votos'!W164/'Base votos'!R164</f>
        <v>0.143306519063518</v>
      </c>
      <c r="AL33" s="12" t="n">
        <f aca="false">(AJ33-AI33)*100</f>
        <v>-15.8642256095764</v>
      </c>
      <c r="AM33" s="12" t="n">
        <f aca="false">(AK33-AJ33)*100</f>
        <v>10.5942071611087</v>
      </c>
      <c r="AN33" s="12" t="n">
        <f aca="false">(AK33-AI33)*100</f>
        <v>-5.27001844846774</v>
      </c>
      <c r="AO33" s="20" t="n">
        <f aca="false">(MAX('Base votos'!U98:W98)-LARGE('Base votos'!U98:W98,2))/'Base votos'!R98*100</f>
        <v>38.1695971482071</v>
      </c>
      <c r="AP33" s="20" t="n">
        <f aca="false">(MAX('Base votos'!U131:W131)-LARGE('Base votos'!U131:W131,2))/'Base votos'!R131*100</f>
        <v>16.3936300732733</v>
      </c>
      <c r="AQ33" s="20" t="n">
        <f aca="false">(MAX('Base votos'!U164:W164)-LARGE('Base votos'!U164:W164,2))/'Base votos'!R164*100</f>
        <v>37.0196041098592</v>
      </c>
      <c r="AR33" s="12" t="n">
        <f aca="false">(AP33-AO33)</f>
        <v>-21.7759670749337</v>
      </c>
      <c r="AS33" s="12" t="n">
        <f aca="false">(AQ33-AP33)</f>
        <v>20.6259740365859</v>
      </c>
      <c r="AT33" s="12" t="n">
        <f aca="false">(AQ33-AO33)</f>
        <v>-1.14999303834789</v>
      </c>
      <c r="AU33" s="21" t="s">
        <v>74</v>
      </c>
      <c r="AV33" s="21" t="s">
        <v>74</v>
      </c>
      <c r="AW33" s="21" t="s">
        <v>74</v>
      </c>
      <c r="AX33" s="21" t="s">
        <v>134</v>
      </c>
      <c r="AY33" s="21" t="s">
        <v>134</v>
      </c>
      <c r="AZ33" s="21" t="s">
        <v>134</v>
      </c>
    </row>
    <row r="34" customFormat="false" ht="23.85" hidden="false" customHeight="false" outlineLevel="0" collapsed="false">
      <c r="A34" s="14" t="s">
        <v>111</v>
      </c>
      <c r="B34" s="11" t="n">
        <f aca="false">'Base votos'!R99/'Base votos'!S99</f>
        <v>0.65692752408301</v>
      </c>
      <c r="C34" s="11" t="n">
        <f aca="false">'Base votos'!R132/'Base votos'!S132</f>
        <v>0.603917547806656</v>
      </c>
      <c r="D34" s="11" t="n">
        <f aca="false">'Base votos'!R165/'Base votos'!S165</f>
        <v>0.598119973391506</v>
      </c>
      <c r="E34" s="12" t="n">
        <f aca="false">(C34-B34)*100</f>
        <v>-5.30099762763538</v>
      </c>
      <c r="F34" s="12" t="n">
        <f aca="false">(D34-C34)*100</f>
        <v>-0.579757441515005</v>
      </c>
      <c r="G34" s="12" t="n">
        <f aca="false">(D34-B34)*100</f>
        <v>-5.88075506915039</v>
      </c>
      <c r="H34" s="11" t="n">
        <f aca="false">'Base votos'!Q99/'Base votos'!R99</f>
        <v>0.035047080706204</v>
      </c>
      <c r="I34" s="11" t="n">
        <f aca="false">'Base votos'!Q132/'Base votos'!R132</f>
        <v>0.0338746922439806</v>
      </c>
      <c r="J34" s="11" t="n">
        <f aca="false">'Base votos'!Q165/'Base votos'!R165</f>
        <v>0.0334347256701696</v>
      </c>
      <c r="K34" s="12" t="n">
        <f aca="false">(I34-H34)*100</f>
        <v>-0.117238846222336</v>
      </c>
      <c r="L34" s="12" t="n">
        <f aca="false">(J34-I34)*100</f>
        <v>-0.043996657381102</v>
      </c>
      <c r="M34" s="12" t="n">
        <f aca="false">(J34-H34)*100</f>
        <v>-0.161235503603438</v>
      </c>
      <c r="N34" s="9" t="n">
        <f aca="false">'Base votos'!R99</f>
        <v>3792955</v>
      </c>
      <c r="O34" s="9" t="n">
        <f aca="false">'Base votos'!R132</f>
        <v>3611221</v>
      </c>
      <c r="P34" s="9" t="n">
        <f aca="false">'Base votos'!R165</f>
        <v>3637027</v>
      </c>
      <c r="Q34" s="10" t="n">
        <f aca="false">O34-N34</f>
        <v>-181734</v>
      </c>
      <c r="R34" s="10" t="n">
        <f aca="false">P34-O34</f>
        <v>25806</v>
      </c>
      <c r="S34" s="10" t="n">
        <f aca="false">P34-N34</f>
        <v>-155928</v>
      </c>
      <c r="T34" s="19" t="n">
        <f aca="false">O34/N34-1</f>
        <v>-0.0479135660718358</v>
      </c>
      <c r="U34" s="19" t="n">
        <f aca="false">P34/O34-1</f>
        <v>0.00714605946299041</v>
      </c>
      <c r="V34" s="19" t="n">
        <f aca="false">P34/N34-1</f>
        <v>-0.0411098998010786</v>
      </c>
      <c r="W34" s="11" t="n">
        <f aca="false">'Base votos'!U99/'Base votos'!R99</f>
        <v>0.454604655209461</v>
      </c>
      <c r="X34" s="11" t="n">
        <f aca="false">'Base votos'!U132/'Base votos'!R132</f>
        <v>0.481133943339386</v>
      </c>
      <c r="Y34" s="11" t="n">
        <f aca="false">'Base votos'!U165/'Base votos'!R165</f>
        <v>0.605478320617361</v>
      </c>
      <c r="Z34" s="12" t="n">
        <f aca="false">(X34-W34)*100</f>
        <v>2.65292881299251</v>
      </c>
      <c r="AA34" s="12" t="n">
        <f aca="false">(Y34-X34)*100</f>
        <v>12.4344377277976</v>
      </c>
      <c r="AB34" s="12" t="n">
        <f aca="false">(Y34-W34)*100</f>
        <v>15.0873665407901</v>
      </c>
      <c r="AC34" s="11" t="n">
        <f aca="false">'Base votos'!V99/'Base votos'!R99</f>
        <v>0.336209894396322</v>
      </c>
      <c r="AD34" s="11" t="n">
        <f aca="false">'Base votos'!V132/'Base votos'!R132</f>
        <v>0.324750271445586</v>
      </c>
      <c r="AE34" s="11" t="n">
        <f aca="false">'Base votos'!V165/'Base votos'!R165</f>
        <v>0.276600641128042</v>
      </c>
      <c r="AF34" s="12" t="n">
        <f aca="false">(AD34-AC34)*100</f>
        <v>-1.14596229507357</v>
      </c>
      <c r="AG34" s="12" t="n">
        <f aca="false">(AE34-AD34)*100</f>
        <v>-4.81496303175437</v>
      </c>
      <c r="AH34" s="12" t="n">
        <f aca="false">(AE34-AC34)*100</f>
        <v>-5.96092532682794</v>
      </c>
      <c r="AI34" s="11" t="n">
        <f aca="false">'Base votos'!W99/'Base votos'!R99</f>
        <v>0.173850994804842</v>
      </c>
      <c r="AJ34" s="11" t="n">
        <f aca="false">'Base votos'!W132/'Base votos'!R132</f>
        <v>0.0714797017407686</v>
      </c>
      <c r="AK34" s="11" t="n">
        <f aca="false">'Base votos'!W165/'Base votos'!R165</f>
        <v>0.0838849972793713</v>
      </c>
      <c r="AL34" s="12" t="n">
        <f aca="false">(AJ34-AI34)*100</f>
        <v>-10.2371293064074</v>
      </c>
      <c r="AM34" s="12" t="n">
        <f aca="false">(AK34-AJ34)*100</f>
        <v>1.24052955386027</v>
      </c>
      <c r="AN34" s="12" t="n">
        <f aca="false">(AK34-AI34)*100</f>
        <v>-8.99659975254708</v>
      </c>
      <c r="AO34" s="20" t="n">
        <f aca="false">(MAX('Base votos'!U99:W99)-LARGE('Base votos'!U99:W99,2))/'Base votos'!R99*100</f>
        <v>11.8394760813139</v>
      </c>
      <c r="AP34" s="20" t="n">
        <f aca="false">(MAX('Base votos'!U132:W132)-LARGE('Base votos'!U132:W132,2))/'Base votos'!R132*100</f>
        <v>15.63836718938</v>
      </c>
      <c r="AQ34" s="20" t="n">
        <f aca="false">(MAX('Base votos'!U165:W165)-LARGE('Base votos'!U165:W165,2))/'Base votos'!R165*100</f>
        <v>32.8877679489319</v>
      </c>
      <c r="AR34" s="12" t="n">
        <f aca="false">(AP34-AO34)</f>
        <v>3.79889110806608</v>
      </c>
      <c r="AS34" s="12" t="n">
        <f aca="false">(AQ34-AP34)</f>
        <v>17.2494007595519</v>
      </c>
      <c r="AT34" s="12" t="n">
        <f aca="false">(AQ34-AO34)</f>
        <v>21.048291867618</v>
      </c>
      <c r="AU34" s="21" t="s">
        <v>74</v>
      </c>
      <c r="AV34" s="21" t="s">
        <v>74</v>
      </c>
      <c r="AW34" s="21" t="s">
        <v>74</v>
      </c>
      <c r="AX34" s="21" t="s">
        <v>134</v>
      </c>
      <c r="AY34" s="21" t="s">
        <v>134</v>
      </c>
      <c r="AZ34" s="21" t="s">
        <v>134</v>
      </c>
    </row>
    <row r="35" customFormat="false" ht="23.85" hidden="false" customHeight="false" outlineLevel="0" collapsed="false">
      <c r="A35" s="14" t="s">
        <v>112</v>
      </c>
      <c r="B35" s="11" t="n">
        <f aca="false">'Base votos'!R100/'Base votos'!S100</f>
        <v>0.750653209426994</v>
      </c>
      <c r="C35" s="11" t="n">
        <f aca="false">'Base votos'!R133/'Base votos'!S133</f>
        <v>0.63821635792355</v>
      </c>
      <c r="D35" s="11" t="n">
        <f aca="false">'Base votos'!R166/'Base votos'!S166</f>
        <v>0.723276422916139</v>
      </c>
      <c r="E35" s="12" t="n">
        <f aca="false">(C35-B35)*100</f>
        <v>-11.2436851503444</v>
      </c>
      <c r="F35" s="12" t="n">
        <f aca="false">(D35-C35)*100</f>
        <v>8.50600649925895</v>
      </c>
      <c r="G35" s="12" t="n">
        <f aca="false">(D35-B35)*100</f>
        <v>-2.73767865108544</v>
      </c>
      <c r="H35" s="11" t="n">
        <f aca="false">'Base votos'!Q100/'Base votos'!R100</f>
        <v>0.0276505269567985</v>
      </c>
      <c r="I35" s="11" t="n">
        <f aca="false">'Base votos'!Q133/'Base votos'!R133</f>
        <v>0.0262760977083097</v>
      </c>
      <c r="J35" s="11" t="n">
        <f aca="false">'Base votos'!Q166/'Base votos'!R166</f>
        <v>0.0286217546002184</v>
      </c>
      <c r="K35" s="12" t="n">
        <f aca="false">(I35-H35)*100</f>
        <v>-0.13744292484888</v>
      </c>
      <c r="L35" s="12" t="n">
        <f aca="false">(J35-I35)*100</f>
        <v>0.234565689190868</v>
      </c>
      <c r="M35" s="12" t="n">
        <f aca="false">(J35-H35)*100</f>
        <v>0.0971227643419878</v>
      </c>
      <c r="N35" s="9" t="n">
        <f aca="false">'Base votos'!R100</f>
        <v>1156072</v>
      </c>
      <c r="O35" s="9" t="n">
        <f aca="false">'Base votos'!R133</f>
        <v>1059480</v>
      </c>
      <c r="P35" s="9" t="n">
        <f aca="false">'Base votos'!R166</f>
        <v>1277385</v>
      </c>
      <c r="Q35" s="10" t="n">
        <f aca="false">O35-N35</f>
        <v>-96592</v>
      </c>
      <c r="R35" s="10" t="n">
        <f aca="false">P35-O35</f>
        <v>217905</v>
      </c>
      <c r="S35" s="10" t="n">
        <f aca="false">P35-N35</f>
        <v>121313</v>
      </c>
      <c r="T35" s="19" t="n">
        <f aca="false">O35/N35-1</f>
        <v>-0.0835518895016919</v>
      </c>
      <c r="U35" s="19" t="n">
        <f aca="false">P35/O35-1</f>
        <v>0.205671650243516</v>
      </c>
      <c r="V35" s="19" t="n">
        <f aca="false">P35/N35-1</f>
        <v>0.104935505747047</v>
      </c>
      <c r="W35" s="11" t="n">
        <f aca="false">'Base votos'!U100/'Base votos'!R100</f>
        <v>0.271595540762167</v>
      </c>
      <c r="X35" s="11" t="n">
        <f aca="false">'Base votos'!U133/'Base votos'!R133</f>
        <v>0.307304526748971</v>
      </c>
      <c r="Y35" s="11" t="n">
        <f aca="false">'Base votos'!U166/'Base votos'!R166</f>
        <v>0.506924693808053</v>
      </c>
      <c r="Z35" s="12" t="n">
        <f aca="false">(X35-W35)*100</f>
        <v>3.57089859868041</v>
      </c>
      <c r="AA35" s="12" t="n">
        <f aca="false">(Y35-X35)*100</f>
        <v>19.9620167059082</v>
      </c>
      <c r="AB35" s="12" t="n">
        <f aca="false">(Y35-W35)*100</f>
        <v>23.5329153045886</v>
      </c>
      <c r="AC35" s="11" t="n">
        <f aca="false">'Base votos'!V100/'Base votos'!R100</f>
        <v>0.348179871149894</v>
      </c>
      <c r="AD35" s="11" t="n">
        <f aca="false">'Base votos'!V133/'Base votos'!R133</f>
        <v>0.602316230603692</v>
      </c>
      <c r="AE35" s="11" t="n">
        <f aca="false">'Base votos'!V166/'Base votos'!R166</f>
        <v>0.412625794102796</v>
      </c>
      <c r="AF35" s="12" t="n">
        <f aca="false">(AD35-AC35)*100</f>
        <v>25.4136359453799</v>
      </c>
      <c r="AG35" s="12" t="n">
        <f aca="false">(AE35-AD35)*100</f>
        <v>-18.9690436500896</v>
      </c>
      <c r="AH35" s="12" t="n">
        <f aca="false">(AE35-AC35)*100</f>
        <v>6.44459229529021</v>
      </c>
      <c r="AI35" s="11" t="n">
        <f aca="false">'Base votos'!W100/'Base votos'!R100</f>
        <v>0.352316291718855</v>
      </c>
      <c r="AJ35" s="11" t="n">
        <f aca="false">'Base votos'!W133/'Base votos'!R133</f>
        <v>0.0300402084041228</v>
      </c>
      <c r="AK35" s="11" t="n">
        <f aca="false">'Base votos'!W166/'Base votos'!R166</f>
        <v>0.0513447394481695</v>
      </c>
      <c r="AL35" s="12" t="n">
        <f aca="false">(AJ35-AI35)*100</f>
        <v>-32.2276083314732</v>
      </c>
      <c r="AM35" s="12" t="n">
        <f aca="false">(AK35-AJ35)*100</f>
        <v>2.13045310440467</v>
      </c>
      <c r="AN35" s="12" t="n">
        <f aca="false">(AK35-AI35)*100</f>
        <v>-30.0971552270685</v>
      </c>
      <c r="AO35" s="20" t="n">
        <f aca="false">(MAX('Base votos'!U100:W100)-LARGE('Base votos'!U100:W100,2))/'Base votos'!R100*100</f>
        <v>0.41364205689611</v>
      </c>
      <c r="AP35" s="20" t="n">
        <f aca="false">(MAX('Base votos'!U133:W133)-LARGE('Base votos'!U133:W133,2))/'Base votos'!R133*100</f>
        <v>29.5011703854721</v>
      </c>
      <c r="AQ35" s="20" t="n">
        <f aca="false">(MAX('Base votos'!U166:W166)-LARGE('Base votos'!U166:W166,2))/'Base votos'!R166*100</f>
        <v>9.42988997052572</v>
      </c>
      <c r="AR35" s="12" t="n">
        <f aca="false">(AP35-AO35)</f>
        <v>29.087528328576</v>
      </c>
      <c r="AS35" s="12" t="n">
        <f aca="false">(AQ35-AP35)</f>
        <v>-20.0712804149464</v>
      </c>
      <c r="AT35" s="12" t="n">
        <f aca="false">(AQ35-AO35)</f>
        <v>9.01624791362961</v>
      </c>
      <c r="AU35" s="21" t="s">
        <v>153</v>
      </c>
      <c r="AV35" s="21" t="s">
        <v>132</v>
      </c>
      <c r="AW35" s="21" t="s">
        <v>74</v>
      </c>
      <c r="AX35" s="21" t="s">
        <v>154</v>
      </c>
      <c r="AY35" s="21" t="s">
        <v>135</v>
      </c>
      <c r="AZ35" s="21" t="s">
        <v>155</v>
      </c>
    </row>
    <row r="36" customFormat="false" ht="23.85" hidden="false" customHeight="false" outlineLevel="0" collapsed="false">
      <c r="A36" s="14" t="s">
        <v>113</v>
      </c>
      <c r="B36" s="11" t="n">
        <f aca="false">'Base votos'!R101/'Base votos'!S101</f>
        <v>0.652387740126749</v>
      </c>
      <c r="C36" s="11" t="n">
        <f aca="false">'Base votos'!R134/'Base votos'!S134</f>
        <v>0.572749867882151</v>
      </c>
      <c r="D36" s="11" t="n">
        <f aca="false">'Base votos'!R167/'Base votos'!S167</f>
        <v>0.602616793196085</v>
      </c>
      <c r="E36" s="12" t="n">
        <f aca="false">(C36-B36)*100</f>
        <v>-7.96378722445977</v>
      </c>
      <c r="F36" s="12" t="n">
        <f aca="false">(D36-C36)*100</f>
        <v>2.98669253139341</v>
      </c>
      <c r="G36" s="12" t="n">
        <f aca="false">(D36-B36)*100</f>
        <v>-4.97709469306636</v>
      </c>
      <c r="H36" s="11" t="n">
        <f aca="false">'Base votos'!Q101/'Base votos'!R101</f>
        <v>0.0400646646641367</v>
      </c>
      <c r="I36" s="11" t="n">
        <f aca="false">'Base votos'!Q134/'Base votos'!R134</f>
        <v>0.0372378078581593</v>
      </c>
      <c r="J36" s="11" t="n">
        <f aca="false">'Base votos'!Q167/'Base votos'!R167</f>
        <v>0.040115401907723</v>
      </c>
      <c r="K36" s="12" t="n">
        <f aca="false">(I36-H36)*100</f>
        <v>-0.282685680597743</v>
      </c>
      <c r="L36" s="12" t="n">
        <f aca="false">(J36-I36)*100</f>
        <v>0.287759404956378</v>
      </c>
      <c r="M36" s="12" t="n">
        <f aca="false">(J36-H36)*100</f>
        <v>0.00507372435863476</v>
      </c>
      <c r="N36" s="9" t="n">
        <f aca="false">'Base votos'!R101</f>
        <v>758374</v>
      </c>
      <c r="O36" s="9" t="n">
        <f aca="false">'Base votos'!R134</f>
        <v>693623</v>
      </c>
      <c r="P36" s="9" t="n">
        <f aca="false">'Base votos'!R167</f>
        <v>762899</v>
      </c>
      <c r="Q36" s="10" t="n">
        <f aca="false">O36-N36</f>
        <v>-64751</v>
      </c>
      <c r="R36" s="10" t="n">
        <f aca="false">P36-O36</f>
        <v>69276</v>
      </c>
      <c r="S36" s="10" t="n">
        <f aca="false">P36-N36</f>
        <v>4525</v>
      </c>
      <c r="T36" s="19" t="n">
        <f aca="false">O36/N36-1</f>
        <v>-0.0853813553734701</v>
      </c>
      <c r="U36" s="19" t="n">
        <f aca="false">P36/O36-1</f>
        <v>0.0998755808270486</v>
      </c>
      <c r="V36" s="19" t="n">
        <f aca="false">P36/N36-1</f>
        <v>0.00596671299385254</v>
      </c>
      <c r="W36" s="11" t="n">
        <f aca="false">'Base votos'!U101/'Base votos'!R101</f>
        <v>0.405302660692482</v>
      </c>
      <c r="X36" s="11" t="n">
        <f aca="false">'Base votos'!U134/'Base votos'!R134</f>
        <v>0.450543018325517</v>
      </c>
      <c r="Y36" s="11" t="n">
        <f aca="false">'Base votos'!U167/'Base votos'!R167</f>
        <v>0.482223728173716</v>
      </c>
      <c r="Z36" s="12" t="n">
        <f aca="false">(X36-W36)*100</f>
        <v>4.52403576330354</v>
      </c>
      <c r="AA36" s="12" t="n">
        <f aca="false">(Y36-X36)*100</f>
        <v>3.16807098481994</v>
      </c>
      <c r="AB36" s="12" t="n">
        <f aca="false">(Y36-W36)*100</f>
        <v>7.69210674812348</v>
      </c>
      <c r="AC36" s="11" t="n">
        <f aca="false">'Base votos'!V101/'Base votos'!R101</f>
        <v>0.204784183002054</v>
      </c>
      <c r="AD36" s="11" t="n">
        <f aca="false">'Base votos'!V134/'Base votos'!R134</f>
        <v>0.396995197679431</v>
      </c>
      <c r="AE36" s="11" t="n">
        <f aca="false">'Base votos'!V167/'Base votos'!R167</f>
        <v>0.355744338372445</v>
      </c>
      <c r="AF36" s="12" t="n">
        <f aca="false">(AD36-AC36)*100</f>
        <v>19.2211014677377</v>
      </c>
      <c r="AG36" s="12" t="n">
        <f aca="false">(AE36-AD36)*100</f>
        <v>-4.12508593069859</v>
      </c>
      <c r="AH36" s="12" t="n">
        <f aca="false">(AE36-AC36)*100</f>
        <v>15.0960155370391</v>
      </c>
      <c r="AI36" s="11" t="n">
        <f aca="false">'Base votos'!W101/'Base votos'!R101</f>
        <v>0.349446315406383</v>
      </c>
      <c r="AJ36" s="11" t="n">
        <f aca="false">'Base votos'!W134/'Base votos'!R134</f>
        <v>0.0356865328860202</v>
      </c>
      <c r="AK36" s="11" t="n">
        <f aca="false">'Base votos'!W167/'Base votos'!R167</f>
        <v>0.12098456021046</v>
      </c>
      <c r="AL36" s="12" t="n">
        <f aca="false">(AJ36-AI36)*100</f>
        <v>-31.3759782520362</v>
      </c>
      <c r="AM36" s="12" t="n">
        <f aca="false">(AK36-AJ36)*100</f>
        <v>8.52980273244402</v>
      </c>
      <c r="AN36" s="12" t="n">
        <f aca="false">(AK36-AI36)*100</f>
        <v>-22.8461755195922</v>
      </c>
      <c r="AO36" s="20" t="n">
        <f aca="false">(MAX('Base votos'!U101:W101)-LARGE('Base votos'!U101:W101,2))/'Base votos'!R101*100</f>
        <v>5.58563452860989</v>
      </c>
      <c r="AP36" s="20" t="n">
        <f aca="false">(MAX('Base votos'!U134:W134)-LARGE('Base votos'!U134:W134,2))/'Base votos'!R134*100</f>
        <v>5.35478206460858</v>
      </c>
      <c r="AQ36" s="20" t="n">
        <f aca="false">(MAX('Base votos'!U167:W167)-LARGE('Base votos'!U167:W167,2))/'Base votos'!R167*100</f>
        <v>12.6479389801271</v>
      </c>
      <c r="AR36" s="12" t="n">
        <f aca="false">(AP36-AO36)</f>
        <v>-0.23085246400131</v>
      </c>
      <c r="AS36" s="12" t="n">
        <f aca="false">(AQ36-AP36)</f>
        <v>7.29315691551854</v>
      </c>
      <c r="AT36" s="12" t="n">
        <f aca="false">(AQ36-AO36)</f>
        <v>7.06230445151723</v>
      </c>
      <c r="AU36" s="21" t="s">
        <v>74</v>
      </c>
      <c r="AV36" s="21" t="s">
        <v>74</v>
      </c>
      <c r="AW36" s="21" t="s">
        <v>74</v>
      </c>
      <c r="AX36" s="21" t="s">
        <v>134</v>
      </c>
      <c r="AY36" s="21" t="s">
        <v>134</v>
      </c>
      <c r="AZ36" s="21" t="s">
        <v>134</v>
      </c>
    </row>
    <row r="37" customFormat="false" ht="26.85" hidden="false" customHeight="false" outlineLevel="0" collapsed="false">
      <c r="A37" s="16" t="s">
        <v>4</v>
      </c>
      <c r="B37" s="17" t="n">
        <f aca="false">'Base votos'!R102/'Base votos'!S102</f>
        <v>0.632951902600664</v>
      </c>
      <c r="C37" s="17" t="n">
        <f aca="false">'Base votos'!R135/'Base votos'!S135</f>
        <v>0.52664702934961</v>
      </c>
      <c r="D37" s="17" t="n">
        <f aca="false">'Base votos'!R168/'Base votos'!S168</f>
        <v>0.60547674483496</v>
      </c>
      <c r="E37" s="18" t="n">
        <f aca="false">(C37-B37)*100</f>
        <v>-10.6304873251055</v>
      </c>
      <c r="F37" s="18" t="n">
        <f aca="false">(D37-C37)*100</f>
        <v>7.88297154853501</v>
      </c>
      <c r="G37" s="18" t="n">
        <f aca="false">(D37-B37)*100</f>
        <v>-2.74751577657044</v>
      </c>
      <c r="H37" s="17" t="n">
        <f aca="false">'Base votos'!Q102/'Base votos'!R102</f>
        <v>0.0398331289736615</v>
      </c>
      <c r="I37" s="17" t="n">
        <f aca="false">'Base votos'!Q135/'Base votos'!R135</f>
        <v>0.0340442942325862</v>
      </c>
      <c r="J37" s="17" t="n">
        <f aca="false">'Base votos'!Q168/'Base votos'!R168</f>
        <v>0.0368252743714323</v>
      </c>
      <c r="K37" s="18" t="n">
        <f aca="false">(I37-H37)*100</f>
        <v>-0.57888347410753</v>
      </c>
      <c r="L37" s="18" t="n">
        <f aca="false">(J37-I37)*100</f>
        <v>0.27809801388461</v>
      </c>
      <c r="M37" s="18" t="n">
        <f aca="false">(J37-H37)*100</f>
        <v>-0.30078546022292</v>
      </c>
      <c r="N37" s="22" t="n">
        <f aca="false">'Base votos'!R102</f>
        <v>56300247</v>
      </c>
      <c r="O37" s="22" t="n">
        <f aca="false">'Base votos'!R135</f>
        <v>49151320</v>
      </c>
      <c r="P37" s="22" t="n">
        <f aca="false">'Base votos'!R168</f>
        <v>59466468</v>
      </c>
      <c r="Q37" s="23" t="n">
        <f aca="false">O37-N37</f>
        <v>-7148927</v>
      </c>
      <c r="R37" s="23" t="n">
        <f aca="false">P37-O37</f>
        <v>10315148</v>
      </c>
      <c r="S37" s="23" t="n">
        <f aca="false">P37-N37</f>
        <v>3166221</v>
      </c>
      <c r="T37" s="24" t="n">
        <f aca="false">O37/N37-1</f>
        <v>-0.126978608104508</v>
      </c>
      <c r="U37" s="24" t="n">
        <f aca="false">P37/O37-1</f>
        <v>0.209865126714806</v>
      </c>
      <c r="V37" s="24" t="n">
        <f aca="false">P37/N37-1</f>
        <v>0.0562381369303762</v>
      </c>
      <c r="W37" s="17" t="n">
        <f aca="false">'Base votos'!U102/'Base votos'!R102</f>
        <v>0.43584652479411</v>
      </c>
      <c r="X37" s="17" t="n">
        <f aca="false">'Base votos'!U135/'Base votos'!R135</f>
        <v>0.427775734202052</v>
      </c>
      <c r="Y37" s="17" t="n">
        <f aca="false">'Base votos'!U168/'Base votos'!R168</f>
        <v>0.54711544327805</v>
      </c>
      <c r="Z37" s="18" t="n">
        <f aca="false">(X37-W37)*100</f>
        <v>-0.807079059205773</v>
      </c>
      <c r="AA37" s="18" t="n">
        <f aca="false">(Y37-X37)*100</f>
        <v>11.9339709075998</v>
      </c>
      <c r="AB37" s="18" t="n">
        <f aca="false">(Y37-W37)*100</f>
        <v>11.1268918483941</v>
      </c>
      <c r="AC37" s="17" t="n">
        <f aca="false">'Base votos'!V102/'Base votos'!R102</f>
        <v>0.276193370874554</v>
      </c>
      <c r="AD37" s="17" t="n">
        <f aca="false">'Base votos'!V135/'Base votos'!R135</f>
        <v>0.396284107934436</v>
      </c>
      <c r="AE37" s="17" t="n">
        <f aca="false">'Base votos'!V168/'Base votos'!R168</f>
        <v>0.30475714481647</v>
      </c>
      <c r="AF37" s="18" t="n">
        <f aca="false">(AD37-AC37)*100</f>
        <v>12.0090737059882</v>
      </c>
      <c r="AG37" s="18" t="n">
        <f aca="false">(AE37-AD37)*100</f>
        <v>-9.15269631179656</v>
      </c>
      <c r="AH37" s="18" t="n">
        <f aca="false">(AE37-AC37)*100</f>
        <v>2.85637739419163</v>
      </c>
      <c r="AI37" s="17" t="n">
        <f aca="false">'Base votos'!W102/'Base votos'!R102</f>
        <v>0.237961726881944</v>
      </c>
      <c r="AJ37" s="17" t="n">
        <f aca="false">'Base votos'!W135/'Base votos'!R135</f>
        <v>0.0701910345439349</v>
      </c>
      <c r="AK37" s="17" t="n">
        <f aca="false">'Base votos'!W168/'Base votos'!R168</f>
        <v>0.109261643048987</v>
      </c>
      <c r="AL37" s="18" t="n">
        <f aca="false">(AJ37-AI37)*100</f>
        <v>-16.7770692338009</v>
      </c>
      <c r="AM37" s="18" t="n">
        <f aca="false">(AK37-AJ37)*100</f>
        <v>3.90706085050519</v>
      </c>
      <c r="AN37" s="18" t="n">
        <f aca="false">(AK37-AI37)*100</f>
        <v>-12.8700083832957</v>
      </c>
      <c r="AO37" s="25" t="n">
        <f aca="false">(MAX('Base votos'!U102:W102)-LARGE('Base votos'!U102:W102,2))/'Base votos'!R102*100</f>
        <v>15.9653153919556</v>
      </c>
      <c r="AP37" s="25" t="n">
        <f aca="false">(MAX('Base votos'!U135:W135)-LARGE('Base votos'!U135:W135,2))/'Base votos'!R135*100</f>
        <v>3.1491626267616</v>
      </c>
      <c r="AQ37" s="25" t="n">
        <f aca="false">(MAX('Base votos'!U168:W168)-LARGE('Base votos'!U168:W168,2))/'Base votos'!R168*100</f>
        <v>24.235829846158</v>
      </c>
      <c r="AR37" s="18" t="n">
        <f aca="false">(AP37-AO37)</f>
        <v>-12.816152765194</v>
      </c>
      <c r="AS37" s="18" t="n">
        <f aca="false">(AQ37-AP37)</f>
        <v>21.0866672193964</v>
      </c>
      <c r="AT37" s="18" t="n">
        <f aca="false">(AQ37-AO37)</f>
        <v>8.27051445420244</v>
      </c>
      <c r="AU37" s="26" t="s">
        <v>74</v>
      </c>
      <c r="AV37" s="26" t="s">
        <v>74</v>
      </c>
      <c r="AW37" s="26" t="s">
        <v>74</v>
      </c>
      <c r="AX37" s="26" t="s">
        <v>134</v>
      </c>
      <c r="AY37" s="26" t="s">
        <v>134</v>
      </c>
      <c r="AZ37" s="26" t="s">
        <v>134</v>
      </c>
    </row>
  </sheetData>
  <mergeCells count="8">
    <mergeCell ref="B3:G3"/>
    <mergeCell ref="H3:M3"/>
    <mergeCell ref="N3:V3"/>
    <mergeCell ref="W3:AB3"/>
    <mergeCell ref="AC3:AH3"/>
    <mergeCell ref="AI3:AN3"/>
    <mergeCell ref="AO3:AT3"/>
    <mergeCell ref="AU3:AZ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28" min="2" style="0" width="11"/>
  </cols>
  <sheetData>
    <row r="1" customFormat="false" ht="16.15" hidden="false" customHeight="false" outlineLevel="0" collapsed="false">
      <c r="A1" s="5" t="s">
        <v>156</v>
      </c>
    </row>
    <row r="2" customFormat="false" ht="15" hidden="false" customHeight="false" outlineLevel="0" collapsed="false">
      <c r="A2" s="2" t="s">
        <v>79</v>
      </c>
    </row>
    <row r="3" customFormat="false" ht="15" hidden="false" customHeight="true" outlineLevel="0" collapsed="false">
      <c r="A3" s="6"/>
      <c r="B3" s="6" t="s">
        <v>55</v>
      </c>
      <c r="C3" s="6"/>
      <c r="D3" s="6"/>
      <c r="E3" s="6" t="s">
        <v>56</v>
      </c>
      <c r="F3" s="6"/>
      <c r="G3" s="6"/>
      <c r="H3" s="6" t="s">
        <v>57</v>
      </c>
      <c r="I3" s="6"/>
      <c r="J3" s="6"/>
      <c r="K3" s="6" t="s">
        <v>59</v>
      </c>
      <c r="L3" s="6"/>
      <c r="M3" s="6"/>
      <c r="N3" s="6" t="s">
        <v>60</v>
      </c>
      <c r="O3" s="6"/>
      <c r="P3" s="6"/>
      <c r="Q3" s="6" t="s">
        <v>61</v>
      </c>
      <c r="R3" s="6"/>
      <c r="S3" s="6"/>
      <c r="T3" s="6" t="s">
        <v>62</v>
      </c>
      <c r="U3" s="6"/>
      <c r="V3" s="6"/>
      <c r="W3" s="6" t="s">
        <v>68</v>
      </c>
      <c r="X3" s="6"/>
      <c r="Y3" s="6"/>
      <c r="Z3" s="6" t="s">
        <v>69</v>
      </c>
      <c r="AA3" s="6"/>
      <c r="AB3" s="6"/>
    </row>
    <row r="4" customFormat="false" ht="48" hidden="false" customHeight="true" outlineLevel="0" collapsed="false">
      <c r="A4" s="6" t="s">
        <v>80</v>
      </c>
      <c r="B4" s="6" t="s">
        <v>43</v>
      </c>
      <c r="C4" s="6" t="s">
        <v>44</v>
      </c>
      <c r="D4" s="7" t="s">
        <v>81</v>
      </c>
      <c r="E4" s="6" t="s">
        <v>43</v>
      </c>
      <c r="F4" s="6" t="s">
        <v>44</v>
      </c>
      <c r="G4" s="7" t="s">
        <v>81</v>
      </c>
      <c r="H4" s="6" t="s">
        <v>43</v>
      </c>
      <c r="I4" s="6" t="s">
        <v>44</v>
      </c>
      <c r="J4" s="7" t="s">
        <v>81</v>
      </c>
      <c r="K4" s="6" t="s">
        <v>43</v>
      </c>
      <c r="L4" s="6" t="s">
        <v>44</v>
      </c>
      <c r="M4" s="7" t="s">
        <v>81</v>
      </c>
      <c r="N4" s="6" t="s">
        <v>43</v>
      </c>
      <c r="O4" s="6" t="s">
        <v>44</v>
      </c>
      <c r="P4" s="7" t="s">
        <v>81</v>
      </c>
      <c r="Q4" s="6" t="s">
        <v>43</v>
      </c>
      <c r="R4" s="6" t="s">
        <v>44</v>
      </c>
      <c r="S4" s="7" t="s">
        <v>81</v>
      </c>
      <c r="T4" s="6" t="s">
        <v>43</v>
      </c>
      <c r="U4" s="6" t="s">
        <v>44</v>
      </c>
      <c r="V4" s="7" t="s">
        <v>81</v>
      </c>
      <c r="W4" s="6" t="s">
        <v>43</v>
      </c>
      <c r="X4" s="6" t="s">
        <v>44</v>
      </c>
      <c r="Y4" s="7" t="s">
        <v>81</v>
      </c>
      <c r="Z4" s="6" t="s">
        <v>43</v>
      </c>
      <c r="AA4" s="6" t="s">
        <v>44</v>
      </c>
      <c r="AB4" s="7" t="s">
        <v>81</v>
      </c>
    </row>
    <row r="5" customFormat="false" ht="15" hidden="false" customHeight="false" outlineLevel="0" collapsed="false">
      <c r="A5" s="14" t="s">
        <v>82</v>
      </c>
      <c r="B5" s="11" t="n">
        <f aca="false">('Base votos'!D169)/'Base votos'!R169</f>
        <v>0.239573342271063</v>
      </c>
      <c r="C5" s="11" t="n">
        <f aca="false">('Base votos'!D202)/'Base votos'!R202</f>
        <v>0.30779614797692</v>
      </c>
      <c r="D5" s="12" t="n">
        <f aca="false">(C5-B5)*100</f>
        <v>6.82228057058575</v>
      </c>
      <c r="E5" s="11" t="n">
        <f aca="false">('Base votos'!E169)/'Base votos'!R169</f>
        <v>0.0269165903037521</v>
      </c>
      <c r="F5" s="11" t="n">
        <f aca="false">('Base votos'!E202)/'Base votos'!R202</f>
        <v>0.0267080221887124</v>
      </c>
      <c r="G5" s="12" t="n">
        <f aca="false">(F5-E5)*100</f>
        <v>-0.0208568115039651</v>
      </c>
      <c r="H5" s="11" t="n">
        <f aca="false">('Base votos'!F169)/'Base votos'!R169</f>
        <v>0.0330369144866095</v>
      </c>
      <c r="I5" s="11" t="n">
        <f aca="false">('Base votos'!F202)/'Base votos'!R202</f>
        <v>0.0368693207641441</v>
      </c>
      <c r="J5" s="12" t="n">
        <f aca="false">(I5-H5)*100</f>
        <v>0.383240627753465</v>
      </c>
      <c r="K5" s="11" t="n">
        <f aca="false">('Base votos'!H169)/'Base votos'!R169</f>
        <v>0.318549235360605</v>
      </c>
      <c r="L5" s="11" t="n">
        <f aca="false">('Base votos'!H202)/'Base votos'!R202</f>
        <v>0.434580620694014</v>
      </c>
      <c r="M5" s="12" t="n">
        <f aca="false">(L5-K5)*100</f>
        <v>11.6031385333409</v>
      </c>
      <c r="N5" s="11" t="n">
        <f aca="false">('Base votos'!I169)/'Base votos'!R169</f>
        <v>0.258230258255217</v>
      </c>
      <c r="O5" s="11" t="n">
        <f aca="false">('Base votos'!I202)/'Base votos'!R202</f>
        <v>0.0746521350465475</v>
      </c>
      <c r="P5" s="12" t="n">
        <f aca="false">(O5-N5)*100</f>
        <v>-18.357812320867</v>
      </c>
      <c r="Q5" s="11" t="n">
        <f aca="false">('Base votos'!J169)/'Base votos'!R169</f>
        <v>0.0200849322004286</v>
      </c>
      <c r="R5" s="11" t="n">
        <f aca="false">('Base votos'!J202)/'Base votos'!R202</f>
        <v>0.0257057377024509</v>
      </c>
      <c r="S5" s="12" t="n">
        <f aca="false">(R5-Q5)*100</f>
        <v>0.562080550202235</v>
      </c>
      <c r="T5" s="11" t="n">
        <f aca="false">('Base votos'!K169)/'Base votos'!R169</f>
        <v>0.0185285549759501</v>
      </c>
      <c r="U5" s="11" t="n">
        <f aca="false">('Base votos'!K202)/'Base votos'!R202</f>
        <v>0.0672493762058265</v>
      </c>
      <c r="V5" s="12" t="n">
        <f aca="false">(U5-T5)*100</f>
        <v>4.87208212298764</v>
      </c>
      <c r="W5" s="11" t="n">
        <f aca="false">('Base votos'!D169+'Base votos'!E169)/'Base votos'!R169</f>
        <v>0.266489932574815</v>
      </c>
      <c r="X5" s="11" t="n">
        <f aca="false">('Base votos'!D202+'Base votos'!E202)/'Base votos'!R202</f>
        <v>0.334504170165633</v>
      </c>
      <c r="Y5" s="12" t="n">
        <f aca="false">(X5-W5)*100</f>
        <v>6.80142375908179</v>
      </c>
      <c r="Z5" s="11" t="n">
        <f aca="false">('Base votos'!H169+'Base votos'!I169+'Base votos'!J169)/'Base votos'!R169</f>
        <v>0.596864425816251</v>
      </c>
      <c r="AA5" s="11" t="n">
        <f aca="false">('Base votos'!H202+'Base votos'!I202+'Base votos'!J202)/'Base votos'!R202</f>
        <v>0.534938493443013</v>
      </c>
      <c r="AB5" s="12" t="n">
        <f aca="false">(AA5-Z5)*100</f>
        <v>-6.19259323732384</v>
      </c>
    </row>
    <row r="6" customFormat="false" ht="15" hidden="false" customHeight="false" outlineLevel="0" collapsed="false">
      <c r="A6" s="14" t="s">
        <v>83</v>
      </c>
      <c r="B6" s="11" t="n">
        <f aca="false">('Base votos'!D170)/'Base votos'!R170</f>
        <v>0.498485451215368</v>
      </c>
      <c r="C6" s="11" t="n">
        <f aca="false">('Base votos'!D203)/'Base votos'!R203</f>
        <v>0.503635652828697</v>
      </c>
      <c r="D6" s="12" t="n">
        <f aca="false">(C6-B6)*100</f>
        <v>0.515020161332808</v>
      </c>
      <c r="E6" s="11" t="n">
        <f aca="false">('Base votos'!E170)/'Base votos'!R170</f>
        <v>0.0474696744928713</v>
      </c>
      <c r="F6" s="11" t="n">
        <f aca="false">('Base votos'!E203)/'Base votos'!R203</f>
        <v>0.0497481330648293</v>
      </c>
      <c r="G6" s="12" t="n">
        <f aca="false">(F6-E6)*100</f>
        <v>0.227845857195801</v>
      </c>
      <c r="H6" s="11" t="n">
        <f aca="false">('Base votos'!F170)/'Base votos'!R170</f>
        <v>0.0309981795026921</v>
      </c>
      <c r="I6" s="11" t="n">
        <f aca="false">('Base votos'!F203)/'Base votos'!R203</f>
        <v>0.103246506056426</v>
      </c>
      <c r="J6" s="12" t="n">
        <f aca="false">(I6-H6)*100</f>
        <v>7.22483265537336</v>
      </c>
      <c r="K6" s="11" t="n">
        <f aca="false">('Base votos'!H170)/'Base votos'!R170</f>
        <v>0.193340129119946</v>
      </c>
      <c r="L6" s="11" t="n">
        <f aca="false">('Base votos'!H203)/'Base votos'!R203</f>
        <v>0.150647689930522</v>
      </c>
      <c r="M6" s="12" t="n">
        <f aca="false">(L6-K6)*100</f>
        <v>-4.26924391894233</v>
      </c>
      <c r="N6" s="11" t="n">
        <f aca="false">('Base votos'!I170)/'Base votos'!R170</f>
        <v>0.103379522582178</v>
      </c>
      <c r="O6" s="11" t="n">
        <f aca="false">('Base votos'!I203)/'Base votos'!R203</f>
        <v>0.0437164222890843</v>
      </c>
      <c r="P6" s="12" t="n">
        <f aca="false">(O6-N6)*100</f>
        <v>-5.96631002930936</v>
      </c>
      <c r="Q6" s="11" t="n">
        <f aca="false">('Base votos'!J170)/'Base votos'!R170</f>
        <v>0.0162974565525472</v>
      </c>
      <c r="R6" s="11" t="n">
        <f aca="false">('Base votos'!J203)/'Base votos'!R203</f>
        <v>0.0108251105588962</v>
      </c>
      <c r="S6" s="12" t="n">
        <f aca="false">(R6-Q6)*100</f>
        <v>-0.547234599365101</v>
      </c>
      <c r="T6" s="11" t="n">
        <f aca="false">('Base votos'!K170)/'Base votos'!R170</f>
        <v>0.0265816088334176</v>
      </c>
      <c r="U6" s="11" t="n">
        <f aca="false">('Base votos'!K203)/'Base votos'!R203</f>
        <v>0.0829405167781831</v>
      </c>
      <c r="V6" s="12" t="n">
        <f aca="false">(U6-T6)*100</f>
        <v>5.63589079447656</v>
      </c>
      <c r="W6" s="11" t="n">
        <f aca="false">('Base votos'!D170+'Base votos'!E170)/'Base votos'!R170</f>
        <v>0.54595512570824</v>
      </c>
      <c r="X6" s="11" t="n">
        <f aca="false">('Base votos'!D203+'Base votos'!E203)/'Base votos'!R203</f>
        <v>0.553383785893526</v>
      </c>
      <c r="Y6" s="12" t="n">
        <f aca="false">(X6-W6)*100</f>
        <v>0.742866018528599</v>
      </c>
      <c r="Z6" s="11" t="n">
        <f aca="false">('Base votos'!H170+'Base votos'!I170+'Base votos'!J170)/'Base votos'!R170</f>
        <v>0.313017108254671</v>
      </c>
      <c r="AA6" s="11" t="n">
        <f aca="false">('Base votos'!H203+'Base votos'!I203+'Base votos'!J203)/'Base votos'!R203</f>
        <v>0.205189222778503</v>
      </c>
      <c r="AB6" s="12" t="n">
        <f aca="false">(AA6-Z6)*100</f>
        <v>-10.7827885476168</v>
      </c>
    </row>
    <row r="7" customFormat="false" ht="15" hidden="false" customHeight="false" outlineLevel="0" collapsed="false">
      <c r="A7" s="14" t="s">
        <v>84</v>
      </c>
      <c r="B7" s="11" t="n">
        <f aca="false">('Base votos'!D171)/'Base votos'!R171</f>
        <v>0.404208172996073</v>
      </c>
      <c r="C7" s="11" t="n">
        <f aca="false">('Base votos'!D204)/'Base votos'!R204</f>
        <v>0.415039460901569</v>
      </c>
      <c r="D7" s="12" t="n">
        <f aca="false">(C7-B7)*100</f>
        <v>1.08312879054966</v>
      </c>
      <c r="E7" s="11" t="n">
        <f aca="false">('Base votos'!E171)/'Base votos'!R171</f>
        <v>0.0656846936857621</v>
      </c>
      <c r="F7" s="11" t="n">
        <f aca="false">('Base votos'!E204)/'Base votos'!R204</f>
        <v>0.068860667357367</v>
      </c>
      <c r="G7" s="12" t="n">
        <f aca="false">(F7-E7)*100</f>
        <v>0.317597367160492</v>
      </c>
      <c r="H7" s="11" t="n">
        <f aca="false">('Base votos'!F171)/'Base votos'!R171</f>
        <v>0.0365849235162415</v>
      </c>
      <c r="I7" s="11" t="n">
        <f aca="false">('Base votos'!F204)/'Base votos'!R204</f>
        <v>0.05371026394339</v>
      </c>
      <c r="J7" s="12" t="n">
        <f aca="false">(I7-H7)*100</f>
        <v>1.71253404271485</v>
      </c>
      <c r="K7" s="11" t="n">
        <f aca="false">('Base votos'!H171)/'Base votos'!R171</f>
        <v>0.254801874256019</v>
      </c>
      <c r="L7" s="11" t="n">
        <f aca="false">('Base votos'!H204)/'Base votos'!R204</f>
        <v>0.283933587111885</v>
      </c>
      <c r="M7" s="12" t="n">
        <f aca="false">(L7-K7)*100</f>
        <v>2.9131712855866</v>
      </c>
      <c r="N7" s="11" t="n">
        <f aca="false">('Base votos'!I171)/'Base votos'!R171</f>
        <v>0.0806648926523493</v>
      </c>
      <c r="O7" s="11" t="n">
        <f aca="false">('Base votos'!I204)/'Base votos'!R204</f>
        <v>0.0465518304047054</v>
      </c>
      <c r="P7" s="12" t="n">
        <f aca="false">(O7-N7)*100</f>
        <v>-3.41130622476439</v>
      </c>
      <c r="Q7" s="11" t="n">
        <f aca="false">('Base votos'!J171)/'Base votos'!R171</f>
        <v>0.0116135286727537</v>
      </c>
      <c r="R7" s="11" t="n">
        <f aca="false">('Base votos'!J204)/'Base votos'!R204</f>
        <v>0.0145663409809314</v>
      </c>
      <c r="S7" s="12" t="n">
        <f aca="false">(R7-Q7)*100</f>
        <v>0.295281230817768</v>
      </c>
      <c r="T7" s="11" t="n">
        <f aca="false">('Base votos'!K171)/'Base votos'!R171</f>
        <v>0.0155935199016049</v>
      </c>
      <c r="U7" s="11" t="n">
        <f aca="false">('Base votos'!K204)/'Base votos'!R204</f>
        <v>0.0839758509261352</v>
      </c>
      <c r="V7" s="12" t="n">
        <f aca="false">(U7-T7)*100</f>
        <v>6.83823310245303</v>
      </c>
      <c r="W7" s="11" t="n">
        <f aca="false">('Base votos'!D171+'Base votos'!E171)/'Base votos'!R171</f>
        <v>0.469892866681835</v>
      </c>
      <c r="X7" s="11" t="n">
        <f aca="false">('Base votos'!D204+'Base votos'!E204)/'Base votos'!R204</f>
        <v>0.483900128258936</v>
      </c>
      <c r="Y7" s="12" t="n">
        <f aca="false">(X7-W7)*100</f>
        <v>1.40072615771015</v>
      </c>
      <c r="Z7" s="11" t="n">
        <f aca="false">('Base votos'!H171+'Base votos'!I171+'Base votos'!J171)/'Base votos'!R171</f>
        <v>0.347080295581122</v>
      </c>
      <c r="AA7" s="11" t="n">
        <f aca="false">('Base votos'!H204+'Base votos'!I204+'Base votos'!J204)/'Base votos'!R204</f>
        <v>0.345051758497521</v>
      </c>
      <c r="AB7" s="12" t="n">
        <f aca="false">(AA7-Z7)*100</f>
        <v>-0.202853708360018</v>
      </c>
    </row>
    <row r="8" customFormat="false" ht="15" hidden="false" customHeight="false" outlineLevel="0" collapsed="false">
      <c r="A8" s="14" t="s">
        <v>85</v>
      </c>
      <c r="B8" s="11" t="n">
        <f aca="false">('Base votos'!D172)/'Base votos'!R172</f>
        <v>0.398843443966854</v>
      </c>
      <c r="C8" s="11" t="n">
        <f aca="false">('Base votos'!D205)/'Base votos'!R205</f>
        <v>0.405998637581018</v>
      </c>
      <c r="D8" s="12" t="n">
        <f aca="false">(C8-B8)*100</f>
        <v>0.715519361416417</v>
      </c>
      <c r="E8" s="11" t="n">
        <f aca="false">('Base votos'!E172)/'Base votos'!R172</f>
        <v>0.0401626268445075</v>
      </c>
      <c r="F8" s="11" t="n">
        <f aca="false">('Base votos'!E205)/'Base votos'!R205</f>
        <v>0.0419332148428226</v>
      </c>
      <c r="G8" s="12" t="n">
        <f aca="false">(F8-E8)*100</f>
        <v>0.177058799831509</v>
      </c>
      <c r="H8" s="11" t="n">
        <f aca="false">('Base votos'!F172)/'Base votos'!R172</f>
        <v>0.024786192227589</v>
      </c>
      <c r="I8" s="11" t="n">
        <f aca="false">('Base votos'!F205)/'Base votos'!R205</f>
        <v>0.03825423980793</v>
      </c>
      <c r="J8" s="12" t="n">
        <f aca="false">(I8-H8)*100</f>
        <v>1.3468047580341</v>
      </c>
      <c r="K8" s="11" t="n">
        <f aca="false">('Base votos'!H172)/'Base votos'!R172</f>
        <v>0.156662383125803</v>
      </c>
      <c r="L8" s="11" t="n">
        <f aca="false">('Base votos'!H205)/'Base votos'!R205</f>
        <v>0.0450973996436409</v>
      </c>
      <c r="M8" s="12" t="n">
        <f aca="false">(L8-K8)*100</f>
        <v>-11.1564983482162</v>
      </c>
      <c r="N8" s="11" t="n">
        <f aca="false">('Base votos'!I172)/'Base votos'!R172</f>
        <v>0.257331501750343</v>
      </c>
      <c r="O8" s="11" t="n">
        <f aca="false">('Base votos'!I205)/'Base votos'!R205</f>
        <v>0.0946060190516765</v>
      </c>
      <c r="P8" s="12" t="n">
        <f aca="false">(O8-N8)*100</f>
        <v>-16.2725482698667</v>
      </c>
      <c r="Q8" s="11" t="n">
        <f aca="false">('Base votos'!J172)/'Base votos'!R172</f>
        <v>0.0214317366065494</v>
      </c>
      <c r="R8" s="11" t="n">
        <f aca="false">('Base votos'!J205)/'Base votos'!R205</f>
        <v>0.00638828053405049</v>
      </c>
      <c r="S8" s="12" t="n">
        <f aca="false">(R8-Q8)*100</f>
        <v>-1.50434560724989</v>
      </c>
      <c r="T8" s="11" t="n">
        <f aca="false">('Base votos'!K172)/'Base votos'!R172</f>
        <v>0.0204413524172464</v>
      </c>
      <c r="U8" s="11" t="n">
        <f aca="false">('Base votos'!K205)/'Base votos'!R205</f>
        <v>0.338348100268712</v>
      </c>
      <c r="V8" s="12" t="n">
        <f aca="false">(U8-T8)*100</f>
        <v>31.7906747851465</v>
      </c>
      <c r="W8" s="11" t="n">
        <f aca="false">('Base votos'!D172+'Base votos'!E172)/'Base votos'!R172</f>
        <v>0.439006070811362</v>
      </c>
      <c r="X8" s="11" t="n">
        <f aca="false">('Base votos'!D205+'Base votos'!E205)/'Base votos'!R205</f>
        <v>0.447931852423841</v>
      </c>
      <c r="Y8" s="12" t="n">
        <f aca="false">(X8-W8)*100</f>
        <v>0.892578161247926</v>
      </c>
      <c r="Z8" s="11" t="n">
        <f aca="false">('Base votos'!H172+'Base votos'!I172+'Base votos'!J172)/'Base votos'!R172</f>
        <v>0.435425621482696</v>
      </c>
      <c r="AA8" s="11" t="n">
        <f aca="false">('Base votos'!H205+'Base votos'!I205+'Base votos'!J205)/'Base votos'!R205</f>
        <v>0.146091699229368</v>
      </c>
      <c r="AB8" s="12" t="n">
        <f aca="false">(AA8-Z8)*100</f>
        <v>-28.9333922253328</v>
      </c>
    </row>
    <row r="9" customFormat="false" ht="15" hidden="false" customHeight="false" outlineLevel="0" collapsed="false">
      <c r="A9" s="14" t="s">
        <v>86</v>
      </c>
      <c r="B9" s="11" t="n">
        <f aca="false">('Base votos'!D173)/'Base votos'!R173</f>
        <v>0.322393931901153</v>
      </c>
      <c r="C9" s="11" t="n">
        <f aca="false">('Base votos'!D206)/'Base votos'!R206</f>
        <v>0.390224844321595</v>
      </c>
      <c r="D9" s="12" t="n">
        <f aca="false">(C9-B9)*100</f>
        <v>6.78309124204414</v>
      </c>
      <c r="E9" s="11" t="n">
        <f aca="false">('Base votos'!E173)/'Base votos'!R173</f>
        <v>0.0272962634357774</v>
      </c>
      <c r="F9" s="11" t="n">
        <f aca="false">('Base votos'!E206)/'Base votos'!R206</f>
        <v>0.0407320190654888</v>
      </c>
      <c r="G9" s="12" t="n">
        <f aca="false">(F9-E9)*100</f>
        <v>1.34357556297115</v>
      </c>
      <c r="H9" s="11" t="n">
        <f aca="false">('Base votos'!F173)/'Base votos'!R173</f>
        <v>0.0219837679810336</v>
      </c>
      <c r="I9" s="11" t="n">
        <f aca="false">('Base votos'!F206)/'Base votos'!R206</f>
        <v>0.0449864942293525</v>
      </c>
      <c r="J9" s="12" t="n">
        <f aca="false">(I9-H9)*100</f>
        <v>2.3002726248319</v>
      </c>
      <c r="K9" s="11" t="n">
        <f aca="false">('Base votos'!H173)/'Base votos'!R173</f>
        <v>0.252395531831338</v>
      </c>
      <c r="L9" s="11" t="n">
        <f aca="false">('Base votos'!H206)/'Base votos'!R206</f>
        <v>0.0584204859558875</v>
      </c>
      <c r="M9" s="12" t="n">
        <f aca="false">(L9-K9)*100</f>
        <v>-19.3975045875451</v>
      </c>
      <c r="N9" s="11" t="n">
        <f aca="false">('Base votos'!I173)/'Base votos'!R173</f>
        <v>0.286699489476823</v>
      </c>
      <c r="O9" s="11" t="n">
        <f aca="false">('Base votos'!I206)/'Base votos'!R206</f>
        <v>0.385323729229762</v>
      </c>
      <c r="P9" s="12" t="n">
        <f aca="false">(O9-N9)*100</f>
        <v>9.8624239752939</v>
      </c>
      <c r="Q9" s="11" t="n">
        <f aca="false">('Base votos'!J173)/'Base votos'!R173</f>
        <v>0.0147702645702733</v>
      </c>
      <c r="R9" s="11" t="n">
        <f aca="false">('Base votos'!J206)/'Base votos'!R206</f>
        <v>0.0172124593095372</v>
      </c>
      <c r="S9" s="12" t="n">
        <f aca="false">(R9-Q9)*100</f>
        <v>0.244219473926386</v>
      </c>
      <c r="T9" s="11" t="n">
        <f aca="false">('Base votos'!K173)/'Base votos'!R173</f>
        <v>0.0207089145200937</v>
      </c>
      <c r="U9" s="11" t="n">
        <f aca="false">('Base votos'!K206)/'Base votos'!R206</f>
        <v>0.0405494235648938</v>
      </c>
      <c r="V9" s="12" t="n">
        <f aca="false">(U9-T9)*100</f>
        <v>1.98405090448001</v>
      </c>
      <c r="W9" s="11" t="n">
        <f aca="false">('Base votos'!D173+'Base votos'!E173)/'Base votos'!R173</f>
        <v>0.349690195336931</v>
      </c>
      <c r="X9" s="11" t="n">
        <f aca="false">('Base votos'!D206+'Base votos'!E206)/'Base votos'!R206</f>
        <v>0.430956863387084</v>
      </c>
      <c r="Y9" s="12" t="n">
        <f aca="false">(X9-W9)*100</f>
        <v>8.12666680501528</v>
      </c>
      <c r="Z9" s="11" t="n">
        <f aca="false">('Base votos'!H173+'Base votos'!I173+'Base votos'!J173)/'Base votos'!R173</f>
        <v>0.553865285878434</v>
      </c>
      <c r="AA9" s="11" t="n">
        <f aca="false">('Base votos'!H206+'Base votos'!I206+'Base votos'!J206)/'Base votos'!R206</f>
        <v>0.460956674495186</v>
      </c>
      <c r="AB9" s="12" t="n">
        <f aca="false">(AA9-Z9)*100</f>
        <v>-9.2908611383248</v>
      </c>
    </row>
    <row r="10" customFormat="false" ht="15" hidden="false" customHeight="false" outlineLevel="0" collapsed="false">
      <c r="A10" s="14" t="s">
        <v>87</v>
      </c>
      <c r="B10" s="11" t="n">
        <f aca="false">('Base votos'!D174)/'Base votos'!R174</f>
        <v>0.370291800536948</v>
      </c>
      <c r="C10" s="11" t="n">
        <f aca="false">('Base votos'!D207)/'Base votos'!R207</f>
        <v>0.349738718711205</v>
      </c>
      <c r="D10" s="12" t="n">
        <f aca="false">(C10-B10)*100</f>
        <v>-2.05530818257434</v>
      </c>
      <c r="E10" s="11" t="n">
        <f aca="false">('Base votos'!E174)/'Base votos'!R174</f>
        <v>0.0508105570470783</v>
      </c>
      <c r="F10" s="11" t="n">
        <f aca="false">('Base votos'!E207)/'Base votos'!R207</f>
        <v>0.0363397522880157</v>
      </c>
      <c r="G10" s="12" t="n">
        <f aca="false">(F10-E10)*100</f>
        <v>-1.44708047590626</v>
      </c>
      <c r="H10" s="11" t="n">
        <f aca="false">('Base votos'!F174)/'Base votos'!R174</f>
        <v>0.0600619104206094</v>
      </c>
      <c r="I10" s="11" t="n">
        <f aca="false">('Base votos'!F207)/'Base votos'!R207</f>
        <v>0.0713427837283829</v>
      </c>
      <c r="J10" s="12" t="n">
        <f aca="false">(I10-H10)*100</f>
        <v>1.12808733077735</v>
      </c>
      <c r="K10" s="11" t="n">
        <f aca="false">('Base votos'!H174)/'Base votos'!R174</f>
        <v>0.147933629681792</v>
      </c>
      <c r="L10" s="11" t="n">
        <f aca="false">('Base votos'!H207)/'Base votos'!R207</f>
        <v>0.148910125010827</v>
      </c>
      <c r="M10" s="12" t="n">
        <f aca="false">(L10-K10)*100</f>
        <v>0.0976495329034405</v>
      </c>
      <c r="N10" s="11" t="n">
        <f aca="false">('Base votos'!I174)/'Base votos'!R174</f>
        <v>0.200355031321978</v>
      </c>
      <c r="O10" s="11" t="n">
        <f aca="false">('Base votos'!I207)/'Base votos'!R207</f>
        <v>0.155616825937581</v>
      </c>
      <c r="P10" s="12" t="n">
        <f aca="false">(O10-N10)*100</f>
        <v>-4.4738205384397</v>
      </c>
      <c r="Q10" s="11" t="n">
        <f aca="false">('Base votos'!J174)/'Base votos'!R174</f>
        <v>0.0148731716620454</v>
      </c>
      <c r="R10" s="11" t="n">
        <f aca="false">('Base votos'!J207)/'Base votos'!R207</f>
        <v>0.0224528683200046</v>
      </c>
      <c r="S10" s="12" t="n">
        <f aca="false">(R10-Q10)*100</f>
        <v>0.757969665795923</v>
      </c>
      <c r="T10" s="11" t="n">
        <f aca="false">('Base votos'!K174)/'Base votos'!R174</f>
        <v>0.0697035048340009</v>
      </c>
      <c r="U10" s="11" t="n">
        <f aca="false">('Base votos'!K207)/'Base votos'!R207</f>
        <v>0.184496347836129</v>
      </c>
      <c r="V10" s="12" t="n">
        <f aca="false">(U10-T10)*100</f>
        <v>11.4792843002128</v>
      </c>
      <c r="W10" s="11" t="n">
        <f aca="false">('Base votos'!D174+'Base votos'!E174)/'Base votos'!R174</f>
        <v>0.421102357584027</v>
      </c>
      <c r="X10" s="11" t="n">
        <f aca="false">('Base votos'!D207+'Base votos'!E207)/'Base votos'!R207</f>
        <v>0.386078470999221</v>
      </c>
      <c r="Y10" s="12" t="n">
        <f aca="false">(X10-W10)*100</f>
        <v>-3.5023886584806</v>
      </c>
      <c r="Z10" s="11" t="n">
        <f aca="false">('Base votos'!H174+'Base votos'!I174+'Base votos'!J174)/'Base votos'!R174</f>
        <v>0.363161832665816</v>
      </c>
      <c r="AA10" s="11" t="n">
        <f aca="false">('Base votos'!H207+'Base votos'!I207+'Base votos'!J207)/'Base votos'!R207</f>
        <v>0.326979819268412</v>
      </c>
      <c r="AB10" s="12" t="n">
        <f aca="false">(AA10-Z10)*100</f>
        <v>-3.61820133974033</v>
      </c>
    </row>
    <row r="11" customFormat="false" ht="15" hidden="false" customHeight="false" outlineLevel="0" collapsed="false">
      <c r="A11" s="14" t="s">
        <v>88</v>
      </c>
      <c r="B11" s="11" t="n">
        <f aca="false">('Base votos'!D175)/'Base votos'!R175</f>
        <v>0.412860837543606</v>
      </c>
      <c r="C11" s="11" t="n">
        <f aca="false">('Base votos'!D208)/'Base votos'!R208</f>
        <v>0.38306936690717</v>
      </c>
      <c r="D11" s="12" t="n">
        <f aca="false">(C11-B11)*100</f>
        <v>-2.97914706364352</v>
      </c>
      <c r="E11" s="11" t="n">
        <f aca="false">('Base votos'!E175)/'Base votos'!R175</f>
        <v>0.0473727154452938</v>
      </c>
      <c r="F11" s="11" t="n">
        <f aca="false">('Base votos'!E208)/'Base votos'!R208</f>
        <v>0.105409161841762</v>
      </c>
      <c r="G11" s="12" t="n">
        <f aca="false">(F11-E11)*100</f>
        <v>5.80364463964677</v>
      </c>
      <c r="H11" s="11" t="n">
        <f aca="false">('Base votos'!F175)/'Base votos'!R175</f>
        <v>0.143527789455704</v>
      </c>
      <c r="I11" s="11" t="n">
        <f aca="false">('Base votos'!F208)/'Base votos'!R208</f>
        <v>0.213056110013931</v>
      </c>
      <c r="J11" s="12" t="n">
        <f aca="false">(I11-H11)*100</f>
        <v>6.95283205582277</v>
      </c>
      <c r="K11" s="11" t="n">
        <f aca="false">('Base votos'!H175)/'Base votos'!R175</f>
        <v>0.0370831498724273</v>
      </c>
      <c r="L11" s="11" t="n">
        <f aca="false">('Base votos'!H208)/'Base votos'!R208</f>
        <v>0.0501823990873342</v>
      </c>
      <c r="M11" s="12" t="n">
        <f aca="false">(L11-K11)*100</f>
        <v>1.30992492149069</v>
      </c>
      <c r="N11" s="11" t="n">
        <f aca="false">('Base votos'!I175)/'Base votos'!R175</f>
        <v>0.124316426737116</v>
      </c>
      <c r="O11" s="11" t="n">
        <f aca="false">('Base votos'!I208)/'Base votos'!R208</f>
        <v>0.0959936392914327</v>
      </c>
      <c r="P11" s="12" t="n">
        <f aca="false">(O11-N11)*100</f>
        <v>-2.8322787445683</v>
      </c>
      <c r="Q11" s="11" t="n">
        <f aca="false">('Base votos'!J175)/'Base votos'!R175</f>
        <v>0.0340134446785558</v>
      </c>
      <c r="R11" s="11" t="n">
        <f aca="false">('Base votos'!J208)/'Base votos'!R208</f>
        <v>0.0159923717000473</v>
      </c>
      <c r="S11" s="12" t="n">
        <f aca="false">(R11-Q11)*100</f>
        <v>-1.80210729785085</v>
      </c>
      <c r="T11" s="11" t="n">
        <f aca="false">('Base votos'!K175)/'Base votos'!R175</f>
        <v>0.0283342413093429</v>
      </c>
      <c r="U11" s="11" t="n">
        <f aca="false">('Base votos'!K208)/'Base votos'!R208</f>
        <v>0.0567011502985543</v>
      </c>
      <c r="V11" s="12" t="n">
        <f aca="false">(U11-T11)*100</f>
        <v>2.83669089892115</v>
      </c>
      <c r="W11" s="11" t="n">
        <f aca="false">('Base votos'!D175+'Base votos'!E175)/'Base votos'!R175</f>
        <v>0.460233552988899</v>
      </c>
      <c r="X11" s="11" t="n">
        <f aca="false">('Base votos'!D208+'Base votos'!E208)/'Base votos'!R208</f>
        <v>0.488478528748932</v>
      </c>
      <c r="Y11" s="12" t="n">
        <f aca="false">(X11-W11)*100</f>
        <v>2.82449757600325</v>
      </c>
      <c r="Z11" s="11" t="n">
        <f aca="false">('Base votos'!H175+'Base votos'!I175+'Base votos'!J175)/'Base votos'!R175</f>
        <v>0.195413021288099</v>
      </c>
      <c r="AA11" s="11" t="n">
        <f aca="false">('Base votos'!H208+'Base votos'!I208+'Base votos'!J208)/'Base votos'!R208</f>
        <v>0.162168410078814</v>
      </c>
      <c r="AB11" s="12" t="n">
        <f aca="false">(AA11-Z11)*100</f>
        <v>-3.32446112092846</v>
      </c>
    </row>
    <row r="12" customFormat="false" ht="15" hidden="false" customHeight="false" outlineLevel="0" collapsed="false">
      <c r="A12" s="14" t="s">
        <v>89</v>
      </c>
      <c r="B12" s="11" t="n">
        <f aca="false">('Base votos'!D176)/'Base votos'!R176</f>
        <v>0.300186907658811</v>
      </c>
      <c r="C12" s="11" t="n">
        <f aca="false">('Base votos'!D209)/'Base votos'!R209</f>
        <v>0.432477868573374</v>
      </c>
      <c r="D12" s="12" t="n">
        <f aca="false">(C12-B12)*100</f>
        <v>13.2290960914563</v>
      </c>
      <c r="E12" s="11" t="n">
        <f aca="false">('Base votos'!E176)/'Base votos'!R176</f>
        <v>0.0349467960211749</v>
      </c>
      <c r="F12" s="11" t="n">
        <f aca="false">('Base votos'!E209)/'Base votos'!R209</f>
        <v>0.0437989445011917</v>
      </c>
      <c r="G12" s="12" t="n">
        <f aca="false">(F12-E12)*100</f>
        <v>0.885214848001683</v>
      </c>
      <c r="H12" s="11" t="n">
        <f aca="false">('Base votos'!F176)/'Base votos'!R176</f>
        <v>0.037903832607582</v>
      </c>
      <c r="I12" s="11" t="n">
        <f aca="false">('Base votos'!F209)/'Base votos'!R209</f>
        <v>0.0512020283087699</v>
      </c>
      <c r="J12" s="12" t="n">
        <f aca="false">(I12-H12)*100</f>
        <v>1.32981957011879</v>
      </c>
      <c r="K12" s="11" t="n">
        <f aca="false">('Base votos'!H176)/'Base votos'!R176</f>
        <v>0.25495885630123</v>
      </c>
      <c r="L12" s="11" t="n">
        <f aca="false">('Base votos'!H209)/'Base votos'!R209</f>
        <v>0.250480324918527</v>
      </c>
      <c r="M12" s="12" t="n">
        <f aca="false">(L12-K12)*100</f>
        <v>-0.447853138270232</v>
      </c>
      <c r="N12" s="11" t="n">
        <f aca="false">('Base votos'!I176)/'Base votos'!R176</f>
        <v>0.218541880122951</v>
      </c>
      <c r="O12" s="11" t="n">
        <f aca="false">('Base votos'!I209)/'Base votos'!R209</f>
        <v>0.0988922126562576</v>
      </c>
      <c r="P12" s="12" t="n">
        <f aca="false">(O12-N12)*100</f>
        <v>-11.9649667466693</v>
      </c>
      <c r="Q12" s="11" t="n">
        <f aca="false">('Base votos'!J176)/'Base votos'!R176</f>
        <v>0.0185440146857924</v>
      </c>
      <c r="R12" s="11" t="n">
        <f aca="false">('Base votos'!J209)/'Base votos'!R209</f>
        <v>0.0156744005058612</v>
      </c>
      <c r="S12" s="12" t="n">
        <f aca="false">(R12-Q12)*100</f>
        <v>-0.286961417993117</v>
      </c>
      <c r="T12" s="11" t="n">
        <f aca="false">('Base votos'!K176)/'Base votos'!R176</f>
        <v>0.0275838883196721</v>
      </c>
      <c r="U12" s="11" t="n">
        <f aca="false">('Base votos'!K209)/'Base votos'!R209</f>
        <v>0.0781792645556691</v>
      </c>
      <c r="V12" s="12" t="n">
        <f aca="false">(U12-T12)*100</f>
        <v>5.05953762359969</v>
      </c>
      <c r="W12" s="11" t="n">
        <f aca="false">('Base votos'!D176+'Base votos'!E176)/'Base votos'!R176</f>
        <v>0.335133703679986</v>
      </c>
      <c r="X12" s="11" t="n">
        <f aca="false">('Base votos'!D209+'Base votos'!E209)/'Base votos'!R209</f>
        <v>0.476276813074566</v>
      </c>
      <c r="Y12" s="12" t="n">
        <f aca="false">(X12-W12)*100</f>
        <v>14.114310939458</v>
      </c>
      <c r="Z12" s="11" t="n">
        <f aca="false">('Base votos'!H176+'Base votos'!I176+'Base votos'!J176)/'Base votos'!R176</f>
        <v>0.492044751109973</v>
      </c>
      <c r="AA12" s="11" t="n">
        <f aca="false">('Base votos'!H209+'Base votos'!I209+'Base votos'!J209)/'Base votos'!R209</f>
        <v>0.365046938080646</v>
      </c>
      <c r="AB12" s="12" t="n">
        <f aca="false">(AA12-Z12)*100</f>
        <v>-12.6997813029327</v>
      </c>
    </row>
    <row r="13" customFormat="false" ht="15" hidden="false" customHeight="false" outlineLevel="0" collapsed="false">
      <c r="A13" s="14" t="s">
        <v>90</v>
      </c>
      <c r="B13" s="11" t="n">
        <f aca="false">('Base votos'!D177)/'Base votos'!R177</f>
        <v>0.451657039288061</v>
      </c>
      <c r="C13" s="11" t="n">
        <f aca="false">('Base votos'!D210)/'Base votos'!R210</f>
        <v>0.410144984832827</v>
      </c>
      <c r="D13" s="12" t="n">
        <f aca="false">(C13-B13)*100</f>
        <v>-4.15120544552342</v>
      </c>
      <c r="E13" s="11" t="n">
        <f aca="false">('Base votos'!E177)/'Base votos'!R177</f>
        <v>0.0328766074850635</v>
      </c>
      <c r="F13" s="11" t="n">
        <f aca="false">('Base votos'!E210)/'Base votos'!R210</f>
        <v>0.048442826723921</v>
      </c>
      <c r="G13" s="12" t="n">
        <f aca="false">(F13-E13)*100</f>
        <v>1.55662192388575</v>
      </c>
      <c r="H13" s="11" t="n">
        <f aca="false">('Base votos'!F177)/'Base votos'!R177</f>
        <v>0.0453807993971781</v>
      </c>
      <c r="I13" s="11" t="n">
        <f aca="false">('Base votos'!F210)/'Base votos'!R210</f>
        <v>0.0836238354943522</v>
      </c>
      <c r="J13" s="12" t="n">
        <f aca="false">(I13-H13)*100</f>
        <v>3.82430360971741</v>
      </c>
      <c r="K13" s="11" t="n">
        <f aca="false">('Base votos'!H177)/'Base votos'!R177</f>
        <v>0.161277417508531</v>
      </c>
      <c r="L13" s="11" t="n">
        <f aca="false">('Base votos'!H210)/'Base votos'!R210</f>
        <v>0.246258653571455</v>
      </c>
      <c r="M13" s="12" t="n">
        <f aca="false">(L13-K13)*100</f>
        <v>8.4981236062924</v>
      </c>
      <c r="N13" s="11" t="n">
        <f aca="false">('Base votos'!I177)/'Base votos'!R177</f>
        <v>0.0967569112475611</v>
      </c>
      <c r="O13" s="11" t="n">
        <f aca="false">('Base votos'!I210)/'Base votos'!R210</f>
        <v>0.086881955795252</v>
      </c>
      <c r="P13" s="12" t="n">
        <f aca="false">(O13-N13)*100</f>
        <v>-0.98749554523091</v>
      </c>
      <c r="Q13" s="11" t="n">
        <f aca="false">('Base votos'!J177)/'Base votos'!R177</f>
        <v>0.0998582791697001</v>
      </c>
      <c r="R13" s="11" t="n">
        <f aca="false">('Base votos'!J210)/'Base votos'!R210</f>
        <v>0.0298132408162886</v>
      </c>
      <c r="S13" s="12" t="n">
        <f aca="false">(R13-Q13)*100</f>
        <v>-7.00450383534115</v>
      </c>
      <c r="T13" s="11" t="n">
        <f aca="false">('Base votos'!K177)/'Base votos'!R177</f>
        <v>0.0277039635615151</v>
      </c>
      <c r="U13" s="11" t="n">
        <f aca="false">('Base votos'!K210)/'Base votos'!R210</f>
        <v>0.0720820431650404</v>
      </c>
      <c r="V13" s="12" t="n">
        <f aca="false">(U13-T13)*100</f>
        <v>4.43780796035253</v>
      </c>
      <c r="W13" s="11" t="n">
        <f aca="false">('Base votos'!D177+'Base votos'!E177)/'Base votos'!R177</f>
        <v>0.484533646773124</v>
      </c>
      <c r="X13" s="11" t="n">
        <f aca="false">('Base votos'!D210+'Base votos'!E210)/'Base votos'!R210</f>
        <v>0.458587811556748</v>
      </c>
      <c r="Y13" s="12" t="n">
        <f aca="false">(X13-W13)*100</f>
        <v>-2.59458352163768</v>
      </c>
      <c r="Z13" s="11" t="n">
        <f aca="false">('Base votos'!H177+'Base votos'!I177+'Base votos'!J177)/'Base votos'!R177</f>
        <v>0.357892607925792</v>
      </c>
      <c r="AA13" s="11" t="n">
        <f aca="false">('Base votos'!H210+'Base votos'!I210+'Base votos'!J210)/'Base votos'!R210</f>
        <v>0.362953850182995</v>
      </c>
      <c r="AB13" s="12" t="n">
        <f aca="false">(AA13-Z13)*100</f>
        <v>0.506124225720339</v>
      </c>
    </row>
    <row r="14" customFormat="false" ht="15" hidden="false" customHeight="false" outlineLevel="0" collapsed="false">
      <c r="A14" s="14" t="s">
        <v>91</v>
      </c>
      <c r="B14" s="11" t="n">
        <f aca="false">('Base votos'!D178)/'Base votos'!R178</f>
        <v>0.285960075116963</v>
      </c>
      <c r="C14" s="11" t="n">
        <f aca="false">('Base votos'!D211)/'Base votos'!R211</f>
        <v>0.394940673651078</v>
      </c>
      <c r="D14" s="12" t="n">
        <f aca="false">(C14-B14)*100</f>
        <v>10.8980598534115</v>
      </c>
      <c r="E14" s="11" t="n">
        <f aca="false">('Base votos'!E178)/'Base votos'!R178</f>
        <v>0.08146309824908</v>
      </c>
      <c r="F14" s="11" t="n">
        <f aca="false">('Base votos'!E211)/'Base votos'!R211</f>
        <v>0.0592286288850144</v>
      </c>
      <c r="G14" s="12" t="n">
        <f aca="false">(F14-E14)*100</f>
        <v>-2.22344693640657</v>
      </c>
      <c r="H14" s="11" t="n">
        <f aca="false">('Base votos'!F178)/'Base votos'!R178</f>
        <v>0.0363006523886543</v>
      </c>
      <c r="I14" s="11" t="n">
        <f aca="false">('Base votos'!F211)/'Base votos'!R211</f>
        <v>0.0522506467523517</v>
      </c>
      <c r="J14" s="12" t="n">
        <f aca="false">(I14-H14)*100</f>
        <v>1.59499943636974</v>
      </c>
      <c r="K14" s="11" t="n">
        <f aca="false">('Base votos'!H178)/'Base votos'!R178</f>
        <v>0.248017596040077</v>
      </c>
      <c r="L14" s="11" t="n">
        <f aca="false">('Base votos'!H211)/'Base votos'!R211</f>
        <v>0.136620326796377</v>
      </c>
      <c r="M14" s="12" t="n">
        <f aca="false">(L14-K14)*100</f>
        <v>-11.13972692437</v>
      </c>
      <c r="N14" s="11" t="n">
        <f aca="false">('Base votos'!I178)/'Base votos'!R178</f>
        <v>0.213748195347525</v>
      </c>
      <c r="O14" s="11" t="n">
        <f aca="false">('Base votos'!I211)/'Base votos'!R211</f>
        <v>0.244400384708357</v>
      </c>
      <c r="P14" s="12" t="n">
        <f aca="false">(O14-N14)*100</f>
        <v>3.06521893608326</v>
      </c>
      <c r="Q14" s="11" t="n">
        <f aca="false">('Base votos'!J178)/'Base votos'!R178</f>
        <v>0.0187358205876925</v>
      </c>
      <c r="R14" s="11" t="n">
        <f aca="false">('Base votos'!J211)/'Base votos'!R211</f>
        <v>0.0219870083782074</v>
      </c>
      <c r="S14" s="12" t="n">
        <f aca="false">(R14-Q14)*100</f>
        <v>0.325118779051486</v>
      </c>
      <c r="T14" s="11" t="n">
        <f aca="false">('Base votos'!K178)/'Base votos'!R178</f>
        <v>0.0381758627052962</v>
      </c>
      <c r="U14" s="11" t="n">
        <f aca="false">('Base votos'!K211)/'Base votos'!R211</f>
        <v>0.0636170300309104</v>
      </c>
      <c r="V14" s="12" t="n">
        <f aca="false">(U14-T14)*100</f>
        <v>2.54411673256142</v>
      </c>
      <c r="W14" s="11" t="n">
        <f aca="false">('Base votos'!D178+'Base votos'!E178)/'Base votos'!R178</f>
        <v>0.367423173366043</v>
      </c>
      <c r="X14" s="11" t="n">
        <f aca="false">('Base votos'!D211+'Base votos'!E211)/'Base votos'!R211</f>
        <v>0.454169302536092</v>
      </c>
      <c r="Y14" s="12" t="n">
        <f aca="false">(X14-W14)*100</f>
        <v>8.67461291700489</v>
      </c>
      <c r="Z14" s="11" t="n">
        <f aca="false">('Base votos'!H178+'Base votos'!I178+'Base votos'!J178)/'Base votos'!R178</f>
        <v>0.480501611975294</v>
      </c>
      <c r="AA14" s="11" t="n">
        <f aca="false">('Base votos'!H211+'Base votos'!I211+'Base votos'!J211)/'Base votos'!R211</f>
        <v>0.403007719882942</v>
      </c>
      <c r="AB14" s="12" t="n">
        <f aca="false">(AA14-Z14)*100</f>
        <v>-7.74938920923522</v>
      </c>
    </row>
    <row r="15" customFormat="false" ht="15" hidden="false" customHeight="false" outlineLevel="0" collapsed="false">
      <c r="A15" s="14" t="s">
        <v>92</v>
      </c>
      <c r="B15" s="11" t="n">
        <f aca="false">('Base votos'!D179)/'Base votos'!R179</f>
        <v>0.215377240050906</v>
      </c>
      <c r="C15" s="11" t="n">
        <f aca="false">('Base votos'!D212)/'Base votos'!R212</f>
        <v>0.352725712873159</v>
      </c>
      <c r="D15" s="12" t="n">
        <f aca="false">(C15-B15)*100</f>
        <v>13.7348472822252</v>
      </c>
      <c r="E15" s="11" t="n">
        <f aca="false">('Base votos'!E179)/'Base votos'!R179</f>
        <v>0.0238189213359474</v>
      </c>
      <c r="F15" s="11" t="n">
        <f aca="false">('Base votos'!E212)/'Base votos'!R212</f>
        <v>0.0253322621453811</v>
      </c>
      <c r="G15" s="12" t="n">
        <f aca="false">(F15-E15)*100</f>
        <v>0.151334080943361</v>
      </c>
      <c r="H15" s="11" t="n">
        <f aca="false">('Base votos'!F179)/'Base votos'!R179</f>
        <v>0.0821217280638393</v>
      </c>
      <c r="I15" s="11" t="n">
        <f aca="false">('Base votos'!F212)/'Base votos'!R212</f>
        <v>0.0545531546727545</v>
      </c>
      <c r="J15" s="12" t="n">
        <f aca="false">(I15-H15)*100</f>
        <v>-2.75685733910848</v>
      </c>
      <c r="K15" s="11" t="n">
        <f aca="false">('Base votos'!H179)/'Base votos'!R179</f>
        <v>0.381688336257008</v>
      </c>
      <c r="L15" s="11" t="n">
        <f aca="false">('Base votos'!H212)/'Base votos'!R212</f>
        <v>0.393854604411743</v>
      </c>
      <c r="M15" s="12" t="n">
        <f aca="false">(L15-K15)*100</f>
        <v>1.21662681547351</v>
      </c>
      <c r="N15" s="11" t="n">
        <f aca="false">('Base votos'!I179)/'Base votos'!R179</f>
        <v>0.139331166374299</v>
      </c>
      <c r="O15" s="11" t="n">
        <f aca="false">('Base votos'!I212)/'Base votos'!R212</f>
        <v>0.0595483561384886</v>
      </c>
      <c r="P15" s="12" t="n">
        <f aca="false">(O15-N15)*100</f>
        <v>-7.97828102358106</v>
      </c>
      <c r="Q15" s="11" t="n">
        <f aca="false">('Base votos'!J179)/'Base votos'!R179</f>
        <v>0.0287913184053933</v>
      </c>
      <c r="R15" s="11" t="n">
        <f aca="false">('Base votos'!J212)/'Base votos'!R212</f>
        <v>0.00982172718151547</v>
      </c>
      <c r="S15" s="12" t="n">
        <f aca="false">(R15-Q15)*100</f>
        <v>-1.89695912238779</v>
      </c>
      <c r="T15" s="11" t="n">
        <f aca="false">('Base votos'!K179)/'Base votos'!R179</f>
        <v>0.0291279709696282</v>
      </c>
      <c r="U15" s="11" t="n">
        <f aca="false">('Base votos'!K212)/'Base votos'!R212</f>
        <v>0.0714138226868884</v>
      </c>
      <c r="V15" s="12" t="n">
        <f aca="false">(U15-T15)*100</f>
        <v>4.22858517172602</v>
      </c>
      <c r="W15" s="11" t="n">
        <f aca="false">('Base votos'!D179+'Base votos'!E179)/'Base votos'!R179</f>
        <v>0.239196161386854</v>
      </c>
      <c r="X15" s="11" t="n">
        <f aca="false">('Base votos'!D212+'Base votos'!E212)/'Base votos'!R212</f>
        <v>0.37805797501854</v>
      </c>
      <c r="Y15" s="12" t="n">
        <f aca="false">(X15-W15)*100</f>
        <v>13.8861813631686</v>
      </c>
      <c r="Z15" s="11" t="n">
        <f aca="false">('Base votos'!H179+'Base votos'!I179+'Base votos'!J179)/'Base votos'!R179</f>
        <v>0.549810821036701</v>
      </c>
      <c r="AA15" s="11" t="n">
        <f aca="false">('Base votos'!H212+'Base votos'!I212+'Base votos'!J212)/'Base votos'!R212</f>
        <v>0.463224687731747</v>
      </c>
      <c r="AB15" s="12" t="n">
        <f aca="false">(AA15-Z15)*100</f>
        <v>-8.65861333049534</v>
      </c>
    </row>
    <row r="16" customFormat="false" ht="15" hidden="false" customHeight="false" outlineLevel="0" collapsed="false">
      <c r="A16" s="14" t="s">
        <v>93</v>
      </c>
      <c r="B16" s="11" t="n">
        <f aca="false">('Base votos'!D180)/'Base votos'!R180</f>
        <v>0.400561578852969</v>
      </c>
      <c r="C16" s="11" t="n">
        <f aca="false">('Base votos'!D213)/'Base votos'!R213</f>
        <v>0.435585026037132</v>
      </c>
      <c r="D16" s="12" t="n">
        <f aca="false">(C16-B16)*100</f>
        <v>3.50234471841628</v>
      </c>
      <c r="E16" s="11" t="n">
        <f aca="false">('Base votos'!E180)/'Base votos'!R180</f>
        <v>0.0580225992194796</v>
      </c>
      <c r="F16" s="11" t="n">
        <f aca="false">('Base votos'!E213)/'Base votos'!R213</f>
        <v>0.0619454129629701</v>
      </c>
      <c r="G16" s="12" t="n">
        <f aca="false">(F16-E16)*100</f>
        <v>0.392281374349052</v>
      </c>
      <c r="H16" s="11" t="n">
        <f aca="false">('Base votos'!F180)/'Base votos'!R180</f>
        <v>0.0410645259049893</v>
      </c>
      <c r="I16" s="11" t="n">
        <f aca="false">('Base votos'!F213)/'Base votos'!R213</f>
        <v>0.0915562813532343</v>
      </c>
      <c r="J16" s="12" t="n">
        <f aca="false">(I16-H16)*100</f>
        <v>5.0491755448245</v>
      </c>
      <c r="K16" s="11" t="n">
        <f aca="false">('Base votos'!H180)/'Base votos'!R180</f>
        <v>0.0475171164039162</v>
      </c>
      <c r="L16" s="11" t="n">
        <f aca="false">('Base votos'!H213)/'Base votos'!R213</f>
        <v>0.034880856097281</v>
      </c>
      <c r="M16" s="12" t="n">
        <f aca="false">(L16-K16)*100</f>
        <v>-1.26362603066352</v>
      </c>
      <c r="N16" s="11" t="n">
        <f aca="false">('Base votos'!I180)/'Base votos'!R180</f>
        <v>0.173725160340658</v>
      </c>
      <c r="O16" s="11" t="n">
        <f aca="false">('Base votos'!I213)/'Base votos'!R213</f>
        <v>0.115286382651028</v>
      </c>
      <c r="P16" s="12" t="n">
        <f aca="false">(O16-N16)*100</f>
        <v>-5.84387776896306</v>
      </c>
      <c r="Q16" s="11" t="n">
        <f aca="false">('Base votos'!J180)/'Base votos'!R180</f>
        <v>0.13770432997087</v>
      </c>
      <c r="R16" s="11" t="n">
        <f aca="false">('Base votos'!J213)/'Base votos'!R213</f>
        <v>0.0552049110016395</v>
      </c>
      <c r="S16" s="12" t="n">
        <f aca="false">(R16-Q16)*100</f>
        <v>-8.24994189692302</v>
      </c>
      <c r="T16" s="11" t="n">
        <f aca="false">('Base votos'!K180)/'Base votos'!R180</f>
        <v>0.0386054537470545</v>
      </c>
      <c r="U16" s="11" t="n">
        <f aca="false">('Base votos'!K213)/'Base votos'!R213</f>
        <v>0.127291712620237</v>
      </c>
      <c r="V16" s="12" t="n">
        <f aca="false">(U16-T16)*100</f>
        <v>8.86862588731826</v>
      </c>
      <c r="W16" s="11" t="n">
        <f aca="false">('Base votos'!D180+'Base votos'!E180)/'Base votos'!R180</f>
        <v>0.458584178072449</v>
      </c>
      <c r="X16" s="11" t="n">
        <f aca="false">('Base votos'!D213+'Base votos'!E213)/'Base votos'!R213</f>
        <v>0.497530439000102</v>
      </c>
      <c r="Y16" s="12" t="n">
        <f aca="false">(X16-W16)*100</f>
        <v>3.89462609276533</v>
      </c>
      <c r="Z16" s="11" t="n">
        <f aca="false">('Base votos'!H180+'Base votos'!I180+'Base votos'!J180)/'Base votos'!R180</f>
        <v>0.358946606715444</v>
      </c>
      <c r="AA16" s="11" t="n">
        <f aca="false">('Base votos'!H213+'Base votos'!I213+'Base votos'!J213)/'Base votos'!R213</f>
        <v>0.205372149749948</v>
      </c>
      <c r="AB16" s="12" t="n">
        <f aca="false">(AA16-Z16)*100</f>
        <v>-15.3574456965496</v>
      </c>
    </row>
    <row r="17" customFormat="false" ht="15" hidden="false" customHeight="false" outlineLevel="0" collapsed="false">
      <c r="A17" s="14" t="s">
        <v>94</v>
      </c>
      <c r="B17" s="11" t="n">
        <f aca="false">('Base votos'!D181)/'Base votos'!R181</f>
        <v>0.477295728936406</v>
      </c>
      <c r="C17" s="11" t="n">
        <f aca="false">('Base votos'!D214)/'Base votos'!R214</f>
        <v>0.467422251989925</v>
      </c>
      <c r="D17" s="12" t="n">
        <f aca="false">(C17-B17)*100</f>
        <v>-0.987347694648078</v>
      </c>
      <c r="E17" s="11" t="n">
        <f aca="false">('Base votos'!E181)/'Base votos'!R181</f>
        <v>0.0368947988612026</v>
      </c>
      <c r="F17" s="11" t="n">
        <f aca="false">('Base votos'!E214)/'Base votos'!R214</f>
        <v>0.105710399329709</v>
      </c>
      <c r="G17" s="12" t="n">
        <f aca="false">(F17-E17)*100</f>
        <v>6.88156004685069</v>
      </c>
      <c r="H17" s="11" t="n">
        <f aca="false">('Base votos'!F181)/'Base votos'!R181</f>
        <v>0.0256258081533535</v>
      </c>
      <c r="I17" s="11" t="n">
        <f aca="false">('Base votos'!F214)/'Base votos'!R214</f>
        <v>0.0801141976426048</v>
      </c>
      <c r="J17" s="12" t="n">
        <f aca="false">(I17-H17)*100</f>
        <v>5.44883894892514</v>
      </c>
      <c r="K17" s="11" t="n">
        <f aca="false">('Base votos'!H181)/'Base votos'!R181</f>
        <v>0.0983854135308166</v>
      </c>
      <c r="L17" s="11" t="n">
        <f aca="false">('Base votos'!H214)/'Base votos'!R214</f>
        <v>0.0729846029718281</v>
      </c>
      <c r="M17" s="12" t="n">
        <f aca="false">(L17-K17)*100</f>
        <v>-2.54008105589885</v>
      </c>
      <c r="N17" s="11" t="n">
        <f aca="false">('Base votos'!I181)/'Base votos'!R181</f>
        <v>0.194819073996026</v>
      </c>
      <c r="O17" s="11" t="n">
        <f aca="false">('Base votos'!I214)/'Base votos'!R214</f>
        <v>0.117737872965467</v>
      </c>
      <c r="P17" s="12" t="n">
        <f aca="false">(O17-N17)*100</f>
        <v>-7.70812010305597</v>
      </c>
      <c r="Q17" s="11" t="n">
        <f aca="false">('Base votos'!J181)/'Base votos'!R181</f>
        <v>0.028985289100287</v>
      </c>
      <c r="R17" s="11" t="n">
        <f aca="false">('Base votos'!J214)/'Base votos'!R214</f>
        <v>0.014753114833798</v>
      </c>
      <c r="S17" s="12" t="n">
        <f aca="false">(R17-Q17)*100</f>
        <v>-1.4232174266489</v>
      </c>
      <c r="T17" s="11" t="n">
        <f aca="false">('Base votos'!K181)/'Base votos'!R181</f>
        <v>0.0178904724632944</v>
      </c>
      <c r="U17" s="11" t="n">
        <f aca="false">('Base votos'!K214)/'Base votos'!R214</f>
        <v>0.0892169082850183</v>
      </c>
      <c r="V17" s="12" t="n">
        <f aca="false">(U17-T17)*100</f>
        <v>7.13264358217239</v>
      </c>
      <c r="W17" s="11" t="n">
        <f aca="false">('Base votos'!D181+'Base votos'!E181)/'Base votos'!R181</f>
        <v>0.514190527797608</v>
      </c>
      <c r="X17" s="11" t="n">
        <f aca="false">('Base votos'!D214+'Base votos'!E214)/'Base votos'!R214</f>
        <v>0.573132651319634</v>
      </c>
      <c r="Y17" s="12" t="n">
        <f aca="false">(X17-W17)*100</f>
        <v>5.89421235220261</v>
      </c>
      <c r="Z17" s="11" t="n">
        <f aca="false">('Base votos'!H181+'Base votos'!I181+'Base votos'!J181)/'Base votos'!R181</f>
        <v>0.32218977662713</v>
      </c>
      <c r="AA17" s="11" t="n">
        <f aca="false">('Base votos'!H214+'Base votos'!I214+'Base votos'!J214)/'Base votos'!R214</f>
        <v>0.205475590771093</v>
      </c>
      <c r="AB17" s="12" t="n">
        <f aca="false">(AA17-Z17)*100</f>
        <v>-11.6714185856037</v>
      </c>
    </row>
    <row r="18" customFormat="false" ht="15" hidden="false" customHeight="false" outlineLevel="0" collapsed="false">
      <c r="A18" s="14" t="s">
        <v>95</v>
      </c>
      <c r="B18" s="11" t="n">
        <f aca="false">('Base votos'!D182)/'Base votos'!R182</f>
        <v>0.206434064823156</v>
      </c>
      <c r="C18" s="11" t="n">
        <f aca="false">('Base votos'!D215)/'Base votos'!R215</f>
        <v>0.313654238573592</v>
      </c>
      <c r="D18" s="12" t="n">
        <f aca="false">(C18-B18)*100</f>
        <v>10.7220173750436</v>
      </c>
      <c r="E18" s="11" t="n">
        <f aca="false">('Base votos'!E182)/'Base votos'!R182</f>
        <v>0.0210235952592182</v>
      </c>
      <c r="F18" s="11" t="n">
        <f aca="false">('Base votos'!E215)/'Base votos'!R215</f>
        <v>0.0292328103314924</v>
      </c>
      <c r="G18" s="12" t="n">
        <f aca="false">(F18-E18)*100</f>
        <v>0.820921507227418</v>
      </c>
      <c r="H18" s="11" t="n">
        <f aca="false">('Base votos'!F182)/'Base votos'!R182</f>
        <v>0.0343347651724039</v>
      </c>
      <c r="I18" s="11" t="n">
        <f aca="false">('Base votos'!F215)/'Base votos'!R215</f>
        <v>0.0607113495043078</v>
      </c>
      <c r="J18" s="12" t="n">
        <f aca="false">(I18-H18)*100</f>
        <v>2.6376584331904</v>
      </c>
      <c r="K18" s="11" t="n">
        <f aca="false">('Base votos'!H182)/'Base votos'!R182</f>
        <v>0.12941047640802</v>
      </c>
      <c r="L18" s="11" t="n">
        <f aca="false">('Base votos'!H215)/'Base votos'!R215</f>
        <v>0.194169549160222</v>
      </c>
      <c r="M18" s="12" t="n">
        <f aca="false">(L18-K18)*100</f>
        <v>6.47590727522015</v>
      </c>
      <c r="N18" s="11" t="n">
        <f aca="false">('Base votos'!I182)/'Base votos'!R182</f>
        <v>0.121283984077242</v>
      </c>
      <c r="O18" s="11" t="n">
        <f aca="false">('Base votos'!I215)/'Base votos'!R215</f>
        <v>0.0907722561571047</v>
      </c>
      <c r="P18" s="12" t="n">
        <f aca="false">(O18-N18)*100</f>
        <v>-3.05117279201377</v>
      </c>
      <c r="Q18" s="11" t="n">
        <f aca="false">('Base votos'!J182)/'Base votos'!R182</f>
        <v>0.0125340813915388</v>
      </c>
      <c r="R18" s="11" t="n">
        <f aca="false">('Base votos'!J215)/'Base votos'!R215</f>
        <v>0.0109566701254863</v>
      </c>
      <c r="S18" s="12" t="n">
        <f aca="false">(R18-Q18)*100</f>
        <v>-0.157741126605258</v>
      </c>
      <c r="T18" s="11" t="n">
        <f aca="false">('Base votos'!K182)/'Base votos'!R182</f>
        <v>0.188470059563479</v>
      </c>
      <c r="U18" s="11" t="n">
        <f aca="false">('Base votos'!K215)/'Base votos'!R215</f>
        <v>0.272619307258703</v>
      </c>
      <c r="V18" s="12" t="n">
        <f aca="false">(U18-T18)*100</f>
        <v>8.41492476952246</v>
      </c>
      <c r="W18" s="11" t="n">
        <f aca="false">('Base votos'!D182+'Base votos'!E182)/'Base votos'!R182</f>
        <v>0.227457660082374</v>
      </c>
      <c r="X18" s="11" t="n">
        <f aca="false">('Base votos'!D215+'Base votos'!E215)/'Base votos'!R215</f>
        <v>0.342887048905084</v>
      </c>
      <c r="Y18" s="12" t="n">
        <f aca="false">(X18-W18)*100</f>
        <v>11.542938882271</v>
      </c>
      <c r="Z18" s="11" t="n">
        <f aca="false">('Base votos'!H182+'Base votos'!I182+'Base votos'!J182)/'Base votos'!R182</f>
        <v>0.263228541876801</v>
      </c>
      <c r="AA18" s="11" t="n">
        <f aca="false">('Base votos'!H215+'Base votos'!I215+'Base votos'!J215)/'Base votos'!R215</f>
        <v>0.295898475442813</v>
      </c>
      <c r="AB18" s="12" t="n">
        <f aca="false">(AA18-Z18)*100</f>
        <v>3.26699335660113</v>
      </c>
    </row>
    <row r="19" customFormat="false" ht="15" hidden="false" customHeight="false" outlineLevel="0" collapsed="false">
      <c r="A19" s="14" t="s">
        <v>96</v>
      </c>
      <c r="B19" s="11" t="n">
        <f aca="false">('Base votos'!D183)/'Base votos'!R183</f>
        <v>0.42275301602706</v>
      </c>
      <c r="C19" s="11" t="n">
        <f aca="false">('Base votos'!D216)/'Base votos'!R216</f>
        <v>0.450024739669987</v>
      </c>
      <c r="D19" s="12" t="n">
        <f aca="false">(C19-B19)*100</f>
        <v>2.72717236429266</v>
      </c>
      <c r="E19" s="11" t="n">
        <f aca="false">('Base votos'!E183)/'Base votos'!R183</f>
        <v>0.0325510427047705</v>
      </c>
      <c r="F19" s="11" t="n">
        <f aca="false">('Base votos'!E216)/'Base votos'!R216</f>
        <v>0.0432743151927672</v>
      </c>
      <c r="G19" s="12" t="n">
        <f aca="false">(F19-E19)*100</f>
        <v>1.07232724879966</v>
      </c>
      <c r="H19" s="11" t="n">
        <f aca="false">('Base votos'!F183)/'Base votos'!R183</f>
        <v>0.0398906571335742</v>
      </c>
      <c r="I19" s="11" t="n">
        <f aca="false">('Base votos'!F216)/'Base votos'!R216</f>
        <v>0.06980252511898</v>
      </c>
      <c r="J19" s="12" t="n">
        <f aca="false">(I19-H19)*100</f>
        <v>2.99118679854057</v>
      </c>
      <c r="K19" s="11" t="n">
        <f aca="false">('Base votos'!H183)/'Base votos'!R183</f>
        <v>0.147961510992829</v>
      </c>
      <c r="L19" s="11" t="n">
        <f aca="false">('Base votos'!H216)/'Base votos'!R216</f>
        <v>0.128034761519902</v>
      </c>
      <c r="M19" s="12" t="n">
        <f aca="false">(L19-K19)*100</f>
        <v>-1.99267494729267</v>
      </c>
      <c r="N19" s="11" t="n">
        <f aca="false">('Base votos'!I183)/'Base votos'!R183</f>
        <v>0.179480674830384</v>
      </c>
      <c r="O19" s="11" t="n">
        <f aca="false">('Base votos'!I216)/'Base votos'!R216</f>
        <v>0.162361513306218</v>
      </c>
      <c r="P19" s="12" t="n">
        <f aca="false">(O19-N19)*100</f>
        <v>-1.71191615241663</v>
      </c>
      <c r="Q19" s="11" t="n">
        <f aca="false">('Base votos'!J183)/'Base votos'!R183</f>
        <v>0.0743497186880944</v>
      </c>
      <c r="R19" s="11" t="n">
        <f aca="false">('Base votos'!J216)/'Base votos'!R216</f>
        <v>0.0184766365816621</v>
      </c>
      <c r="S19" s="12" t="n">
        <f aca="false">(R19-Q19)*100</f>
        <v>-5.58730821064323</v>
      </c>
      <c r="T19" s="11" t="n">
        <f aca="false">('Base votos'!K183)/'Base votos'!R183</f>
        <v>0.0249014420202652</v>
      </c>
      <c r="U19" s="11" t="n">
        <f aca="false">('Base votos'!K216)/'Base votos'!R216</f>
        <v>0.0996796951190073</v>
      </c>
      <c r="V19" s="12" t="n">
        <f aca="false">(U19-T19)*100</f>
        <v>7.47782530987421</v>
      </c>
      <c r="W19" s="11" t="n">
        <f aca="false">('Base votos'!D183+'Base votos'!E183)/'Base votos'!R183</f>
        <v>0.455304058731831</v>
      </c>
      <c r="X19" s="11" t="n">
        <f aca="false">('Base votos'!D216+'Base votos'!E216)/'Base votos'!R216</f>
        <v>0.493299054862754</v>
      </c>
      <c r="Y19" s="12" t="n">
        <f aca="false">(X19-W19)*100</f>
        <v>3.79949961309233</v>
      </c>
      <c r="Z19" s="11" t="n">
        <f aca="false">('Base votos'!H183+'Base votos'!I183+'Base votos'!J183)/'Base votos'!R183</f>
        <v>0.401791904511307</v>
      </c>
      <c r="AA19" s="11" t="n">
        <f aca="false">('Base votos'!H216+'Base votos'!I216+'Base votos'!J216)/'Base votos'!R216</f>
        <v>0.308872911407782</v>
      </c>
      <c r="AB19" s="12" t="n">
        <f aca="false">(AA19-Z19)*100</f>
        <v>-9.29189931035253</v>
      </c>
    </row>
    <row r="20" customFormat="false" ht="15" hidden="false" customHeight="false" outlineLevel="0" collapsed="false">
      <c r="A20" s="14" t="s">
        <v>97</v>
      </c>
      <c r="B20" s="11" t="n">
        <f aca="false">('Base votos'!D184)/'Base votos'!R184</f>
        <v>0.299354960878639</v>
      </c>
      <c r="C20" s="11" t="n">
        <f aca="false">('Base votos'!D217)/'Base votos'!R217</f>
        <v>0.342818707455117</v>
      </c>
      <c r="D20" s="12" t="n">
        <f aca="false">(C20-B20)*100</f>
        <v>4.34637465764779</v>
      </c>
      <c r="E20" s="11" t="n">
        <f aca="false">('Base votos'!E184)/'Base votos'!R184</f>
        <v>0.0544183769671477</v>
      </c>
      <c r="F20" s="11" t="n">
        <f aca="false">('Base votos'!E217)/'Base votos'!R217</f>
        <v>0.0772367994172894</v>
      </c>
      <c r="G20" s="12" t="n">
        <f aca="false">(F20-E20)*100</f>
        <v>2.28184224501417</v>
      </c>
      <c r="H20" s="11" t="n">
        <f aca="false">('Base votos'!F184)/'Base votos'!R184</f>
        <v>0.0692434992465814</v>
      </c>
      <c r="I20" s="11" t="n">
        <f aca="false">('Base votos'!F217)/'Base votos'!R217</f>
        <v>0.0826226051568144</v>
      </c>
      <c r="J20" s="12" t="n">
        <f aca="false">(I20-H20)*100</f>
        <v>1.3379105910233</v>
      </c>
      <c r="K20" s="11" t="n">
        <f aca="false">('Base votos'!H184)/'Base votos'!R184</f>
        <v>0.117131912716255</v>
      </c>
      <c r="L20" s="11" t="n">
        <f aca="false">('Base votos'!H217)/'Base votos'!R217</f>
        <v>0.152800051598211</v>
      </c>
      <c r="M20" s="12" t="n">
        <f aca="false">(L20-K20)*100</f>
        <v>3.56681388819556</v>
      </c>
      <c r="N20" s="11" t="n">
        <f aca="false">('Base votos'!I184)/'Base votos'!R184</f>
        <v>0.172037795827592</v>
      </c>
      <c r="O20" s="11" t="n">
        <f aca="false">('Base votos'!I217)/'Base votos'!R217</f>
        <v>0.10272166014334</v>
      </c>
      <c r="P20" s="12" t="n">
        <f aca="false">(O20-N20)*100</f>
        <v>-6.93161356842518</v>
      </c>
      <c r="Q20" s="11" t="n">
        <f aca="false">('Base votos'!J184)/'Base votos'!R184</f>
        <v>0.143974464347588</v>
      </c>
      <c r="R20" s="11" t="n">
        <f aca="false">('Base votos'!J217)/'Base votos'!R217</f>
        <v>0.0663100053489499</v>
      </c>
      <c r="S20" s="12" t="n">
        <f aca="false">(R20-Q20)*100</f>
        <v>-7.7664458998638</v>
      </c>
      <c r="T20" s="11" t="n">
        <f aca="false">('Base votos'!K184)/'Base votos'!R184</f>
        <v>0.0295525418812097</v>
      </c>
      <c r="U20" s="11" t="n">
        <f aca="false">('Base votos'!K217)/'Base votos'!R217</f>
        <v>0.124911315574949</v>
      </c>
      <c r="V20" s="12" t="n">
        <f aca="false">(U20-T20)*100</f>
        <v>9.53587736937394</v>
      </c>
      <c r="W20" s="11" t="n">
        <f aca="false">('Base votos'!D184+'Base votos'!E184)/'Base votos'!R184</f>
        <v>0.353773337845787</v>
      </c>
      <c r="X20" s="11" t="n">
        <f aca="false">('Base votos'!D217+'Base votos'!E217)/'Base votos'!R217</f>
        <v>0.420055506872406</v>
      </c>
      <c r="Y20" s="12" t="n">
        <f aca="false">(X20-W20)*100</f>
        <v>6.62821690266195</v>
      </c>
      <c r="Z20" s="11" t="n">
        <f aca="false">('Base votos'!H184+'Base votos'!I184+'Base votos'!J184)/'Base votos'!R184</f>
        <v>0.433144172891435</v>
      </c>
      <c r="AA20" s="11" t="n">
        <f aca="false">('Base votos'!H217+'Base votos'!I217+'Base votos'!J217)/'Base votos'!R217</f>
        <v>0.321831717090501</v>
      </c>
      <c r="AB20" s="12" t="n">
        <f aca="false">(AA20-Z20)*100</f>
        <v>-11.1312455800934</v>
      </c>
    </row>
    <row r="21" customFormat="false" ht="15" hidden="false" customHeight="false" outlineLevel="0" collapsed="false">
      <c r="A21" s="14" t="s">
        <v>98</v>
      </c>
      <c r="B21" s="11" t="n">
        <f aca="false">('Base votos'!D185)/'Base votos'!R185</f>
        <v>0.409953286261952</v>
      </c>
      <c r="C21" s="11" t="n">
        <f aca="false">('Base votos'!D218)/'Base votos'!R218</f>
        <v>0.403720728499102</v>
      </c>
      <c r="D21" s="12" t="n">
        <f aca="false">(C21-B21)*100</f>
        <v>-0.62325577628497</v>
      </c>
      <c r="E21" s="11" t="n">
        <f aca="false">('Base votos'!E185)/'Base votos'!R185</f>
        <v>0.0530605339066633</v>
      </c>
      <c r="F21" s="11" t="n">
        <f aca="false">('Base votos'!E218)/'Base votos'!R218</f>
        <v>0.0647377978832504</v>
      </c>
      <c r="G21" s="12" t="n">
        <f aca="false">(F21-E21)*100</f>
        <v>1.16772639765871</v>
      </c>
      <c r="H21" s="11" t="n">
        <f aca="false">('Base votos'!F185)/'Base votos'!R185</f>
        <v>0.0612653563160523</v>
      </c>
      <c r="I21" s="11" t="n">
        <f aca="false">('Base votos'!F218)/'Base votos'!R218</f>
        <v>0.0919521360037941</v>
      </c>
      <c r="J21" s="12" t="n">
        <f aca="false">(I21-H21)*100</f>
        <v>3.06867796877418</v>
      </c>
      <c r="K21" s="11" t="n">
        <f aca="false">('Base votos'!H185)/'Base votos'!R185</f>
        <v>0.0949151353336607</v>
      </c>
      <c r="L21" s="11" t="n">
        <f aca="false">('Base votos'!H218)/'Base votos'!R218</f>
        <v>0.157117580533363</v>
      </c>
      <c r="M21" s="12" t="n">
        <f aca="false">(L21-K21)*100</f>
        <v>6.22024451997018</v>
      </c>
      <c r="N21" s="11" t="n">
        <f aca="false">('Base votos'!I185)/'Base votos'!R185</f>
        <v>0.0846325419784011</v>
      </c>
      <c r="O21" s="11" t="n">
        <f aca="false">('Base votos'!I218)/'Base votos'!R218</f>
        <v>0.0781255700266317</v>
      </c>
      <c r="P21" s="12" t="n">
        <f aca="false">(O21-N21)*100</f>
        <v>-0.650697195176944</v>
      </c>
      <c r="Q21" s="11" t="n">
        <f aca="false">('Base votos'!J185)/'Base votos'!R185</f>
        <v>0.0826342091471441</v>
      </c>
      <c r="R21" s="11" t="n">
        <f aca="false">('Base votos'!J218)/'Base votos'!R218</f>
        <v>0.0284344484574319</v>
      </c>
      <c r="S21" s="12" t="n">
        <f aca="false">(R21-Q21)*100</f>
        <v>-5.41997606897122</v>
      </c>
      <c r="T21" s="11" t="n">
        <f aca="false">('Base votos'!K185)/'Base votos'!R185</f>
        <v>0.0461958428074461</v>
      </c>
      <c r="U21" s="11" t="n">
        <f aca="false">('Base votos'!K218)/'Base votos'!R218</f>
        <v>0.130699759626103</v>
      </c>
      <c r="V21" s="12" t="n">
        <f aca="false">(U21-T21)*100</f>
        <v>8.45039168186569</v>
      </c>
      <c r="W21" s="11" t="n">
        <f aca="false">('Base votos'!D185+'Base votos'!E185)/'Base votos'!R185</f>
        <v>0.463013820168615</v>
      </c>
      <c r="X21" s="11" t="n">
        <f aca="false">('Base votos'!D218+'Base votos'!E218)/'Base votos'!R218</f>
        <v>0.468458526382353</v>
      </c>
      <c r="Y21" s="12" t="n">
        <f aca="false">(X21-W21)*100</f>
        <v>0.544470621373744</v>
      </c>
      <c r="Z21" s="11" t="n">
        <f aca="false">('Base votos'!H185+'Base votos'!I185+'Base votos'!J185)/'Base votos'!R185</f>
        <v>0.262181886459206</v>
      </c>
      <c r="AA21" s="11" t="n">
        <f aca="false">('Base votos'!H218+'Base votos'!I218+'Base votos'!J218)/'Base votos'!R218</f>
        <v>0.263677599017426</v>
      </c>
      <c r="AB21" s="12" t="n">
        <f aca="false">(AA21-Z21)*100</f>
        <v>0.149571255822017</v>
      </c>
    </row>
    <row r="22" customFormat="false" ht="15" hidden="false" customHeight="false" outlineLevel="0" collapsed="false">
      <c r="A22" s="14" t="s">
        <v>99</v>
      </c>
      <c r="B22" s="11" t="n">
        <f aca="false">('Base votos'!D186)/'Base votos'!R186</f>
        <v>0.474208750051447</v>
      </c>
      <c r="C22" s="11" t="n">
        <f aca="false">('Base votos'!D219)/'Base votos'!R219</f>
        <v>0.39509204033627</v>
      </c>
      <c r="D22" s="12" t="n">
        <f aca="false">(C22-B22)*100</f>
        <v>-7.91167097151763</v>
      </c>
      <c r="E22" s="11" t="n">
        <f aca="false">('Base votos'!E186)/'Base votos'!R186</f>
        <v>0.0554842161583735</v>
      </c>
      <c r="F22" s="11" t="n">
        <f aca="false">('Base votos'!E219)/'Base votos'!R219</f>
        <v>0.0552168451563187</v>
      </c>
      <c r="G22" s="12" t="n">
        <f aca="false">(F22-E22)*100</f>
        <v>-0.0267371002054782</v>
      </c>
      <c r="H22" s="11" t="n">
        <f aca="false">('Base votos'!F186)/'Base votos'!R186</f>
        <v>0.0229534510433387</v>
      </c>
      <c r="I22" s="11" t="n">
        <f aca="false">('Base votos'!F219)/'Base votos'!R219</f>
        <v>0.10383113646688</v>
      </c>
      <c r="J22" s="12" t="n">
        <f aca="false">(I22-H22)*100</f>
        <v>8.0877685423541</v>
      </c>
      <c r="K22" s="11" t="n">
        <f aca="false">('Base votos'!H186)/'Base votos'!R186</f>
        <v>0.144917067950776</v>
      </c>
      <c r="L22" s="11" t="n">
        <f aca="false">('Base votos'!H219)/'Base votos'!R219</f>
        <v>0.126960305593411</v>
      </c>
      <c r="M22" s="12" t="n">
        <f aca="false">(L22-K22)*100</f>
        <v>-1.79567623573644</v>
      </c>
      <c r="N22" s="11" t="n">
        <f aca="false">('Base votos'!I186)/'Base votos'!R186</f>
        <v>0.141307568835659</v>
      </c>
      <c r="O22" s="11" t="n">
        <f aca="false">('Base votos'!I219)/'Base votos'!R219</f>
        <v>0.0798761883217559</v>
      </c>
      <c r="P22" s="12" t="n">
        <f aca="false">(O22-N22)*100</f>
        <v>-6.14313805139029</v>
      </c>
      <c r="Q22" s="11" t="n">
        <f aca="false">('Base votos'!J186)/'Base votos'!R186</f>
        <v>0.0400440383586451</v>
      </c>
      <c r="R22" s="11" t="n">
        <f aca="false">('Base votos'!J219)/'Base votos'!R219</f>
        <v>0.0191345320922739</v>
      </c>
      <c r="S22" s="12" t="n">
        <f aca="false">(R22-Q22)*100</f>
        <v>-2.09095062663712</v>
      </c>
      <c r="T22" s="11" t="n">
        <f aca="false">('Base votos'!K186)/'Base votos'!R186</f>
        <v>0.0349034860270815</v>
      </c>
      <c r="U22" s="11" t="n">
        <f aca="false">('Base votos'!K219)/'Base votos'!R219</f>
        <v>0.179343018305075</v>
      </c>
      <c r="V22" s="12" t="n">
        <f aca="false">(U22-T22)*100</f>
        <v>14.4439532277993</v>
      </c>
      <c r="W22" s="11" t="n">
        <f aca="false">('Base votos'!D186+'Base votos'!E186)/'Base votos'!R186</f>
        <v>0.52969296620982</v>
      </c>
      <c r="X22" s="11" t="n">
        <f aca="false">('Base votos'!D219+'Base votos'!E219)/'Base votos'!R219</f>
        <v>0.450308885492589</v>
      </c>
      <c r="Y22" s="12" t="n">
        <f aca="false">(X22-W22)*100</f>
        <v>-7.9384080717231</v>
      </c>
      <c r="Z22" s="11" t="n">
        <f aca="false">('Base votos'!H186+'Base votos'!I186+'Base votos'!J186)/'Base votos'!R186</f>
        <v>0.32626867514508</v>
      </c>
      <c r="AA22" s="11" t="n">
        <f aca="false">('Base votos'!H219+'Base votos'!I219+'Base votos'!J219)/'Base votos'!R219</f>
        <v>0.225971026007441</v>
      </c>
      <c r="AB22" s="12" t="n">
        <f aca="false">(AA22-Z22)*100</f>
        <v>-10.0297649137638</v>
      </c>
    </row>
    <row r="23" customFormat="false" ht="15" hidden="false" customHeight="false" outlineLevel="0" collapsed="false">
      <c r="A23" s="14" t="s">
        <v>100</v>
      </c>
      <c r="B23" s="11" t="n">
        <f aca="false">('Base votos'!D187)/'Base votos'!R187</f>
        <v>0.163663127212729</v>
      </c>
      <c r="C23" s="11" t="n">
        <f aca="false">('Base votos'!D220)/'Base votos'!R220</f>
        <v>0.253460746322561</v>
      </c>
      <c r="D23" s="12" t="n">
        <f aca="false">(C23-B23)*100</f>
        <v>8.97976191098314</v>
      </c>
      <c r="E23" s="11" t="n">
        <f aca="false">('Base votos'!E187)/'Base votos'!R187</f>
        <v>0.0402312303309802</v>
      </c>
      <c r="F23" s="11" t="n">
        <f aca="false">('Base votos'!E220)/'Base votos'!R220</f>
        <v>0.0375062714130933</v>
      </c>
      <c r="G23" s="12" t="n">
        <f aca="false">(F23-E23)*100</f>
        <v>-0.272495891788689</v>
      </c>
      <c r="H23" s="11" t="n">
        <f aca="false">('Base votos'!F187)/'Base votos'!R187</f>
        <v>0.0382897095749598</v>
      </c>
      <c r="I23" s="11" t="n">
        <f aca="false">('Base votos'!F220)/'Base votos'!R220</f>
        <v>0.0487337114076272</v>
      </c>
      <c r="J23" s="12" t="n">
        <f aca="false">(I23-H23)*100</f>
        <v>1.04440018326674</v>
      </c>
      <c r="K23" s="11" t="n">
        <f aca="false">('Base votos'!H187)/'Base votos'!R187</f>
        <v>0.235840245010337</v>
      </c>
      <c r="L23" s="11" t="n">
        <f aca="false">('Base votos'!H220)/'Base votos'!R220</f>
        <v>0.187983484465441</v>
      </c>
      <c r="M23" s="12" t="n">
        <f aca="false">(L23-K23)*100</f>
        <v>-4.7856760544896</v>
      </c>
      <c r="N23" s="11" t="n">
        <f aca="false">('Base votos'!I187)/'Base votos'!R187</f>
        <v>0.151721519761305</v>
      </c>
      <c r="O23" s="11" t="n">
        <f aca="false">('Base votos'!I220)/'Base votos'!R220</f>
        <v>0.120108541811047</v>
      </c>
      <c r="P23" s="12" t="n">
        <f aca="false">(O23-N23)*100</f>
        <v>-3.16129779502573</v>
      </c>
      <c r="Q23" s="11" t="n">
        <f aca="false">('Base votos'!J187)/'Base votos'!R187</f>
        <v>0.00768805716056126</v>
      </c>
      <c r="R23" s="11" t="n">
        <f aca="false">('Base votos'!J220)/'Base votos'!R220</f>
        <v>0.00840613378363869</v>
      </c>
      <c r="S23" s="12" t="n">
        <f aca="false">(R23-Q23)*100</f>
        <v>0.0718076623077431</v>
      </c>
      <c r="T23" s="11" t="n">
        <f aca="false">('Base votos'!K187)/'Base votos'!R187</f>
        <v>0.241322132287148</v>
      </c>
      <c r="U23" s="11" t="n">
        <f aca="false">('Base votos'!K220)/'Base votos'!R220</f>
        <v>0.319705609620397</v>
      </c>
      <c r="V23" s="12" t="n">
        <f aca="false">(U23-T23)*100</f>
        <v>7.83834773332486</v>
      </c>
      <c r="W23" s="11" t="n">
        <f aca="false">('Base votos'!D187+'Base votos'!E187)/'Base votos'!R187</f>
        <v>0.203894357543709</v>
      </c>
      <c r="X23" s="11" t="n">
        <f aca="false">('Base votos'!D220+'Base votos'!E220)/'Base votos'!R220</f>
        <v>0.290967017735654</v>
      </c>
      <c r="Y23" s="12" t="n">
        <f aca="false">(X23-W23)*100</f>
        <v>8.70726601919445</v>
      </c>
      <c r="Z23" s="11" t="n">
        <f aca="false">('Base votos'!H187+'Base votos'!I187+'Base votos'!J187)/'Base votos'!R187</f>
        <v>0.395249821932203</v>
      </c>
      <c r="AA23" s="11" t="n">
        <f aca="false">('Base votos'!H220+'Base votos'!I220+'Base votos'!J220)/'Base votos'!R220</f>
        <v>0.316498160060128</v>
      </c>
      <c r="AB23" s="12" t="n">
        <f aca="false">(AA23-Z23)*100</f>
        <v>-7.87516618720758</v>
      </c>
    </row>
    <row r="24" customFormat="false" ht="15" hidden="false" customHeight="false" outlineLevel="0" collapsed="false">
      <c r="A24" s="14" t="s">
        <v>101</v>
      </c>
      <c r="B24" s="11" t="n">
        <f aca="false">('Base votos'!D188)/'Base votos'!R188</f>
        <v>0.485291235856759</v>
      </c>
      <c r="C24" s="11" t="n">
        <f aca="false">('Base votos'!D221)/'Base votos'!R221</f>
        <v>0.478579203684761</v>
      </c>
      <c r="D24" s="12" t="n">
        <f aca="false">(C24-B24)*100</f>
        <v>-0.671203217199756</v>
      </c>
      <c r="E24" s="11" t="n">
        <f aca="false">('Base votos'!E188)/'Base votos'!R188</f>
        <v>0.0624450958118478</v>
      </c>
      <c r="F24" s="11" t="n">
        <f aca="false">('Base votos'!E221)/'Base votos'!R221</f>
        <v>0.115543022306373</v>
      </c>
      <c r="G24" s="12" t="n">
        <f aca="false">(F24-E24)*100</f>
        <v>5.30979264945253</v>
      </c>
      <c r="H24" s="11" t="n">
        <f aca="false">('Base votos'!F188)/'Base votos'!R188</f>
        <v>0.0298782193437505</v>
      </c>
      <c r="I24" s="11" t="n">
        <f aca="false">('Base votos'!F221)/'Base votos'!R221</f>
        <v>0.128053281713939</v>
      </c>
      <c r="J24" s="12" t="n">
        <f aca="false">(I24-H24)*100</f>
        <v>9.81750623701884</v>
      </c>
      <c r="K24" s="11" t="n">
        <f aca="false">('Base votos'!H188)/'Base votos'!R188</f>
        <v>0.0702375480274305</v>
      </c>
      <c r="L24" s="11" t="n">
        <f aca="false">('Base votos'!H221)/'Base votos'!R221</f>
        <v>0.0414747299745096</v>
      </c>
      <c r="M24" s="12" t="n">
        <f aca="false">(L24-K24)*100</f>
        <v>-2.87628180529209</v>
      </c>
      <c r="N24" s="11" t="n">
        <f aca="false">('Base votos'!I188)/'Base votos'!R188</f>
        <v>0.169755606237891</v>
      </c>
      <c r="O24" s="11" t="n">
        <f aca="false">('Base votos'!I221)/'Base votos'!R221</f>
        <v>0.0826859300989719</v>
      </c>
      <c r="P24" s="12" t="n">
        <f aca="false">(O24-N24)*100</f>
        <v>-8.70696761389195</v>
      </c>
      <c r="Q24" s="11" t="n">
        <f aca="false">('Base votos'!J188)/'Base votos'!R188</f>
        <v>0.0654915511535115</v>
      </c>
      <c r="R24" s="11" t="n">
        <f aca="false">('Base votos'!J221)/'Base votos'!R221</f>
        <v>0.0263005965405622</v>
      </c>
      <c r="S24" s="12" t="n">
        <f aca="false">(R24-Q24)*100</f>
        <v>-3.91909546129493</v>
      </c>
      <c r="T24" s="11" t="n">
        <f aca="false">('Base votos'!K188)/'Base votos'!R188</f>
        <v>0.0220800795842509</v>
      </c>
      <c r="U24" s="11" t="n">
        <f aca="false">('Base votos'!K221)/'Base votos'!R221</f>
        <v>0.0592730492044097</v>
      </c>
      <c r="V24" s="12" t="n">
        <f aca="false">(U24-T24)*100</f>
        <v>3.71929696201589</v>
      </c>
      <c r="W24" s="11" t="n">
        <f aca="false">('Base votos'!D188+'Base votos'!E188)/'Base votos'!R188</f>
        <v>0.547736331668607</v>
      </c>
      <c r="X24" s="11" t="n">
        <f aca="false">('Base votos'!D221+'Base votos'!E221)/'Base votos'!R221</f>
        <v>0.594122225991134</v>
      </c>
      <c r="Y24" s="12" t="n">
        <f aca="false">(X24-W24)*100</f>
        <v>4.63858943225277</v>
      </c>
      <c r="Z24" s="11" t="n">
        <f aca="false">('Base votos'!H188+'Base votos'!I188+'Base votos'!J188)/'Base votos'!R188</f>
        <v>0.305484705418833</v>
      </c>
      <c r="AA24" s="11" t="n">
        <f aca="false">('Base votos'!H221+'Base votos'!I221+'Base votos'!J221)/'Base votos'!R221</f>
        <v>0.150461256614044</v>
      </c>
      <c r="AB24" s="12" t="n">
        <f aca="false">(AA24-Z24)*100</f>
        <v>-15.502344880479</v>
      </c>
    </row>
    <row r="25" customFormat="false" ht="15" hidden="false" customHeight="false" outlineLevel="0" collapsed="false">
      <c r="A25" s="14" t="s">
        <v>102</v>
      </c>
      <c r="B25" s="11" t="n">
        <f aca="false">('Base votos'!D189)/'Base votos'!R189</f>
        <v>0.412024063460588</v>
      </c>
      <c r="C25" s="11" t="n">
        <f aca="false">('Base votos'!D222)/'Base votos'!R222</f>
        <v>0.438305171410837</v>
      </c>
      <c r="D25" s="12" t="n">
        <f aca="false">(C25-B25)*100</f>
        <v>2.6281107950249</v>
      </c>
      <c r="E25" s="11" t="n">
        <f aca="false">('Base votos'!E189)/'Base votos'!R189</f>
        <v>0.0397242668915604</v>
      </c>
      <c r="F25" s="11" t="n">
        <f aca="false">('Base votos'!E222)/'Base votos'!R222</f>
        <v>0.0681630154338773</v>
      </c>
      <c r="G25" s="12" t="n">
        <f aca="false">(F25-E25)*100</f>
        <v>2.84387485423168</v>
      </c>
      <c r="H25" s="11" t="n">
        <f aca="false">('Base votos'!F189)/'Base votos'!R189</f>
        <v>0.04355995755953</v>
      </c>
      <c r="I25" s="11" t="n">
        <f aca="false">('Base votos'!F222)/'Base votos'!R222</f>
        <v>0.0984883643332357</v>
      </c>
      <c r="J25" s="12" t="n">
        <f aca="false">(I25-H25)*100</f>
        <v>5.49284067737057</v>
      </c>
      <c r="K25" s="11" t="n">
        <f aca="false">('Base votos'!H189)/'Base votos'!R189</f>
        <v>0.194041051343742</v>
      </c>
      <c r="L25" s="11" t="n">
        <f aca="false">('Base votos'!H222)/'Base votos'!R222</f>
        <v>0.167631366523884</v>
      </c>
      <c r="M25" s="12" t="n">
        <f aca="false">(L25-K25)*100</f>
        <v>-2.64096848198585</v>
      </c>
      <c r="N25" s="11" t="n">
        <f aca="false">('Base votos'!I189)/'Base votos'!R189</f>
        <v>0.152394228563892</v>
      </c>
      <c r="O25" s="11" t="n">
        <f aca="false">('Base votos'!I222)/'Base votos'!R222</f>
        <v>0.0818541861371488</v>
      </c>
      <c r="P25" s="12" t="n">
        <f aca="false">(O25-N25)*100</f>
        <v>-7.05400424267429</v>
      </c>
      <c r="Q25" s="11" t="n">
        <f aca="false">('Base votos'!J189)/'Base votos'!R189</f>
        <v>0.0254912458409054</v>
      </c>
      <c r="R25" s="11" t="n">
        <f aca="false">('Base votos'!J222)/'Base votos'!R222</f>
        <v>0.0157836983956678</v>
      </c>
      <c r="S25" s="12" t="n">
        <f aca="false">(R25-Q25)*100</f>
        <v>-0.970754744523759</v>
      </c>
      <c r="T25" s="11" t="n">
        <f aca="false">('Base votos'!K189)/'Base votos'!R189</f>
        <v>0.0343682042132497</v>
      </c>
      <c r="U25" s="11" t="n">
        <f aca="false">('Base votos'!K222)/'Base votos'!R222</f>
        <v>0.0836304121337962</v>
      </c>
      <c r="V25" s="12" t="n">
        <f aca="false">(U25-T25)*100</f>
        <v>4.92622079205465</v>
      </c>
      <c r="W25" s="11" t="n">
        <f aca="false">('Base votos'!D189+'Base votos'!E189)/'Base votos'!R189</f>
        <v>0.451748330352148</v>
      </c>
      <c r="X25" s="11" t="n">
        <f aca="false">('Base votos'!D222+'Base votos'!E222)/'Base votos'!R222</f>
        <v>0.506468186844714</v>
      </c>
      <c r="Y25" s="12" t="n">
        <f aca="false">(X25-W25)*100</f>
        <v>5.47198564925658</v>
      </c>
      <c r="Z25" s="11" t="n">
        <f aca="false">('Base votos'!H189+'Base votos'!I189+'Base votos'!J189)/'Base votos'!R189</f>
        <v>0.37192652574854</v>
      </c>
      <c r="AA25" s="11" t="n">
        <f aca="false">('Base votos'!H222+'Base votos'!I222+'Base votos'!J222)/'Base votos'!R222</f>
        <v>0.265269251056701</v>
      </c>
      <c r="AB25" s="12" t="n">
        <f aca="false">(AA25-Z25)*100</f>
        <v>-10.6657274691839</v>
      </c>
    </row>
    <row r="26" customFormat="false" ht="15" hidden="false" customHeight="false" outlineLevel="0" collapsed="false">
      <c r="A26" s="14" t="s">
        <v>103</v>
      </c>
      <c r="B26" s="11" t="n">
        <f aca="false">('Base votos'!D190)/'Base votos'!R190</f>
        <v>0.297383971169699</v>
      </c>
      <c r="C26" s="11" t="n">
        <f aca="false">('Base votos'!D223)/'Base votos'!R223</f>
        <v>0.359484606110845</v>
      </c>
      <c r="D26" s="12" t="n">
        <f aca="false">(C26-B26)*100</f>
        <v>6.21006349411462</v>
      </c>
      <c r="E26" s="11" t="n">
        <f aca="false">('Base votos'!E190)/'Base votos'!R190</f>
        <v>0.0310888691110171</v>
      </c>
      <c r="F26" s="11" t="n">
        <f aca="false">('Base votos'!E223)/'Base votos'!R223</f>
        <v>0.0220937136616552</v>
      </c>
      <c r="G26" s="12" t="n">
        <f aca="false">(F26-E26)*100</f>
        <v>-0.899515544936192</v>
      </c>
      <c r="H26" s="11" t="n">
        <f aca="false">('Base votos'!F190)/'Base votos'!R190</f>
        <v>0.0405812748945856</v>
      </c>
      <c r="I26" s="11" t="n">
        <f aca="false">('Base votos'!F223)/'Base votos'!R223</f>
        <v>0.0559415198330266</v>
      </c>
      <c r="J26" s="12" t="n">
        <f aca="false">(I26-H26)*100</f>
        <v>1.5360244938441</v>
      </c>
      <c r="K26" s="11" t="n">
        <f aca="false">('Base votos'!H190)/'Base votos'!R190</f>
        <v>0.342947324394384</v>
      </c>
      <c r="L26" s="11" t="n">
        <f aca="false">('Base votos'!H223)/'Base votos'!R223</f>
        <v>0.372422084832097</v>
      </c>
      <c r="M26" s="12" t="n">
        <f aca="false">(L26-K26)*100</f>
        <v>2.94747604377136</v>
      </c>
      <c r="N26" s="11" t="n">
        <f aca="false">('Base votos'!I190)/'Base votos'!R190</f>
        <v>0.144620337812535</v>
      </c>
      <c r="O26" s="11" t="n">
        <f aca="false">('Base votos'!I223)/'Base votos'!R223</f>
        <v>0.0623099304112987</v>
      </c>
      <c r="P26" s="12" t="n">
        <f aca="false">(O26-N26)*100</f>
        <v>-8.23104074012363</v>
      </c>
      <c r="Q26" s="11" t="n">
        <f aca="false">('Base votos'!J190)/'Base votos'!R190</f>
        <v>0.0221294931839293</v>
      </c>
      <c r="R26" s="11" t="n">
        <f aca="false">('Base votos'!J223)/'Base votos'!R223</f>
        <v>0.0124703742263582</v>
      </c>
      <c r="S26" s="12" t="n">
        <f aca="false">(R26-Q26)*100</f>
        <v>-0.965911895757116</v>
      </c>
      <c r="T26" s="11" t="n">
        <f aca="false">('Base votos'!K190)/'Base votos'!R190</f>
        <v>0.0229047209131541</v>
      </c>
      <c r="U26" s="11" t="n">
        <f aca="false">('Base votos'!K223)/'Base votos'!R223</f>
        <v>0.0638181516148822</v>
      </c>
      <c r="V26" s="12" t="n">
        <f aca="false">(U26-T26)*100</f>
        <v>4.09134307017282</v>
      </c>
      <c r="W26" s="11" t="n">
        <f aca="false">('Base votos'!D190+'Base votos'!E190)/'Base votos'!R190</f>
        <v>0.328472840280716</v>
      </c>
      <c r="X26" s="11" t="n">
        <f aca="false">('Base votos'!D223+'Base votos'!E223)/'Base votos'!R223</f>
        <v>0.3815783197725</v>
      </c>
      <c r="Y26" s="12" t="n">
        <f aca="false">(X26-W26)*100</f>
        <v>5.31054794917843</v>
      </c>
      <c r="Z26" s="11" t="n">
        <f aca="false">('Base votos'!H190+'Base votos'!I190+'Base votos'!J190)/'Base votos'!R190</f>
        <v>0.509697155390848</v>
      </c>
      <c r="AA26" s="11" t="n">
        <f aca="false">('Base votos'!H223+'Base votos'!I223+'Base votos'!J223)/'Base votos'!R223</f>
        <v>0.447202389469754</v>
      </c>
      <c r="AB26" s="12" t="n">
        <f aca="false">(AA26-Z26)*100</f>
        <v>-6.24947659210939</v>
      </c>
    </row>
    <row r="27" customFormat="false" ht="15" hidden="false" customHeight="false" outlineLevel="0" collapsed="false">
      <c r="A27" s="14" t="s">
        <v>104</v>
      </c>
      <c r="B27" s="11" t="n">
        <f aca="false">('Base votos'!D191)/'Base votos'!R191</f>
        <v>0.508692236288424</v>
      </c>
      <c r="C27" s="11" t="n">
        <f aca="false">('Base votos'!D224)/'Base votos'!R224</f>
        <v>0.468993453642372</v>
      </c>
      <c r="D27" s="12" t="n">
        <f aca="false">(C27-B27)*100</f>
        <v>-3.96987826460519</v>
      </c>
      <c r="E27" s="11" t="n">
        <f aca="false">('Base votos'!E191)/'Base votos'!R191</f>
        <v>0.0440939548543936</v>
      </c>
      <c r="F27" s="11" t="n">
        <f aca="false">('Base votos'!E224)/'Base votos'!R224</f>
        <v>0.0424260614987274</v>
      </c>
      <c r="G27" s="12" t="n">
        <f aca="false">(F27-E27)*100</f>
        <v>-0.166789335566616</v>
      </c>
      <c r="H27" s="11" t="n">
        <f aca="false">('Base votos'!F191)/'Base votos'!R191</f>
        <v>0.0361976556533471</v>
      </c>
      <c r="I27" s="11" t="n">
        <f aca="false">('Base votos'!F224)/'Base votos'!R224</f>
        <v>0.168464928152242</v>
      </c>
      <c r="J27" s="12" t="n">
        <f aca="false">(I27-H27)*100</f>
        <v>13.2267272498895</v>
      </c>
      <c r="K27" s="11" t="n">
        <f aca="false">('Base votos'!H191)/'Base votos'!R191</f>
        <v>0.145555709426062</v>
      </c>
      <c r="L27" s="11" t="n">
        <f aca="false">('Base votos'!H224)/'Base votos'!R224</f>
        <v>0.118602959597512</v>
      </c>
      <c r="M27" s="12" t="n">
        <f aca="false">(L27-K27)*100</f>
        <v>-2.69527498285493</v>
      </c>
      <c r="N27" s="11" t="n">
        <f aca="false">('Base votos'!I191)/'Base votos'!R191</f>
        <v>0.0983986650743355</v>
      </c>
      <c r="O27" s="11" t="n">
        <f aca="false">('Base votos'!I224)/'Base votos'!R224</f>
        <v>0.0454844171514812</v>
      </c>
      <c r="P27" s="12" t="n">
        <f aca="false">(O27-N27)*100</f>
        <v>-5.29142479228543</v>
      </c>
      <c r="Q27" s="11" t="n">
        <f aca="false">('Base votos'!J191)/'Base votos'!R191</f>
        <v>0.0369929071790646</v>
      </c>
      <c r="R27" s="11" t="n">
        <f aca="false">('Base votos'!J224)/'Base votos'!R224</f>
        <v>0.0205431455678048</v>
      </c>
      <c r="S27" s="12" t="n">
        <f aca="false">(R27-Q27)*100</f>
        <v>-1.64497616112597</v>
      </c>
      <c r="T27" s="11" t="n">
        <f aca="false">('Base votos'!K191)/'Base votos'!R191</f>
        <v>0.0273703637178832</v>
      </c>
      <c r="U27" s="11" t="n">
        <f aca="false">('Base votos'!K224)/'Base votos'!R224</f>
        <v>0.100674000104083</v>
      </c>
      <c r="V27" s="12" t="n">
        <f aca="false">(U27-T27)*100</f>
        <v>7.33036363862002</v>
      </c>
      <c r="W27" s="11" t="n">
        <f aca="false">('Base votos'!D191+'Base votos'!E191)/'Base votos'!R191</f>
        <v>0.552786191142818</v>
      </c>
      <c r="X27" s="11" t="n">
        <f aca="false">('Base votos'!D224+'Base votos'!E224)/'Base votos'!R224</f>
        <v>0.5114195151411</v>
      </c>
      <c r="Y27" s="12" t="n">
        <f aca="false">(X27-W27)*100</f>
        <v>-4.13666760017181</v>
      </c>
      <c r="Z27" s="11" t="n">
        <f aca="false">('Base votos'!H191+'Base votos'!I191+'Base votos'!J191)/'Base votos'!R191</f>
        <v>0.280947281679462</v>
      </c>
      <c r="AA27" s="11" t="n">
        <f aca="false">('Base votos'!H224+'Base votos'!I224+'Base votos'!J224)/'Base votos'!R224</f>
        <v>0.184630522316798</v>
      </c>
      <c r="AB27" s="12" t="n">
        <f aca="false">(AA27-Z27)*100</f>
        <v>-9.63167593626634</v>
      </c>
    </row>
    <row r="28" customFormat="false" ht="15" hidden="false" customHeight="false" outlineLevel="0" collapsed="false">
      <c r="A28" s="14" t="s">
        <v>105</v>
      </c>
      <c r="B28" s="11" t="n">
        <f aca="false">('Base votos'!D192)/'Base votos'!R192</f>
        <v>0.250254430992197</v>
      </c>
      <c r="C28" s="11" t="n">
        <f aca="false">('Base votos'!D225)/'Base votos'!R225</f>
        <v>0.202578143376251</v>
      </c>
      <c r="D28" s="12" t="n">
        <f aca="false">(C28-B28)*100</f>
        <v>-4.76762876159464</v>
      </c>
      <c r="E28" s="11" t="n">
        <f aca="false">('Base votos'!E192)/'Base votos'!R192</f>
        <v>0.0380172735008036</v>
      </c>
      <c r="F28" s="11" t="n">
        <f aca="false">('Base votos'!E225)/'Base votos'!R225</f>
        <v>0.021511640261654</v>
      </c>
      <c r="G28" s="12" t="n">
        <f aca="false">(F28-E28)*100</f>
        <v>-1.65056332391496</v>
      </c>
      <c r="H28" s="11" t="n">
        <f aca="false">('Base votos'!F192)/'Base votos'!R192</f>
        <v>0.0610125916527567</v>
      </c>
      <c r="I28" s="11" t="n">
        <f aca="false">('Base votos'!F225)/'Base votos'!R225</f>
        <v>0.385949177220245</v>
      </c>
      <c r="J28" s="12" t="n">
        <f aca="false">(I28-H28)*100</f>
        <v>32.4936585567488</v>
      </c>
      <c r="K28" s="11" t="n">
        <f aca="false">('Base votos'!H192)/'Base votos'!R192</f>
        <v>0.21131635961487</v>
      </c>
      <c r="L28" s="11" t="n">
        <f aca="false">('Base votos'!H225)/'Base votos'!R225</f>
        <v>0.153029633553967</v>
      </c>
      <c r="M28" s="12" t="n">
        <f aca="false">(L28-K28)*100</f>
        <v>-5.82867260609023</v>
      </c>
      <c r="N28" s="11" t="n">
        <f aca="false">('Base votos'!I192)/'Base votos'!R192</f>
        <v>0.192306133912136</v>
      </c>
      <c r="O28" s="11" t="n">
        <f aca="false">('Base votos'!I225)/'Base votos'!R225</f>
        <v>0.0767485672706809</v>
      </c>
      <c r="P28" s="12" t="n">
        <f aca="false">(O28-N28)*100</f>
        <v>-11.5557566641455</v>
      </c>
      <c r="Q28" s="11" t="n">
        <f aca="false">('Base votos'!J192)/'Base votos'!R192</f>
        <v>0.101254398418675</v>
      </c>
      <c r="R28" s="11" t="n">
        <f aca="false">('Base votos'!J225)/'Base votos'!R225</f>
        <v>0.0197427572153062</v>
      </c>
      <c r="S28" s="12" t="n">
        <f aca="false">(R28-Q28)*100</f>
        <v>-8.15116412033684</v>
      </c>
      <c r="T28" s="11" t="n">
        <f aca="false">('Base votos'!K192)/'Base votos'!R192</f>
        <v>0.0309718588597201</v>
      </c>
      <c r="U28" s="11" t="n">
        <f aca="false">('Base votos'!K225)/'Base votos'!R225</f>
        <v>0.0742183464094385</v>
      </c>
      <c r="V28" s="12" t="n">
        <f aca="false">(U28-T28)*100</f>
        <v>4.32464875497184</v>
      </c>
      <c r="W28" s="11" t="n">
        <f aca="false">('Base votos'!D192+'Base votos'!E192)/'Base votos'!R192</f>
        <v>0.288271704493001</v>
      </c>
      <c r="X28" s="11" t="n">
        <f aca="false">('Base votos'!D225+'Base votos'!E225)/'Base votos'!R225</f>
        <v>0.224089783637905</v>
      </c>
      <c r="Y28" s="12" t="n">
        <f aca="false">(X28-W28)*100</f>
        <v>-6.41819208550959</v>
      </c>
      <c r="Z28" s="11" t="n">
        <f aca="false">('Base votos'!H192+'Base votos'!I192+'Base votos'!J192)/'Base votos'!R192</f>
        <v>0.50487689194568</v>
      </c>
      <c r="AA28" s="11" t="n">
        <f aca="false">('Base votos'!H225+'Base votos'!I225+'Base votos'!J225)/'Base votos'!R225</f>
        <v>0.249520958039954</v>
      </c>
      <c r="AB28" s="12" t="n">
        <f aca="false">(AA28-Z28)*100</f>
        <v>-25.5355933905726</v>
      </c>
    </row>
    <row r="29" customFormat="false" ht="15" hidden="false" customHeight="false" outlineLevel="0" collapsed="false">
      <c r="A29" s="14" t="s">
        <v>106</v>
      </c>
      <c r="B29" s="11" t="n">
        <f aca="false">('Base votos'!D193)/'Base votos'!R193</f>
        <v>0.419157148896098</v>
      </c>
      <c r="C29" s="11" t="n">
        <f aca="false">('Base votos'!D226)/'Base votos'!R226</f>
        <v>0.490843317144183</v>
      </c>
      <c r="D29" s="12" t="n">
        <f aca="false">(C29-B29)*100</f>
        <v>7.1686168248085</v>
      </c>
      <c r="E29" s="11" t="n">
        <f aca="false">('Base votos'!E193)/'Base votos'!R193</f>
        <v>0.0351517774162227</v>
      </c>
      <c r="F29" s="11" t="n">
        <f aca="false">('Base votos'!E226)/'Base votos'!R226</f>
        <v>0.0482937477394968</v>
      </c>
      <c r="G29" s="12" t="n">
        <f aca="false">(F29-E29)*100</f>
        <v>1.31419703232741</v>
      </c>
      <c r="H29" s="11" t="n">
        <f aca="false">('Base votos'!F193)/'Base votos'!R193</f>
        <v>0.0185260616103198</v>
      </c>
      <c r="I29" s="11" t="n">
        <f aca="false">('Base votos'!F226)/'Base votos'!R226</f>
        <v>0.0898667045641675</v>
      </c>
      <c r="J29" s="12" t="n">
        <f aca="false">(I29-H29)*100</f>
        <v>7.13406429538477</v>
      </c>
      <c r="K29" s="11" t="n">
        <f aca="false">('Base votos'!H193)/'Base votos'!R193</f>
        <v>0.126933551806368</v>
      </c>
      <c r="L29" s="11" t="n">
        <f aca="false">('Base votos'!H226)/'Base votos'!R226</f>
        <v>0.116432551847766</v>
      </c>
      <c r="M29" s="12" t="n">
        <f aca="false">(L29-K29)*100</f>
        <v>-1.05009999586017</v>
      </c>
      <c r="N29" s="11" t="n">
        <f aca="false">('Base votos'!I193)/'Base votos'!R193</f>
        <v>0.202469987549193</v>
      </c>
      <c r="O29" s="11" t="n">
        <f aca="false">('Base votos'!I226)/'Base votos'!R226</f>
        <v>0.123090932195807</v>
      </c>
      <c r="P29" s="12" t="n">
        <f aca="false">(O29-N29)*100</f>
        <v>-7.93790553533863</v>
      </c>
      <c r="Q29" s="11" t="n">
        <f aca="false">('Base votos'!J193)/'Base votos'!R193</f>
        <v>0.0229396686406753</v>
      </c>
      <c r="R29" s="11" t="n">
        <f aca="false">('Base votos'!J226)/'Base votos'!R226</f>
        <v>0.0129347779499708</v>
      </c>
      <c r="S29" s="12" t="n">
        <f aca="false">(R29-Q29)*100</f>
        <v>-1.00048906907045</v>
      </c>
      <c r="T29" s="11" t="n">
        <f aca="false">('Base votos'!K193)/'Base votos'!R193</f>
        <v>0.0400397009034343</v>
      </c>
      <c r="U29" s="11" t="n">
        <f aca="false">('Base votos'!K226)/'Base votos'!R226</f>
        <v>0.0645558360271388</v>
      </c>
      <c r="V29" s="12" t="n">
        <f aca="false">(U29-T29)*100</f>
        <v>2.45161351237046</v>
      </c>
      <c r="W29" s="11" t="n">
        <f aca="false">('Base votos'!D193+'Base votos'!E193)/'Base votos'!R193</f>
        <v>0.45430892631232</v>
      </c>
      <c r="X29" s="11" t="n">
        <f aca="false">('Base votos'!D226+'Base votos'!E226)/'Base votos'!R226</f>
        <v>0.53913706488368</v>
      </c>
      <c r="Y29" s="12" t="n">
        <f aca="false">(X29-W29)*100</f>
        <v>8.48281385713591</v>
      </c>
      <c r="Z29" s="11" t="n">
        <f aca="false">('Base votos'!H193+'Base votos'!I193+'Base votos'!J193)/'Base votos'!R193</f>
        <v>0.352343207996236</v>
      </c>
      <c r="AA29" s="11" t="n">
        <f aca="false">('Base votos'!H226+'Base votos'!I226+'Base votos'!J226)/'Base votos'!R226</f>
        <v>0.252458261993544</v>
      </c>
      <c r="AB29" s="12" t="n">
        <f aca="false">(AA29-Z29)*100</f>
        <v>-9.98849460026924</v>
      </c>
    </row>
    <row r="30" customFormat="false" ht="15" hidden="false" customHeight="false" outlineLevel="0" collapsed="false">
      <c r="A30" s="14" t="s">
        <v>107</v>
      </c>
      <c r="B30" s="11" t="n">
        <f aca="false">('Base votos'!D194)/'Base votos'!R194</f>
        <v>0.420738575266368</v>
      </c>
      <c r="C30" s="11" t="n">
        <f aca="false">('Base votos'!D227)/'Base votos'!R227</f>
        <v>0.438842110209714</v>
      </c>
      <c r="D30" s="12" t="n">
        <f aca="false">(C30-B30)*100</f>
        <v>1.81035349433462</v>
      </c>
      <c r="E30" s="11" t="n">
        <f aca="false">('Base votos'!E194)/'Base votos'!R194</f>
        <v>0.0354570440221769</v>
      </c>
      <c r="F30" s="11" t="n">
        <f aca="false">('Base votos'!E227)/'Base votos'!R227</f>
        <v>0.0916093147243903</v>
      </c>
      <c r="G30" s="12" t="n">
        <f aca="false">(F30-E30)*100</f>
        <v>5.61522707022133</v>
      </c>
      <c r="H30" s="11" t="n">
        <f aca="false">('Base votos'!F194)/'Base votos'!R194</f>
        <v>0.0234017037315147</v>
      </c>
      <c r="I30" s="11" t="n">
        <f aca="false">('Base votos'!F227)/'Base votos'!R227</f>
        <v>0.0442470768665547</v>
      </c>
      <c r="J30" s="12" t="n">
        <f aca="false">(I30-H30)*100</f>
        <v>2.08453731350401</v>
      </c>
      <c r="K30" s="11" t="n">
        <f aca="false">('Base votos'!H194)/'Base votos'!R194</f>
        <v>0.148243596426319</v>
      </c>
      <c r="L30" s="11" t="n">
        <f aca="false">('Base votos'!H227)/'Base votos'!R227</f>
        <v>0.113483794071283</v>
      </c>
      <c r="M30" s="12" t="n">
        <f aca="false">(L30-K30)*100</f>
        <v>-3.47598023550362</v>
      </c>
      <c r="N30" s="11" t="n">
        <f aca="false">('Base votos'!I194)/'Base votos'!R194</f>
        <v>0.232841484440783</v>
      </c>
      <c r="O30" s="11" t="n">
        <f aca="false">('Base votos'!I227)/'Base votos'!R227</f>
        <v>0.133572566761078</v>
      </c>
      <c r="P30" s="12" t="n">
        <f aca="false">(O30-N30)*100</f>
        <v>-9.92689176797047</v>
      </c>
      <c r="Q30" s="11" t="n">
        <f aca="false">('Base votos'!J194)/'Base votos'!R194</f>
        <v>0.0184680267843799</v>
      </c>
      <c r="R30" s="11" t="n">
        <f aca="false">('Base votos'!J227)/'Base votos'!R227</f>
        <v>0.0143599865003994</v>
      </c>
      <c r="S30" s="12" t="n">
        <f aca="false">(R30-Q30)*100</f>
        <v>-0.410804028398048</v>
      </c>
      <c r="T30" s="11" t="n">
        <f aca="false">('Base votos'!K194)/'Base votos'!R194</f>
        <v>0.0510153496221828</v>
      </c>
      <c r="U30" s="11" t="n">
        <f aca="false">('Base votos'!K227)/'Base votos'!R227</f>
        <v>0.108534225332257</v>
      </c>
      <c r="V30" s="12" t="n">
        <f aca="false">(U30-T30)*100</f>
        <v>5.7518875710074</v>
      </c>
      <c r="W30" s="11" t="n">
        <f aca="false">('Base votos'!D194+'Base votos'!E194)/'Base votos'!R194</f>
        <v>0.456195619288544</v>
      </c>
      <c r="X30" s="11" t="n">
        <f aca="false">('Base votos'!D227+'Base votos'!E227)/'Base votos'!R227</f>
        <v>0.530451424934104</v>
      </c>
      <c r="Y30" s="12" t="n">
        <f aca="false">(X30-W30)*100</f>
        <v>7.42558056455596</v>
      </c>
      <c r="Z30" s="11" t="n">
        <f aca="false">('Base votos'!H194+'Base votos'!I194+'Base votos'!J194)/'Base votos'!R194</f>
        <v>0.399553107651482</v>
      </c>
      <c r="AA30" s="11" t="n">
        <f aca="false">('Base votos'!H227+'Base votos'!I227+'Base votos'!J227)/'Base votos'!R227</f>
        <v>0.261416347332761</v>
      </c>
      <c r="AB30" s="12" t="n">
        <f aca="false">(AA30-Z30)*100</f>
        <v>-13.8136760318721</v>
      </c>
    </row>
    <row r="31" customFormat="false" ht="15" hidden="false" customHeight="false" outlineLevel="0" collapsed="false">
      <c r="A31" s="14" t="s">
        <v>108</v>
      </c>
      <c r="B31" s="11" t="n">
        <f aca="false">('Base votos'!D195)/'Base votos'!R195</f>
        <v>0.638992169817346</v>
      </c>
      <c r="C31" s="11" t="n">
        <f aca="false">('Base votos'!D228)/'Base votos'!R228</f>
        <v>0.596968746883807</v>
      </c>
      <c r="D31" s="12" t="n">
        <f aca="false">(C31-B31)*100</f>
        <v>-4.20234229335388</v>
      </c>
      <c r="E31" s="11" t="n">
        <f aca="false">('Base votos'!E195)/'Base votos'!R195</f>
        <v>0.0213615278518461</v>
      </c>
      <c r="F31" s="11" t="n">
        <f aca="false">('Base votos'!E228)/'Base votos'!R228</f>
        <v>0.0568537385784499</v>
      </c>
      <c r="G31" s="12" t="n">
        <f aca="false">(F31-E31)*100</f>
        <v>3.54922107266038</v>
      </c>
      <c r="H31" s="11" t="n">
        <f aca="false">('Base votos'!F195)/'Base votos'!R195</f>
        <v>0.0346863572689822</v>
      </c>
      <c r="I31" s="11" t="n">
        <f aca="false">('Base votos'!F228)/'Base votos'!R228</f>
        <v>0.0704046312358676</v>
      </c>
      <c r="J31" s="12" t="n">
        <f aca="false">(I31-H31)*100</f>
        <v>3.57182739668854</v>
      </c>
      <c r="K31" s="11" t="n">
        <f aca="false">('Base votos'!H195)/'Base votos'!R195</f>
        <v>0.0151776657745296</v>
      </c>
      <c r="L31" s="11" t="n">
        <f aca="false">('Base votos'!H228)/'Base votos'!R228</f>
        <v>0.0231498908040969</v>
      </c>
      <c r="M31" s="12" t="n">
        <f aca="false">(L31-K31)*100</f>
        <v>0.797222502956734</v>
      </c>
      <c r="N31" s="11" t="n">
        <f aca="false">('Base votos'!I195)/'Base votos'!R195</f>
        <v>0.11689539602511</v>
      </c>
      <c r="O31" s="11" t="n">
        <f aca="false">('Base votos'!I228)/'Base votos'!R228</f>
        <v>0.0342779011029191</v>
      </c>
      <c r="P31" s="12" t="n">
        <f aca="false">(O31-N31)*100</f>
        <v>-8.26174949221913</v>
      </c>
      <c r="Q31" s="11" t="n">
        <f aca="false">('Base votos'!J195)/'Base votos'!R195</f>
        <v>0.092227127547961</v>
      </c>
      <c r="R31" s="11" t="n">
        <f aca="false">('Base votos'!J228)/'Base votos'!R228</f>
        <v>0.0791897133955659</v>
      </c>
      <c r="S31" s="12" t="n">
        <f aca="false">(R31-Q31)*100</f>
        <v>-1.30374141523951</v>
      </c>
      <c r="T31" s="11" t="n">
        <f aca="false">('Base votos'!K195)/'Base votos'!R195</f>
        <v>0.0176558551370593</v>
      </c>
      <c r="U31" s="11" t="n">
        <f aca="false">('Base votos'!K228)/'Base votos'!R228</f>
        <v>0.0759448297918405</v>
      </c>
      <c r="V31" s="12" t="n">
        <f aca="false">(U31-T31)*100</f>
        <v>5.82889746547812</v>
      </c>
      <c r="W31" s="11" t="n">
        <f aca="false">('Base votos'!D195+'Base votos'!E195)/'Base votos'!R195</f>
        <v>0.660353697669192</v>
      </c>
      <c r="X31" s="11" t="n">
        <f aca="false">('Base votos'!D228+'Base votos'!E228)/'Base votos'!R228</f>
        <v>0.653822485462257</v>
      </c>
      <c r="Y31" s="12" t="n">
        <f aca="false">(X31-W31)*100</f>
        <v>-0.653121220693498</v>
      </c>
      <c r="Z31" s="11" t="n">
        <f aca="false">('Base votos'!H195+'Base votos'!I195+'Base votos'!J195)/'Base votos'!R195</f>
        <v>0.224300189347601</v>
      </c>
      <c r="AA31" s="11" t="n">
        <f aca="false">('Base votos'!H228+'Base votos'!I228+'Base votos'!J228)/'Base votos'!R228</f>
        <v>0.136617505302582</v>
      </c>
      <c r="AB31" s="12" t="n">
        <f aca="false">(AA31-Z31)*100</f>
        <v>-8.76826840450191</v>
      </c>
    </row>
    <row r="32" customFormat="false" ht="15" hidden="false" customHeight="false" outlineLevel="0" collapsed="false">
      <c r="A32" s="14" t="s">
        <v>109</v>
      </c>
      <c r="B32" s="11" t="n">
        <f aca="false">('Base votos'!D196)/'Base votos'!R196</f>
        <v>0.331963744307608</v>
      </c>
      <c r="C32" s="11" t="n">
        <f aca="false">('Base votos'!D229)/'Base votos'!R229</f>
        <v>0.456740801512422</v>
      </c>
      <c r="D32" s="12" t="n">
        <f aca="false">(C32-B32)*100</f>
        <v>12.4777057204815</v>
      </c>
      <c r="E32" s="11" t="n">
        <f aca="false">('Base votos'!E196)/'Base votos'!R196</f>
        <v>0.0269130951248485</v>
      </c>
      <c r="F32" s="11" t="n">
        <f aca="false">('Base votos'!E229)/'Base votos'!R229</f>
        <v>0.03037759509373</v>
      </c>
      <c r="G32" s="12" t="n">
        <f aca="false">(F32-E32)*100</f>
        <v>0.346449996888149</v>
      </c>
      <c r="H32" s="11" t="n">
        <f aca="false">('Base votos'!F196)/'Base votos'!R196</f>
        <v>0.0233189910653524</v>
      </c>
      <c r="I32" s="11" t="n">
        <f aca="false">('Base votos'!F229)/'Base votos'!R229</f>
        <v>0.113876313729204</v>
      </c>
      <c r="J32" s="12" t="n">
        <f aca="false">(I32-H32)*100</f>
        <v>9.05573226638519</v>
      </c>
      <c r="K32" s="11" t="n">
        <f aca="false">('Base votos'!H196)/'Base votos'!R196</f>
        <v>0.337680528419887</v>
      </c>
      <c r="L32" s="11" t="n">
        <f aca="false">('Base votos'!H229)/'Base votos'!R229</f>
        <v>0.231669599219189</v>
      </c>
      <c r="M32" s="12" t="n">
        <f aca="false">(L32-K32)*100</f>
        <v>-10.6010929200698</v>
      </c>
      <c r="N32" s="11" t="n">
        <f aca="false">('Base votos'!I196)/'Base votos'!R196</f>
        <v>0.18042170658354</v>
      </c>
      <c r="O32" s="11" t="n">
        <f aca="false">('Base votos'!I229)/'Base votos'!R229</f>
        <v>0.0398222387317105</v>
      </c>
      <c r="P32" s="12" t="n">
        <f aca="false">(O32-N32)*100</f>
        <v>-14.059946785183</v>
      </c>
      <c r="Q32" s="11" t="n">
        <f aca="false">('Base votos'!J196)/'Base votos'!R196</f>
        <v>0.013238547528276</v>
      </c>
      <c r="R32" s="11" t="n">
        <f aca="false">('Base votos'!J229)/'Base votos'!R229</f>
        <v>0.00930626733931898</v>
      </c>
      <c r="S32" s="12" t="n">
        <f aca="false">(R32-Q32)*100</f>
        <v>-0.3932280188957</v>
      </c>
      <c r="T32" s="11" t="n">
        <f aca="false">('Base votos'!K196)/'Base votos'!R196</f>
        <v>0.0214457152474407</v>
      </c>
      <c r="U32" s="11" t="n">
        <f aca="false">('Base votos'!K229)/'Base votos'!R229</f>
        <v>0.0695122573725354</v>
      </c>
      <c r="V32" s="12" t="n">
        <f aca="false">(U32-T32)*100</f>
        <v>4.80665421250947</v>
      </c>
      <c r="W32" s="11" t="n">
        <f aca="false">('Base votos'!D196+'Base votos'!E196)/'Base votos'!R196</f>
        <v>0.358876839432456</v>
      </c>
      <c r="X32" s="11" t="n">
        <f aca="false">('Base votos'!D229+'Base votos'!E229)/'Base votos'!R229</f>
        <v>0.487118396606152</v>
      </c>
      <c r="Y32" s="12" t="n">
        <f aca="false">(X32-W32)*100</f>
        <v>12.8241557173696</v>
      </c>
      <c r="Z32" s="11" t="n">
        <f aca="false">('Base votos'!H196+'Base votos'!I196+'Base votos'!J196)/'Base votos'!R196</f>
        <v>0.531340782531703</v>
      </c>
      <c r="AA32" s="11" t="n">
        <f aca="false">('Base votos'!H229+'Base votos'!I229+'Base votos'!J229)/'Base votos'!R229</f>
        <v>0.280798105290218</v>
      </c>
      <c r="AB32" s="12" t="n">
        <f aca="false">(AA32-Z32)*100</f>
        <v>-25.0542677241485</v>
      </c>
    </row>
    <row r="33" customFormat="false" ht="15" hidden="false" customHeight="false" outlineLevel="0" collapsed="false">
      <c r="A33" s="14" t="s">
        <v>110</v>
      </c>
      <c r="B33" s="11" t="n">
        <f aca="false">('Base votos'!D197)/'Base votos'!R197</f>
        <v>0.507408604473261</v>
      </c>
      <c r="C33" s="11" t="n">
        <f aca="false">('Base votos'!D230)/'Base votos'!R230</f>
        <v>0.404332129963899</v>
      </c>
      <c r="D33" s="12" t="n">
        <f aca="false">(C33-B33)*100</f>
        <v>-10.3076474509362</v>
      </c>
      <c r="E33" s="11" t="n">
        <f aca="false">('Base votos'!E197)/'Base votos'!R197</f>
        <v>0.0529378612740234</v>
      </c>
      <c r="F33" s="11" t="n">
        <f aca="false">('Base votos'!E230)/'Base votos'!R230</f>
        <v>0.0913442614968221</v>
      </c>
      <c r="G33" s="12" t="n">
        <f aca="false">(F33-E33)*100</f>
        <v>3.84064002227987</v>
      </c>
      <c r="H33" s="11" t="n">
        <f aca="false">('Base votos'!F197)/'Base votos'!R197</f>
        <v>0.023508087503228</v>
      </c>
      <c r="I33" s="11" t="n">
        <f aca="false">('Base votos'!F230)/'Base votos'!R230</f>
        <v>0.119080822331002</v>
      </c>
      <c r="J33" s="12" t="n">
        <f aca="false">(I33-H33)*100</f>
        <v>9.55727348277739</v>
      </c>
      <c r="K33" s="11" t="n">
        <f aca="false">('Base votos'!H197)/'Base votos'!R197</f>
        <v>0.108992485013066</v>
      </c>
      <c r="L33" s="11" t="n">
        <f aca="false">('Base votos'!H230)/'Base votos'!R230</f>
        <v>0.0897157225694665</v>
      </c>
      <c r="M33" s="12" t="n">
        <f aca="false">(L33-K33)*100</f>
        <v>-1.92767624435999</v>
      </c>
      <c r="N33" s="11" t="n">
        <f aca="false">('Base votos'!I197)/'Base votos'!R197</f>
        <v>0.133056035133823</v>
      </c>
      <c r="O33" s="11" t="n">
        <f aca="false">('Base votos'!I230)/'Base votos'!R230</f>
        <v>0.0937978907445155</v>
      </c>
      <c r="P33" s="12" t="n">
        <f aca="false">(O33-N33)*100</f>
        <v>-3.92581443893071</v>
      </c>
      <c r="Q33" s="11" t="n">
        <f aca="false">('Base votos'!J197)/'Base votos'!R197</f>
        <v>0.0426829169258555</v>
      </c>
      <c r="R33" s="11" t="n">
        <f aca="false">('Base votos'!J230)/'Base votos'!R230</f>
        <v>0.0306311399907752</v>
      </c>
      <c r="S33" s="12" t="n">
        <f aca="false">(R33-Q33)*100</f>
        <v>-1.20517769350803</v>
      </c>
      <c r="T33" s="11" t="n">
        <f aca="false">('Base votos'!K197)/'Base votos'!R197</f>
        <v>0.0250851465722922</v>
      </c>
      <c r="U33" s="11" t="n">
        <f aca="false">('Base votos'!K230)/'Base votos'!R230</f>
        <v>0.105373502156732</v>
      </c>
      <c r="V33" s="12" t="n">
        <f aca="false">(U33-T33)*100</f>
        <v>8.02883555844398</v>
      </c>
      <c r="W33" s="11" t="n">
        <f aca="false">('Base votos'!D197+'Base votos'!E197)/'Base votos'!R197</f>
        <v>0.560346465747284</v>
      </c>
      <c r="X33" s="11" t="n">
        <f aca="false">('Base votos'!D230+'Base votos'!E230)/'Base votos'!R230</f>
        <v>0.495676391460721</v>
      </c>
      <c r="Y33" s="12" t="n">
        <f aca="false">(X33-W33)*100</f>
        <v>-6.4670074286563</v>
      </c>
      <c r="Z33" s="11" t="n">
        <f aca="false">('Base votos'!H197+'Base votos'!I197+'Base votos'!J197)/'Base votos'!R197</f>
        <v>0.284731437072745</v>
      </c>
      <c r="AA33" s="11" t="n">
        <f aca="false">('Base votos'!H230+'Base votos'!I230+'Base votos'!J230)/'Base votos'!R230</f>
        <v>0.214144753304757</v>
      </c>
      <c r="AB33" s="12" t="n">
        <f aca="false">(AA33-Z33)*100</f>
        <v>-7.05866837679872</v>
      </c>
    </row>
    <row r="34" customFormat="false" ht="15" hidden="false" customHeight="false" outlineLevel="0" collapsed="false">
      <c r="A34" s="14" t="s">
        <v>111</v>
      </c>
      <c r="B34" s="11" t="n">
        <f aca="false">('Base votos'!D198)/'Base votos'!R198</f>
        <v>0.441514694411591</v>
      </c>
      <c r="C34" s="11" t="n">
        <f aca="false">('Base votos'!D231)/'Base votos'!R231</f>
        <v>0.502091599782957</v>
      </c>
      <c r="D34" s="12" t="n">
        <f aca="false">(C34-B34)*100</f>
        <v>6.05769053713653</v>
      </c>
      <c r="E34" s="11" t="n">
        <f aca="false">('Base votos'!E198)/'Base votos'!R198</f>
        <v>0.0242641535222416</v>
      </c>
      <c r="F34" s="11" t="n">
        <f aca="false">('Base votos'!E231)/'Base votos'!R231</f>
        <v>0.0390159205159461</v>
      </c>
      <c r="G34" s="12" t="n">
        <f aca="false">(F34-E34)*100</f>
        <v>1.47517669937045</v>
      </c>
      <c r="H34" s="11" t="n">
        <f aca="false">('Base votos'!F198)/'Base votos'!R198</f>
        <v>0.0266007850390647</v>
      </c>
      <c r="I34" s="11" t="n">
        <f aca="false">('Base votos'!F231)/'Base votos'!R231</f>
        <v>0.06499264378865</v>
      </c>
      <c r="J34" s="12" t="n">
        <f aca="false">(I34-H34)*100</f>
        <v>3.83918587495853</v>
      </c>
      <c r="K34" s="11" t="n">
        <f aca="false">('Base votos'!H198)/'Base votos'!R198</f>
        <v>0.259077292387645</v>
      </c>
      <c r="L34" s="11" t="n">
        <f aca="false">('Base votos'!H231)/'Base votos'!R231</f>
        <v>0.172067111700236</v>
      </c>
      <c r="M34" s="12" t="n">
        <f aca="false">(L34-K34)*100</f>
        <v>-8.70101806874089</v>
      </c>
      <c r="N34" s="11" t="n">
        <f aca="false">('Base votos'!I198)/'Base votos'!R198</f>
        <v>0.112636426786637</v>
      </c>
      <c r="O34" s="11" t="n">
        <f aca="false">('Base votos'!I231)/'Base votos'!R231</f>
        <v>0.0915494910458651</v>
      </c>
      <c r="P34" s="12" t="n">
        <f aca="false">(O34-N34)*100</f>
        <v>-2.10869357407717</v>
      </c>
      <c r="Q34" s="11" t="n">
        <f aca="false">('Base votos'!J198)/'Base votos'!R198</f>
        <v>0.0486621056443371</v>
      </c>
      <c r="R34" s="11" t="n">
        <f aca="false">('Base votos'!J231)/'Base votos'!R231</f>
        <v>0.0229771506180196</v>
      </c>
      <c r="S34" s="12" t="n">
        <f aca="false">(R34-Q34)*100</f>
        <v>-2.56849550263175</v>
      </c>
      <c r="T34" s="11" t="n">
        <f aca="false">('Base votos'!K198)/'Base votos'!R198</f>
        <v>0.0244272778426115</v>
      </c>
      <c r="U34" s="11" t="n">
        <f aca="false">('Base votos'!K231)/'Base votos'!R231</f>
        <v>0.0768846417747988</v>
      </c>
      <c r="V34" s="12" t="n">
        <f aca="false">(U34-T34)*100</f>
        <v>5.24573639321873</v>
      </c>
      <c r="W34" s="11" t="n">
        <f aca="false">('Base votos'!D198+'Base votos'!E198)/'Base votos'!R198</f>
        <v>0.465778847933833</v>
      </c>
      <c r="X34" s="11" t="n">
        <f aca="false">('Base votos'!D231+'Base votos'!E231)/'Base votos'!R231</f>
        <v>0.541107520298903</v>
      </c>
      <c r="Y34" s="12" t="n">
        <f aca="false">(X34-W34)*100</f>
        <v>7.53286723650697</v>
      </c>
      <c r="Z34" s="11" t="n">
        <f aca="false">('Base votos'!H198+'Base votos'!I198+'Base votos'!J198)/'Base votos'!R198</f>
        <v>0.420375824818619</v>
      </c>
      <c r="AA34" s="11" t="n">
        <f aca="false">('Base votos'!H231+'Base votos'!I231+'Base votos'!J231)/'Base votos'!R231</f>
        <v>0.286593753364121</v>
      </c>
      <c r="AB34" s="12" t="n">
        <f aca="false">(AA34-Z34)*100</f>
        <v>-13.3782071454498</v>
      </c>
    </row>
    <row r="35" customFormat="false" ht="15" hidden="false" customHeight="false" outlineLevel="0" collapsed="false">
      <c r="A35" s="14" t="s">
        <v>112</v>
      </c>
      <c r="B35" s="11" t="n">
        <f aca="false">('Base votos'!D199)/'Base votos'!R199</f>
        <v>0.241641472102668</v>
      </c>
      <c r="C35" s="11" t="n">
        <f aca="false">('Base votos'!D232)/'Base votos'!R232</f>
        <v>0.418459826160695</v>
      </c>
      <c r="D35" s="12" t="n">
        <f aca="false">(C35-B35)*100</f>
        <v>17.6818354058027</v>
      </c>
      <c r="E35" s="11" t="n">
        <f aca="false">('Base votos'!E199)/'Base votos'!R199</f>
        <v>0.0158344930148018</v>
      </c>
      <c r="F35" s="11" t="n">
        <f aca="false">('Base votos'!E232)/'Base votos'!R232</f>
        <v>0.037028146005063</v>
      </c>
      <c r="G35" s="12" t="n">
        <f aca="false">(F35-E35)*100</f>
        <v>2.11936529902613</v>
      </c>
      <c r="H35" s="11" t="n">
        <f aca="false">('Base votos'!F199)/'Base votos'!R199</f>
        <v>0.0337628673005972</v>
      </c>
      <c r="I35" s="11" t="n">
        <f aca="false">('Base votos'!F232)/'Base votos'!R232</f>
        <v>0.0602576413223759</v>
      </c>
      <c r="J35" s="12" t="n">
        <f aca="false">(I35-H35)*100</f>
        <v>2.64947740217787</v>
      </c>
      <c r="K35" s="11" t="n">
        <f aca="false">('Base votos'!H199)/'Base votos'!R199</f>
        <v>0.286196477150187</v>
      </c>
      <c r="L35" s="11" t="n">
        <f aca="false">('Base votos'!H232)/'Base votos'!R232</f>
        <v>0.302439393183604</v>
      </c>
      <c r="M35" s="12" t="n">
        <f aca="false">(L35-K35)*100</f>
        <v>1.62429160334166</v>
      </c>
      <c r="N35" s="11" t="n">
        <f aca="false">('Base votos'!I199)/'Base votos'!R199</f>
        <v>0.315838710038323</v>
      </c>
      <c r="O35" s="11" t="n">
        <f aca="false">('Base votos'!I232)/'Base votos'!R232</f>
        <v>0.0871261956128646</v>
      </c>
      <c r="P35" s="12" t="n">
        <f aca="false">(O35-N35)*100</f>
        <v>-22.8712514425459</v>
      </c>
      <c r="Q35" s="11" t="n">
        <f aca="false">('Base votos'!J199)/'Base votos'!R199</f>
        <v>0.0249432638212946</v>
      </c>
      <c r="R35" s="11" t="n">
        <f aca="false">('Base votos'!J232)/'Base votos'!R232</f>
        <v>0.00891955255708389</v>
      </c>
      <c r="S35" s="12" t="n">
        <f aca="false">(R35-Q35)*100</f>
        <v>-1.60237112642107</v>
      </c>
      <c r="T35" s="11" t="n">
        <f aca="false">('Base votos'!K199)/'Base votos'!R199</f>
        <v>0.0216591491767768</v>
      </c>
      <c r="U35" s="11" t="n">
        <f aca="false">('Base votos'!K232)/'Base votos'!R232</f>
        <v>0.0561509371609572</v>
      </c>
      <c r="V35" s="12" t="n">
        <f aca="false">(U35-T35)*100</f>
        <v>3.44917879841805</v>
      </c>
      <c r="W35" s="11" t="n">
        <f aca="false">('Base votos'!D199+'Base votos'!E199)/'Base votos'!R199</f>
        <v>0.25747596511747</v>
      </c>
      <c r="X35" s="11" t="n">
        <f aca="false">('Base votos'!D232+'Base votos'!E232)/'Base votos'!R232</f>
        <v>0.455487972165758</v>
      </c>
      <c r="Y35" s="12" t="n">
        <f aca="false">(X35-W35)*100</f>
        <v>19.8012007048288</v>
      </c>
      <c r="Z35" s="11" t="n">
        <f aca="false">('Base votos'!H199+'Base votos'!I199+'Base votos'!J199)/'Base votos'!R199</f>
        <v>0.626978451009805</v>
      </c>
      <c r="AA35" s="11" t="n">
        <f aca="false">('Base votos'!H232+'Base votos'!I232+'Base votos'!J232)/'Base votos'!R232</f>
        <v>0.398485141353552</v>
      </c>
      <c r="AB35" s="12" t="n">
        <f aca="false">(AA35-Z35)*100</f>
        <v>-22.8493309656253</v>
      </c>
    </row>
    <row r="36" customFormat="false" ht="15" hidden="false" customHeight="false" outlineLevel="0" collapsed="false">
      <c r="A36" s="14" t="s">
        <v>113</v>
      </c>
      <c r="B36" s="11" t="n">
        <f aca="false">('Base votos'!D200)/'Base votos'!R200</f>
        <v>0.327054257897376</v>
      </c>
      <c r="C36" s="11" t="n">
        <f aca="false">('Base votos'!D233)/'Base votos'!R233</f>
        <v>0.330064002408525</v>
      </c>
      <c r="D36" s="12" t="n">
        <f aca="false">(C36-B36)*100</f>
        <v>0.300974451114944</v>
      </c>
      <c r="E36" s="11" t="n">
        <f aca="false">('Base votos'!E200)/'Base votos'!R200</f>
        <v>0.0690563367039947</v>
      </c>
      <c r="F36" s="11" t="n">
        <f aca="false">('Base votos'!E233)/'Base votos'!R233</f>
        <v>0.0620389931948777</v>
      </c>
      <c r="G36" s="12" t="n">
        <f aca="false">(F36-E36)*100</f>
        <v>-0.701734350911692</v>
      </c>
      <c r="H36" s="11" t="n">
        <f aca="false">('Base votos'!F200)/'Base votos'!R200</f>
        <v>0.0591389144242019</v>
      </c>
      <c r="I36" s="11" t="n">
        <f aca="false">('Base votos'!F233)/'Base votos'!R233</f>
        <v>0.0723102637439073</v>
      </c>
      <c r="J36" s="12" t="n">
        <f aca="false">(I36-H36)*100</f>
        <v>1.31713493197054</v>
      </c>
      <c r="K36" s="11" t="n">
        <f aca="false">('Base votos'!H200)/'Base votos'!R200</f>
        <v>0.128799828681264</v>
      </c>
      <c r="L36" s="11" t="n">
        <f aca="false">('Base votos'!H233)/'Base votos'!R233</f>
        <v>0.118493996854383</v>
      </c>
      <c r="M36" s="12" t="n">
        <f aca="false">(L36-K36)*100</f>
        <v>-1.03058318268807</v>
      </c>
      <c r="N36" s="11" t="n">
        <f aca="false">('Base votos'!I200)/'Base votos'!R200</f>
        <v>0.2397809418352</v>
      </c>
      <c r="O36" s="11" t="n">
        <f aca="false">('Base votos'!I233)/'Base votos'!R233</f>
        <v>0.189676562037696</v>
      </c>
      <c r="P36" s="12" t="n">
        <f aca="false">(O36-N36)*100</f>
        <v>-5.01043797975042</v>
      </c>
      <c r="Q36" s="11" t="n">
        <f aca="false">('Base votos'!J200)/'Base votos'!R200</f>
        <v>0.0559462748621093</v>
      </c>
      <c r="R36" s="11" t="n">
        <f aca="false">('Base votos'!J233)/'Base votos'!R233</f>
        <v>0.0490023306635384</v>
      </c>
      <c r="S36" s="12" t="n">
        <f aca="false">(R36-Q36)*100</f>
        <v>-0.694394419857096</v>
      </c>
      <c r="T36" s="11" t="n">
        <f aca="false">('Base votos'!K200)/'Base votos'!R200</f>
        <v>0.0239715652682601</v>
      </c>
      <c r="U36" s="11" t="n">
        <f aca="false">('Base votos'!K233)/'Base votos'!R233</f>
        <v>0.136463205103582</v>
      </c>
      <c r="V36" s="12" t="n">
        <f aca="false">(U36-T36)*100</f>
        <v>11.2491639835322</v>
      </c>
      <c r="W36" s="11" t="n">
        <f aca="false">('Base votos'!D200+'Base votos'!E200)/'Base votos'!R200</f>
        <v>0.396110594601371</v>
      </c>
      <c r="X36" s="11" t="n">
        <f aca="false">('Base votos'!D233+'Base votos'!E233)/'Base votos'!R233</f>
        <v>0.392102995603403</v>
      </c>
      <c r="Y36" s="12" t="n">
        <f aca="false">(X36-W36)*100</f>
        <v>-0.400759899796749</v>
      </c>
      <c r="Z36" s="11" t="n">
        <f aca="false">('Base votos'!H200+'Base votos'!I200+'Base votos'!J200)/'Base votos'!R200</f>
        <v>0.424527045378573</v>
      </c>
      <c r="AA36" s="11" t="n">
        <f aca="false">('Base votos'!H233+'Base votos'!I233+'Base votos'!J233)/'Base votos'!R233</f>
        <v>0.357172889555617</v>
      </c>
      <c r="AB36" s="12" t="n">
        <f aca="false">(AA36-Z36)*100</f>
        <v>-6.73541558229559</v>
      </c>
    </row>
    <row r="37" customFormat="false" ht="15" hidden="false" customHeight="false" outlineLevel="0" collapsed="false">
      <c r="A37" s="16" t="s">
        <v>4</v>
      </c>
      <c r="B37" s="17" t="n">
        <f aca="false">('Base votos'!D201)/'Base votos'!R201</f>
        <v>0.377441922050585</v>
      </c>
      <c r="C37" s="17" t="n">
        <f aca="false">('Base votos'!D234)/'Base votos'!R234</f>
        <v>0.410065468267754</v>
      </c>
      <c r="D37" s="18" t="n">
        <f aca="false">(C37-B37)*100</f>
        <v>3.26235462171685</v>
      </c>
      <c r="E37" s="17" t="n">
        <f aca="false">('Base votos'!E201)/'Base votos'!R201</f>
        <v>0.0370105455510736</v>
      </c>
      <c r="F37" s="17" t="n">
        <f aca="false">('Base votos'!E234)/'Base votos'!R234</f>
        <v>0.052382830359568</v>
      </c>
      <c r="G37" s="18" t="n">
        <f aca="false">(F37-E37)*100</f>
        <v>1.53722848084944</v>
      </c>
      <c r="H37" s="17" t="n">
        <f aca="false">('Base votos'!F201)/'Base votos'!R201</f>
        <v>0.0441905875426333</v>
      </c>
      <c r="I37" s="17" t="n">
        <f aca="false">('Base votos'!F234)/'Base votos'!R234</f>
        <v>0.0884776555375911</v>
      </c>
      <c r="J37" s="18" t="n">
        <f aca="false">(I37-H37)*100</f>
        <v>4.42870679949578</v>
      </c>
      <c r="K37" s="17" t="n">
        <f aca="false">('Base votos'!H201)/'Base votos'!R201</f>
        <v>0.176992788860074</v>
      </c>
      <c r="L37" s="17" t="n">
        <f aca="false">('Base votos'!H234)/'Base votos'!R234</f>
        <v>0.169324818262119</v>
      </c>
      <c r="M37" s="18" t="n">
        <f aca="false">(L37-K37)*100</f>
        <v>-0.766797059795518</v>
      </c>
      <c r="N37" s="17" t="n">
        <f aca="false">('Base votos'!I201)/'Base votos'!R201</f>
        <v>0.159720223723794</v>
      </c>
      <c r="O37" s="17" t="n">
        <f aca="false">('Base votos'!I234)/'Base votos'!R234</f>
        <v>0.108834508043717</v>
      </c>
      <c r="P37" s="18" t="n">
        <f aca="false">(O37-N37)*100</f>
        <v>-5.08857156800765</v>
      </c>
      <c r="Q37" s="17" t="n">
        <f aca="false">('Base votos'!J201)/'Base votos'!R201</f>
        <v>0.0522287949264823</v>
      </c>
      <c r="R37" s="17" t="n">
        <f aca="false">('Base votos'!J234)/'Base votos'!R234</f>
        <v>0.021836277300513</v>
      </c>
      <c r="S37" s="18" t="n">
        <f aca="false">(R37-Q37)*100</f>
        <v>-3.03925176259693</v>
      </c>
      <c r="T37" s="17" t="n">
        <f aca="false">('Base votos'!K201)/'Base votos'!R201</f>
        <v>0.046146247180526</v>
      </c>
      <c r="U37" s="17" t="n">
        <f aca="false">('Base votos'!K234)/'Base votos'!R234</f>
        <v>0.108797210359903</v>
      </c>
      <c r="V37" s="18" t="n">
        <f aca="false">(U37-T37)*100</f>
        <v>6.26509631793773</v>
      </c>
      <c r="W37" s="17" t="n">
        <f aca="false">('Base votos'!D201+'Base votos'!E201)/'Base votos'!R201</f>
        <v>0.414452467601659</v>
      </c>
      <c r="X37" s="17" t="n">
        <f aca="false">('Base votos'!D234+'Base votos'!E234)/'Base votos'!R234</f>
        <v>0.462448298627322</v>
      </c>
      <c r="Y37" s="18" t="n">
        <f aca="false">(X37-W37)*100</f>
        <v>4.79958310256628</v>
      </c>
      <c r="Z37" s="17" t="n">
        <f aca="false">('Base votos'!H201+'Base votos'!I201+'Base votos'!J201)/'Base votos'!R201</f>
        <v>0.38894180751035</v>
      </c>
      <c r="AA37" s="17" t="n">
        <f aca="false">('Base votos'!H234+'Base votos'!I234+'Base votos'!J234)/'Base votos'!R234</f>
        <v>0.299995603606349</v>
      </c>
      <c r="AB37" s="18" t="n">
        <f aca="false">(AA37-Z37)*100</f>
        <v>-8.89462039040011</v>
      </c>
    </row>
  </sheetData>
  <mergeCells count="9">
    <mergeCell ref="B3:D3"/>
    <mergeCell ref="E3:G3"/>
    <mergeCell ref="H3:J3"/>
    <mergeCell ref="K3:M3"/>
    <mergeCell ref="N3:P3"/>
    <mergeCell ref="Q3:S3"/>
    <mergeCell ref="T3:V3"/>
    <mergeCell ref="W3:Y3"/>
    <mergeCell ref="Z3:AB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23" min="2" style="0" width="13"/>
    <col collapsed="false" customWidth="true" hidden="false" outlineLevel="0" max="26" min="24" style="0" width="22"/>
  </cols>
  <sheetData>
    <row r="1" customFormat="false" ht="16.15" hidden="false" customHeight="false" outlineLevel="0" collapsed="false">
      <c r="A1" s="5" t="s">
        <v>157</v>
      </c>
    </row>
    <row r="2" customFormat="false" ht="15" hidden="false" customHeight="false" outlineLevel="0" collapsed="false">
      <c r="A2" s="2" t="s">
        <v>115</v>
      </c>
    </row>
    <row r="3" customFormat="false" ht="26.85" hidden="false" customHeight="true" outlineLevel="0" collapsed="false">
      <c r="A3" s="6"/>
      <c r="B3" s="6" t="s">
        <v>53</v>
      </c>
      <c r="C3" s="6"/>
      <c r="D3" s="6"/>
      <c r="E3" s="6" t="s">
        <v>54</v>
      </c>
      <c r="F3" s="6"/>
      <c r="G3" s="6"/>
      <c r="H3" s="6" t="s">
        <v>51</v>
      </c>
      <c r="I3" s="6"/>
      <c r="J3" s="6"/>
      <c r="K3" s="6"/>
      <c r="L3" s="6" t="s">
        <v>116</v>
      </c>
      <c r="M3" s="6"/>
      <c r="N3" s="6"/>
      <c r="O3" s="6" t="s">
        <v>117</v>
      </c>
      <c r="P3" s="6"/>
      <c r="Q3" s="6"/>
      <c r="R3" s="6" t="s">
        <v>118</v>
      </c>
      <c r="S3" s="6"/>
      <c r="T3" s="6"/>
      <c r="U3" s="6" t="s">
        <v>119</v>
      </c>
      <c r="V3" s="6"/>
      <c r="W3" s="6"/>
      <c r="X3" s="6" t="s">
        <v>120</v>
      </c>
      <c r="Y3" s="6"/>
      <c r="Z3" s="6"/>
    </row>
    <row r="4" customFormat="false" ht="75" hidden="false" customHeight="true" outlineLevel="0" collapsed="false">
      <c r="A4" s="6" t="s">
        <v>80</v>
      </c>
      <c r="B4" s="6" t="s">
        <v>43</v>
      </c>
      <c r="C4" s="6" t="s">
        <v>44</v>
      </c>
      <c r="D4" s="7" t="s">
        <v>81</v>
      </c>
      <c r="E4" s="6" t="s">
        <v>43</v>
      </c>
      <c r="F4" s="6" t="s">
        <v>44</v>
      </c>
      <c r="G4" s="7" t="s">
        <v>81</v>
      </c>
      <c r="H4" s="6" t="s">
        <v>43</v>
      </c>
      <c r="I4" s="6" t="s">
        <v>44</v>
      </c>
      <c r="J4" s="7" t="s">
        <v>121</v>
      </c>
      <c r="K4" s="7" t="s">
        <v>122</v>
      </c>
      <c r="L4" s="6" t="s">
        <v>123</v>
      </c>
      <c r="M4" s="6" t="s">
        <v>124</v>
      </c>
      <c r="N4" s="7" t="s">
        <v>81</v>
      </c>
      <c r="O4" s="6" t="s">
        <v>125</v>
      </c>
      <c r="P4" s="6" t="s">
        <v>126</v>
      </c>
      <c r="Q4" s="7" t="s">
        <v>81</v>
      </c>
      <c r="R4" s="6" t="s">
        <v>127</v>
      </c>
      <c r="S4" s="6" t="s">
        <v>128</v>
      </c>
      <c r="T4" s="7" t="s">
        <v>81</v>
      </c>
      <c r="U4" s="6" t="s">
        <v>43</v>
      </c>
      <c r="V4" s="6" t="s">
        <v>44</v>
      </c>
      <c r="W4" s="7" t="s">
        <v>81</v>
      </c>
      <c r="X4" s="6" t="s">
        <v>129</v>
      </c>
      <c r="Y4" s="6" t="s">
        <v>130</v>
      </c>
      <c r="Z4" s="6" t="s">
        <v>131</v>
      </c>
    </row>
    <row r="5" customFormat="false" ht="23.85" hidden="false" customHeight="false" outlineLevel="0" collapsed="false">
      <c r="A5" s="14" t="s">
        <v>82</v>
      </c>
      <c r="B5" s="11" t="n">
        <f aca="false">'Base votos'!R169/'Base votos'!S169</f>
        <v>0.593481750148921</v>
      </c>
      <c r="C5" s="11" t="n">
        <f aca="false">'Base votos'!R202/'Base votos'!S202</f>
        <v>0.604132212620296</v>
      </c>
      <c r="D5" s="12" t="n">
        <f aca="false">(C5-B5)*100</f>
        <v>1.06504624713745</v>
      </c>
      <c r="E5" s="11" t="n">
        <f aca="false">'Base votos'!Q169/'Base votos'!R169</f>
        <v>0.0371498151244924</v>
      </c>
      <c r="F5" s="11" t="n">
        <f aca="false">'Base votos'!Q202/'Base votos'!R202</f>
        <v>0.0256771440008909</v>
      </c>
      <c r="G5" s="12" t="n">
        <f aca="false">(F5-E5)*100</f>
        <v>-1.14726711236014</v>
      </c>
      <c r="H5" s="9" t="n">
        <f aca="false">'Base votos'!R169</f>
        <v>560918</v>
      </c>
      <c r="I5" s="9" t="n">
        <f aca="false">'Base votos'!R202</f>
        <v>664482</v>
      </c>
      <c r="J5" s="10" t="n">
        <f aca="false">I5-H5</f>
        <v>103564</v>
      </c>
      <c r="K5" s="19" t="n">
        <f aca="false">I5/H5-1</f>
        <v>0.184633047967796</v>
      </c>
      <c r="L5" s="11" t="n">
        <f aca="false">'Base votos'!U169/'Base votos'!R169</f>
        <v>0.288220381588753</v>
      </c>
      <c r="M5" s="11" t="n">
        <f aca="false">'Base votos'!U202/'Base votos'!R202</f>
        <v>0.371373490929777</v>
      </c>
      <c r="N5" s="12" t="n">
        <f aca="false">(M5-L5)*100</f>
        <v>8.31531093410242</v>
      </c>
      <c r="O5" s="11" t="n">
        <f aca="false">'Base votos'!V169/'Base votos'!R169</f>
        <v>0.357162722536984</v>
      </c>
      <c r="P5" s="11" t="n">
        <f aca="false">'Base votos'!V202/'Base votos'!R202</f>
        <v>0.534938493443013</v>
      </c>
      <c r="Q5" s="12" t="n">
        <f aca="false">(P5-O5)*100</f>
        <v>17.7775770906029</v>
      </c>
      <c r="R5" s="11" t="n">
        <f aca="false">'Base votos'!W169/'Base votos'!R169</f>
        <v>0.316732570536157</v>
      </c>
      <c r="S5" s="11" t="n">
        <f aca="false">'Base votos'!W202/'Base votos'!R202</f>
        <v>0.0672493762058265</v>
      </c>
      <c r="T5" s="12" t="n">
        <f aca="false">(S5-R5)*100</f>
        <v>-24.948319433033</v>
      </c>
      <c r="U5" s="20" t="n">
        <f aca="false">(MAX('Base votos'!U169:W169)-LARGE('Base votos'!U169:W169,2))/'Base votos'!R169*100</f>
        <v>4.04301520008272</v>
      </c>
      <c r="V5" s="20" t="n">
        <f aca="false">(MAX('Base votos'!U202:W202)-LARGE('Base votos'!U202:W202,2))/'Base votos'!R202*100</f>
        <v>16.3565002513236</v>
      </c>
      <c r="W5" s="12" t="n">
        <f aca="false">(V5-U5)</f>
        <v>12.3134850512409</v>
      </c>
      <c r="X5" s="21" t="s">
        <v>132</v>
      </c>
      <c r="Y5" s="21" t="s">
        <v>132</v>
      </c>
      <c r="Z5" s="21" t="s">
        <v>150</v>
      </c>
    </row>
    <row r="6" customFormat="false" ht="23.85" hidden="false" customHeight="false" outlineLevel="0" collapsed="false">
      <c r="A6" s="14" t="s">
        <v>83</v>
      </c>
      <c r="B6" s="11" t="n">
        <f aca="false">'Base votos'!R170/'Base votos'!S170</f>
        <v>0.529573055323413</v>
      </c>
      <c r="C6" s="11" t="n">
        <f aca="false">'Base votos'!R203/'Base votos'!S203</f>
        <v>0.486548422088604</v>
      </c>
      <c r="D6" s="12" t="n">
        <f aca="false">(C6-B6)*100</f>
        <v>-4.30246332348088</v>
      </c>
      <c r="E6" s="11" t="n">
        <f aca="false">'Base votos'!Q170/'Base votos'!R170</f>
        <v>0.0300085085458398</v>
      </c>
      <c r="F6" s="11" t="n">
        <f aca="false">'Base votos'!Q203/'Base votos'!R203</f>
        <v>0.0541582919653581</v>
      </c>
      <c r="G6" s="12" t="n">
        <f aca="false">(F6-E6)*100</f>
        <v>2.41497834195183</v>
      </c>
      <c r="H6" s="9" t="n">
        <f aca="false">'Base votos'!R170</f>
        <v>1447956</v>
      </c>
      <c r="I6" s="9" t="n">
        <f aca="false">'Base votos'!R203</f>
        <v>1557767</v>
      </c>
      <c r="J6" s="10" t="n">
        <f aca="false">I6-H6</f>
        <v>109811</v>
      </c>
      <c r="K6" s="19" t="n">
        <f aca="false">I6/H6-1</f>
        <v>0.0758386304556216</v>
      </c>
      <c r="L6" s="11" t="n">
        <f aca="false">'Base votos'!U170/'Base votos'!R170</f>
        <v>0.577945738682667</v>
      </c>
      <c r="M6" s="11" t="n">
        <f aca="false">'Base votos'!U203/'Base votos'!R203</f>
        <v>0.656630291949952</v>
      </c>
      <c r="N6" s="12" t="n">
        <f aca="false">(M6-L6)*100</f>
        <v>7.86845532672843</v>
      </c>
      <c r="O6" s="11" t="n">
        <f aca="false">'Base votos'!V170/'Base votos'!R170</f>
        <v>0.23621919450591</v>
      </c>
      <c r="P6" s="11" t="n">
        <f aca="false">'Base votos'!V203/'Base votos'!R203</f>
        <v>0.205189222778503</v>
      </c>
      <c r="Q6" s="12" t="n">
        <f aca="false">(P6-O6)*100</f>
        <v>-3.10299717274076</v>
      </c>
      <c r="R6" s="11" t="n">
        <f aca="false">'Base votos'!W170/'Base votos'!R170</f>
        <v>0.154899043893599</v>
      </c>
      <c r="S6" s="11" t="n">
        <f aca="false">'Base votos'!W203/'Base votos'!R203</f>
        <v>0.0829405167781831</v>
      </c>
      <c r="T6" s="12" t="n">
        <f aca="false">(S6-R6)*100</f>
        <v>-7.19585271154159</v>
      </c>
      <c r="U6" s="20" t="n">
        <f aca="false">(MAX('Base votos'!U170:W170)-LARGE('Base votos'!U170:W170,2))/'Base votos'!R170*100</f>
        <v>34.1726544176757</v>
      </c>
      <c r="V6" s="20" t="n">
        <f aca="false">(MAX('Base votos'!U203:W203)-LARGE('Base votos'!U203:W203,2))/'Base votos'!R203*100</f>
        <v>45.1441069171449</v>
      </c>
      <c r="W6" s="12" t="n">
        <f aca="false">(V6-U6)</f>
        <v>10.9714524994692</v>
      </c>
      <c r="X6" s="21" t="s">
        <v>74</v>
      </c>
      <c r="Y6" s="21" t="s">
        <v>74</v>
      </c>
      <c r="Z6" s="21" t="s">
        <v>134</v>
      </c>
    </row>
    <row r="7" customFormat="false" ht="23.85" hidden="false" customHeight="false" outlineLevel="0" collapsed="false">
      <c r="A7" s="14" t="s">
        <v>84</v>
      </c>
      <c r="B7" s="11" t="n">
        <f aca="false">'Base votos'!R171/'Base votos'!S171</f>
        <v>0.587311301114522</v>
      </c>
      <c r="C7" s="11" t="n">
        <f aca="false">'Base votos'!R204/'Base votos'!S204</f>
        <v>0.554864881590218</v>
      </c>
      <c r="D7" s="12" t="n">
        <f aca="false">(C7-B7)*100</f>
        <v>-3.24464195243033</v>
      </c>
      <c r="E7" s="11" t="n">
        <f aca="false">'Base votos'!Q171/'Base votos'!R171</f>
        <v>0.0348636679889338</v>
      </c>
      <c r="F7" s="11" t="n">
        <f aca="false">'Base votos'!Q204/'Base votos'!R204</f>
        <v>0.0325402019858123</v>
      </c>
      <c r="G7" s="12" t="n">
        <f aca="false">(F7-E7)*100</f>
        <v>-0.232346600312158</v>
      </c>
      <c r="H7" s="9" t="n">
        <f aca="false">'Base votos'!R171</f>
        <v>303267</v>
      </c>
      <c r="I7" s="9" t="n">
        <f aca="false">'Base votos'!R204</f>
        <v>340717</v>
      </c>
      <c r="J7" s="10" t="n">
        <f aca="false">I7-H7</f>
        <v>37450</v>
      </c>
      <c r="K7" s="19" t="n">
        <f aca="false">I7/H7-1</f>
        <v>0.123488543098985</v>
      </c>
      <c r="L7" s="11" t="n">
        <f aca="false">'Base votos'!U171/'Base votos'!R171</f>
        <v>0.489987370864618</v>
      </c>
      <c r="M7" s="11" t="n">
        <f aca="false">'Base votos'!U204/'Base votos'!R204</f>
        <v>0.537610392202326</v>
      </c>
      <c r="N7" s="12" t="n">
        <f aca="false">(M7-L7)*100</f>
        <v>4.76230213377087</v>
      </c>
      <c r="O7" s="11" t="n">
        <f aca="false">'Base votos'!V171/'Base votos'!R171</f>
        <v>0.282008922830377</v>
      </c>
      <c r="P7" s="11" t="n">
        <f aca="false">'Base votos'!V204/'Base votos'!R204</f>
        <v>0.345051758497521</v>
      </c>
      <c r="Q7" s="12" t="n">
        <f aca="false">(P7-O7)*100</f>
        <v>6.30428356671442</v>
      </c>
      <c r="R7" s="11" t="n">
        <f aca="false">'Base votos'!W171/'Base votos'!R171</f>
        <v>0.14369515971075</v>
      </c>
      <c r="S7" s="11" t="n">
        <f aca="false">'Base votos'!W204/'Base votos'!R204</f>
        <v>0.0839758509261352</v>
      </c>
      <c r="T7" s="12" t="n">
        <f aca="false">(S7-R7)*100</f>
        <v>-5.97193087846148</v>
      </c>
      <c r="U7" s="20" t="n">
        <f aca="false">(MAX('Base votos'!U171:W171)-LARGE('Base votos'!U171:W171,2))/'Base votos'!R171*100</f>
        <v>20.797844803424</v>
      </c>
      <c r="V7" s="20" t="n">
        <f aca="false">(MAX('Base votos'!U204:W204)-LARGE('Base votos'!U204:W204,2))/'Base votos'!R204*100</f>
        <v>19.2558633704805</v>
      </c>
      <c r="W7" s="12" t="n">
        <f aca="false">(V7-U7)</f>
        <v>-1.54198143294356</v>
      </c>
      <c r="X7" s="21" t="s">
        <v>74</v>
      </c>
      <c r="Y7" s="21" t="s">
        <v>74</v>
      </c>
      <c r="Z7" s="21" t="s">
        <v>134</v>
      </c>
    </row>
    <row r="8" customFormat="false" ht="23.85" hidden="false" customHeight="false" outlineLevel="0" collapsed="false">
      <c r="A8" s="14" t="s">
        <v>85</v>
      </c>
      <c r="B8" s="11" t="n">
        <f aca="false">'Base votos'!R172/'Base votos'!S172</f>
        <v>0.702576404055373</v>
      </c>
      <c r="C8" s="11" t="n">
        <f aca="false">'Base votos'!R205/'Base votos'!S205</f>
        <v>0.648393292617131</v>
      </c>
      <c r="D8" s="12" t="n">
        <f aca="false">(C8-B8)*100</f>
        <v>-5.41831114382421</v>
      </c>
      <c r="E8" s="11" t="n">
        <f aca="false">'Base votos'!Q172/'Base votos'!R172</f>
        <v>0.0350888465458413</v>
      </c>
      <c r="F8" s="11" t="n">
        <f aca="false">'Base votos'!Q205/'Base votos'!R205</f>
        <v>0.0288482234189616</v>
      </c>
      <c r="G8" s="12" t="n">
        <f aca="false">(F8-E8)*100</f>
        <v>-0.624062312687969</v>
      </c>
      <c r="H8" s="9" t="n">
        <f aca="false">'Base votos'!R172</f>
        <v>451340</v>
      </c>
      <c r="I8" s="9" t="n">
        <f aca="false">'Base votos'!R205</f>
        <v>450669</v>
      </c>
      <c r="J8" s="10" t="n">
        <f aca="false">I8-H8</f>
        <v>-671</v>
      </c>
      <c r="K8" s="19" t="n">
        <f aca="false">I8/H8-1</f>
        <v>-0.00148668409624675</v>
      </c>
      <c r="L8" s="11" t="n">
        <f aca="false">'Base votos'!U172/'Base votos'!R172</f>
        <v>0.461536757211858</v>
      </c>
      <c r="M8" s="11" t="n">
        <f aca="false">'Base votos'!U205/'Base votos'!R205</f>
        <v>0.486186092231771</v>
      </c>
      <c r="N8" s="12" t="n">
        <f aca="false">(M8-L8)*100</f>
        <v>2.4649335019913</v>
      </c>
      <c r="O8" s="11" t="n">
        <f aca="false">'Base votos'!V172/'Base votos'!R172</f>
        <v>0.198535472149599</v>
      </c>
      <c r="P8" s="11" t="n">
        <f aca="false">'Base votos'!V205/'Base votos'!R205</f>
        <v>0.146091699229368</v>
      </c>
      <c r="Q8" s="12" t="n">
        <f aca="false">(P8-O8)*100</f>
        <v>-5.24437729202311</v>
      </c>
      <c r="R8" s="11" t="n">
        <f aca="false">'Base votos'!W172/'Base votos'!R172</f>
        <v>0.30448885540834</v>
      </c>
      <c r="S8" s="11" t="n">
        <f aca="false">'Base votos'!W205/'Base votos'!R205</f>
        <v>0.338348100268712</v>
      </c>
      <c r="T8" s="12" t="n">
        <f aca="false">(S8-R8)*100</f>
        <v>3.38592448603721</v>
      </c>
      <c r="U8" s="20" t="n">
        <f aca="false">(MAX('Base votos'!U172:W172)-LARGE('Base votos'!U172:W172,2))/'Base votos'!R172*100</f>
        <v>15.7047901803518</v>
      </c>
      <c r="V8" s="20" t="n">
        <f aca="false">(MAX('Base votos'!U205:W205)-LARGE('Base votos'!U205:W205,2))/'Base votos'!R205*100</f>
        <v>14.7837991963059</v>
      </c>
      <c r="W8" s="12" t="n">
        <f aca="false">(V8-U8)</f>
        <v>-0.920990984045906</v>
      </c>
      <c r="X8" s="21" t="s">
        <v>74</v>
      </c>
      <c r="Y8" s="21" t="s">
        <v>74</v>
      </c>
      <c r="Z8" s="21" t="s">
        <v>134</v>
      </c>
    </row>
    <row r="9" customFormat="false" ht="23.85" hidden="false" customHeight="false" outlineLevel="0" collapsed="false">
      <c r="A9" s="14" t="s">
        <v>86</v>
      </c>
      <c r="B9" s="11" t="n">
        <f aca="false">'Base votos'!R173/'Base votos'!S173</f>
        <v>0.637415146362674</v>
      </c>
      <c r="C9" s="11" t="n">
        <f aca="false">'Base votos'!R206/'Base votos'!S206</f>
        <v>0.657704079752226</v>
      </c>
      <c r="D9" s="12" t="n">
        <f aca="false">(C9-B9)*100</f>
        <v>2.0288933389552</v>
      </c>
      <c r="E9" s="11" t="n">
        <f aca="false">'Base votos'!Q173/'Base votos'!R173</f>
        <v>0.0251545387110381</v>
      </c>
      <c r="F9" s="11" t="n">
        <f aca="false">'Base votos'!Q206/'Base votos'!R206</f>
        <v>0.022214316746526</v>
      </c>
      <c r="G9" s="12" t="n">
        <f aca="false">(F9-E9)*100</f>
        <v>-0.29402219645121</v>
      </c>
      <c r="H9" s="9" t="n">
        <f aca="false">'Base votos'!R173</f>
        <v>1375060</v>
      </c>
      <c r="I9" s="9" t="n">
        <f aca="false">'Base votos'!R206</f>
        <v>1588210</v>
      </c>
      <c r="J9" s="10" t="n">
        <f aca="false">I9-H9</f>
        <v>213150</v>
      </c>
      <c r="K9" s="19" t="n">
        <f aca="false">I9/H9-1</f>
        <v>0.155011417683592</v>
      </c>
      <c r="L9" s="11" t="n">
        <f aca="false">'Base votos'!U173/'Base votos'!R173</f>
        <v>0.363718674094221</v>
      </c>
      <c r="M9" s="11" t="n">
        <f aca="false">'Base votos'!U206/'Base votos'!R206</f>
        <v>0.475943357616436</v>
      </c>
      <c r="N9" s="12" t="n">
        <f aca="false">(M9-L9)*100</f>
        <v>11.2224683522215</v>
      </c>
      <c r="O9" s="11" t="n">
        <f aca="false">'Base votos'!V173/'Base votos'!R173</f>
        <v>0.287874710921705</v>
      </c>
      <c r="P9" s="11" t="n">
        <f aca="false">'Base votos'!V206/'Base votos'!R206</f>
        <v>0.460956674495186</v>
      </c>
      <c r="Q9" s="12" t="n">
        <f aca="false">(P9-O9)*100</f>
        <v>17.3081963573481</v>
      </c>
      <c r="R9" s="11" t="n">
        <f aca="false">'Base votos'!W173/'Base votos'!R173</f>
        <v>0.322935726441028</v>
      </c>
      <c r="S9" s="11" t="n">
        <f aca="false">'Base votos'!W206/'Base votos'!R206</f>
        <v>0.0405494235648938</v>
      </c>
      <c r="T9" s="12" t="n">
        <f aca="false">(S9-R9)*100</f>
        <v>-28.2386302876134</v>
      </c>
      <c r="U9" s="20" t="n">
        <f aca="false">(MAX('Base votos'!U173:W173)-LARGE('Base votos'!U173:W173,2))/'Base votos'!R173*100</f>
        <v>4.07829476531933</v>
      </c>
      <c r="V9" s="20" t="n">
        <f aca="false">(MAX('Base votos'!U206:W206)-LARGE('Base votos'!U206:W206,2))/'Base votos'!R206*100</f>
        <v>1.49866831212497</v>
      </c>
      <c r="W9" s="12" t="n">
        <f aca="false">(V9-U9)</f>
        <v>-2.57962645319436</v>
      </c>
      <c r="X9" s="21" t="s">
        <v>74</v>
      </c>
      <c r="Y9" s="21" t="s">
        <v>74</v>
      </c>
      <c r="Z9" s="21" t="s">
        <v>134</v>
      </c>
    </row>
    <row r="10" customFormat="false" ht="23.85" hidden="false" customHeight="false" outlineLevel="0" collapsed="false">
      <c r="A10" s="14" t="s">
        <v>87</v>
      </c>
      <c r="B10" s="11" t="n">
        <f aca="false">'Base votos'!R174/'Base votos'!S174</f>
        <v>0.640764597058027</v>
      </c>
      <c r="C10" s="11" t="n">
        <f aca="false">'Base votos'!R207/'Base votos'!S207</f>
        <v>0.591431357114439</v>
      </c>
      <c r="D10" s="12" t="n">
        <f aca="false">(C10-B10)*100</f>
        <v>-4.9333239943588</v>
      </c>
      <c r="E10" s="11" t="n">
        <f aca="false">'Base votos'!Q174/'Base votos'!R174</f>
        <v>0.0370054134941244</v>
      </c>
      <c r="F10" s="11" t="n">
        <f aca="false">'Base votos'!Q207/'Base votos'!R207</f>
        <v>0.0303808066518463</v>
      </c>
      <c r="G10" s="12" t="n">
        <f aca="false">(F10-E10)*100</f>
        <v>-0.662460684227809</v>
      </c>
      <c r="H10" s="9" t="n">
        <f aca="false">'Base votos'!R174</f>
        <v>340815</v>
      </c>
      <c r="I10" s="9" t="n">
        <f aca="false">'Base votos'!R207</f>
        <v>346370</v>
      </c>
      <c r="J10" s="10" t="n">
        <f aca="false">I10-H10</f>
        <v>5555</v>
      </c>
      <c r="K10" s="19" t="n">
        <f aca="false">I10/H10-1</f>
        <v>0.0162991652362718</v>
      </c>
      <c r="L10" s="11" t="n">
        <f aca="false">'Base votos'!U174/'Base votos'!R174</f>
        <v>0.440230036823497</v>
      </c>
      <c r="M10" s="11" t="n">
        <f aca="false">'Base votos'!U207/'Base votos'!R207</f>
        <v>0.457421254727603</v>
      </c>
      <c r="N10" s="12" t="n">
        <f aca="false">(M10-L10)*100</f>
        <v>1.71912179041068</v>
      </c>
      <c r="O10" s="11" t="n">
        <f aca="false">'Base votos'!V174/'Base votos'!R174</f>
        <v>0.232510306177838</v>
      </c>
      <c r="P10" s="11" t="n">
        <f aca="false">'Base votos'!V207/'Base votos'!R207</f>
        <v>0.326979819268412</v>
      </c>
      <c r="Q10" s="12" t="n">
        <f aca="false">(P10-O10)*100</f>
        <v>9.4469513090574</v>
      </c>
      <c r="R10" s="11" t="n">
        <f aca="false">'Base votos'!W174/'Base votos'!R174</f>
        <v>0.289679151445799</v>
      </c>
      <c r="S10" s="11" t="n">
        <f aca="false">'Base votos'!W207/'Base votos'!R207</f>
        <v>0.184496347836129</v>
      </c>
      <c r="T10" s="12" t="n">
        <f aca="false">(S10-R10)*100</f>
        <v>-10.518280360967</v>
      </c>
      <c r="U10" s="20" t="n">
        <f aca="false">(MAX('Base votos'!U174:W174)-LARGE('Base votos'!U174:W174,2))/'Base votos'!R174*100</f>
        <v>15.0550885377698</v>
      </c>
      <c r="V10" s="20" t="n">
        <f aca="false">(MAX('Base votos'!U207:W207)-LARGE('Base votos'!U207:W207,2))/'Base votos'!R207*100</f>
        <v>13.0441435459191</v>
      </c>
      <c r="W10" s="12" t="n">
        <f aca="false">(V10-U10)</f>
        <v>-2.01094499185066</v>
      </c>
      <c r="X10" s="21" t="s">
        <v>74</v>
      </c>
      <c r="Y10" s="21" t="s">
        <v>74</v>
      </c>
      <c r="Z10" s="21" t="s">
        <v>134</v>
      </c>
    </row>
    <row r="11" customFormat="false" ht="23.85" hidden="false" customHeight="false" outlineLevel="0" collapsed="false">
      <c r="A11" s="14" t="s">
        <v>88</v>
      </c>
      <c r="B11" s="11" t="n">
        <f aca="false">'Base votos'!R175/'Base votos'!S175</f>
        <v>0.689788323956777</v>
      </c>
      <c r="C11" s="11" t="n">
        <f aca="false">'Base votos'!R208/'Base votos'!S208</f>
        <v>0.623577395607274</v>
      </c>
      <c r="D11" s="12" t="n">
        <f aca="false">(C11-B11)*100</f>
        <v>-6.62109283495028</v>
      </c>
      <c r="E11" s="11" t="n">
        <f aca="false">'Base votos'!Q175/'Base votos'!R175</f>
        <v>0.0812298555779164</v>
      </c>
      <c r="F11" s="11" t="n">
        <f aca="false">'Base votos'!Q208/'Base votos'!R208</f>
        <v>0.0789636302842208</v>
      </c>
      <c r="G11" s="12" t="n">
        <f aca="false">(F11-E11)*100</f>
        <v>-0.226622529369556</v>
      </c>
      <c r="H11" s="9" t="n">
        <f aca="false">'Base votos'!R175</f>
        <v>2411958</v>
      </c>
      <c r="I11" s="9" t="n">
        <f aca="false">'Base votos'!R208</f>
        <v>2461361</v>
      </c>
      <c r="J11" s="10" t="n">
        <f aca="false">I11-H11</f>
        <v>49403</v>
      </c>
      <c r="K11" s="19" t="n">
        <f aca="false">I11/H11-1</f>
        <v>0.0204825291319335</v>
      </c>
      <c r="L11" s="11" t="n">
        <f aca="false">'Base votos'!U175/'Base votos'!R175</f>
        <v>0.484028328851497</v>
      </c>
      <c r="M11" s="11" t="n">
        <f aca="false">'Base votos'!U208/'Base votos'!R208</f>
        <v>0.701534638762863</v>
      </c>
      <c r="N11" s="12" t="n">
        <f aca="false">(M11-L11)*100</f>
        <v>21.7506309911366</v>
      </c>
      <c r="O11" s="11" t="n">
        <f aca="false">'Base votos'!V175/'Base votos'!R175</f>
        <v>0.0994308358603259</v>
      </c>
      <c r="P11" s="11" t="n">
        <f aca="false">'Base votos'!V208/'Base votos'!R208</f>
        <v>0.162168410078814</v>
      </c>
      <c r="Q11" s="12" t="n">
        <f aca="false">(P11-O11)*100</f>
        <v>6.27375742184882</v>
      </c>
      <c r="R11" s="11" t="n">
        <f aca="false">'Base votos'!W175/'Base votos'!R175</f>
        <v>0.293906444473743</v>
      </c>
      <c r="S11" s="11" t="n">
        <f aca="false">'Base votos'!W208/'Base votos'!R208</f>
        <v>0.0567011502985543</v>
      </c>
      <c r="T11" s="12" t="n">
        <f aca="false">(S11-R11)*100</f>
        <v>-23.7205294175189</v>
      </c>
      <c r="U11" s="20" t="n">
        <f aca="false">(MAX('Base votos'!U175:W175)-LARGE('Base votos'!U175:W175,2))/'Base votos'!R175*100</f>
        <v>19.0121884377755</v>
      </c>
      <c r="V11" s="20" t="n">
        <f aca="false">(MAX('Base votos'!U208:W208)-LARGE('Base votos'!U208:W208,2))/'Base votos'!R208*100</f>
        <v>53.9366228684049</v>
      </c>
      <c r="W11" s="12" t="n">
        <f aca="false">(V11-U11)</f>
        <v>34.9244344306295</v>
      </c>
      <c r="X11" s="21" t="s">
        <v>74</v>
      </c>
      <c r="Y11" s="21" t="s">
        <v>74</v>
      </c>
      <c r="Z11" s="21" t="s">
        <v>134</v>
      </c>
    </row>
    <row r="12" customFormat="false" ht="23.85" hidden="false" customHeight="false" outlineLevel="0" collapsed="false">
      <c r="A12" s="14" t="s">
        <v>89</v>
      </c>
      <c r="B12" s="11" t="n">
        <f aca="false">'Base votos'!R176/'Base votos'!S176</f>
        <v>0.545832677956623</v>
      </c>
      <c r="C12" s="11" t="n">
        <f aca="false">'Base votos'!R209/'Base votos'!S209</f>
        <v>0.532409685355432</v>
      </c>
      <c r="D12" s="12" t="n">
        <f aca="false">(C12-B12)*100</f>
        <v>-1.3422992601191</v>
      </c>
      <c r="E12" s="11" t="n">
        <f aca="false">'Base votos'!Q176/'Base votos'!R176</f>
        <v>0.0490802702356557</v>
      </c>
      <c r="F12" s="11" t="n">
        <f aca="false">'Base votos'!Q209/'Base votos'!R209</f>
        <v>0.0286899897854954</v>
      </c>
      <c r="G12" s="12" t="n">
        <f aca="false">(F12-E12)*100</f>
        <v>-2.03902804501603</v>
      </c>
      <c r="H12" s="9" t="n">
        <f aca="false">'Base votos'!R176</f>
        <v>1499136</v>
      </c>
      <c r="I12" s="9" t="n">
        <f aca="false">'Base votos'!R209</f>
        <v>1644720</v>
      </c>
      <c r="J12" s="10" t="n">
        <f aca="false">I12-H12</f>
        <v>145584</v>
      </c>
      <c r="K12" s="19" t="n">
        <f aca="false">I12/H12-1</f>
        <v>0.0971119364754098</v>
      </c>
      <c r="L12" s="11" t="n">
        <f aca="false">'Base votos'!U176/'Base votos'!R176</f>
        <v>0.363233889386954</v>
      </c>
      <c r="M12" s="11" t="n">
        <f aca="false">'Base votos'!U209/'Base votos'!R209</f>
        <v>0.527478841383336</v>
      </c>
      <c r="N12" s="12" t="n">
        <f aca="false">(M12-L12)*100</f>
        <v>16.4244951996382</v>
      </c>
      <c r="O12" s="11" t="n">
        <f aca="false">'Base votos'!V176/'Base votos'!R176</f>
        <v>0.301086759306694</v>
      </c>
      <c r="P12" s="11" t="n">
        <f aca="false">'Base votos'!V209/'Base votos'!R209</f>
        <v>0.365046938080646</v>
      </c>
      <c r="Q12" s="12" t="n">
        <f aca="false">(P12-O12)*100</f>
        <v>6.39601787739519</v>
      </c>
      <c r="R12" s="11" t="n">
        <f aca="false">'Base votos'!W176/'Base votos'!R176</f>
        <v>0.285748591188525</v>
      </c>
      <c r="S12" s="11" t="n">
        <f aca="false">'Base votos'!W209/'Base votos'!R209</f>
        <v>0.0781792645556691</v>
      </c>
      <c r="T12" s="12" t="n">
        <f aca="false">(S12-R12)*100</f>
        <v>-20.7569326632856</v>
      </c>
      <c r="U12" s="20" t="n">
        <f aca="false">(MAX('Base votos'!U176:W176)-LARGE('Base votos'!U176:W176,2))/'Base votos'!R176*100</f>
        <v>6.21471300802596</v>
      </c>
      <c r="V12" s="20" t="n">
        <f aca="false">(MAX('Base votos'!U209:W209)-LARGE('Base votos'!U209:W209,2))/'Base votos'!R209*100</f>
        <v>16.243190330269</v>
      </c>
      <c r="W12" s="12" t="n">
        <f aca="false">(V12-U12)</f>
        <v>10.028477322243</v>
      </c>
      <c r="X12" s="21" t="s">
        <v>74</v>
      </c>
      <c r="Y12" s="21" t="s">
        <v>74</v>
      </c>
      <c r="Z12" s="21" t="s">
        <v>134</v>
      </c>
    </row>
    <row r="13" customFormat="false" ht="23.85" hidden="false" customHeight="false" outlineLevel="0" collapsed="false">
      <c r="A13" s="14" t="s">
        <v>90</v>
      </c>
      <c r="B13" s="11" t="n">
        <f aca="false">'Base votos'!R177/'Base votos'!S177</f>
        <v>0.706571045173331</v>
      </c>
      <c r="C13" s="11" t="n">
        <f aca="false">'Base votos'!R210/'Base votos'!S210</f>
        <v>0.701444691475327</v>
      </c>
      <c r="D13" s="12" t="n">
        <f aca="false">(C13-B13)*100</f>
        <v>-0.512635369800474</v>
      </c>
      <c r="E13" s="11" t="n">
        <f aca="false">'Base votos'!Q177/'Base votos'!R177</f>
        <v>0.0380071012008003</v>
      </c>
      <c r="F13" s="11" t="n">
        <f aca="false">'Base votos'!Q210/'Base votos'!R210</f>
        <v>0.0217576533090234</v>
      </c>
      <c r="G13" s="12" t="n">
        <f aca="false">(F13-E13)*100</f>
        <v>-1.62494478917769</v>
      </c>
      <c r="H13" s="9" t="n">
        <f aca="false">'Base votos'!R177</f>
        <v>5409226</v>
      </c>
      <c r="I13" s="9" t="n">
        <f aca="false">'Base votos'!R210</f>
        <v>5590033</v>
      </c>
      <c r="J13" s="10" t="n">
        <f aca="false">I13-H13</f>
        <v>180807</v>
      </c>
      <c r="K13" s="19" t="n">
        <f aca="false">I13/H13-1</f>
        <v>0.0334256694026096</v>
      </c>
      <c r="L13" s="11" t="n">
        <f aca="false">'Base votos'!U177/'Base votos'!R177</f>
        <v>0.513123873914678</v>
      </c>
      <c r="M13" s="11" t="n">
        <f aca="false">'Base votos'!U210/'Base votos'!R210</f>
        <v>0.5422116470511</v>
      </c>
      <c r="N13" s="12" t="n">
        <f aca="false">(M13-L13)*100</f>
        <v>2.90877731364213</v>
      </c>
      <c r="O13" s="11" t="n">
        <f aca="false">'Base votos'!V177/'Base votos'!R177</f>
        <v>0.288839660239746</v>
      </c>
      <c r="P13" s="11" t="n">
        <f aca="false">'Base votos'!V210/'Base votos'!R210</f>
        <v>0.362953850182995</v>
      </c>
      <c r="Q13" s="12" t="n">
        <f aca="false">(P13-O13)*100</f>
        <v>7.41141899432494</v>
      </c>
      <c r="R13" s="11" t="n">
        <f aca="false">'Base votos'!W177/'Base votos'!R177</f>
        <v>0.159187099965873</v>
      </c>
      <c r="S13" s="11" t="n">
        <f aca="false">'Base votos'!W210/'Base votos'!R210</f>
        <v>0.0720820431650404</v>
      </c>
      <c r="T13" s="12" t="n">
        <f aca="false">(S13-R13)*100</f>
        <v>-8.71050568008328</v>
      </c>
      <c r="U13" s="20" t="n">
        <f aca="false">(MAX('Base votos'!U177:W177)-LARGE('Base votos'!U177:W177,2))/'Base votos'!R177*100</f>
        <v>22.4284213674932</v>
      </c>
      <c r="V13" s="20" t="n">
        <f aca="false">(MAX('Base votos'!U210:W210)-LARGE('Base votos'!U210:W210,2))/'Base votos'!R210*100</f>
        <v>17.9257796868104</v>
      </c>
      <c r="W13" s="12" t="n">
        <f aca="false">(V13-U13)</f>
        <v>-4.50264168068281</v>
      </c>
      <c r="X13" s="21" t="s">
        <v>74</v>
      </c>
      <c r="Y13" s="21" t="s">
        <v>74</v>
      </c>
      <c r="Z13" s="21" t="s">
        <v>134</v>
      </c>
    </row>
    <row r="14" customFormat="false" ht="23.85" hidden="false" customHeight="false" outlineLevel="0" collapsed="false">
      <c r="A14" s="14" t="s">
        <v>91</v>
      </c>
      <c r="B14" s="11" t="n">
        <f aca="false">'Base votos'!R178/'Base votos'!S178</f>
        <v>0.573768628421861</v>
      </c>
      <c r="C14" s="11" t="n">
        <f aca="false">'Base votos'!R211/'Base votos'!S211</f>
        <v>0.55510494242192</v>
      </c>
      <c r="D14" s="12" t="n">
        <f aca="false">(C14-B14)*100</f>
        <v>-1.86636859999412</v>
      </c>
      <c r="E14" s="11" t="n">
        <f aca="false">'Base votos'!Q178/'Base votos'!R178</f>
        <v>0.035221931548039</v>
      </c>
      <c r="F14" s="11" t="n">
        <f aca="false">'Base votos'!Q211/'Base votos'!R211</f>
        <v>0.0264859874609763</v>
      </c>
      <c r="G14" s="12" t="n">
        <f aca="false">(F14-E14)*100</f>
        <v>-0.873594408706276</v>
      </c>
      <c r="H14" s="9" t="n">
        <f aca="false">'Base votos'!R178</f>
        <v>736984</v>
      </c>
      <c r="I14" s="9" t="n">
        <f aca="false">'Base votos'!R211</f>
        <v>777732</v>
      </c>
      <c r="J14" s="10" t="n">
        <f aca="false">I14-H14</f>
        <v>40748</v>
      </c>
      <c r="K14" s="19" t="n">
        <f aca="false">I14/H14-1</f>
        <v>0.0552902098281645</v>
      </c>
      <c r="L14" s="11" t="n">
        <f aca="false">'Base votos'!U178/'Base votos'!R178</f>
        <v>0.389439933567079</v>
      </c>
      <c r="M14" s="11" t="n">
        <f aca="false">'Base votos'!U211/'Base votos'!R211</f>
        <v>0.506419949288444</v>
      </c>
      <c r="N14" s="12" t="n">
        <f aca="false">(M14-L14)*100</f>
        <v>11.6980015721365</v>
      </c>
      <c r="O14" s="11" t="n">
        <f aca="false">'Base votos'!V178/'Base votos'!R178</f>
        <v>0.304929279333066</v>
      </c>
      <c r="P14" s="11" t="n">
        <f aca="false">'Base votos'!V211/'Base votos'!R211</f>
        <v>0.403007719882942</v>
      </c>
      <c r="Q14" s="12" t="n">
        <f aca="false">(P14-O14)*100</f>
        <v>9.80784405498761</v>
      </c>
      <c r="R14" s="11" t="n">
        <f aca="false">'Base votos'!W178/'Base votos'!R178</f>
        <v>0.270008575491463</v>
      </c>
      <c r="S14" s="11" t="n">
        <f aca="false">'Base votos'!W211/'Base votos'!R211</f>
        <v>0.0636170300309104</v>
      </c>
      <c r="T14" s="12" t="n">
        <f aca="false">(S14-R14)*100</f>
        <v>-20.6391545460552</v>
      </c>
      <c r="U14" s="20" t="n">
        <f aca="false">(MAX('Base votos'!U178:W178)-LARGE('Base votos'!U178:W178,2))/'Base votos'!R178*100</f>
        <v>8.45106542340132</v>
      </c>
      <c r="V14" s="20" t="n">
        <f aca="false">(MAX('Base votos'!U211:W211)-LARGE('Base votos'!U211:W211,2))/'Base votos'!R211*100</f>
        <v>10.3412229405502</v>
      </c>
      <c r="W14" s="12" t="n">
        <f aca="false">(V14-U14)</f>
        <v>1.89015751714889</v>
      </c>
      <c r="X14" s="21" t="s">
        <v>74</v>
      </c>
      <c r="Y14" s="21" t="s">
        <v>74</v>
      </c>
      <c r="Z14" s="21" t="s">
        <v>134</v>
      </c>
    </row>
    <row r="15" customFormat="false" ht="23.85" hidden="false" customHeight="false" outlineLevel="0" collapsed="false">
      <c r="A15" s="14" t="s">
        <v>92</v>
      </c>
      <c r="B15" s="11" t="n">
        <f aca="false">'Base votos'!R179/'Base votos'!S179</f>
        <v>0.53224381372748</v>
      </c>
      <c r="C15" s="11" t="n">
        <f aca="false">'Base votos'!R212/'Base votos'!S212</f>
        <v>0.567960146740863</v>
      </c>
      <c r="D15" s="12" t="n">
        <f aca="false">(C15-B15)*100</f>
        <v>3.57163330133827</v>
      </c>
      <c r="E15" s="11" t="n">
        <f aca="false">'Base votos'!Q179/'Base votos'!R179</f>
        <v>0.0485084958552609</v>
      </c>
      <c r="F15" s="11" t="n">
        <f aca="false">'Base votos'!Q212/'Base votos'!R212</f>
        <v>0.0321392738218144</v>
      </c>
      <c r="G15" s="12" t="n">
        <f aca="false">(F15-E15)*100</f>
        <v>-1.63692220334465</v>
      </c>
      <c r="H15" s="9" t="n">
        <f aca="false">'Base votos'!R179</f>
        <v>2325840</v>
      </c>
      <c r="I15" s="9" t="n">
        <f aca="false">'Base votos'!R212</f>
        <v>2750840</v>
      </c>
      <c r="J15" s="10" t="n">
        <f aca="false">I15-H15</f>
        <v>425000</v>
      </c>
      <c r="K15" s="19" t="n">
        <f aca="false">I15/H15-1</f>
        <v>0.182729680459533</v>
      </c>
      <c r="L15" s="11" t="n">
        <f aca="false">'Base votos'!U179/'Base votos'!R179</f>
        <v>0.25880714064596</v>
      </c>
      <c r="M15" s="11" t="n">
        <f aca="false">'Base votos'!U212/'Base votos'!R212</f>
        <v>0.432611129691294</v>
      </c>
      <c r="N15" s="12" t="n">
        <f aca="false">(M15-L15)*100</f>
        <v>17.3803989045334</v>
      </c>
      <c r="O15" s="11" t="n">
        <f aca="false">'Base votos'!V179/'Base votos'!R179</f>
        <v>0.43960762563203</v>
      </c>
      <c r="P15" s="11" t="n">
        <f aca="false">'Base votos'!V212/'Base votos'!R212</f>
        <v>0.463224687731747</v>
      </c>
      <c r="Q15" s="12" t="n">
        <f aca="false">(P15-O15)*100</f>
        <v>2.36170620997177</v>
      </c>
      <c r="R15" s="11" t="n">
        <f aca="false">'Base votos'!W179/'Base votos'!R179</f>
        <v>0.252334640387989</v>
      </c>
      <c r="S15" s="11" t="n">
        <f aca="false">'Base votos'!W212/'Base votos'!R212</f>
        <v>0.0714138226868884</v>
      </c>
      <c r="T15" s="12" t="n">
        <f aca="false">(S15-R15)*100</f>
        <v>-18.0920817701101</v>
      </c>
      <c r="U15" s="20" t="n">
        <f aca="false">(MAX('Base votos'!U179:W179)-LARGE('Base votos'!U179:W179,2))/'Base votos'!R179*100</f>
        <v>18.080048498607</v>
      </c>
      <c r="V15" s="20" t="n">
        <f aca="false">(MAX('Base votos'!U212:W212)-LARGE('Base votos'!U212:W212,2))/'Base votos'!R212*100</f>
        <v>3.06135580404531</v>
      </c>
      <c r="W15" s="12" t="n">
        <f aca="false">(V15-U15)</f>
        <v>-15.0186926945616</v>
      </c>
      <c r="X15" s="21" t="s">
        <v>132</v>
      </c>
      <c r="Y15" s="21" t="s">
        <v>132</v>
      </c>
      <c r="Z15" s="21" t="s">
        <v>150</v>
      </c>
    </row>
    <row r="16" customFormat="false" ht="23.85" hidden="false" customHeight="false" outlineLevel="0" collapsed="false">
      <c r="A16" s="14" t="s">
        <v>93</v>
      </c>
      <c r="B16" s="11" t="n">
        <f aca="false">'Base votos'!R180/'Base votos'!S180</f>
        <v>0.643331139651085</v>
      </c>
      <c r="C16" s="11" t="n">
        <f aca="false">'Base votos'!R213/'Base votos'!S213</f>
        <v>0.58478151000611</v>
      </c>
      <c r="D16" s="12" t="n">
        <f aca="false">(C16-B16)*100</f>
        <v>-5.85496296449751</v>
      </c>
      <c r="E16" s="11" t="n">
        <f aca="false">'Base votos'!Q180/'Base votos'!R180</f>
        <v>0.0537779784398251</v>
      </c>
      <c r="F16" s="11" t="n">
        <f aca="false">'Base votos'!Q213/'Base votos'!R213</f>
        <v>0.0759494813857404</v>
      </c>
      <c r="G16" s="12" t="n">
        <f aca="false">(F16-E16)*100</f>
        <v>2.21715029459153</v>
      </c>
      <c r="H16" s="9" t="n">
        <f aca="false">'Base votos'!R180</f>
        <v>1616870</v>
      </c>
      <c r="I16" s="9" t="n">
        <f aca="false">'Base votos'!R213</f>
        <v>1550478</v>
      </c>
      <c r="J16" s="10" t="n">
        <f aca="false">I16-H16</f>
        <v>-66392</v>
      </c>
      <c r="K16" s="19" t="n">
        <f aca="false">I16/H16-1</f>
        <v>-0.0410620519893374</v>
      </c>
      <c r="L16" s="11" t="n">
        <f aca="false">'Base votos'!U180/'Base votos'!R180</f>
        <v>0.479966849530265</v>
      </c>
      <c r="M16" s="11" t="n">
        <f aca="false">'Base votos'!U213/'Base votos'!R213</f>
        <v>0.589086720353336</v>
      </c>
      <c r="N16" s="12" t="n">
        <f aca="false">(M16-L16)*100</f>
        <v>10.9119870823071</v>
      </c>
      <c r="O16" s="11" t="n">
        <f aca="false">'Base votos'!V180/'Base votos'!R180</f>
        <v>0.22382690012184</v>
      </c>
      <c r="P16" s="11" t="n">
        <f aca="false">'Base votos'!V213/'Base votos'!R213</f>
        <v>0.205372149749948</v>
      </c>
      <c r="Q16" s="12" t="n">
        <f aca="false">(P16-O16)*100</f>
        <v>-1.84547503718923</v>
      </c>
      <c r="R16" s="11" t="n">
        <f aca="false">'Base votos'!W180/'Base votos'!R180</f>
        <v>0.229097577418098</v>
      </c>
      <c r="S16" s="11" t="n">
        <f aca="false">'Base votos'!W213/'Base votos'!R213</f>
        <v>0.127291712620237</v>
      </c>
      <c r="T16" s="12" t="n">
        <f aca="false">(S16-R16)*100</f>
        <v>-10.1805864797861</v>
      </c>
      <c r="U16" s="20" t="n">
        <f aca="false">(MAX('Base votos'!U180:W180)-LARGE('Base votos'!U180:W180,2))/'Base votos'!R180*100</f>
        <v>25.0869272112167</v>
      </c>
      <c r="V16" s="20" t="n">
        <f aca="false">(MAX('Base votos'!U213:W213)-LARGE('Base votos'!U213:W213,2))/'Base votos'!R213*100</f>
        <v>38.3714570603388</v>
      </c>
      <c r="W16" s="12" t="n">
        <f aca="false">(V16-U16)</f>
        <v>13.2845298491221</v>
      </c>
      <c r="X16" s="21" t="s">
        <v>74</v>
      </c>
      <c r="Y16" s="21" t="s">
        <v>74</v>
      </c>
      <c r="Z16" s="21" t="s">
        <v>134</v>
      </c>
    </row>
    <row r="17" customFormat="false" ht="23.85" hidden="false" customHeight="false" outlineLevel="0" collapsed="false">
      <c r="A17" s="14" t="s">
        <v>94</v>
      </c>
      <c r="B17" s="11" t="n">
        <f aca="false">'Base votos'!R181/'Base votos'!S181</f>
        <v>0.657268696732444</v>
      </c>
      <c r="C17" s="11" t="n">
        <f aca="false">'Base votos'!R214/'Base votos'!S214</f>
        <v>0.646936696239316</v>
      </c>
      <c r="D17" s="12" t="n">
        <f aca="false">(C17-B17)*100</f>
        <v>-1.03320004931283</v>
      </c>
      <c r="E17" s="11" t="n">
        <f aca="false">'Base votos'!Q181/'Base votos'!R181</f>
        <v>0.0494661528889959</v>
      </c>
      <c r="F17" s="11" t="n">
        <f aca="false">'Base votos'!Q214/'Base votos'!R214</f>
        <v>0.0514374266223254</v>
      </c>
      <c r="G17" s="12" t="n">
        <f aca="false">(F17-E17)*100</f>
        <v>0.197127373332951</v>
      </c>
      <c r="H17" s="9" t="n">
        <f aca="false">'Base votos'!R181</f>
        <v>1395156</v>
      </c>
      <c r="I17" s="9" t="n">
        <f aca="false">'Base votos'!R214</f>
        <v>1546792</v>
      </c>
      <c r="J17" s="10" t="n">
        <f aca="false">I17-H17</f>
        <v>151636</v>
      </c>
      <c r="K17" s="19" t="n">
        <f aca="false">I17/H17-1</f>
        <v>0.108687487277408</v>
      </c>
      <c r="L17" s="11" t="n">
        <f aca="false">'Base votos'!U181/'Base votos'!R181</f>
        <v>0.534963115235859</v>
      </c>
      <c r="M17" s="11" t="n">
        <f aca="false">'Base votos'!U214/'Base votos'!R214</f>
        <v>0.653246848962239</v>
      </c>
      <c r="N17" s="12" t="n">
        <f aca="false">(M17-L17)*100</f>
        <v>11.828373372638</v>
      </c>
      <c r="O17" s="11" t="n">
        <f aca="false">'Base votos'!V181/'Base votos'!R181</f>
        <v>0.145261175094398</v>
      </c>
      <c r="P17" s="11" t="n">
        <f aca="false">'Base votos'!V214/'Base votos'!R214</f>
        <v>0.205475590771093</v>
      </c>
      <c r="Q17" s="12" t="n">
        <f aca="false">(P17-O17)*100</f>
        <v>6.02144156766946</v>
      </c>
      <c r="R17" s="11" t="n">
        <f aca="false">'Base votos'!W181/'Base votos'!R181</f>
        <v>0.269931821244363</v>
      </c>
      <c r="S17" s="11" t="n">
        <f aca="false">'Base votos'!W214/'Base votos'!R214</f>
        <v>0.0892169082850183</v>
      </c>
      <c r="T17" s="12" t="n">
        <f aca="false">(S17-R17)*100</f>
        <v>-18.0714912959344</v>
      </c>
      <c r="U17" s="20" t="n">
        <f aca="false">(MAX('Base votos'!U181:W181)-LARGE('Base votos'!U181:W181,2))/'Base votos'!R181*100</f>
        <v>26.5031293991496</v>
      </c>
      <c r="V17" s="20" t="n">
        <f aca="false">(MAX('Base votos'!U214:W214)-LARGE('Base votos'!U214:W214,2))/'Base votos'!R214*100</f>
        <v>44.7771258191147</v>
      </c>
      <c r="W17" s="12" t="n">
        <f aca="false">(V17-U17)</f>
        <v>18.273996419965</v>
      </c>
      <c r="X17" s="21" t="s">
        <v>74</v>
      </c>
      <c r="Y17" s="21" t="s">
        <v>74</v>
      </c>
      <c r="Z17" s="21" t="s">
        <v>134</v>
      </c>
    </row>
    <row r="18" customFormat="false" ht="23.85" hidden="false" customHeight="false" outlineLevel="0" collapsed="false">
      <c r="A18" s="14" t="s">
        <v>95</v>
      </c>
      <c r="B18" s="11" t="n">
        <f aca="false">'Base votos'!R182/'Base votos'!S182</f>
        <v>0.593059202264892</v>
      </c>
      <c r="C18" s="11" t="n">
        <f aca="false">'Base votos'!R215/'Base votos'!S215</f>
        <v>0.581410727417384</v>
      </c>
      <c r="D18" s="12" t="n">
        <f aca="false">(C18-B18)*100</f>
        <v>-1.16484748475076</v>
      </c>
      <c r="E18" s="11" t="n">
        <f aca="false">'Base votos'!Q182/'Base votos'!R182</f>
        <v>0.0358467370409439</v>
      </c>
      <c r="F18" s="11" t="n">
        <f aca="false">'Base votos'!Q215/'Base votos'!R215</f>
        <v>0.0270010687286274</v>
      </c>
      <c r="G18" s="12" t="n">
        <f aca="false">(F18-E18)*100</f>
        <v>-0.88456683123165</v>
      </c>
      <c r="H18" s="9" t="n">
        <f aca="false">'Base votos'!R182</f>
        <v>3506679</v>
      </c>
      <c r="I18" s="9" t="n">
        <f aca="false">'Base votos'!R215</f>
        <v>3860662</v>
      </c>
      <c r="J18" s="10" t="n">
        <f aca="false">I18-H18</f>
        <v>353983</v>
      </c>
      <c r="K18" s="19" t="n">
        <f aca="false">I18/H18-1</f>
        <v>0.100945367397472</v>
      </c>
      <c r="L18" s="11" t="n">
        <f aca="false">'Base votos'!U182/'Base votos'!R182</f>
        <v>0.242092874768406</v>
      </c>
      <c r="M18" s="11" t="n">
        <f aca="false">'Base votos'!U215/'Base votos'!R215</f>
        <v>0.403598398409392</v>
      </c>
      <c r="N18" s="12" t="n">
        <f aca="false">(M18-L18)*100</f>
        <v>16.1505523640986</v>
      </c>
      <c r="O18" s="11" t="n">
        <f aca="false">'Base votos'!V182/'Base votos'!R182</f>
        <v>0.330414617363038</v>
      </c>
      <c r="P18" s="11" t="n">
        <f aca="false">'Base votos'!V215/'Base votos'!R215</f>
        <v>0.295898475442813</v>
      </c>
      <c r="Q18" s="12" t="n">
        <f aca="false">(P18-O18)*100</f>
        <v>-3.45161419202251</v>
      </c>
      <c r="R18" s="11" t="n">
        <f aca="false">'Base votos'!W182/'Base votos'!R182</f>
        <v>0.173784940110002</v>
      </c>
      <c r="S18" s="11" t="n">
        <f aca="false">'Base votos'!W215/'Base votos'!R215</f>
        <v>0.272619307258703</v>
      </c>
      <c r="T18" s="12" t="n">
        <f aca="false">(S18-R18)*100</f>
        <v>9.88343671487018</v>
      </c>
      <c r="U18" s="20" t="n">
        <f aca="false">(MAX('Base votos'!U182:W182)-LARGE('Base votos'!U182:W182,2))/'Base votos'!R182*100</f>
        <v>8.83217425946316</v>
      </c>
      <c r="V18" s="20" t="n">
        <f aca="false">(MAX('Base votos'!U215:W215)-LARGE('Base votos'!U215:W215,2))/'Base votos'!R215*100</f>
        <v>10.7699922966579</v>
      </c>
      <c r="W18" s="12" t="n">
        <f aca="false">(V18-U18)</f>
        <v>1.93781803719477</v>
      </c>
      <c r="X18" s="21" t="s">
        <v>132</v>
      </c>
      <c r="Y18" s="21" t="s">
        <v>74</v>
      </c>
      <c r="Z18" s="21" t="s">
        <v>135</v>
      </c>
    </row>
    <row r="19" customFormat="false" ht="23.85" hidden="false" customHeight="false" outlineLevel="0" collapsed="false">
      <c r="A19" s="14" t="s">
        <v>96</v>
      </c>
      <c r="B19" s="11" t="n">
        <f aca="false">'Base votos'!R183/'Base votos'!S183</f>
        <v>0.67939478055737</v>
      </c>
      <c r="C19" s="11" t="n">
        <f aca="false">'Base votos'!R216/'Base votos'!S216</f>
        <v>0.646312755110412</v>
      </c>
      <c r="D19" s="12" t="n">
        <f aca="false">(C19-B19)*100</f>
        <v>-3.30820254469582</v>
      </c>
      <c r="E19" s="11" t="n">
        <f aca="false">'Base votos'!Q183/'Base votos'!R183</f>
        <v>0.0307255542775493</v>
      </c>
      <c r="F19" s="11" t="n">
        <f aca="false">'Base votos'!Q216/'Base votos'!R216</f>
        <v>0.027551012297947</v>
      </c>
      <c r="G19" s="12" t="n">
        <f aca="false">(F19-E19)*100</f>
        <v>-0.317454197960231</v>
      </c>
      <c r="H19" s="9" t="n">
        <f aca="false">'Base votos'!R183</f>
        <v>8045518</v>
      </c>
      <c r="I19" s="9" t="n">
        <f aca="false">'Base votos'!R216</f>
        <v>8429781</v>
      </c>
      <c r="J19" s="10" t="n">
        <f aca="false">I19-H19</f>
        <v>384263</v>
      </c>
      <c r="K19" s="19" t="n">
        <f aca="false">I19/H19-1</f>
        <v>0.0477611261325872</v>
      </c>
      <c r="L19" s="11" t="n">
        <f aca="false">'Base votos'!U183/'Base votos'!R183</f>
        <v>0.479358569578739</v>
      </c>
      <c r="M19" s="11" t="n">
        <f aca="false">'Base votos'!U216/'Base votos'!R216</f>
        <v>0.563101579981734</v>
      </c>
      <c r="N19" s="12" t="n">
        <f aca="false">(M19-L19)*100</f>
        <v>8.37430104029945</v>
      </c>
      <c r="O19" s="11" t="n">
        <f aca="false">'Base votos'!V183/'Base votos'!R183</f>
        <v>0.247212671701188</v>
      </c>
      <c r="P19" s="11" t="n">
        <f aca="false">'Base votos'!V216/'Base votos'!R216</f>
        <v>0.308872911407782</v>
      </c>
      <c r="Q19" s="12" t="n">
        <f aca="false">(P19-O19)*100</f>
        <v>6.16602397065933</v>
      </c>
      <c r="R19" s="11" t="n">
        <f aca="false">'Base votos'!W183/'Base votos'!R183</f>
        <v>0.242176575827684</v>
      </c>
      <c r="S19" s="11" t="n">
        <f aca="false">'Base votos'!W216/'Base votos'!R216</f>
        <v>0.0996796951190073</v>
      </c>
      <c r="T19" s="12" t="n">
        <f aca="false">(S19-R19)*100</f>
        <v>-14.2496880708677</v>
      </c>
      <c r="U19" s="20" t="n">
        <f aca="false">(MAX('Base votos'!U183:W183)-LARGE('Base votos'!U183:W183,2))/'Base votos'!R183*100</f>
        <v>23.2145897877551</v>
      </c>
      <c r="V19" s="20" t="n">
        <f aca="false">(MAX('Base votos'!U216:W216)-LARGE('Base votos'!U216:W216,2))/'Base votos'!R216*100</f>
        <v>25.4228668573952</v>
      </c>
      <c r="W19" s="12" t="n">
        <f aca="false">(V19-U19)</f>
        <v>2.20827706964011</v>
      </c>
      <c r="X19" s="21" t="s">
        <v>74</v>
      </c>
      <c r="Y19" s="21" t="s">
        <v>74</v>
      </c>
      <c r="Z19" s="21" t="s">
        <v>134</v>
      </c>
    </row>
    <row r="20" customFormat="false" ht="23.85" hidden="false" customHeight="false" outlineLevel="0" collapsed="false">
      <c r="A20" s="14" t="s">
        <v>97</v>
      </c>
      <c r="B20" s="11" t="n">
        <f aca="false">'Base votos'!R184/'Base votos'!S184</f>
        <v>0.587181357023852</v>
      </c>
      <c r="C20" s="11" t="n">
        <f aca="false">'Base votos'!R217/'Base votos'!S217</f>
        <v>0.555979547718127</v>
      </c>
      <c r="D20" s="12" t="n">
        <f aca="false">(C20-B20)*100</f>
        <v>-3.12018093057255</v>
      </c>
      <c r="E20" s="11" t="n">
        <f aca="false">'Base votos'!Q184/'Base votos'!R184</f>
        <v>0.0645673685143552</v>
      </c>
      <c r="F20" s="11" t="n">
        <f aca="false">'Base votos'!Q217/'Base votos'!R217</f>
        <v>0.0492918097054101</v>
      </c>
      <c r="G20" s="12" t="n">
        <f aca="false">(F20-E20)*100</f>
        <v>-1.52755588089451</v>
      </c>
      <c r="H20" s="9" t="n">
        <f aca="false">'Base votos'!R184</f>
        <v>1985616</v>
      </c>
      <c r="I20" s="9" t="n">
        <f aca="false">'Base votos'!R217</f>
        <v>2062087</v>
      </c>
      <c r="J20" s="10" t="n">
        <f aca="false">I20-H20</f>
        <v>76471</v>
      </c>
      <c r="K20" s="19" t="n">
        <f aca="false">I20/H20-1</f>
        <v>0.0385124817688818</v>
      </c>
      <c r="L20" s="11" t="n">
        <f aca="false">'Base votos'!U184/'Base votos'!R184</f>
        <v>0.379316040966632</v>
      </c>
      <c r="M20" s="11" t="n">
        <f aca="false">'Base votos'!U217/'Base votos'!R217</f>
        <v>0.502678112029221</v>
      </c>
      <c r="N20" s="12" t="n">
        <f aca="false">(M20-L20)*100</f>
        <v>12.3362071062589</v>
      </c>
      <c r="O20" s="11" t="n">
        <f aca="false">'Base votos'!V184/'Base votos'!R184</f>
        <v>0.290658918945053</v>
      </c>
      <c r="P20" s="11" t="n">
        <f aca="false">'Base votos'!V217/'Base votos'!R217</f>
        <v>0.321831717090501</v>
      </c>
      <c r="Q20" s="12" t="n">
        <f aca="false">(P20-O20)*100</f>
        <v>3.11727981454482</v>
      </c>
      <c r="R20" s="11" t="n">
        <f aca="false">'Base votos'!W184/'Base votos'!R184</f>
        <v>0.264806991885642</v>
      </c>
      <c r="S20" s="11" t="n">
        <f aca="false">'Base votos'!W217/'Base votos'!R217</f>
        <v>0.124911315574949</v>
      </c>
      <c r="T20" s="12" t="n">
        <f aca="false">(S20-R20)*100</f>
        <v>-13.9895676310693</v>
      </c>
      <c r="U20" s="20" t="n">
        <f aca="false">(MAX('Base votos'!U184:W184)-LARGE('Base votos'!U184:W184,2))/'Base votos'!R184*100</f>
        <v>8.86571220215792</v>
      </c>
      <c r="V20" s="20" t="n">
        <f aca="false">(MAX('Base votos'!U217:W217)-LARGE('Base votos'!U217:W217,2))/'Base votos'!R217*100</f>
        <v>18.084639493872</v>
      </c>
      <c r="W20" s="12" t="n">
        <f aca="false">(V20-U20)</f>
        <v>9.21892729171407</v>
      </c>
      <c r="X20" s="21" t="s">
        <v>74</v>
      </c>
      <c r="Y20" s="21" t="s">
        <v>74</v>
      </c>
      <c r="Z20" s="21" t="s">
        <v>134</v>
      </c>
    </row>
    <row r="21" customFormat="false" ht="23.85" hidden="false" customHeight="false" outlineLevel="0" collapsed="false">
      <c r="A21" s="14" t="s">
        <v>98</v>
      </c>
      <c r="B21" s="11" t="n">
        <f aca="false">'Base votos'!R185/'Base votos'!S185</f>
        <v>0.671801415116897</v>
      </c>
      <c r="C21" s="11" t="n">
        <f aca="false">'Base votos'!R218/'Base votos'!S218</f>
        <v>0.635155088405862</v>
      </c>
      <c r="D21" s="12" t="n">
        <f aca="false">(C21-B21)*100</f>
        <v>-3.66463267110347</v>
      </c>
      <c r="E21" s="11" t="n">
        <f aca="false">'Base votos'!Q185/'Base votos'!R185</f>
        <v>0.0608052342495884</v>
      </c>
      <c r="F21" s="11" t="n">
        <f aca="false">'Base votos'!Q218/'Base votos'!R218</f>
        <v>0.0442756152234099</v>
      </c>
      <c r="G21" s="12" t="n">
        <f aca="false">(F21-E21)*100</f>
        <v>-1.65296190261785</v>
      </c>
      <c r="H21" s="9" t="n">
        <f aca="false">'Base votos'!R185</f>
        <v>969308</v>
      </c>
      <c r="I21" s="9" t="n">
        <f aca="false">'Base votos'!R218</f>
        <v>986796</v>
      </c>
      <c r="J21" s="10" t="n">
        <f aca="false">I21-H21</f>
        <v>17488</v>
      </c>
      <c r="K21" s="19" t="n">
        <f aca="false">I21/H21-1</f>
        <v>0.0180417369917507</v>
      </c>
      <c r="L21" s="11" t="n">
        <f aca="false">'Base votos'!U185/'Base votos'!R185</f>
        <v>0.513035072443434</v>
      </c>
      <c r="M21" s="11" t="n">
        <f aca="false">'Base votos'!U218/'Base votos'!R218</f>
        <v>0.560410662386147</v>
      </c>
      <c r="N21" s="12" t="n">
        <f aca="false">(M21-L21)*100</f>
        <v>4.73755899427129</v>
      </c>
      <c r="O21" s="11" t="n">
        <f aca="false">'Base votos'!V185/'Base votos'!R185</f>
        <v>0.223745187288251</v>
      </c>
      <c r="P21" s="11" t="n">
        <f aca="false">'Base votos'!V218/'Base votos'!R218</f>
        <v>0.263677599017426</v>
      </c>
      <c r="Q21" s="12" t="n">
        <f aca="false">(P21-O21)*100</f>
        <v>3.99324117291751</v>
      </c>
      <c r="R21" s="11" t="n">
        <f aca="false">'Base votos'!W185/'Base votos'!R185</f>
        <v>0.201574731664239</v>
      </c>
      <c r="S21" s="11" t="n">
        <f aca="false">'Base votos'!W218/'Base votos'!R218</f>
        <v>0.130699759626103</v>
      </c>
      <c r="T21" s="12" t="n">
        <f aca="false">(S21-R21)*100</f>
        <v>-7.08749720381358</v>
      </c>
      <c r="U21" s="20" t="n">
        <f aca="false">(MAX('Base votos'!U185:W185)-LARGE('Base votos'!U185:W185,2))/'Base votos'!R185*100</f>
        <v>28.9289885155183</v>
      </c>
      <c r="V21" s="20" t="n">
        <f aca="false">(MAX('Base votos'!U218:W218)-LARGE('Base votos'!U218:W218,2))/'Base votos'!R218*100</f>
        <v>29.6733063368721</v>
      </c>
      <c r="W21" s="12" t="n">
        <f aca="false">(V21-U21)</f>
        <v>0.744317821353768</v>
      </c>
      <c r="X21" s="21" t="s">
        <v>74</v>
      </c>
      <c r="Y21" s="21" t="s">
        <v>74</v>
      </c>
      <c r="Z21" s="21" t="s">
        <v>134</v>
      </c>
    </row>
    <row r="22" customFormat="false" ht="23.85" hidden="false" customHeight="false" outlineLevel="0" collapsed="false">
      <c r="A22" s="14" t="s">
        <v>99</v>
      </c>
      <c r="B22" s="11" t="n">
        <f aca="false">'Base votos'!R186/'Base votos'!S186</f>
        <v>0.572438287420706</v>
      </c>
      <c r="C22" s="11" t="n">
        <f aca="false">'Base votos'!R219/'Base votos'!S219</f>
        <v>0.570659566250493</v>
      </c>
      <c r="D22" s="12" t="n">
        <f aca="false">(C22-B22)*100</f>
        <v>-0.177872117021249</v>
      </c>
      <c r="E22" s="11" t="n">
        <f aca="false">'Base votos'!Q186/'Base votos'!R186</f>
        <v>0.0362081738486233</v>
      </c>
      <c r="F22" s="11" t="n">
        <f aca="false">'Base votos'!Q219/'Base votos'!R219</f>
        <v>0.0396410711953933</v>
      </c>
      <c r="G22" s="12" t="n">
        <f aca="false">(F22-E22)*100</f>
        <v>0.343289734677001</v>
      </c>
      <c r="H22" s="9" t="n">
        <f aca="false">'Base votos'!R186</f>
        <v>485940</v>
      </c>
      <c r="I22" s="9" t="n">
        <f aca="false">'Base votos'!R219</f>
        <v>543729</v>
      </c>
      <c r="J22" s="10" t="n">
        <f aca="false">I22-H22</f>
        <v>57789</v>
      </c>
      <c r="K22" s="19" t="n">
        <f aca="false">I22/H22-1</f>
        <v>0.118922089146808</v>
      </c>
      <c r="L22" s="11" t="n">
        <f aca="false">'Base votos'!U186/'Base votos'!R186</f>
        <v>0.557974235502325</v>
      </c>
      <c r="M22" s="11" t="n">
        <f aca="false">'Base votos'!U219/'Base votos'!R219</f>
        <v>0.554140021959469</v>
      </c>
      <c r="N22" s="12" t="n">
        <f aca="false">(M22-L22)*100</f>
        <v>-0.383421354285662</v>
      </c>
      <c r="O22" s="11" t="n">
        <f aca="false">'Base votos'!V186/'Base votos'!R186</f>
        <v>0.219864592336502</v>
      </c>
      <c r="P22" s="11" t="n">
        <f aca="false">'Base votos'!V219/'Base votos'!R219</f>
        <v>0.225971026007441</v>
      </c>
      <c r="Q22" s="12" t="n">
        <f aca="false">(P22-O22)*100</f>
        <v>0.610643367093874</v>
      </c>
      <c r="R22" s="11" t="n">
        <f aca="false">'Base votos'!W186/'Base votos'!R186</f>
        <v>0.185520846195004</v>
      </c>
      <c r="S22" s="11" t="n">
        <f aca="false">'Base votos'!W219/'Base votos'!R219</f>
        <v>0.179343018305075</v>
      </c>
      <c r="T22" s="12" t="n">
        <f aca="false">(S22-R22)*100</f>
        <v>-0.617782788992874</v>
      </c>
      <c r="U22" s="20" t="n">
        <f aca="false">(MAX('Base votos'!U186:W186)-LARGE('Base votos'!U186:W186,2))/'Base votos'!R186*100</f>
        <v>33.8109643165823</v>
      </c>
      <c r="V22" s="20" t="n">
        <f aca="false">(MAX('Base votos'!U219:W219)-LARGE('Base votos'!U219:W219,2))/'Base votos'!R219*100</f>
        <v>32.8168995952028</v>
      </c>
      <c r="W22" s="12" t="n">
        <f aca="false">(V22-U22)</f>
        <v>-0.994064721379537</v>
      </c>
      <c r="X22" s="21" t="s">
        <v>74</v>
      </c>
      <c r="Y22" s="21" t="s">
        <v>74</v>
      </c>
      <c r="Z22" s="21" t="s">
        <v>134</v>
      </c>
    </row>
    <row r="23" customFormat="false" ht="23.85" hidden="false" customHeight="false" outlineLevel="0" collapsed="false">
      <c r="A23" s="14" t="s">
        <v>100</v>
      </c>
      <c r="B23" s="11" t="n">
        <f aca="false">'Base votos'!R187/'Base votos'!S187</f>
        <v>0.561153339372689</v>
      </c>
      <c r="C23" s="11" t="n">
        <f aca="false">'Base votos'!R220/'Base votos'!S220</f>
        <v>0.572324028056385</v>
      </c>
      <c r="D23" s="12" t="n">
        <f aca="false">(C23-B23)*100</f>
        <v>1.11706886836965</v>
      </c>
      <c r="E23" s="11" t="n">
        <f aca="false">'Base votos'!Q187/'Base votos'!R187</f>
        <v>0.0307855379290111</v>
      </c>
      <c r="F23" s="11" t="n">
        <f aca="false">'Base votos'!Q220/'Base votos'!R220</f>
        <v>0.0235551347499732</v>
      </c>
      <c r="G23" s="12" t="n">
        <f aca="false">(F23-E23)*100</f>
        <v>-0.723040317903791</v>
      </c>
      <c r="H23" s="9" t="n">
        <f aca="false">'Base votos'!R187</f>
        <v>2191581</v>
      </c>
      <c r="I23" s="9" t="n">
        <f aca="false">'Base votos'!R220</f>
        <v>2561225</v>
      </c>
      <c r="J23" s="10" t="n">
        <f aca="false">I23-H23</f>
        <v>369644</v>
      </c>
      <c r="K23" s="19" t="n">
        <f aca="false">I23/H23-1</f>
        <v>0.168665452018429</v>
      </c>
      <c r="L23" s="11" t="n">
        <f aca="false">'Base votos'!U187/'Base votos'!R187</f>
        <v>0.218775851770936</v>
      </c>
      <c r="M23" s="11" t="n">
        <f aca="false">'Base votos'!U220/'Base votos'!R220</f>
        <v>0.339700729143281</v>
      </c>
      <c r="N23" s="12" t="n">
        <f aca="false">(M23-L23)*100</f>
        <v>12.0924877372345</v>
      </c>
      <c r="O23" s="11" t="n">
        <f aca="false">'Base votos'!V187/'Base votos'!R187</f>
        <v>0.484850434458047</v>
      </c>
      <c r="P23" s="11" t="n">
        <f aca="false">'Base votos'!V220/'Base votos'!R220</f>
        <v>0.316498160060128</v>
      </c>
      <c r="Q23" s="12" t="n">
        <f aca="false">(P23-O23)*100</f>
        <v>-16.8352274397919</v>
      </c>
      <c r="R23" s="11" t="n">
        <f aca="false">'Base votos'!W187/'Base votos'!R187</f>
        <v>0.216934258875214</v>
      </c>
      <c r="S23" s="11" t="n">
        <f aca="false">'Base votos'!W220/'Base votos'!R220</f>
        <v>0.319705609620397</v>
      </c>
      <c r="T23" s="12" t="n">
        <f aca="false">(S23-R23)*100</f>
        <v>10.2771350745183</v>
      </c>
      <c r="U23" s="20" t="n">
        <f aca="false">(MAX('Base votos'!U187:W187)-LARGE('Base votos'!U187:W187,2))/'Base votos'!R187*100</f>
        <v>26.607458268711</v>
      </c>
      <c r="V23" s="20" t="n">
        <f aca="false">(MAX('Base votos'!U220:W220)-LARGE('Base votos'!U220:W220,2))/'Base votos'!R220*100</f>
        <v>1.99951195228846</v>
      </c>
      <c r="W23" s="12" t="n">
        <f aca="false">(V23-U23)</f>
        <v>-24.6079463164226</v>
      </c>
      <c r="X23" s="21" t="s">
        <v>132</v>
      </c>
      <c r="Y23" s="21" t="s">
        <v>74</v>
      </c>
      <c r="Z23" s="21" t="s">
        <v>135</v>
      </c>
    </row>
    <row r="24" customFormat="false" ht="23.85" hidden="false" customHeight="false" outlineLevel="0" collapsed="false">
      <c r="A24" s="14" t="s">
        <v>101</v>
      </c>
      <c r="B24" s="11" t="n">
        <f aca="false">'Base votos'!R188/'Base votos'!S188</f>
        <v>0.674516402976304</v>
      </c>
      <c r="C24" s="11" t="n">
        <f aca="false">'Base votos'!R221/'Base votos'!S221</f>
        <v>0.605761198412358</v>
      </c>
      <c r="D24" s="12" t="n">
        <f aca="false">(C24-B24)*100</f>
        <v>-6.87552045639461</v>
      </c>
      <c r="E24" s="11" t="n">
        <f aca="false">'Base votos'!Q188/'Base votos'!R188</f>
        <v>0.0456828697898866</v>
      </c>
      <c r="F24" s="11" t="n">
        <f aca="false">'Base votos'!Q221/'Base votos'!R221</f>
        <v>0.0673276432758348</v>
      </c>
      <c r="G24" s="12" t="n">
        <f aca="false">(F24-E24)*100</f>
        <v>2.16447734859482</v>
      </c>
      <c r="H24" s="9" t="n">
        <f aca="false">'Base votos'!R188</f>
        <v>1934051</v>
      </c>
      <c r="I24" s="9" t="n">
        <f aca="false">'Base votos'!R221</f>
        <v>1889729</v>
      </c>
      <c r="J24" s="10" t="n">
        <f aca="false">I24-H24</f>
        <v>-44322</v>
      </c>
      <c r="K24" s="19" t="n">
        <f aca="false">I24/H24-1</f>
        <v>-0.0229166655894804</v>
      </c>
      <c r="L24" s="11" t="n">
        <f aca="false">'Base votos'!U188/'Base votos'!R188</f>
        <v>0.568791102199477</v>
      </c>
      <c r="M24" s="11" t="n">
        <f aca="false">'Base votos'!U221/'Base votos'!R221</f>
        <v>0.722175507705073</v>
      </c>
      <c r="N24" s="12" t="n">
        <f aca="false">(M24-L24)*100</f>
        <v>15.3384405505597</v>
      </c>
      <c r="O24" s="11" t="n">
        <f aca="false">'Base votos'!V188/'Base votos'!R188</f>
        <v>0.157809178765193</v>
      </c>
      <c r="P24" s="11" t="n">
        <f aca="false">'Base votos'!V221/'Base votos'!R221</f>
        <v>0.150461256614044</v>
      </c>
      <c r="Q24" s="12" t="n">
        <f aca="false">(P24-O24)*100</f>
        <v>-0.734792215114924</v>
      </c>
      <c r="R24" s="11" t="n">
        <f aca="false">'Base votos'!W188/'Base votos'!R188</f>
        <v>0.227425750406789</v>
      </c>
      <c r="S24" s="11" t="n">
        <f aca="false">'Base votos'!W221/'Base votos'!R221</f>
        <v>0.0592730492044097</v>
      </c>
      <c r="T24" s="12" t="n">
        <f aca="false">(S24-R24)*100</f>
        <v>-16.8152701202379</v>
      </c>
      <c r="U24" s="20" t="n">
        <f aca="false">(MAX('Base votos'!U188:W188)-LARGE('Base votos'!U188:W188,2))/'Base votos'!R188*100</f>
        <v>34.1365351792688</v>
      </c>
      <c r="V24" s="20" t="n">
        <f aca="false">(MAX('Base votos'!U221:W221)-LARGE('Base votos'!U221:W221,2))/'Base votos'!R221*100</f>
        <v>57.171425109103</v>
      </c>
      <c r="W24" s="12" t="n">
        <f aca="false">(V24-U24)</f>
        <v>23.0348899298341</v>
      </c>
      <c r="X24" s="21" t="s">
        <v>74</v>
      </c>
      <c r="Y24" s="21" t="s">
        <v>74</v>
      </c>
      <c r="Z24" s="21" t="s">
        <v>134</v>
      </c>
    </row>
    <row r="25" customFormat="false" ht="23.85" hidden="false" customHeight="false" outlineLevel="0" collapsed="false">
      <c r="A25" s="14" t="s">
        <v>102</v>
      </c>
      <c r="B25" s="11" t="n">
        <f aca="false">'Base votos'!R189/'Base votos'!S189</f>
        <v>0.688900009265323</v>
      </c>
      <c r="C25" s="11" t="n">
        <f aca="false">'Base votos'!R222/'Base votos'!S222</f>
        <v>0.657538827562204</v>
      </c>
      <c r="D25" s="12" t="n">
        <f aca="false">(C25-B25)*100</f>
        <v>-3.13611817031182</v>
      </c>
      <c r="E25" s="11" t="n">
        <f aca="false">'Base votos'!Q189/'Base votos'!R189</f>
        <v>0.0514304816395588</v>
      </c>
      <c r="F25" s="11" t="n">
        <f aca="false">'Base votos'!Q222/'Base votos'!R222</f>
        <v>0.0454612077910166</v>
      </c>
      <c r="G25" s="12" t="n">
        <f aca="false">(F25-E25)*100</f>
        <v>-0.596927384854218</v>
      </c>
      <c r="H25" s="9" t="n">
        <f aca="false">'Base votos'!R189</f>
        <v>3078194</v>
      </c>
      <c r="I25" s="9" t="n">
        <f aca="false">'Base votos'!R222</f>
        <v>3281677</v>
      </c>
      <c r="J25" s="10" t="n">
        <f aca="false">I25-H25</f>
        <v>203483</v>
      </c>
      <c r="K25" s="19" t="n">
        <f aca="false">I25/H25-1</f>
        <v>0.0661046704658641</v>
      </c>
      <c r="L25" s="11" t="n">
        <f aca="false">'Base votos'!U189/'Base votos'!R189</f>
        <v>0.471529409777291</v>
      </c>
      <c r="M25" s="11" t="n">
        <f aca="false">'Base votos'!U222/'Base votos'!R222</f>
        <v>0.60495655117795</v>
      </c>
      <c r="N25" s="12" t="n">
        <f aca="false">(M25-L25)*100</f>
        <v>13.3427141400658</v>
      </c>
      <c r="O25" s="11" t="n">
        <f aca="false">'Base votos'!V189/'Base votos'!R189</f>
        <v>0.253900501397898</v>
      </c>
      <c r="P25" s="11" t="n">
        <f aca="false">'Base votos'!V222/'Base votos'!R222</f>
        <v>0.265269251056701</v>
      </c>
      <c r="Q25" s="12" t="n">
        <f aca="false">(P25-O25)*100</f>
        <v>1.1368749658803</v>
      </c>
      <c r="R25" s="11" t="n">
        <f aca="false">'Base votos'!W189/'Base votos'!R189</f>
        <v>0.222689668032619</v>
      </c>
      <c r="S25" s="11" t="n">
        <f aca="false">'Base votos'!W222/'Base votos'!R222</f>
        <v>0.0836304121337962</v>
      </c>
      <c r="T25" s="12" t="n">
        <f aca="false">(S25-R25)*100</f>
        <v>-13.9059255898823</v>
      </c>
      <c r="U25" s="20" t="n">
        <f aca="false">(MAX('Base votos'!U189:W189)-LARGE('Base votos'!U189:W189,2))/'Base votos'!R189*100</f>
        <v>21.7628908379394</v>
      </c>
      <c r="V25" s="20" t="n">
        <f aca="false">(MAX('Base votos'!U222:W222)-LARGE('Base votos'!U222:W222,2))/'Base votos'!R222*100</f>
        <v>33.9687300121249</v>
      </c>
      <c r="W25" s="12" t="n">
        <f aca="false">(V25-U25)</f>
        <v>12.2058391741855</v>
      </c>
      <c r="X25" s="21" t="s">
        <v>74</v>
      </c>
      <c r="Y25" s="21" t="s">
        <v>74</v>
      </c>
      <c r="Z25" s="21" t="s">
        <v>134</v>
      </c>
    </row>
    <row r="26" customFormat="false" ht="23.85" hidden="false" customHeight="false" outlineLevel="0" collapsed="false">
      <c r="A26" s="14" t="s">
        <v>103</v>
      </c>
      <c r="B26" s="11" t="n">
        <f aca="false">'Base votos'!R190/'Base votos'!S190</f>
        <v>0.648482688583738</v>
      </c>
      <c r="C26" s="11" t="n">
        <f aca="false">'Base votos'!R223/'Base votos'!S223</f>
        <v>0.638647456154771</v>
      </c>
      <c r="D26" s="12" t="n">
        <f aca="false">(C26-B26)*100</f>
        <v>-0.983523242896667</v>
      </c>
      <c r="E26" s="11" t="n">
        <f aca="false">'Base votos'!Q190/'Base votos'!R190</f>
        <v>0.0487673684568883</v>
      </c>
      <c r="F26" s="11" t="n">
        <f aca="false">'Base votos'!Q223/'Base votos'!R223</f>
        <v>0.0505788641794997</v>
      </c>
      <c r="G26" s="12" t="n">
        <f aca="false">(F26-E26)*100</f>
        <v>0.181149572261142</v>
      </c>
      <c r="H26" s="9" t="n">
        <f aca="false">'Base votos'!R190</f>
        <v>1028085</v>
      </c>
      <c r="I26" s="9" t="n">
        <f aca="false">'Base votos'!R223</f>
        <v>1216002</v>
      </c>
      <c r="J26" s="10" t="n">
        <f aca="false">I26-H26</f>
        <v>187917</v>
      </c>
      <c r="K26" s="19" t="n">
        <f aca="false">I26/H26-1</f>
        <v>0.18278352470856</v>
      </c>
      <c r="L26" s="11" t="n">
        <f aca="false">'Base votos'!U190/'Base votos'!R190</f>
        <v>0.356361584888409</v>
      </c>
      <c r="M26" s="11" t="n">
        <f aca="false">'Base votos'!U223/'Base votos'!R223</f>
        <v>0.437519839605527</v>
      </c>
      <c r="N26" s="12" t="n">
        <f aca="false">(M26-L26)*100</f>
        <v>8.1158254717118</v>
      </c>
      <c r="O26" s="11" t="n">
        <f aca="false">'Base votos'!V190/'Base votos'!R190</f>
        <v>0.387981538491467</v>
      </c>
      <c r="P26" s="11" t="n">
        <f aca="false">'Base votos'!V223/'Base votos'!R223</f>
        <v>0.447202389469754</v>
      </c>
      <c r="Q26" s="12" t="n">
        <f aca="false">(P26-O26)*100</f>
        <v>5.9220850978287</v>
      </c>
      <c r="R26" s="11" t="n">
        <f aca="false">'Base votos'!W190/'Base votos'!R190</f>
        <v>0.206115253116231</v>
      </c>
      <c r="S26" s="11" t="n">
        <f aca="false">'Base votos'!W223/'Base votos'!R223</f>
        <v>0.0638181516148822</v>
      </c>
      <c r="T26" s="12" t="n">
        <f aca="false">(S26-R26)*100</f>
        <v>-14.2297101501348</v>
      </c>
      <c r="U26" s="20" t="n">
        <f aca="false">(MAX('Base votos'!U190:W190)-LARGE('Base votos'!U190:W190,2))/'Base votos'!R190*100</f>
        <v>3.16199536030581</v>
      </c>
      <c r="V26" s="20" t="n">
        <f aca="false">(MAX('Base votos'!U223:W223)-LARGE('Base votos'!U223:W223,2))/'Base votos'!R223*100</f>
        <v>0.96825498642272</v>
      </c>
      <c r="W26" s="12" t="n">
        <f aca="false">(V26-U26)</f>
        <v>-2.19374037388309</v>
      </c>
      <c r="X26" s="21" t="s">
        <v>132</v>
      </c>
      <c r="Y26" s="21" t="s">
        <v>132</v>
      </c>
      <c r="Z26" s="21" t="s">
        <v>150</v>
      </c>
    </row>
    <row r="27" customFormat="false" ht="23.85" hidden="false" customHeight="false" outlineLevel="0" collapsed="false">
      <c r="A27" s="14" t="s">
        <v>104</v>
      </c>
      <c r="B27" s="11" t="n">
        <f aca="false">'Base votos'!R191/'Base votos'!S191</f>
        <v>0.603073210987023</v>
      </c>
      <c r="C27" s="11" t="n">
        <f aca="false">'Base votos'!R224/'Base votos'!S224</f>
        <v>0.565214060218011</v>
      </c>
      <c r="D27" s="12" t="n">
        <f aca="false">(C27-B27)*100</f>
        <v>-3.78591507690121</v>
      </c>
      <c r="E27" s="11" t="n">
        <f aca="false">'Base votos'!Q191/'Base votos'!R191</f>
        <v>0.037869054980674</v>
      </c>
      <c r="F27" s="11" t="n">
        <f aca="false">'Base votos'!Q224/'Base votos'!R224</f>
        <v>0.0337907755539715</v>
      </c>
      <c r="G27" s="12" t="n">
        <f aca="false">(F27-E27)*100</f>
        <v>-0.407827942670257</v>
      </c>
      <c r="H27" s="9" t="n">
        <f aca="false">'Base votos'!R191</f>
        <v>729329</v>
      </c>
      <c r="I27" s="9" t="n">
        <f aca="false">'Base votos'!R224</f>
        <v>826261</v>
      </c>
      <c r="J27" s="10" t="n">
        <f aca="false">I27-H27</f>
        <v>96932</v>
      </c>
      <c r="K27" s="19" t="n">
        <f aca="false">I27/H27-1</f>
        <v>0.132905725673873</v>
      </c>
      <c r="L27" s="11" t="n">
        <f aca="false">'Base votos'!U191/'Base votos'!R191</f>
        <v>0.595012676035095</v>
      </c>
      <c r="M27" s="11" t="n">
        <f aca="false">'Base votos'!U224/'Base votos'!R224</f>
        <v>0.679884443293342</v>
      </c>
      <c r="N27" s="12" t="n">
        <f aca="false">(M27-L27)*100</f>
        <v>8.48717672582468</v>
      </c>
      <c r="O27" s="11" t="n">
        <f aca="false">'Base votos'!V191/'Base votos'!R191</f>
        <v>0.209918980323009</v>
      </c>
      <c r="P27" s="11" t="n">
        <f aca="false">'Base votos'!V224/'Base votos'!R224</f>
        <v>0.184630522316798</v>
      </c>
      <c r="Q27" s="12" t="n">
        <f aca="false">(P27-O27)*100</f>
        <v>-2.5288458006211</v>
      </c>
      <c r="R27" s="11" t="n">
        <f aca="false">'Base votos'!W191/'Base votos'!R191</f>
        <v>0.156138039211385</v>
      </c>
      <c r="S27" s="11" t="n">
        <f aca="false">'Base votos'!W224/'Base votos'!R224</f>
        <v>0.100674000104083</v>
      </c>
      <c r="T27" s="12" t="n">
        <f aca="false">(S27-R27)*100</f>
        <v>-5.54640391073014</v>
      </c>
      <c r="U27" s="20" t="n">
        <f aca="false">(MAX('Base votos'!U191:W191)-LARGE('Base votos'!U191:W191,2))/'Base votos'!R191*100</f>
        <v>38.5093695712086</v>
      </c>
      <c r="V27" s="20" t="n">
        <f aca="false">(MAX('Base votos'!U224:W224)-LARGE('Base votos'!U224:W224,2))/'Base votos'!R224*100</f>
        <v>49.5253920976544</v>
      </c>
      <c r="W27" s="12" t="n">
        <f aca="false">(V27-U27)</f>
        <v>11.0160225264458</v>
      </c>
      <c r="X27" s="21" t="s">
        <v>74</v>
      </c>
      <c r="Y27" s="21" t="s">
        <v>74</v>
      </c>
      <c r="Z27" s="21" t="s">
        <v>134</v>
      </c>
    </row>
    <row r="28" customFormat="false" ht="23.85" hidden="false" customHeight="false" outlineLevel="0" collapsed="false">
      <c r="A28" s="14" t="s">
        <v>105</v>
      </c>
      <c r="B28" s="11" t="n">
        <f aca="false">'Base votos'!R192/'Base votos'!S192</f>
        <v>0.635869521288419</v>
      </c>
      <c r="C28" s="11" t="n">
        <f aca="false">'Base votos'!R225/'Base votos'!S225</f>
        <v>0.623068694462339</v>
      </c>
      <c r="D28" s="12" t="n">
        <f aca="false">(C28-B28)*100</f>
        <v>-1.28008268260802</v>
      </c>
      <c r="E28" s="11" t="n">
        <f aca="false">'Base votos'!Q192/'Base votos'!R192</f>
        <v>0.0657373414126263</v>
      </c>
      <c r="F28" s="11" t="n">
        <f aca="false">'Base votos'!Q225/'Base votos'!R225</f>
        <v>0.0654215605886409</v>
      </c>
      <c r="G28" s="12" t="n">
        <f aca="false">(F28-E28)*100</f>
        <v>-0.0315780823985382</v>
      </c>
      <c r="H28" s="9" t="n">
        <f aca="false">'Base votos'!R192</f>
        <v>1258691</v>
      </c>
      <c r="I28" s="9" t="n">
        <f aca="false">'Base votos'!R225</f>
        <v>1364703</v>
      </c>
      <c r="J28" s="10" t="n">
        <f aca="false">I28-H28</f>
        <v>106012</v>
      </c>
      <c r="K28" s="19" t="n">
        <f aca="false">I28/H28-1</f>
        <v>0.0842240073218923</v>
      </c>
      <c r="L28" s="11" t="n">
        <f aca="false">'Base votos'!U192/'Base votos'!R192</f>
        <v>0.306601858597543</v>
      </c>
      <c r="M28" s="11" t="n">
        <f aca="false">'Base votos'!U225/'Base votos'!R225</f>
        <v>0.61003896085815</v>
      </c>
      <c r="N28" s="12" t="n">
        <f aca="false">(M28-L28)*100</f>
        <v>30.3437102260607</v>
      </c>
      <c r="O28" s="11" t="n">
        <f aca="false">'Base votos'!V192/'Base votos'!R192</f>
        <v>0.343542616893265</v>
      </c>
      <c r="P28" s="11" t="n">
        <f aca="false">'Base votos'!V225/'Base votos'!R225</f>
        <v>0.249520958039954</v>
      </c>
      <c r="Q28" s="12" t="n">
        <f aca="false">(P28-O28)*100</f>
        <v>-9.402165885331</v>
      </c>
      <c r="R28" s="11" t="n">
        <f aca="false">'Base votos'!W192/'Base votos'!R192</f>
        <v>0.283312584264128</v>
      </c>
      <c r="S28" s="11" t="n">
        <f aca="false">'Base votos'!W225/'Base votos'!R225</f>
        <v>0.0742183464094385</v>
      </c>
      <c r="T28" s="12" t="n">
        <f aca="false">(S28-R28)*100</f>
        <v>-20.909423785469</v>
      </c>
      <c r="U28" s="20" t="n">
        <f aca="false">(MAX('Base votos'!U192:W192)-LARGE('Base votos'!U192:W192,2))/'Base votos'!R192*100</f>
        <v>3.69407582957215</v>
      </c>
      <c r="V28" s="20" t="n">
        <f aca="false">(MAX('Base votos'!U225:W225)-LARGE('Base votos'!U225:W225,2))/'Base votos'!R225*100</f>
        <v>36.0518002818196</v>
      </c>
      <c r="W28" s="12" t="n">
        <f aca="false">(V28-U28)</f>
        <v>32.3577244522474</v>
      </c>
      <c r="X28" s="21" t="s">
        <v>132</v>
      </c>
      <c r="Y28" s="21" t="s">
        <v>74</v>
      </c>
      <c r="Z28" s="21" t="s">
        <v>135</v>
      </c>
    </row>
    <row r="29" customFormat="false" ht="23.85" hidden="false" customHeight="false" outlineLevel="0" collapsed="false">
      <c r="A29" s="14" t="s">
        <v>106</v>
      </c>
      <c r="B29" s="11" t="n">
        <f aca="false">'Base votos'!R193/'Base votos'!S193</f>
        <v>0.607386035992006</v>
      </c>
      <c r="C29" s="11" t="n">
        <f aca="false">'Base votos'!R226/'Base votos'!S226</f>
        <v>0.562552108603318</v>
      </c>
      <c r="D29" s="12" t="n">
        <f aca="false">(C29-B29)*100</f>
        <v>-4.48339273886882</v>
      </c>
      <c r="E29" s="11" t="n">
        <f aca="false">'Base votos'!Q193/'Base votos'!R193</f>
        <v>0.0293275409232693</v>
      </c>
      <c r="F29" s="11" t="n">
        <f aca="false">'Base votos'!Q226/'Base votos'!R226</f>
        <v>0.0534918712116598</v>
      </c>
      <c r="G29" s="12" t="n">
        <f aca="false">(F29-E29)*100</f>
        <v>2.41643302883905</v>
      </c>
      <c r="H29" s="9" t="n">
        <f aca="false">'Base votos'!R193</f>
        <v>1298711</v>
      </c>
      <c r="I29" s="9" t="n">
        <f aca="false">'Base votos'!R226</f>
        <v>1329903</v>
      </c>
      <c r="J29" s="10" t="n">
        <f aca="false">I29-H29</f>
        <v>31192</v>
      </c>
      <c r="K29" s="19" t="n">
        <f aca="false">I29/H29-1</f>
        <v>0.0240176605880753</v>
      </c>
      <c r="L29" s="11" t="n">
        <f aca="false">'Base votos'!U193/'Base votos'!R193</f>
        <v>0.470561194907874</v>
      </c>
      <c r="M29" s="11" t="n">
        <f aca="false">'Base votos'!U226/'Base votos'!R226</f>
        <v>0.629003769447847</v>
      </c>
      <c r="N29" s="12" t="n">
        <f aca="false">(M29-L29)*100</f>
        <v>15.8442574539973</v>
      </c>
      <c r="O29" s="11" t="n">
        <f aca="false">'Base votos'!V193/'Base votos'!R193</f>
        <v>0.189912921350478</v>
      </c>
      <c r="P29" s="11" t="n">
        <f aca="false">'Base votos'!V226/'Base votos'!R226</f>
        <v>0.252458261993544</v>
      </c>
      <c r="Q29" s="12" t="n">
        <f aca="false">(P29-O29)*100</f>
        <v>6.25453406430664</v>
      </c>
      <c r="R29" s="11" t="n">
        <f aca="false">'Base votos'!W193/'Base votos'!R193</f>
        <v>0.23754938550609</v>
      </c>
      <c r="S29" s="11" t="n">
        <f aca="false">'Base votos'!W226/'Base votos'!R226</f>
        <v>0.0645558360271388</v>
      </c>
      <c r="T29" s="12" t="n">
        <f aca="false">(S29-R29)*100</f>
        <v>-17.2993549478951</v>
      </c>
      <c r="U29" s="20" t="n">
        <f aca="false">(MAX('Base votos'!U193:W193)-LARGE('Base votos'!U193:W193,2))/'Base votos'!R193*100</f>
        <v>23.3011809401784</v>
      </c>
      <c r="V29" s="20" t="n">
        <f aca="false">(MAX('Base votos'!U226:W226)-LARGE('Base votos'!U226:W226,2))/'Base votos'!R226*100</f>
        <v>37.6545507454303</v>
      </c>
      <c r="W29" s="12" t="n">
        <f aca="false">(V29-U29)</f>
        <v>14.3533698052519</v>
      </c>
      <c r="X29" s="21" t="s">
        <v>74</v>
      </c>
      <c r="Y29" s="21" t="s">
        <v>74</v>
      </c>
      <c r="Z29" s="21" t="s">
        <v>134</v>
      </c>
    </row>
    <row r="30" customFormat="false" ht="23.85" hidden="false" customHeight="false" outlineLevel="0" collapsed="false">
      <c r="A30" s="14" t="s">
        <v>107</v>
      </c>
      <c r="B30" s="11" t="n">
        <f aca="false">'Base votos'!R194/'Base votos'!S194</f>
        <v>0.524130104491107</v>
      </c>
      <c r="C30" s="11" t="n">
        <f aca="false">'Base votos'!R227/'Base votos'!S227</f>
        <v>0.510193806559607</v>
      </c>
      <c r="D30" s="12" t="n">
        <f aca="false">(C30-B30)*100</f>
        <v>-1.39362979315001</v>
      </c>
      <c r="E30" s="11" t="n">
        <f aca="false">'Base votos'!Q194/'Base votos'!R194</f>
        <v>0.0335551999533424</v>
      </c>
      <c r="F30" s="11" t="n">
        <f aca="false">'Base votos'!Q227/'Base votos'!R227</f>
        <v>0.0547776197128344</v>
      </c>
      <c r="G30" s="12" t="n">
        <f aca="false">(F30-E30)*100</f>
        <v>2.1222419759492</v>
      </c>
      <c r="H30" s="9" t="n">
        <f aca="false">'Base votos'!R194</f>
        <v>1097356</v>
      </c>
      <c r="I30" s="9" t="n">
        <f aca="false">'Base votos'!R227</f>
        <v>1170405</v>
      </c>
      <c r="J30" s="10" t="n">
        <f aca="false">I30-H30</f>
        <v>73049</v>
      </c>
      <c r="K30" s="19" t="n">
        <f aca="false">I30/H30-1</f>
        <v>0.0665681875344009</v>
      </c>
      <c r="L30" s="11" t="n">
        <f aca="false">'Base votos'!U194/'Base votos'!R194</f>
        <v>0.471445000528543</v>
      </c>
      <c r="M30" s="11" t="n">
        <f aca="false">'Base votos'!U227/'Base votos'!R227</f>
        <v>0.574698501800659</v>
      </c>
      <c r="N30" s="12" t="n">
        <f aca="false">(M30-L30)*100</f>
        <v>10.3253501272116</v>
      </c>
      <c r="O30" s="11" t="n">
        <f aca="false">'Base votos'!V194/'Base votos'!R194</f>
        <v>0.217726972832882</v>
      </c>
      <c r="P30" s="11" t="n">
        <f aca="false">'Base votos'!V227/'Base votos'!R227</f>
        <v>0.261416347332761</v>
      </c>
      <c r="Q30" s="12" t="n">
        <f aca="false">(P30-O30)*100</f>
        <v>4.36893744998789</v>
      </c>
      <c r="R30" s="11" t="n">
        <f aca="false">'Base votos'!W194/'Base votos'!R194</f>
        <v>0.27691742697903</v>
      </c>
      <c r="S30" s="11" t="n">
        <f aca="false">'Base votos'!W227/'Base votos'!R227</f>
        <v>0.108534225332257</v>
      </c>
      <c r="T30" s="12" t="n">
        <f aca="false">(S30-R30)*100</f>
        <v>-16.8383201646773</v>
      </c>
      <c r="U30" s="20" t="n">
        <f aca="false">(MAX('Base votos'!U194:W194)-LARGE('Base votos'!U194:W194,2))/'Base votos'!R194*100</f>
        <v>19.4527573549514</v>
      </c>
      <c r="V30" s="20" t="n">
        <f aca="false">(MAX('Base votos'!U227:W227)-LARGE('Base votos'!U227:W227,2))/'Base votos'!R227*100</f>
        <v>31.3282154467898</v>
      </c>
      <c r="W30" s="12" t="n">
        <f aca="false">(V30-U30)</f>
        <v>11.8754580918384</v>
      </c>
      <c r="X30" s="21" t="s">
        <v>74</v>
      </c>
      <c r="Y30" s="21" t="s">
        <v>74</v>
      </c>
      <c r="Z30" s="21" t="s">
        <v>134</v>
      </c>
    </row>
    <row r="31" customFormat="false" ht="23.85" hidden="false" customHeight="false" outlineLevel="0" collapsed="false">
      <c r="A31" s="14" t="s">
        <v>108</v>
      </c>
      <c r="B31" s="11" t="n">
        <f aca="false">'Base votos'!R195/'Base votos'!S195</f>
        <v>0.714014829623953</v>
      </c>
      <c r="C31" s="11" t="n">
        <f aca="false">'Base votos'!R228/'Base votos'!S228</f>
        <v>0.614041562132475</v>
      </c>
      <c r="D31" s="12" t="n">
        <f aca="false">(C31-B31)*100</f>
        <v>-9.9973267491478</v>
      </c>
      <c r="E31" s="11" t="n">
        <f aca="false">'Base votos'!Q195/'Base votos'!R195</f>
        <v>0.0349418065071547</v>
      </c>
      <c r="F31" s="11" t="n">
        <f aca="false">'Base votos'!Q228/'Base votos'!R228</f>
        <v>0.0625969669501598</v>
      </c>
      <c r="G31" s="12" t="n">
        <f aca="false">(F31-E31)*100</f>
        <v>2.76551604430051</v>
      </c>
      <c r="H31" s="9" t="n">
        <f aca="false">'Base votos'!R195</f>
        <v>1205719</v>
      </c>
      <c r="I31" s="9" t="n">
        <f aca="false">'Base votos'!R228</f>
        <v>1113137</v>
      </c>
      <c r="J31" s="10" t="n">
        <f aca="false">I31-H31</f>
        <v>-92582</v>
      </c>
      <c r="K31" s="19" t="n">
        <f aca="false">I31/H31-1</f>
        <v>-0.0767857187288249</v>
      </c>
      <c r="L31" s="11" t="n">
        <f aca="false">'Base votos'!U195/'Base votos'!R195</f>
        <v>0.67800457652239</v>
      </c>
      <c r="M31" s="11" t="n">
        <f aca="false">'Base votos'!U228/'Base votos'!R228</f>
        <v>0.724227116698124</v>
      </c>
      <c r="N31" s="12" t="n">
        <f aca="false">(M31-L31)*100</f>
        <v>4.6222540175734</v>
      </c>
      <c r="O31" s="11" t="n">
        <f aca="false">'Base votos'!V195/'Base votos'!R195</f>
        <v>0.12506064845955</v>
      </c>
      <c r="P31" s="11" t="n">
        <f aca="false">'Base votos'!V228/'Base votos'!R228</f>
        <v>0.136617505302582</v>
      </c>
      <c r="Q31" s="12" t="n">
        <f aca="false">(P31-O31)*100</f>
        <v>1.15568568430319</v>
      </c>
      <c r="R31" s="11" t="n">
        <f aca="false">'Base votos'!W195/'Base votos'!R195</f>
        <v>0.161670339440616</v>
      </c>
      <c r="S31" s="11" t="n">
        <f aca="false">'Base votos'!W228/'Base votos'!R228</f>
        <v>0.0759448297918405</v>
      </c>
      <c r="T31" s="12" t="n">
        <f aca="false">(S31-R31)*100</f>
        <v>-8.57255096487754</v>
      </c>
      <c r="U31" s="20" t="n">
        <f aca="false">(MAX('Base votos'!U195:W195)-LARGE('Base votos'!U195:W195,2))/'Base votos'!R195*100</f>
        <v>51.6334237081774</v>
      </c>
      <c r="V31" s="20" t="n">
        <f aca="false">(MAX('Base votos'!U228:W228)-LARGE('Base votos'!U228:W228,2))/'Base votos'!R228*100</f>
        <v>58.7609611395543</v>
      </c>
      <c r="W31" s="12" t="n">
        <f aca="false">(V31-U31)</f>
        <v>7.12753743137681</v>
      </c>
      <c r="X31" s="21" t="s">
        <v>74</v>
      </c>
      <c r="Y31" s="21" t="s">
        <v>74</v>
      </c>
      <c r="Z31" s="21" t="s">
        <v>134</v>
      </c>
    </row>
    <row r="32" customFormat="false" ht="23.85" hidden="false" customHeight="false" outlineLevel="0" collapsed="false">
      <c r="A32" s="14" t="s">
        <v>109</v>
      </c>
      <c r="B32" s="11" t="n">
        <f aca="false">'Base votos'!R196/'Base votos'!S196</f>
        <v>0.622821616160849</v>
      </c>
      <c r="C32" s="11" t="n">
        <f aca="false">'Base votos'!R229/'Base votos'!S229</f>
        <v>0.56980850801376</v>
      </c>
      <c r="D32" s="12" t="n">
        <f aca="false">(C32-B32)*100</f>
        <v>-5.30131081470894</v>
      </c>
      <c r="E32" s="11" t="n">
        <f aca="false">'Base votos'!Q196/'Base votos'!R196</f>
        <v>0.0300090005049064</v>
      </c>
      <c r="F32" s="11" t="n">
        <f aca="false">'Base votos'!Q229/'Base votos'!R229</f>
        <v>0.0481352717495254</v>
      </c>
      <c r="G32" s="12" t="n">
        <f aca="false">(F32-E32)*100</f>
        <v>1.8126271244619</v>
      </c>
      <c r="H32" s="9" t="n">
        <f aca="false">'Base votos'!R196</f>
        <v>1639908</v>
      </c>
      <c r="I32" s="9" t="n">
        <f aca="false">'Base votos'!R229</f>
        <v>1626001</v>
      </c>
      <c r="J32" s="10" t="n">
        <f aca="false">I32-H32</f>
        <v>-13907</v>
      </c>
      <c r="K32" s="19" t="n">
        <f aca="false">I32/H32-1</f>
        <v>-0.00848035377594358</v>
      </c>
      <c r="L32" s="11" t="n">
        <f aca="false">'Base votos'!U196/'Base votos'!R196</f>
        <v>0.377846806040339</v>
      </c>
      <c r="M32" s="11" t="n">
        <f aca="false">'Base votos'!U229/'Base votos'!R229</f>
        <v>0.600994710335357</v>
      </c>
      <c r="N32" s="12" t="n">
        <f aca="false">(M32-L32)*100</f>
        <v>22.3147904295018</v>
      </c>
      <c r="O32" s="11" t="n">
        <f aca="false">'Base votos'!V196/'Base votos'!R196</f>
        <v>0.372364791195604</v>
      </c>
      <c r="P32" s="11" t="n">
        <f aca="false">'Base votos'!V229/'Base votos'!R229</f>
        <v>0.280798105290218</v>
      </c>
      <c r="Q32" s="12" t="n">
        <f aca="false">(P32-O32)*100</f>
        <v>-9.15666859053855</v>
      </c>
      <c r="R32" s="11" t="n">
        <f aca="false">'Base votos'!W196/'Base votos'!R196</f>
        <v>0.219408649753523</v>
      </c>
      <c r="S32" s="11" t="n">
        <f aca="false">'Base votos'!W229/'Base votos'!R229</f>
        <v>0.0695122573725354</v>
      </c>
      <c r="T32" s="12" t="n">
        <f aca="false">(S32-R32)*100</f>
        <v>-14.9896392380987</v>
      </c>
      <c r="U32" s="20" t="n">
        <f aca="false">(MAX('Base votos'!U196:W196)-LARGE('Base votos'!U196:W196,2))/'Base votos'!R196*100</f>
        <v>0.548201484473519</v>
      </c>
      <c r="V32" s="20" t="n">
        <f aca="false">(MAX('Base votos'!U229:W229)-LARGE('Base votos'!U229:W229,2))/'Base votos'!R229*100</f>
        <v>32.0196605045138</v>
      </c>
      <c r="W32" s="12" t="n">
        <f aca="false">(V32-U32)</f>
        <v>31.4714590200403</v>
      </c>
      <c r="X32" s="21" t="s">
        <v>74</v>
      </c>
      <c r="Y32" s="21" t="s">
        <v>74</v>
      </c>
      <c r="Z32" s="21" t="s">
        <v>134</v>
      </c>
    </row>
    <row r="33" customFormat="false" ht="23.85" hidden="false" customHeight="false" outlineLevel="0" collapsed="false">
      <c r="A33" s="14" t="s">
        <v>110</v>
      </c>
      <c r="B33" s="11" t="n">
        <f aca="false">'Base votos'!R197/'Base votos'!S197</f>
        <v>0.666870651335684</v>
      </c>
      <c r="C33" s="11" t="n">
        <f aca="false">'Base votos'!R230/'Base votos'!S230</f>
        <v>0.709047315344519</v>
      </c>
      <c r="D33" s="12" t="n">
        <f aca="false">(C33-B33)*100</f>
        <v>4.21766640088348</v>
      </c>
      <c r="E33" s="11" t="n">
        <f aca="false">'Base votos'!Q197/'Base votos'!R197</f>
        <v>0.0403847309498248</v>
      </c>
      <c r="F33" s="11" t="n">
        <f aca="false">'Base votos'!Q230/'Base votos'!R230</f>
        <v>0.0651347940588087</v>
      </c>
      <c r="G33" s="12" t="n">
        <f aca="false">(F33-E33)*100</f>
        <v>2.47500631089838</v>
      </c>
      <c r="H33" s="9" t="n">
        <f aca="false">'Base votos'!R197</f>
        <v>615703</v>
      </c>
      <c r="I33" s="9" t="n">
        <f aca="false">'Base votos'!R230</f>
        <v>739313</v>
      </c>
      <c r="J33" s="10" t="n">
        <f aca="false">I33-H33</f>
        <v>123610</v>
      </c>
      <c r="K33" s="19" t="n">
        <f aca="false">I33/H33-1</f>
        <v>0.200762380563356</v>
      </c>
      <c r="L33" s="11" t="n">
        <f aca="false">'Base votos'!U197/'Base votos'!R197</f>
        <v>0.585618390685119</v>
      </c>
      <c r="M33" s="11" t="n">
        <f aca="false">'Base votos'!U230/'Base votos'!R230</f>
        <v>0.614757213791723</v>
      </c>
      <c r="N33" s="12" t="n">
        <f aca="false">(M33-L33)*100</f>
        <v>2.91388231066035</v>
      </c>
      <c r="O33" s="11" t="n">
        <f aca="false">'Base votos'!V197/'Base votos'!R197</f>
        <v>0.176760548511214</v>
      </c>
      <c r="P33" s="11" t="n">
        <f aca="false">'Base votos'!V230/'Base votos'!R230</f>
        <v>0.214144753304757</v>
      </c>
      <c r="Q33" s="12" t="n">
        <f aca="false">(P33-O33)*100</f>
        <v>3.73842047935433</v>
      </c>
      <c r="R33" s="11" t="n">
        <f aca="false">'Base votos'!W197/'Base votos'!R197</f>
        <v>0.173599933734284</v>
      </c>
      <c r="S33" s="11" t="n">
        <f aca="false">'Base votos'!W230/'Base votos'!R230</f>
        <v>0.105373502156732</v>
      </c>
      <c r="T33" s="12" t="n">
        <f aca="false">(S33-R33)*100</f>
        <v>-6.82264315775522</v>
      </c>
      <c r="U33" s="20" t="n">
        <f aca="false">(MAX('Base votos'!U197:W197)-LARGE('Base votos'!U197:W197,2))/'Base votos'!R197*100</f>
        <v>40.8857842173905</v>
      </c>
      <c r="V33" s="20" t="n">
        <f aca="false">(MAX('Base votos'!U230:W230)-LARGE('Base votos'!U230:W230,2))/'Base votos'!R230*100</f>
        <v>40.0612460486966</v>
      </c>
      <c r="W33" s="12" t="n">
        <f aca="false">(V33-U33)</f>
        <v>-0.824538168693962</v>
      </c>
      <c r="X33" s="21" t="s">
        <v>74</v>
      </c>
      <c r="Y33" s="21" t="s">
        <v>74</v>
      </c>
      <c r="Z33" s="21" t="s">
        <v>134</v>
      </c>
    </row>
    <row r="34" customFormat="false" ht="23.85" hidden="false" customHeight="false" outlineLevel="0" collapsed="false">
      <c r="A34" s="14" t="s">
        <v>111</v>
      </c>
      <c r="B34" s="11" t="n">
        <f aca="false">'Base votos'!R198/'Base votos'!S198</f>
        <v>0.660553265699018</v>
      </c>
      <c r="C34" s="11" t="n">
        <f aca="false">'Base votos'!R231/'Base votos'!S231</f>
        <v>0.604108171525859</v>
      </c>
      <c r="D34" s="12" t="n">
        <f aca="false">(C34-B34)*100</f>
        <v>-5.64450941731588</v>
      </c>
      <c r="E34" s="11" t="n">
        <f aca="false">'Base votos'!Q198/'Base votos'!R198</f>
        <v>0.0335659054983893</v>
      </c>
      <c r="F34" s="11" t="n">
        <f aca="false">'Base votos'!Q231/'Base votos'!R231</f>
        <v>0.02989704566288</v>
      </c>
      <c r="G34" s="12" t="n">
        <f aca="false">(F34-E34)*100</f>
        <v>-0.366885983550931</v>
      </c>
      <c r="H34" s="9" t="n">
        <f aca="false">'Base votos'!R198</f>
        <v>3819173</v>
      </c>
      <c r="I34" s="9" t="n">
        <f aca="false">'Base votos'!R231</f>
        <v>3678524</v>
      </c>
      <c r="J34" s="10" t="n">
        <f aca="false">I34-H34</f>
        <v>-140649</v>
      </c>
      <c r="K34" s="19" t="n">
        <f aca="false">I34/H34-1</f>
        <v>-0.0368270827218353</v>
      </c>
      <c r="L34" s="11" t="n">
        <f aca="false">'Base votos'!U198/'Base votos'!R198</f>
        <v>0.482127413447885</v>
      </c>
      <c r="M34" s="11" t="n">
        <f aca="false">'Base votos'!U231/'Base votos'!R231</f>
        <v>0.606100164087553</v>
      </c>
      <c r="N34" s="12" t="n">
        <f aca="false">(M34-L34)*100</f>
        <v>12.3972750639667</v>
      </c>
      <c r="O34" s="11" t="n">
        <f aca="false">'Base votos'!V198/'Base votos'!R198</f>
        <v>0.332166675874594</v>
      </c>
      <c r="P34" s="11" t="n">
        <f aca="false">'Base votos'!V231/'Base votos'!R231</f>
        <v>0.286593753364121</v>
      </c>
      <c r="Q34" s="12" t="n">
        <f aca="false">(P34-O34)*100</f>
        <v>-4.55729225104728</v>
      </c>
      <c r="R34" s="11" t="n">
        <f aca="false">'Base votos'!W198/'Base votos'!R198</f>
        <v>0.151848318994714</v>
      </c>
      <c r="S34" s="11" t="n">
        <f aca="false">'Base votos'!W231/'Base votos'!R231</f>
        <v>0.0768846417747988</v>
      </c>
      <c r="T34" s="12" t="n">
        <f aca="false">(S34-R34)*100</f>
        <v>-7.49636772199155</v>
      </c>
      <c r="U34" s="20" t="n">
        <f aca="false">(MAX('Base votos'!U198:W198)-LARGE('Base votos'!U198:W198,2))/'Base votos'!R198*100</f>
        <v>14.9960737573291</v>
      </c>
      <c r="V34" s="20" t="n">
        <f aca="false">(MAX('Base votos'!U231:W231)-LARGE('Base votos'!U231:W231,2))/'Base votos'!R231*100</f>
        <v>31.9506410723431</v>
      </c>
      <c r="W34" s="12" t="n">
        <f aca="false">(V34-U34)</f>
        <v>16.954567315014</v>
      </c>
      <c r="X34" s="21" t="s">
        <v>74</v>
      </c>
      <c r="Y34" s="21" t="s">
        <v>74</v>
      </c>
      <c r="Z34" s="21" t="s">
        <v>134</v>
      </c>
    </row>
    <row r="35" customFormat="false" ht="23.85" hidden="false" customHeight="false" outlineLevel="0" collapsed="false">
      <c r="A35" s="14" t="s">
        <v>112</v>
      </c>
      <c r="B35" s="11" t="n">
        <f aca="false">'Base votos'!R199/'Base votos'!S199</f>
        <v>0.753946687118714</v>
      </c>
      <c r="C35" s="11" t="n">
        <f aca="false">'Base votos'!R232/'Base votos'!S232</f>
        <v>0.7256410038883</v>
      </c>
      <c r="D35" s="12" t="n">
        <f aca="false">(C35-B35)*100</f>
        <v>-2.83056832304143</v>
      </c>
      <c r="E35" s="11" t="n">
        <f aca="false">'Base votos'!Q199/'Base votos'!R199</f>
        <v>0.0284347871737078</v>
      </c>
      <c r="F35" s="11" t="n">
        <f aca="false">'Base votos'!Q232/'Base votos'!R232</f>
        <v>0.0291467657658781</v>
      </c>
      <c r="G35" s="12" t="n">
        <f aca="false">(F35-E35)*100</f>
        <v>0.0711978592170308</v>
      </c>
      <c r="H35" s="9" t="n">
        <f aca="false">'Base votos'!R199</f>
        <v>1161957</v>
      </c>
      <c r="I35" s="9" t="n">
        <f aca="false">'Base votos'!R232</f>
        <v>1283024</v>
      </c>
      <c r="J35" s="10" t="n">
        <f aca="false">I35-H35</f>
        <v>121067</v>
      </c>
      <c r="K35" s="19" t="n">
        <f aca="false">I35/H35-1</f>
        <v>0.104192323812327</v>
      </c>
      <c r="L35" s="11" t="n">
        <f aca="false">'Base votos'!U199/'Base votos'!R199</f>
        <v>0.268781030623336</v>
      </c>
      <c r="M35" s="11" t="n">
        <f aca="false">'Base votos'!U232/'Base votos'!R232</f>
        <v>0.515745613488134</v>
      </c>
      <c r="N35" s="12" t="n">
        <f aca="false">(M35-L35)*100</f>
        <v>24.6964582864798</v>
      </c>
      <c r="O35" s="11" t="n">
        <f aca="false">'Base votos'!V199/'Base votos'!R199</f>
        <v>0.332798890148259</v>
      </c>
      <c r="P35" s="11" t="n">
        <f aca="false">'Base votos'!V232/'Base votos'!R232</f>
        <v>0.398485141353552</v>
      </c>
      <c r="Q35" s="12" t="n">
        <f aca="false">(P35-O35)*100</f>
        <v>6.56862512052938</v>
      </c>
      <c r="R35" s="11" t="n">
        <f aca="false">'Base votos'!W199/'Base votos'!R199</f>
        <v>0.369738294962722</v>
      </c>
      <c r="S35" s="11" t="n">
        <f aca="false">'Base votos'!W232/'Base votos'!R232</f>
        <v>0.0561509371609572</v>
      </c>
      <c r="T35" s="12" t="n">
        <f aca="false">(S35-R35)*100</f>
        <v>-31.3587357801765</v>
      </c>
      <c r="U35" s="20" t="n">
        <f aca="false">(MAX('Base votos'!U199:W199)-LARGE('Base votos'!U199:W199,2))/'Base votos'!R199*100</f>
        <v>3.69394048144639</v>
      </c>
      <c r="V35" s="20" t="n">
        <f aca="false">(MAX('Base votos'!U232:W232)-LARGE('Base votos'!U232:W232,2))/'Base votos'!R232*100</f>
        <v>11.7260472134582</v>
      </c>
      <c r="W35" s="12" t="n">
        <f aca="false">(V35-U35)</f>
        <v>8.03210673201182</v>
      </c>
      <c r="X35" s="21" t="s">
        <v>153</v>
      </c>
      <c r="Y35" s="21" t="s">
        <v>74</v>
      </c>
      <c r="Z35" s="21" t="s">
        <v>155</v>
      </c>
    </row>
    <row r="36" customFormat="false" ht="23.85" hidden="false" customHeight="false" outlineLevel="0" collapsed="false">
      <c r="A36" s="14" t="s">
        <v>113</v>
      </c>
      <c r="B36" s="11" t="n">
        <f aca="false">'Base votos'!R200/'Base votos'!S200</f>
        <v>0.655953719795426</v>
      </c>
      <c r="C36" s="11" t="n">
        <f aca="false">'Base votos'!R233/'Base votos'!S233</f>
        <v>0.606726940752878</v>
      </c>
      <c r="D36" s="12" t="n">
        <f aca="false">(C36-B36)*100</f>
        <v>-4.9226779042548</v>
      </c>
      <c r="E36" s="11" t="n">
        <f aca="false">'Base votos'!Q200/'Base votos'!R200</f>
        <v>0.0417719998328598</v>
      </c>
      <c r="F36" s="11" t="n">
        <f aca="false">'Base votos'!Q233/'Base votos'!R233</f>
        <v>0.0409423355428785</v>
      </c>
      <c r="G36" s="12" t="n">
        <f aca="false">(F36-E36)*100</f>
        <v>-0.0829664289981269</v>
      </c>
      <c r="H36" s="9" t="n">
        <f aca="false">'Base votos'!R200</f>
        <v>765824</v>
      </c>
      <c r="I36" s="9" t="n">
        <f aca="false">'Base votos'!R233</f>
        <v>770596</v>
      </c>
      <c r="J36" s="10" t="n">
        <f aca="false">I36-H36</f>
        <v>4772</v>
      </c>
      <c r="K36" s="19" t="n">
        <f aca="false">I36/H36-1</f>
        <v>0.00623119672405137</v>
      </c>
      <c r="L36" s="11" t="n">
        <f aca="false">'Base votos'!U200/'Base votos'!R200</f>
        <v>0.414938680427879</v>
      </c>
      <c r="M36" s="11" t="n">
        <f aca="false">'Base votos'!U233/'Base votos'!R233</f>
        <v>0.46441325934731</v>
      </c>
      <c r="N36" s="12" t="n">
        <f aca="false">(M36-L36)*100</f>
        <v>4.94745789194314</v>
      </c>
      <c r="O36" s="11" t="n">
        <f aca="false">'Base votos'!V200/'Base votos'!R200</f>
        <v>0.208717668811633</v>
      </c>
      <c r="P36" s="11" t="n">
        <f aca="false">'Base votos'!V233/'Base votos'!R233</f>
        <v>0.357172889555617</v>
      </c>
      <c r="Q36" s="12" t="n">
        <f aca="false">(P36-O36)*100</f>
        <v>14.8455220743984</v>
      </c>
      <c r="R36" s="11" t="n">
        <f aca="false">'Base votos'!W200/'Base votos'!R200</f>
        <v>0.334234758900217</v>
      </c>
      <c r="S36" s="11" t="n">
        <f aca="false">'Base votos'!W233/'Base votos'!R233</f>
        <v>0.136463205103582</v>
      </c>
      <c r="T36" s="12" t="n">
        <f aca="false">(S36-R36)*100</f>
        <v>-19.7771553796635</v>
      </c>
      <c r="U36" s="20" t="n">
        <f aca="false">(MAX('Base votos'!U200:W200)-LARGE('Base votos'!U200:W200,2))/'Base votos'!R200*100</f>
        <v>8.07039215276617</v>
      </c>
      <c r="V36" s="20" t="n">
        <f aca="false">(MAX('Base votos'!U233:W233)-LARGE('Base votos'!U233:W233,2))/'Base votos'!R233*100</f>
        <v>10.7240369791694</v>
      </c>
      <c r="W36" s="12" t="n">
        <f aca="false">(V36-U36)</f>
        <v>2.6536448264032</v>
      </c>
      <c r="X36" s="21" t="s">
        <v>74</v>
      </c>
      <c r="Y36" s="21" t="s">
        <v>74</v>
      </c>
      <c r="Z36" s="21" t="s">
        <v>134</v>
      </c>
    </row>
    <row r="37" customFormat="false" ht="26.85" hidden="false" customHeight="false" outlineLevel="0" collapsed="false">
      <c r="A37" s="16" t="s">
        <v>4</v>
      </c>
      <c r="B37" s="17" t="n">
        <f aca="false">'Base votos'!R201/'Base votos'!S201</f>
        <v>0.636078015038861</v>
      </c>
      <c r="C37" s="17" t="n">
        <f aca="false">'Base votos'!R234/'Base votos'!S234</f>
        <v>0.609557016708444</v>
      </c>
      <c r="D37" s="18" t="n">
        <f aca="false">(C37-B37)*100</f>
        <v>-2.65209983304173</v>
      </c>
      <c r="E37" s="17" t="n">
        <f aca="false">'Base votos'!Q201/'Base votos'!R201</f>
        <v>0.0413526144287111</v>
      </c>
      <c r="F37" s="17" t="n">
        <f aca="false">'Base votos'!Q234/'Base votos'!R234</f>
        <v>0.039496413939361</v>
      </c>
      <c r="G37" s="18" t="n">
        <f aca="false">(F37-E37)*100</f>
        <v>-0.185620048935008</v>
      </c>
      <c r="H37" s="22" t="n">
        <f aca="false">'Base votos'!R201</f>
        <v>56691869</v>
      </c>
      <c r="I37" s="22" t="n">
        <f aca="false">'Base votos'!R234</f>
        <v>60003726</v>
      </c>
      <c r="J37" s="23" t="n">
        <f aca="false">I37-H37</f>
        <v>3311857</v>
      </c>
      <c r="K37" s="24" t="n">
        <f aca="false">I37/H37-1</f>
        <v>0.0584185538141282</v>
      </c>
      <c r="L37" s="17" t="n">
        <f aca="false">'Base votos'!U201/'Base votos'!R201</f>
        <v>0.4365101810279</v>
      </c>
      <c r="M37" s="17" t="n">
        <f aca="false">'Base votos'!U234/'Base votos'!R234</f>
        <v>0.550925954164913</v>
      </c>
      <c r="N37" s="18" t="n">
        <f aca="false">(M37-L37)*100</f>
        <v>11.4415773137013</v>
      </c>
      <c r="O37" s="17" t="n">
        <f aca="false">'Base votos'!V201/'Base votos'!R201</f>
        <v>0.275367830967083</v>
      </c>
      <c r="P37" s="17" t="n">
        <f aca="false">'Base votos'!V234/'Base votos'!R234</f>
        <v>0.299995603606349</v>
      </c>
      <c r="Q37" s="18" t="n">
        <f aca="false">(P37-O37)*100</f>
        <v>2.46277726392666</v>
      </c>
      <c r="R37" s="17" t="n">
        <f aca="false">'Base votos'!W201/'Base votos'!R201</f>
        <v>0.226643577406136</v>
      </c>
      <c r="S37" s="17" t="n">
        <f aca="false">'Base votos'!W234/'Base votos'!R234</f>
        <v>0.108797210359903</v>
      </c>
      <c r="T37" s="18" t="n">
        <f aca="false">(S37-R37)*100</f>
        <v>-11.7846367046232</v>
      </c>
      <c r="U37" s="25" t="n">
        <f aca="false">(MAX('Base votos'!U201:W201)-LARGE('Base votos'!U201:W201,2))/'Base votos'!R201*100</f>
        <v>16.1142350060817</v>
      </c>
      <c r="V37" s="25" t="n">
        <f aca="false">(MAX('Base votos'!U234:W234)-LARGE('Base votos'!U234:W234,2))/'Base votos'!R234*100</f>
        <v>25.0930350558564</v>
      </c>
      <c r="W37" s="18" t="n">
        <f aca="false">(V37-U37)</f>
        <v>8.97880004977463</v>
      </c>
      <c r="X37" s="26" t="s">
        <v>74</v>
      </c>
      <c r="Y37" s="26" t="s">
        <v>74</v>
      </c>
      <c r="Z37" s="26" t="s">
        <v>134</v>
      </c>
    </row>
  </sheetData>
  <mergeCells count="8">
    <mergeCell ref="B3:D3"/>
    <mergeCell ref="E3:G3"/>
    <mergeCell ref="H3:K3"/>
    <mergeCell ref="L3:N3"/>
    <mergeCell ref="O3:Q3"/>
    <mergeCell ref="R3:T3"/>
    <mergeCell ref="U3:W3"/>
    <mergeCell ref="X3:Z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O3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2" min="2" style="0" width="9"/>
    <col collapsed="false" customWidth="true" hidden="false" outlineLevel="0" max="35" min="3" style="0" width="11"/>
    <col collapsed="false" customWidth="true" hidden="false" outlineLevel="0" max="41" min="36" style="0" width="24"/>
  </cols>
  <sheetData>
    <row r="1" customFormat="false" ht="16.15" hidden="false" customHeight="false" outlineLevel="0" collapsed="false">
      <c r="A1" s="5" t="s">
        <v>158</v>
      </c>
    </row>
    <row r="2" customFormat="false" ht="15" hidden="false" customHeight="false" outlineLevel="0" collapsed="false">
      <c r="A2" s="2" t="s">
        <v>159</v>
      </c>
    </row>
    <row r="4" customFormat="false" ht="15" hidden="false" customHeight="true" outlineLevel="0" collapsed="false">
      <c r="A4" s="27"/>
      <c r="B4" s="27"/>
      <c r="C4" s="28" t="s">
        <v>55</v>
      </c>
      <c r="D4" s="28"/>
      <c r="E4" s="28"/>
      <c r="F4" s="28" t="s">
        <v>56</v>
      </c>
      <c r="G4" s="28"/>
      <c r="H4" s="28"/>
      <c r="I4" s="28" t="s">
        <v>57</v>
      </c>
      <c r="J4" s="28"/>
      <c r="K4" s="28"/>
      <c r="L4" s="28" t="s">
        <v>59</v>
      </c>
      <c r="M4" s="28"/>
      <c r="N4" s="28"/>
      <c r="O4" s="28" t="s">
        <v>60</v>
      </c>
      <c r="P4" s="28"/>
      <c r="Q4" s="28"/>
      <c r="R4" s="28" t="s">
        <v>61</v>
      </c>
      <c r="S4" s="28"/>
      <c r="T4" s="28"/>
      <c r="U4" s="28" t="s">
        <v>62</v>
      </c>
      <c r="V4" s="28"/>
      <c r="W4" s="28"/>
      <c r="X4" s="28" t="s">
        <v>116</v>
      </c>
      <c r="Y4" s="28"/>
      <c r="Z4" s="28"/>
      <c r="AA4" s="28" t="s">
        <v>69</v>
      </c>
      <c r="AB4" s="28"/>
      <c r="AC4" s="28"/>
      <c r="AD4" s="28" t="s">
        <v>53</v>
      </c>
      <c r="AE4" s="28"/>
      <c r="AF4" s="28"/>
      <c r="AG4" s="28" t="s">
        <v>54</v>
      </c>
      <c r="AH4" s="28"/>
      <c r="AI4" s="28"/>
      <c r="AJ4" s="28" t="s">
        <v>160</v>
      </c>
      <c r="AK4" s="28"/>
      <c r="AL4" s="28"/>
      <c r="AM4" s="28"/>
      <c r="AN4" s="28"/>
      <c r="AO4" s="28"/>
    </row>
    <row r="5" customFormat="false" ht="48" hidden="false" customHeight="true" outlineLevel="0" collapsed="false">
      <c r="A5" s="27" t="s">
        <v>80</v>
      </c>
      <c r="B5" s="27" t="s">
        <v>161</v>
      </c>
      <c r="C5" s="27" t="s">
        <v>43</v>
      </c>
      <c r="D5" s="27" t="s">
        <v>45</v>
      </c>
      <c r="E5" s="29" t="s">
        <v>137</v>
      </c>
      <c r="F5" s="27" t="s">
        <v>43</v>
      </c>
      <c r="G5" s="27" t="s">
        <v>45</v>
      </c>
      <c r="H5" s="29" t="s">
        <v>137</v>
      </c>
      <c r="I5" s="27" t="s">
        <v>43</v>
      </c>
      <c r="J5" s="27" t="s">
        <v>45</v>
      </c>
      <c r="K5" s="29" t="s">
        <v>137</v>
      </c>
      <c r="L5" s="27" t="s">
        <v>43</v>
      </c>
      <c r="M5" s="27" t="s">
        <v>45</v>
      </c>
      <c r="N5" s="29" t="s">
        <v>137</v>
      </c>
      <c r="O5" s="27" t="s">
        <v>43</v>
      </c>
      <c r="P5" s="27" t="s">
        <v>45</v>
      </c>
      <c r="Q5" s="29" t="s">
        <v>137</v>
      </c>
      <c r="R5" s="27" t="s">
        <v>43</v>
      </c>
      <c r="S5" s="27" t="s">
        <v>45</v>
      </c>
      <c r="T5" s="29" t="s">
        <v>137</v>
      </c>
      <c r="U5" s="27" t="s">
        <v>43</v>
      </c>
      <c r="V5" s="27" t="s">
        <v>45</v>
      </c>
      <c r="W5" s="29" t="s">
        <v>137</v>
      </c>
      <c r="X5" s="27" t="s">
        <v>43</v>
      </c>
      <c r="Y5" s="27" t="s">
        <v>45</v>
      </c>
      <c r="Z5" s="29" t="s">
        <v>137</v>
      </c>
      <c r="AA5" s="27" t="s">
        <v>43</v>
      </c>
      <c r="AB5" s="27" t="s">
        <v>45</v>
      </c>
      <c r="AC5" s="29" t="s">
        <v>137</v>
      </c>
      <c r="AD5" s="27" t="s">
        <v>43</v>
      </c>
      <c r="AE5" s="27" t="s">
        <v>45</v>
      </c>
      <c r="AF5" s="29" t="s">
        <v>137</v>
      </c>
      <c r="AG5" s="27" t="s">
        <v>43</v>
      </c>
      <c r="AH5" s="27" t="s">
        <v>45</v>
      </c>
      <c r="AI5" s="29" t="s">
        <v>137</v>
      </c>
      <c r="AJ5" s="27" t="s">
        <v>129</v>
      </c>
      <c r="AK5" s="27" t="s">
        <v>147</v>
      </c>
      <c r="AL5" s="27" t="s">
        <v>41</v>
      </c>
      <c r="AM5" s="27" t="s">
        <v>162</v>
      </c>
      <c r="AN5" s="27" t="s">
        <v>163</v>
      </c>
      <c r="AO5" s="29" t="s">
        <v>164</v>
      </c>
    </row>
    <row r="6" customFormat="false" ht="15" hidden="false" customHeight="false" outlineLevel="0" collapsed="false">
      <c r="A6" s="14" t="s">
        <v>82</v>
      </c>
      <c r="B6" s="14" t="n">
        <v>1</v>
      </c>
      <c r="C6" s="11" t="n">
        <v>0.255249796628236</v>
      </c>
      <c r="D6" s="11" t="n">
        <v>0.253595272085993</v>
      </c>
      <c r="E6" s="12" t="n">
        <f aca="false">(D6-C6)*100</f>
        <v>-0.16545245422438</v>
      </c>
      <c r="F6" s="11" t="n">
        <v>0.0354231535246431</v>
      </c>
      <c r="G6" s="11" t="n">
        <v>0.0403930131004367</v>
      </c>
      <c r="H6" s="12" t="n">
        <f aca="false">(G6-F6)*100</f>
        <v>0.496985957579363</v>
      </c>
      <c r="I6" s="11" t="n">
        <v>0.0470307722516761</v>
      </c>
      <c r="J6" s="11" t="n">
        <v>0.0615710026872691</v>
      </c>
      <c r="K6" s="12" t="n">
        <f aca="false">(J6-I6)*100</f>
        <v>1.4540230435593</v>
      </c>
      <c r="L6" s="11" t="n">
        <v>0.302538640635081</v>
      </c>
      <c r="M6" s="11" t="n">
        <v>0.329941006046355</v>
      </c>
      <c r="N6" s="12" t="n">
        <f aca="false">(M6-L6)*100</f>
        <v>2.74023654112745</v>
      </c>
      <c r="O6" s="11" t="n">
        <v>0.198328143846952</v>
      </c>
      <c r="P6" s="11" t="n">
        <v>0.124086748404434</v>
      </c>
      <c r="Q6" s="12" t="n">
        <f aca="false">(P6-O6)*100</f>
        <v>-7.42413954425182</v>
      </c>
      <c r="R6" s="11" t="n">
        <v>0.036062722657017</v>
      </c>
      <c r="S6" s="11" t="n">
        <v>0.0416369247564662</v>
      </c>
      <c r="T6" s="12" t="n">
        <f aca="false">(S6-R6)*100</f>
        <v>0.557420209944921</v>
      </c>
      <c r="U6" s="11" t="n">
        <v>0.0193666021487279</v>
      </c>
      <c r="V6" s="11" t="n">
        <v>0.0340842290896876</v>
      </c>
      <c r="W6" s="12" t="n">
        <f aca="false">(V6-U6)*100</f>
        <v>1.47176269409597</v>
      </c>
      <c r="X6" s="11" t="n">
        <v>0.31148699823277</v>
      </c>
      <c r="Y6" s="11" t="n">
        <v>0.355559287873698</v>
      </c>
      <c r="Z6" s="12" t="n">
        <f aca="false">(Y6-X6)*100</f>
        <v>4.40722896409288</v>
      </c>
      <c r="AA6" s="11" t="n">
        <v>0.53692950713905</v>
      </c>
      <c r="AB6" s="11" t="n">
        <v>0.495664679207256</v>
      </c>
      <c r="AC6" s="12" t="n">
        <f aca="false">(AB6-AA6)*100</f>
        <v>-4.12648279317945</v>
      </c>
      <c r="AD6" s="11" t="n">
        <v>0.581572524862311</v>
      </c>
      <c r="AE6" s="11" t="n">
        <v>0.569119144983078</v>
      </c>
      <c r="AF6" s="12" t="n">
        <f aca="false">(AE6-AD6)*100</f>
        <v>-1.24533798792328</v>
      </c>
      <c r="AG6" s="11" t="n">
        <v>0.0426379421582653</v>
      </c>
      <c r="AH6" s="11" t="n">
        <v>0.0367714981525025</v>
      </c>
      <c r="AI6" s="12" t="n">
        <f aca="false">(AH6-AG6)*100</f>
        <v>-0.586644400576279</v>
      </c>
      <c r="AJ6" s="14" t="s">
        <v>132</v>
      </c>
      <c r="AK6" s="14" t="s">
        <v>132</v>
      </c>
      <c r="AL6" s="14" t="s">
        <v>150</v>
      </c>
      <c r="AM6" s="20" t="n">
        <v>4.64809672080563</v>
      </c>
      <c r="AN6" s="20" t="n">
        <v>14.0105391333557</v>
      </c>
      <c r="AO6" s="12" t="n">
        <v>9.36244241255009</v>
      </c>
    </row>
    <row r="7" customFormat="false" ht="15" hidden="false" customHeight="false" outlineLevel="0" collapsed="false">
      <c r="A7" s="14" t="s">
        <v>82</v>
      </c>
      <c r="B7" s="14" t="n">
        <v>2</v>
      </c>
      <c r="C7" s="11" t="n">
        <v>0.303990473299554</v>
      </c>
      <c r="D7" s="11" t="n">
        <v>0.289071549185704</v>
      </c>
      <c r="E7" s="12" t="n">
        <f aca="false">(D7-C7)*100</f>
        <v>-1.49189241138499</v>
      </c>
      <c r="F7" s="11" t="n">
        <v>0.0309792887664324</v>
      </c>
      <c r="G7" s="11" t="n">
        <v>0.0165789804206149</v>
      </c>
      <c r="H7" s="12" t="n">
        <f aca="false">(G7-F7)*100</f>
        <v>-1.44003083458175</v>
      </c>
      <c r="I7" s="11" t="n">
        <v>0.0409554720153174</v>
      </c>
      <c r="J7" s="11" t="n">
        <v>0.0222448609347307</v>
      </c>
      <c r="K7" s="12" t="n">
        <f aca="false">(J7-I7)*100</f>
        <v>-1.87106110805867</v>
      </c>
      <c r="L7" s="11" t="n">
        <v>0.290184930067481</v>
      </c>
      <c r="M7" s="11" t="n">
        <v>0.451246912374227</v>
      </c>
      <c r="N7" s="12" t="n">
        <f aca="false">(M7-L7)*100</f>
        <v>16.1061982306746</v>
      </c>
      <c r="O7" s="11" t="n">
        <v>0.183908515656011</v>
      </c>
      <c r="P7" s="11" t="n">
        <v>0.070453689102251</v>
      </c>
      <c r="Q7" s="12" t="n">
        <f aca="false">(P7-O7)*100</f>
        <v>-11.345482655376</v>
      </c>
      <c r="R7" s="11" t="n">
        <v>0.0216160366124174</v>
      </c>
      <c r="S7" s="11" t="n">
        <v>0.0253220201794661</v>
      </c>
      <c r="T7" s="12" t="n">
        <f aca="false">(S7-R7)*100</f>
        <v>0.370598356704867</v>
      </c>
      <c r="U7" s="11" t="n">
        <v>0.0255854951315759</v>
      </c>
      <c r="V7" s="11" t="n">
        <v>0.0442315475110596</v>
      </c>
      <c r="W7" s="12" t="n">
        <f aca="false">(V7-U7)*100</f>
        <v>1.86460523794838</v>
      </c>
      <c r="X7" s="11" t="n">
        <v>0.366836341560231</v>
      </c>
      <c r="Y7" s="11" t="n">
        <v>0.32789539054105</v>
      </c>
      <c r="Z7" s="12" t="n">
        <f aca="false">(Y7-X7)*100</f>
        <v>-3.8940951019181</v>
      </c>
      <c r="AA7" s="11" t="n">
        <v>0.49570948233591</v>
      </c>
      <c r="AB7" s="11" t="n">
        <v>0.547022621655944</v>
      </c>
      <c r="AC7" s="12" t="n">
        <f aca="false">(AB7-AA7)*100</f>
        <v>5.13131393200347</v>
      </c>
      <c r="AD7" s="11" t="n">
        <v>0.562115265983278</v>
      </c>
      <c r="AE7" s="11" t="n">
        <v>0.431911950405801</v>
      </c>
      <c r="AF7" s="12" t="n">
        <f aca="false">(AE7-AD7)*100</f>
        <v>-13.0203315577478</v>
      </c>
      <c r="AG7" s="11" t="n">
        <v>0.0366824666682233</v>
      </c>
      <c r="AH7" s="11" t="n">
        <v>0.0348954044964204</v>
      </c>
      <c r="AI7" s="12" t="n">
        <f aca="false">(AH7-AG7)*100</f>
        <v>-0.178706217180287</v>
      </c>
      <c r="AJ7" s="14" t="s">
        <v>74</v>
      </c>
      <c r="AK7" s="14" t="s">
        <v>132</v>
      </c>
      <c r="AL7" s="14" t="s">
        <v>133</v>
      </c>
      <c r="AM7" s="20" t="n">
        <v>2.94498797487566</v>
      </c>
      <c r="AN7" s="20" t="n">
        <v>21.9127231114895</v>
      </c>
      <c r="AO7" s="12" t="n">
        <v>18.9677351366138</v>
      </c>
    </row>
    <row r="8" customFormat="false" ht="15" hidden="false" customHeight="false" outlineLevel="0" collapsed="false">
      <c r="A8" s="14" t="s">
        <v>82</v>
      </c>
      <c r="B8" s="14" t="n">
        <v>3</v>
      </c>
      <c r="C8" s="11" t="n">
        <v>0.241567930108047</v>
      </c>
      <c r="D8" s="11" t="n">
        <v>0.216737125927899</v>
      </c>
      <c r="E8" s="12" t="n">
        <f aca="false">(D8-C8)*100</f>
        <v>-2.4830804180148</v>
      </c>
      <c r="F8" s="11" t="n">
        <v>0.0252672168854012</v>
      </c>
      <c r="G8" s="11" t="n">
        <v>0.0105356013448287</v>
      </c>
      <c r="H8" s="12" t="n">
        <f aca="false">(G8-F8)*100</f>
        <v>-1.47316155405724</v>
      </c>
      <c r="I8" s="11" t="n">
        <v>0.0432814040241993</v>
      </c>
      <c r="J8" s="11" t="n">
        <v>0.0190905762125096</v>
      </c>
      <c r="K8" s="12" t="n">
        <f aca="false">(J8-I8)*100</f>
        <v>-2.41908278116898</v>
      </c>
      <c r="L8" s="11" t="n">
        <v>0.383400661035623</v>
      </c>
      <c r="M8" s="11" t="n">
        <v>0.56455066964038</v>
      </c>
      <c r="N8" s="12" t="n">
        <f aca="false">(M8-L8)*100</f>
        <v>18.1150008604758</v>
      </c>
      <c r="O8" s="11" t="n">
        <v>0.182393644780331</v>
      </c>
      <c r="P8" s="11" t="n">
        <v>0.071330293043951</v>
      </c>
      <c r="Q8" s="12" t="n">
        <f aca="false">(P8-O8)*100</f>
        <v>-11.106335173638</v>
      </c>
      <c r="R8" s="11" t="n">
        <v>0.0135734580667607</v>
      </c>
      <c r="S8" s="11" t="n">
        <v>0.0149351441918267</v>
      </c>
      <c r="T8" s="12" t="n">
        <f aca="false">(S8-R8)*100</f>
        <v>0.1361686125066</v>
      </c>
      <c r="U8" s="11" t="n">
        <v>0.0207636701007016</v>
      </c>
      <c r="V8" s="11" t="n">
        <v>0.0395459538630538</v>
      </c>
      <c r="W8" s="12" t="n">
        <f aca="false">(V8-U8)*100</f>
        <v>1.87822837623522</v>
      </c>
      <c r="X8" s="11" t="n">
        <v>0.290817016835147</v>
      </c>
      <c r="Y8" s="11" t="n">
        <v>0.246363303485237</v>
      </c>
      <c r="Z8" s="12" t="n">
        <f aca="false">(Y8-X8)*100</f>
        <v>-4.44537133499101</v>
      </c>
      <c r="AA8" s="11" t="n">
        <v>0.579367763882715</v>
      </c>
      <c r="AB8" s="11" t="n">
        <v>0.650816106876158</v>
      </c>
      <c r="AC8" s="12" t="n">
        <f aca="false">(AB8-AA8)*100</f>
        <v>7.14483429934436</v>
      </c>
      <c r="AD8" s="11" t="n">
        <v>0.622954570083443</v>
      </c>
      <c r="AE8" s="11" t="n">
        <v>0.513783382408693</v>
      </c>
      <c r="AF8" s="12" t="n">
        <f aca="false">(AE8-AD8)*100</f>
        <v>-10.917118767475</v>
      </c>
      <c r="AG8" s="11" t="n">
        <v>0.0384541044127027</v>
      </c>
      <c r="AH8" s="11" t="n">
        <v>0.0270852057743306</v>
      </c>
      <c r="AI8" s="12" t="n">
        <f aca="false">(AH8-AG8)*100</f>
        <v>-1.13688986383721</v>
      </c>
      <c r="AJ8" s="14" t="s">
        <v>132</v>
      </c>
      <c r="AK8" s="14" t="s">
        <v>132</v>
      </c>
      <c r="AL8" s="14" t="s">
        <v>150</v>
      </c>
      <c r="AM8" s="20" t="n">
        <v>12.6920772367938</v>
      </c>
      <c r="AN8" s="20" t="n">
        <v>40.4452803390921</v>
      </c>
      <c r="AO8" s="12" t="n">
        <v>27.7532031022983</v>
      </c>
    </row>
    <row r="9" customFormat="false" ht="15" hidden="false" customHeight="false" outlineLevel="0" collapsed="false">
      <c r="A9" s="14" t="s">
        <v>83</v>
      </c>
      <c r="B9" s="14" t="n">
        <v>1</v>
      </c>
      <c r="C9" s="11" t="n">
        <v>0.493081661307124</v>
      </c>
      <c r="D9" s="11" t="n">
        <v>0.444817397646674</v>
      </c>
      <c r="E9" s="12" t="n">
        <f aca="false">(D9-C9)*100</f>
        <v>-4.82642636604508</v>
      </c>
      <c r="F9" s="11" t="n">
        <v>0.041311880067032</v>
      </c>
      <c r="G9" s="11" t="n">
        <v>0.0150934409026294</v>
      </c>
      <c r="H9" s="12" t="n">
        <f aca="false">(G9-F9)*100</f>
        <v>-2.62184391644026</v>
      </c>
      <c r="I9" s="11" t="n">
        <v>0.0399870918066941</v>
      </c>
      <c r="J9" s="11" t="n">
        <v>0.0241286663739274</v>
      </c>
      <c r="K9" s="12" t="n">
        <f aca="false">(J9-I9)*100</f>
        <v>-1.58584254327668</v>
      </c>
      <c r="L9" s="11" t="n">
        <v>0.224438380361429</v>
      </c>
      <c r="M9" s="11" t="n">
        <v>0.179803963888868</v>
      </c>
      <c r="N9" s="12" t="n">
        <f aca="false">(M9-L9)*100</f>
        <v>-4.46344164725612</v>
      </c>
      <c r="O9" s="11" t="n">
        <v>0.0712271842021831</v>
      </c>
      <c r="P9" s="11" t="n">
        <v>0.0484136257749529</v>
      </c>
      <c r="Q9" s="12" t="n">
        <f aca="false">(P9-O9)*100</f>
        <v>-2.28135584272302</v>
      </c>
      <c r="R9" s="11" t="n">
        <v>0.0143009194256986</v>
      </c>
      <c r="S9" s="11" t="n">
        <v>0.0088938174943995</v>
      </c>
      <c r="T9" s="12" t="n">
        <f aca="false">(S9-R9)*100</f>
        <v>-0.540710193129913</v>
      </c>
      <c r="U9" s="11" t="n">
        <v>0.0260485076316862</v>
      </c>
      <c r="V9" s="11" t="n">
        <v>0.0627553716424909</v>
      </c>
      <c r="W9" s="12" t="n">
        <f aca="false">(V9-U9)*100</f>
        <v>3.67068640108047</v>
      </c>
      <c r="X9" s="11" t="n">
        <v>0.567903890574754</v>
      </c>
      <c r="Y9" s="11" t="n">
        <v>0.48403950492323</v>
      </c>
      <c r="Z9" s="12" t="n">
        <f aca="false">(Y9-X9)*100</f>
        <v>-8.38643856515241</v>
      </c>
      <c r="AA9" s="11" t="n">
        <v>0.309966483989311</v>
      </c>
      <c r="AB9" s="11" t="n">
        <v>0.237111407158221</v>
      </c>
      <c r="AC9" s="12" t="n">
        <f aca="false">(AB9-AA9)*100</f>
        <v>-7.28550768310905</v>
      </c>
      <c r="AD9" s="11" t="n">
        <v>0.528551892537278</v>
      </c>
      <c r="AE9" s="11" t="n">
        <v>0.374149299947649</v>
      </c>
      <c r="AF9" s="12" t="n">
        <f aca="false">(AE9-AD9)*100</f>
        <v>-15.4402592589629</v>
      </c>
      <c r="AG9" s="11" t="n">
        <v>0.0306682820779927</v>
      </c>
      <c r="AH9" s="11" t="n">
        <v>0.0302092093805586</v>
      </c>
      <c r="AI9" s="12" t="n">
        <f aca="false">(AH9-AG9)*100</f>
        <v>-0.0459072697434018</v>
      </c>
      <c r="AJ9" s="14" t="s">
        <v>74</v>
      </c>
      <c r="AK9" s="14" t="s">
        <v>74</v>
      </c>
      <c r="AL9" s="14" t="s">
        <v>134</v>
      </c>
      <c r="AM9" s="20" t="n">
        <v>30.311608315594</v>
      </c>
      <c r="AN9" s="20" t="n">
        <v>24.692809776501</v>
      </c>
      <c r="AO9" s="12" t="n">
        <v>-5.61879853909303</v>
      </c>
    </row>
    <row r="10" customFormat="false" ht="15" hidden="false" customHeight="false" outlineLevel="0" collapsed="false">
      <c r="A10" s="14" t="s">
        <v>83</v>
      </c>
      <c r="B10" s="14" t="n">
        <v>2</v>
      </c>
      <c r="C10" s="11" t="n">
        <v>0.451089699975858</v>
      </c>
      <c r="D10" s="11" t="n">
        <v>0.399116337465782</v>
      </c>
      <c r="E10" s="12" t="n">
        <f aca="false">(D10-C10)*100</f>
        <v>-5.19733625100755</v>
      </c>
      <c r="F10" s="11" t="n">
        <v>0.0375908083313215</v>
      </c>
      <c r="G10" s="11" t="n">
        <v>0.0124590928737556</v>
      </c>
      <c r="H10" s="12" t="n">
        <f aca="false">(G10-F10)*100</f>
        <v>-2.51317154575658</v>
      </c>
      <c r="I10" s="11" t="n">
        <v>0.0374646094418717</v>
      </c>
      <c r="J10" s="11" t="n">
        <v>0.0186131712370589</v>
      </c>
      <c r="K10" s="12" t="n">
        <f aca="false">(J10-I10)*100</f>
        <v>-1.88514382048127</v>
      </c>
      <c r="L10" s="11" t="n">
        <v>0.243668107894564</v>
      </c>
      <c r="M10" s="11" t="n">
        <v>0.220476546580953</v>
      </c>
      <c r="N10" s="12" t="n">
        <f aca="false">(M10-L10)*100</f>
        <v>-2.31915613136104</v>
      </c>
      <c r="O10" s="11" t="n">
        <v>0.104520115005597</v>
      </c>
      <c r="P10" s="11" t="n">
        <v>0.0633725996007053</v>
      </c>
      <c r="Q10" s="12" t="n">
        <f aca="false">(P10-O10)*100</f>
        <v>-4.11475154048913</v>
      </c>
      <c r="R10" s="11" t="n">
        <v>0.0135032811711257</v>
      </c>
      <c r="S10" s="11" t="n">
        <v>0.0100235323174873</v>
      </c>
      <c r="T10" s="12" t="n">
        <f aca="false">(S10-R10)*100</f>
        <v>-0.347974885363837</v>
      </c>
      <c r="U10" s="11" t="n">
        <v>0.0309626231810899</v>
      </c>
      <c r="V10" s="11" t="n">
        <v>0.0548790109565921</v>
      </c>
      <c r="W10" s="12" t="n">
        <f aca="false">(V10-U10)*100</f>
        <v>2.39163877755022</v>
      </c>
      <c r="X10" s="11" t="n">
        <v>0.521804973333626</v>
      </c>
      <c r="Y10" s="11" t="n">
        <v>0.430188601576597</v>
      </c>
      <c r="Z10" s="12" t="n">
        <f aca="false">(Y10-X10)*100</f>
        <v>-9.16163717570293</v>
      </c>
      <c r="AA10" s="11" t="n">
        <v>0.361691504071286</v>
      </c>
      <c r="AB10" s="11" t="n">
        <v>0.293872678499146</v>
      </c>
      <c r="AC10" s="12" t="n">
        <f aca="false">(AB10-AA10)*100</f>
        <v>-6.78188255721401</v>
      </c>
      <c r="AD10" s="11" t="n">
        <v>0.541936021028968</v>
      </c>
      <c r="AE10" s="11" t="n">
        <v>0.422692341153612</v>
      </c>
      <c r="AF10" s="12" t="n">
        <f aca="false">(AE10-AD10)*100</f>
        <v>-11.9243679875356</v>
      </c>
      <c r="AG10" s="11" t="n">
        <v>0.0291245089217128</v>
      </c>
      <c r="AH10" s="11" t="n">
        <v>0.0347153138442751</v>
      </c>
      <c r="AI10" s="12" t="n">
        <f aca="false">(AH10-AG10)*100</f>
        <v>0.559080492256227</v>
      </c>
      <c r="AJ10" s="14" t="s">
        <v>74</v>
      </c>
      <c r="AK10" s="14" t="s">
        <v>74</v>
      </c>
      <c r="AL10" s="14" t="s">
        <v>134</v>
      </c>
      <c r="AM10" s="20" t="n">
        <v>23.3670961086847</v>
      </c>
      <c r="AN10" s="20" t="n">
        <v>13.6315923077451</v>
      </c>
      <c r="AO10" s="12" t="n">
        <v>-9.7355038009396</v>
      </c>
    </row>
    <row r="11" customFormat="false" ht="15" hidden="false" customHeight="false" outlineLevel="0" collapsed="false">
      <c r="A11" s="14" t="s">
        <v>83</v>
      </c>
      <c r="B11" s="14" t="n">
        <v>3</v>
      </c>
      <c r="C11" s="11" t="n">
        <v>0.416432469080451</v>
      </c>
      <c r="D11" s="11" t="n">
        <v>0.389287698312495</v>
      </c>
      <c r="E11" s="12" t="n">
        <f aca="false">(D11-C11)*100</f>
        <v>-2.7144770767956</v>
      </c>
      <c r="F11" s="11" t="n">
        <v>0.0702811464564174</v>
      </c>
      <c r="G11" s="11" t="n">
        <v>0.0582293823544266</v>
      </c>
      <c r="H11" s="12" t="n">
        <f aca="false">(G11-F11)*100</f>
        <v>-1.20517641019908</v>
      </c>
      <c r="I11" s="11" t="n">
        <v>0.0489627871882074</v>
      </c>
      <c r="J11" s="11" t="n">
        <v>0.0199989899500025</v>
      </c>
      <c r="K11" s="12" t="n">
        <f aca="false">(J11-I11)*100</f>
        <v>-2.89637972382048</v>
      </c>
      <c r="L11" s="11" t="n">
        <v>0.18218749658272</v>
      </c>
      <c r="M11" s="11" t="n">
        <v>0.118385074346895</v>
      </c>
      <c r="N11" s="12" t="n">
        <f aca="false">(M11-L11)*100</f>
        <v>-6.38024222358255</v>
      </c>
      <c r="O11" s="11" t="n">
        <v>0.125903528819972</v>
      </c>
      <c r="P11" s="11" t="n">
        <v>0.0650905076944166</v>
      </c>
      <c r="Q11" s="12" t="n">
        <f aca="false">(P11-O11)*100</f>
        <v>-6.08130211255556</v>
      </c>
      <c r="R11" s="11" t="n">
        <v>0.0282239986002821</v>
      </c>
      <c r="S11" s="11" t="n">
        <v>0.0153599746044572</v>
      </c>
      <c r="T11" s="12" t="n">
        <f aca="false">(S11-R11)*100</f>
        <v>-1.28640239958249</v>
      </c>
      <c r="U11" s="11" t="n">
        <v>0.0267477336599342</v>
      </c>
      <c r="V11" s="11" t="n">
        <v>0.0385045488323101</v>
      </c>
      <c r="W11" s="12" t="n">
        <f aca="false">(V11-U11)*100</f>
        <v>1.17568151723759</v>
      </c>
      <c r="X11" s="11" t="n">
        <v>0.512947390291644</v>
      </c>
      <c r="Y11" s="11" t="n">
        <v>0.467516070616924</v>
      </c>
      <c r="Z11" s="12" t="n">
        <f aca="false">(Y11-X11)*100</f>
        <v>-4.54313196747203</v>
      </c>
      <c r="AA11" s="11" t="n">
        <v>0.336315024002974</v>
      </c>
      <c r="AB11" s="11" t="n">
        <v>0.198835556645768</v>
      </c>
      <c r="AC11" s="12" t="n">
        <f aca="false">(AB11-AA11)*100</f>
        <v>-13.7479467357206</v>
      </c>
      <c r="AD11" s="11" t="n">
        <v>0.554126850432348</v>
      </c>
      <c r="AE11" s="11" t="n">
        <v>0.397997478902318</v>
      </c>
      <c r="AF11" s="12" t="n">
        <f aca="false">(AE11-AD11)*100</f>
        <v>-15.6129371530031</v>
      </c>
      <c r="AG11" s="11" t="n">
        <v>0.0351843144116264</v>
      </c>
      <c r="AH11" s="11" t="n">
        <v>0.0351208813407692</v>
      </c>
      <c r="AI11" s="12" t="n">
        <f aca="false">(AH11-AG11)*100</f>
        <v>-0.00634330708571898</v>
      </c>
      <c r="AJ11" s="14" t="s">
        <v>74</v>
      </c>
      <c r="AK11" s="14" t="s">
        <v>74</v>
      </c>
      <c r="AL11" s="14" t="s">
        <v>134</v>
      </c>
      <c r="AM11" s="20" t="n">
        <v>27.5788161448708</v>
      </c>
      <c r="AN11" s="20" t="n">
        <v>26.8680513971156</v>
      </c>
      <c r="AO11" s="12" t="n">
        <v>-0.710764747755217</v>
      </c>
    </row>
    <row r="12" customFormat="false" ht="15" hidden="false" customHeight="false" outlineLevel="0" collapsed="false">
      <c r="A12" s="14" t="s">
        <v>83</v>
      </c>
      <c r="B12" s="14" t="n">
        <v>4</v>
      </c>
      <c r="C12" s="11" t="n">
        <v>0.620761843825945</v>
      </c>
      <c r="D12" s="11" t="n">
        <v>0.574835281615303</v>
      </c>
      <c r="E12" s="12" t="n">
        <f aca="false">(D12-C12)*100</f>
        <v>-4.59265622106416</v>
      </c>
      <c r="F12" s="11" t="n">
        <v>0.0549971095508298</v>
      </c>
      <c r="G12" s="11" t="n">
        <v>0.0313921360255048</v>
      </c>
      <c r="H12" s="12" t="n">
        <f aca="false">(G12-F12)*100</f>
        <v>-2.3604973525325</v>
      </c>
      <c r="I12" s="11" t="n">
        <v>0.0259354672144489</v>
      </c>
      <c r="J12" s="11" t="n">
        <v>0.0283457314913213</v>
      </c>
      <c r="K12" s="12" t="n">
        <f aca="false">(J12-I12)*100</f>
        <v>0.241026427687241</v>
      </c>
      <c r="L12" s="11" t="n">
        <v>0.128779332446555</v>
      </c>
      <c r="M12" s="11" t="n">
        <v>0.0750549061282324</v>
      </c>
      <c r="N12" s="12" t="n">
        <f aca="false">(M12-L12)*100</f>
        <v>-5.37244263183224</v>
      </c>
      <c r="O12" s="11" t="n">
        <v>0.0552777356838578</v>
      </c>
      <c r="P12" s="11" t="n">
        <v>0.0345873184555438</v>
      </c>
      <c r="Q12" s="12" t="n">
        <f aca="false">(P12-O12)*100</f>
        <v>-2.06904172283141</v>
      </c>
      <c r="R12" s="11" t="n">
        <v>0.0142109073765385</v>
      </c>
      <c r="S12" s="11" t="n">
        <v>0.0153737159050655</v>
      </c>
      <c r="T12" s="12" t="n">
        <f aca="false">(S12-R12)*100</f>
        <v>0.1162808528527</v>
      </c>
      <c r="U12" s="11" t="n">
        <v>0.0245660116852722</v>
      </c>
      <c r="V12" s="11" t="n">
        <v>0.038823946156571</v>
      </c>
      <c r="W12" s="12" t="n">
        <f aca="false">(V12-U12)*100</f>
        <v>1.42579344712989</v>
      </c>
      <c r="X12" s="11" t="n">
        <v>0.707744720019307</v>
      </c>
      <c r="Y12" s="11" t="n">
        <v>0.634573149132129</v>
      </c>
      <c r="Z12" s="12" t="n">
        <f aca="false">(Y12-X12)*100</f>
        <v>-7.31715708871782</v>
      </c>
      <c r="AA12" s="11" t="n">
        <v>0.198267975506951</v>
      </c>
      <c r="AB12" s="11" t="n">
        <v>0.125015940488842</v>
      </c>
      <c r="AC12" s="12" t="n">
        <f aca="false">(AB12-AA12)*100</f>
        <v>-7.32520350181094</v>
      </c>
      <c r="AD12" s="11" t="n">
        <v>0.517307156295729</v>
      </c>
      <c r="AE12" s="11" t="n">
        <v>0.357148279160151</v>
      </c>
      <c r="AF12" s="12" t="n">
        <f aca="false">(AE12-AD12)*100</f>
        <v>-16.0158877135577</v>
      </c>
      <c r="AG12" s="11" t="n">
        <v>0.0236062703103164</v>
      </c>
      <c r="AH12" s="11" t="n">
        <v>0.0348636202621325</v>
      </c>
      <c r="AI12" s="12" t="n">
        <f aca="false">(AH12-AG12)*100</f>
        <v>1.12573499518161</v>
      </c>
      <c r="AJ12" s="14" t="s">
        <v>74</v>
      </c>
      <c r="AK12" s="14" t="s">
        <v>74</v>
      </c>
      <c r="AL12" s="14" t="s">
        <v>134</v>
      </c>
      <c r="AM12" s="20" t="n">
        <v>54.0188468510942</v>
      </c>
      <c r="AN12" s="20" t="n">
        <v>50.9557208643287</v>
      </c>
      <c r="AO12" s="12" t="n">
        <v>-3.06312598676544</v>
      </c>
    </row>
    <row r="13" customFormat="false" ht="15" hidden="false" customHeight="false" outlineLevel="0" collapsed="false">
      <c r="A13" s="14" t="s">
        <v>83</v>
      </c>
      <c r="B13" s="14" t="n">
        <v>5</v>
      </c>
      <c r="C13" s="11" t="n">
        <v>0.491754130810306</v>
      </c>
      <c r="D13" s="11" t="n">
        <v>0.3947929613397</v>
      </c>
      <c r="E13" s="12" t="n">
        <f aca="false">(D13-C13)*100</f>
        <v>-9.69611694706052</v>
      </c>
      <c r="F13" s="11" t="n">
        <v>0.0410587055481757</v>
      </c>
      <c r="G13" s="11" t="n">
        <v>0.0205076208543207</v>
      </c>
      <c r="H13" s="12" t="n">
        <f aca="false">(G13-F13)*100</f>
        <v>-2.05510846938551</v>
      </c>
      <c r="I13" s="11" t="n">
        <v>0.0320068886216981</v>
      </c>
      <c r="J13" s="11" t="n">
        <v>0.023843788840191</v>
      </c>
      <c r="K13" s="12" t="n">
        <f aca="false">(J13-I13)*100</f>
        <v>-0.81630997815071</v>
      </c>
      <c r="L13" s="11" t="n">
        <v>0.229088675252942</v>
      </c>
      <c r="M13" s="11" t="n">
        <v>0.198017923726042</v>
      </c>
      <c r="N13" s="12" t="n">
        <f aca="false">(M13-L13)*100</f>
        <v>-3.10707515268999</v>
      </c>
      <c r="O13" s="11" t="n">
        <v>0.0893525640689072</v>
      </c>
      <c r="P13" s="11" t="n">
        <v>0.0647739909727219</v>
      </c>
      <c r="Q13" s="12" t="n">
        <f aca="false">(P13-O13)*100</f>
        <v>-2.45785730961853</v>
      </c>
      <c r="R13" s="11" t="n">
        <v>0.0140397670889798</v>
      </c>
      <c r="S13" s="11" t="n">
        <v>0.0151762935827828</v>
      </c>
      <c r="T13" s="12" t="n">
        <f aca="false">(S13-R13)*100</f>
        <v>0.113652649380298</v>
      </c>
      <c r="U13" s="11" t="n">
        <v>0.0257483237862217</v>
      </c>
      <c r="V13" s="11" t="n">
        <v>0.0427814482893962</v>
      </c>
      <c r="W13" s="12" t="n">
        <f aca="false">(V13-U13)*100</f>
        <v>1.70331245031745</v>
      </c>
      <c r="X13" s="11" t="n">
        <v>0.563449351303955</v>
      </c>
      <c r="Y13" s="11" t="n">
        <v>0.439144371034212</v>
      </c>
      <c r="Z13" s="12" t="n">
        <f aca="false">(Y13-X13)*100</f>
        <v>-12.4304980269743</v>
      </c>
      <c r="AA13" s="11" t="n">
        <v>0.332481006410829</v>
      </c>
      <c r="AB13" s="11" t="n">
        <v>0.277968208281546</v>
      </c>
      <c r="AC13" s="12" t="n">
        <f aca="false">(AB13-AA13)*100</f>
        <v>-5.45127981292822</v>
      </c>
      <c r="AD13" s="11" t="n">
        <v>0.535906425508447</v>
      </c>
      <c r="AE13" s="11" t="n">
        <v>0.413884782620467</v>
      </c>
      <c r="AF13" s="12" t="n">
        <f aca="false">(AE13-AD13)*100</f>
        <v>-12.202164288798</v>
      </c>
      <c r="AG13" s="11" t="n">
        <v>0.0275019820538804</v>
      </c>
      <c r="AH13" s="11" t="n">
        <v>0.0301301759665075</v>
      </c>
      <c r="AI13" s="12" t="n">
        <f aca="false">(AH13-AG13)*100</f>
        <v>0.262819391262713</v>
      </c>
      <c r="AJ13" s="14" t="s">
        <v>74</v>
      </c>
      <c r="AK13" s="14" t="s">
        <v>74</v>
      </c>
      <c r="AL13" s="14" t="s">
        <v>134</v>
      </c>
      <c r="AM13" s="20" t="n">
        <v>29.4572585175812</v>
      </c>
      <c r="AN13" s="20" t="n">
        <v>16.1176162752666</v>
      </c>
      <c r="AO13" s="12" t="n">
        <v>-13.3396422423147</v>
      </c>
    </row>
    <row r="14" customFormat="false" ht="15" hidden="false" customHeight="false" outlineLevel="0" collapsed="false">
      <c r="A14" s="14" t="s">
        <v>83</v>
      </c>
      <c r="B14" s="14" t="n">
        <v>6</v>
      </c>
      <c r="C14" s="11" t="n">
        <v>0.504111229076781</v>
      </c>
      <c r="D14" s="11" t="n">
        <v>0.398708501207301</v>
      </c>
      <c r="E14" s="12" t="n">
        <f aca="false">(D14-C14)*100</f>
        <v>-10.540272786948</v>
      </c>
      <c r="F14" s="11" t="n">
        <v>0.0419706792563645</v>
      </c>
      <c r="G14" s="11" t="n">
        <v>0.0136108385696094</v>
      </c>
      <c r="H14" s="12" t="n">
        <f aca="false">(G14-F14)*100</f>
        <v>-2.83598406867551</v>
      </c>
      <c r="I14" s="11" t="n">
        <v>0.0337764575662427</v>
      </c>
      <c r="J14" s="11" t="n">
        <v>0.0255238015712308</v>
      </c>
      <c r="K14" s="12" t="n">
        <f aca="false">(J14-I14)*100</f>
        <v>-0.825265599501199</v>
      </c>
      <c r="L14" s="11" t="n">
        <v>0.194588764146468</v>
      </c>
      <c r="M14" s="11" t="n">
        <v>0.174526299675038</v>
      </c>
      <c r="N14" s="12" t="n">
        <f aca="false">(M14-L14)*100</f>
        <v>-2.00624644714305</v>
      </c>
      <c r="O14" s="11" t="n">
        <v>0.0958853825476067</v>
      </c>
      <c r="P14" s="11" t="n">
        <v>0.0687291679713866</v>
      </c>
      <c r="Q14" s="12" t="n">
        <f aca="false">(P14-O14)*100</f>
        <v>-2.71562145762201</v>
      </c>
      <c r="R14" s="11" t="n">
        <v>0.0137398631096253</v>
      </c>
      <c r="S14" s="11" t="n">
        <v>0.0153713406954331</v>
      </c>
      <c r="T14" s="12" t="n">
        <f aca="false">(S14-R14)*100</f>
        <v>0.163147758580788</v>
      </c>
      <c r="U14" s="11" t="n">
        <v>0.0254918791931148</v>
      </c>
      <c r="V14" s="11" t="n">
        <v>0.0424677647189807</v>
      </c>
      <c r="W14" s="12" t="n">
        <f aca="false">(V14-U14)*100</f>
        <v>1.69758855258659</v>
      </c>
      <c r="X14" s="11" t="n">
        <v>0.58377758702478</v>
      </c>
      <c r="Y14" s="11" t="n">
        <v>0.437843141348141</v>
      </c>
      <c r="Z14" s="12" t="n">
        <f aca="false">(Y14-X14)*100</f>
        <v>-14.5934445676639</v>
      </c>
      <c r="AA14" s="11" t="n">
        <v>0.3042140098037</v>
      </c>
      <c r="AB14" s="11" t="n">
        <v>0.258626808341858</v>
      </c>
      <c r="AC14" s="12" t="n">
        <f aca="false">(AB14-AA14)*100</f>
        <v>-4.55872014618426</v>
      </c>
      <c r="AD14" s="11" t="n">
        <v>0.522670318869155</v>
      </c>
      <c r="AE14" s="11" t="n">
        <v>0.405018305004495</v>
      </c>
      <c r="AF14" s="12" t="n">
        <f aca="false">(AE14-AD14)*100</f>
        <v>-11.765201386466</v>
      </c>
      <c r="AG14" s="11" t="n">
        <v>0.0324775802480291</v>
      </c>
      <c r="AH14" s="11" t="n">
        <v>0.0341941005782519</v>
      </c>
      <c r="AI14" s="12" t="n">
        <f aca="false">(AH14-AG14)*100</f>
        <v>0.171652033022278</v>
      </c>
      <c r="AJ14" s="14" t="s">
        <v>74</v>
      </c>
      <c r="AK14" s="14" t="s">
        <v>74</v>
      </c>
      <c r="AL14" s="14" t="s">
        <v>134</v>
      </c>
      <c r="AM14" s="20" t="n">
        <v>34.9957080575572</v>
      </c>
      <c r="AN14" s="20" t="n">
        <v>17.9216333006284</v>
      </c>
      <c r="AO14" s="12" t="n">
        <v>-17.0740747569289</v>
      </c>
    </row>
    <row r="15" customFormat="false" ht="15" hidden="false" customHeight="false" outlineLevel="0" collapsed="false">
      <c r="A15" s="14" t="s">
        <v>83</v>
      </c>
      <c r="B15" s="14" t="n">
        <v>7</v>
      </c>
      <c r="C15" s="11" t="n">
        <v>0.493708807669263</v>
      </c>
      <c r="D15" s="11" t="n">
        <v>0.445116215560141</v>
      </c>
      <c r="E15" s="12" t="n">
        <f aca="false">(D15-C15)*100</f>
        <v>-4.85925921091222</v>
      </c>
      <c r="F15" s="11" t="n">
        <v>0.0541143389353914</v>
      </c>
      <c r="G15" s="11" t="n">
        <v>0.0236148197596796</v>
      </c>
      <c r="H15" s="12" t="n">
        <f aca="false">(G15-F15)*100</f>
        <v>-3.04995191757119</v>
      </c>
      <c r="I15" s="11" t="n">
        <v>0.0308597666237564</v>
      </c>
      <c r="J15" s="11" t="n">
        <v>0.0326040781648258</v>
      </c>
      <c r="K15" s="12" t="n">
        <f aca="false">(J15-I15)*100</f>
        <v>0.174431154106939</v>
      </c>
      <c r="L15" s="11" t="n">
        <v>0.180946674655482</v>
      </c>
      <c r="M15" s="11" t="n">
        <v>0.0960219686855201</v>
      </c>
      <c r="N15" s="12" t="n">
        <f aca="false">(M15-L15)*100</f>
        <v>-8.49247059699622</v>
      </c>
      <c r="O15" s="11" t="n">
        <v>0.106443058925425</v>
      </c>
      <c r="P15" s="11" t="n">
        <v>0.061877958490108</v>
      </c>
      <c r="Q15" s="12" t="n">
        <f aca="false">(P15-O15)*100</f>
        <v>-4.45651004353172</v>
      </c>
      <c r="R15" s="11" t="n">
        <v>0.0178087311427368</v>
      </c>
      <c r="S15" s="11" t="n">
        <v>0.0121525670591091</v>
      </c>
      <c r="T15" s="12" t="n">
        <f aca="false">(S15-R15)*100</f>
        <v>-0.565616408362769</v>
      </c>
      <c r="U15" s="11" t="n">
        <v>0.027258867288766</v>
      </c>
      <c r="V15" s="11" t="n">
        <v>0.0534803981065663</v>
      </c>
      <c r="W15" s="12" t="n">
        <f aca="false">(V15-U15)*100</f>
        <v>2.62215308178003</v>
      </c>
      <c r="X15" s="11" t="n">
        <v>0.584360113662655</v>
      </c>
      <c r="Y15" s="11" t="n">
        <v>0.501335113484646</v>
      </c>
      <c r="Z15" s="12" t="n">
        <f aca="false">(Y15-X15)*100</f>
        <v>-8.30250001780083</v>
      </c>
      <c r="AA15" s="11" t="n">
        <v>0.305198464723644</v>
      </c>
      <c r="AB15" s="11" t="n">
        <v>0.170052494234737</v>
      </c>
      <c r="AC15" s="12" t="n">
        <f aca="false">(AB15-AA15)*100</f>
        <v>-13.5145970488907</v>
      </c>
      <c r="AD15" s="11" t="n">
        <v>0.489495401788177</v>
      </c>
      <c r="AE15" s="11" t="n">
        <v>0.353901333734241</v>
      </c>
      <c r="AF15" s="12" t="n">
        <f aca="false">(AE15-AD15)*100</f>
        <v>-13.5594068053936</v>
      </c>
      <c r="AG15" s="11" t="n">
        <v>0.0302784023159656</v>
      </c>
      <c r="AH15" s="11" t="n">
        <v>0.0364577011773273</v>
      </c>
      <c r="AI15" s="12" t="n">
        <f aca="false">(AH15-AG15)*100</f>
        <v>0.617929886136177</v>
      </c>
      <c r="AJ15" s="14" t="s">
        <v>74</v>
      </c>
      <c r="AK15" s="14" t="s">
        <v>74</v>
      </c>
      <c r="AL15" s="14" t="s">
        <v>134</v>
      </c>
      <c r="AM15" s="20" t="n">
        <v>35.8345840575669</v>
      </c>
      <c r="AN15" s="20" t="n">
        <v>33.1282619249909</v>
      </c>
      <c r="AO15" s="12" t="n">
        <v>-2.70632213257603</v>
      </c>
    </row>
    <row r="16" customFormat="false" ht="15" hidden="false" customHeight="false" outlineLevel="0" collapsed="false">
      <c r="A16" s="14" t="s">
        <v>83</v>
      </c>
      <c r="B16" s="14" t="n">
        <v>8</v>
      </c>
      <c r="C16" s="11" t="n">
        <v>0.577148662225191</v>
      </c>
      <c r="D16" s="11" t="n">
        <v>0.512102005263353</v>
      </c>
      <c r="E16" s="12" t="n">
        <f aca="false">(D16-C16)*100</f>
        <v>-6.50466569618376</v>
      </c>
      <c r="F16" s="11" t="n">
        <v>0.053786012156997</v>
      </c>
      <c r="G16" s="11" t="n">
        <v>0.0163163942325512</v>
      </c>
      <c r="H16" s="12" t="n">
        <f aca="false">(G16-F16)*100</f>
        <v>-3.74696179244458</v>
      </c>
      <c r="I16" s="11" t="n">
        <v>0.0275805555399649</v>
      </c>
      <c r="J16" s="11" t="n">
        <v>0.0237073279217169</v>
      </c>
      <c r="K16" s="12" t="n">
        <f aca="false">(J16-I16)*100</f>
        <v>-0.387322761824797</v>
      </c>
      <c r="L16" s="11" t="n">
        <v>0.132250840494138</v>
      </c>
      <c r="M16" s="11" t="n">
        <v>0.109121909633419</v>
      </c>
      <c r="N16" s="12" t="n">
        <f aca="false">(M16-L16)*100</f>
        <v>-2.3128930860719</v>
      </c>
      <c r="O16" s="11" t="n">
        <v>0.0771963697388435</v>
      </c>
      <c r="P16" s="11" t="n">
        <v>0.0449312428184885</v>
      </c>
      <c r="Q16" s="12" t="n">
        <f aca="false">(P16-O16)*100</f>
        <v>-3.2265126920355</v>
      </c>
      <c r="R16" s="11" t="n">
        <v>0.0163552582099018</v>
      </c>
      <c r="S16" s="11" t="n">
        <v>0.0175914600244635</v>
      </c>
      <c r="T16" s="12" t="n">
        <f aca="false">(S16-R16)*100</f>
        <v>0.123620181456163</v>
      </c>
      <c r="U16" s="11" t="n">
        <v>0.0293597651667799</v>
      </c>
      <c r="V16" s="11" t="n">
        <v>0.0378739019237185</v>
      </c>
      <c r="W16" s="12" t="n">
        <f aca="false">(V16-U16)*100</f>
        <v>0.851413675693859</v>
      </c>
      <c r="X16" s="11" t="n">
        <v>0.673910725210334</v>
      </c>
      <c r="Y16" s="11" t="n">
        <v>0.552125727417621</v>
      </c>
      <c r="Z16" s="12" t="n">
        <f aca="false">(Y16-X16)*100</f>
        <v>-12.1784997792713</v>
      </c>
      <c r="AA16" s="11" t="n">
        <v>0.225802468442883</v>
      </c>
      <c r="AB16" s="11" t="n">
        <v>0.171644612476371</v>
      </c>
      <c r="AC16" s="12" t="n">
        <f aca="false">(AB16-AA16)*100</f>
        <v>-5.41578559665124</v>
      </c>
      <c r="AD16" s="11" t="n">
        <v>0.511912218499854</v>
      </c>
      <c r="AE16" s="11" t="n">
        <v>0.359622182766288</v>
      </c>
      <c r="AF16" s="12" t="n">
        <f aca="false">(AE16-AD16)*100</f>
        <v>-15.2290035733566</v>
      </c>
      <c r="AG16" s="11" t="n">
        <v>0.0250380256947056</v>
      </c>
      <c r="AH16" s="11" t="n">
        <v>0.027658549242003</v>
      </c>
      <c r="AI16" s="12" t="n">
        <f aca="false">(AH16-AG16)*100</f>
        <v>0.262052354729745</v>
      </c>
      <c r="AJ16" s="14" t="s">
        <v>74</v>
      </c>
      <c r="AK16" s="14" t="s">
        <v>74</v>
      </c>
      <c r="AL16" s="14" t="s">
        <v>134</v>
      </c>
      <c r="AM16" s="20" t="n">
        <v>49.5944861339515</v>
      </c>
      <c r="AN16" s="20" t="n">
        <v>38.0481114941251</v>
      </c>
      <c r="AO16" s="12" t="n">
        <v>-11.5463746398264</v>
      </c>
    </row>
    <row r="17" customFormat="false" ht="15" hidden="false" customHeight="false" outlineLevel="0" collapsed="false">
      <c r="A17" s="14" t="s">
        <v>84</v>
      </c>
      <c r="B17" s="14" t="n">
        <v>1</v>
      </c>
      <c r="C17" s="11" t="n">
        <v>0.414391586918628</v>
      </c>
      <c r="D17" s="11" t="n">
        <v>0.357078899440218</v>
      </c>
      <c r="E17" s="12" t="n">
        <f aca="false">(D17-C17)*100</f>
        <v>-5.73126874784104</v>
      </c>
      <c r="F17" s="11" t="n">
        <v>0.0291537280524548</v>
      </c>
      <c r="G17" s="11" t="n">
        <v>0.0492047925638511</v>
      </c>
      <c r="H17" s="12" t="n">
        <f aca="false">(G17-F17)*100</f>
        <v>2.00510645113963</v>
      </c>
      <c r="I17" s="11" t="n">
        <v>0.0340713634317245</v>
      </c>
      <c r="J17" s="11" t="n">
        <v>0.0311930852586632</v>
      </c>
      <c r="K17" s="12" t="n">
        <f aca="false">(J17-I17)*100</f>
        <v>-0.28782781730613</v>
      </c>
      <c r="L17" s="11" t="n">
        <v>0.267428169046602</v>
      </c>
      <c r="M17" s="11" t="n">
        <v>0.371039952244915</v>
      </c>
      <c r="N17" s="12" t="n">
        <f aca="false">(M17-L17)*100</f>
        <v>10.3611783198313</v>
      </c>
      <c r="O17" s="11" t="n">
        <v>0.103916792685883</v>
      </c>
      <c r="P17" s="11" t="n">
        <v>0.0529204305267069</v>
      </c>
      <c r="Q17" s="12" t="n">
        <f aca="false">(P17-O17)*100</f>
        <v>-5.09963621591762</v>
      </c>
      <c r="R17" s="11" t="n">
        <v>0.0115668325118035</v>
      </c>
      <c r="S17" s="11" t="n">
        <v>0.0120423217255179</v>
      </c>
      <c r="T17" s="12" t="n">
        <f aca="false">(S17-R17)*100</f>
        <v>0.0475489213714419</v>
      </c>
      <c r="U17" s="11" t="n">
        <v>0.0209518972144943</v>
      </c>
      <c r="V17" s="11" t="n">
        <v>0.0359381376735233</v>
      </c>
      <c r="W17" s="12" t="n">
        <f aca="false">(V17-U17)*100</f>
        <v>1.4986240459029</v>
      </c>
      <c r="X17" s="11" t="n">
        <v>0.471758227804264</v>
      </c>
      <c r="Y17" s="11" t="n">
        <v>0.437476777262732</v>
      </c>
      <c r="Z17" s="12" t="n">
        <f aca="false">(Y17-X17)*100</f>
        <v>-3.4281450541532</v>
      </c>
      <c r="AA17" s="11" t="n">
        <v>0.382911794244289</v>
      </c>
      <c r="AB17" s="11" t="n">
        <v>0.43600270449714</v>
      </c>
      <c r="AC17" s="12" t="n">
        <f aca="false">(AB17-AA17)*100</f>
        <v>5.30909102528515</v>
      </c>
      <c r="AD17" s="11" t="n">
        <v>0.62367573210461</v>
      </c>
      <c r="AE17" s="11" t="n">
        <v>0.560463607811007</v>
      </c>
      <c r="AF17" s="12" t="n">
        <f aca="false">(AE17-AD17)*100</f>
        <v>-6.3212124293603</v>
      </c>
      <c r="AG17" s="11" t="n">
        <v>0.0383252334722431</v>
      </c>
      <c r="AH17" s="11" t="n">
        <v>0.0304804137149679</v>
      </c>
      <c r="AI17" s="12" t="n">
        <f aca="false">(AH17-AG17)*100</f>
        <v>-0.784481975727513</v>
      </c>
      <c r="AJ17" s="14" t="s">
        <v>74</v>
      </c>
      <c r="AK17" s="14" t="s">
        <v>74</v>
      </c>
      <c r="AL17" s="14" t="s">
        <v>134</v>
      </c>
      <c r="AM17" s="20" t="n">
        <v>17.1811329031364</v>
      </c>
      <c r="AN17" s="20" t="n">
        <v>0.147407276559197</v>
      </c>
      <c r="AO17" s="12" t="n">
        <v>-17.0337256265772</v>
      </c>
    </row>
    <row r="18" customFormat="false" ht="15" hidden="false" customHeight="false" outlineLevel="0" collapsed="false">
      <c r="A18" s="14" t="s">
        <v>84</v>
      </c>
      <c r="B18" s="14" t="n">
        <v>2</v>
      </c>
      <c r="C18" s="11" t="n">
        <v>0.416531847561024</v>
      </c>
      <c r="D18" s="11" t="n">
        <v>0.378758155813853</v>
      </c>
      <c r="E18" s="12" t="n">
        <f aca="false">(D18-C18)*100</f>
        <v>-3.77736917471707</v>
      </c>
      <c r="F18" s="11" t="n">
        <v>0.129394774016873</v>
      </c>
      <c r="G18" s="11" t="n">
        <v>0.0821155424966513</v>
      </c>
      <c r="H18" s="12" t="n">
        <f aca="false">(G18-F18)*100</f>
        <v>-4.72792315202215</v>
      </c>
      <c r="I18" s="11" t="n">
        <v>0.0589284445952665</v>
      </c>
      <c r="J18" s="11" t="n">
        <v>0.0308084517996803</v>
      </c>
      <c r="K18" s="12" t="n">
        <f aca="false">(J18-I18)*100</f>
        <v>-2.81199927955862</v>
      </c>
      <c r="L18" s="11" t="n">
        <v>0.231562665235611</v>
      </c>
      <c r="M18" s="11" t="n">
        <v>0.312785723544916</v>
      </c>
      <c r="N18" s="12" t="n">
        <f aca="false">(M18-L18)*100</f>
        <v>8.12230583093052</v>
      </c>
      <c r="O18" s="11" t="n">
        <v>0.0547457640494661</v>
      </c>
      <c r="P18" s="11" t="n">
        <v>0.0330985611199931</v>
      </c>
      <c r="Q18" s="12" t="n">
        <f aca="false">(P18-O18)*100</f>
        <v>-2.1647202929473</v>
      </c>
      <c r="R18" s="11" t="n">
        <v>0.0155785120705847</v>
      </c>
      <c r="S18" s="11" t="n">
        <v>0.0090740180616169</v>
      </c>
      <c r="T18" s="12" t="n">
        <f aca="false">(S18-R18)*100</f>
        <v>-0.650449400896781</v>
      </c>
      <c r="U18" s="11" t="n">
        <v>0.0198558948174221</v>
      </c>
      <c r="V18" s="11" t="n">
        <v>0.0283195782742082</v>
      </c>
      <c r="W18" s="12" t="n">
        <f aca="false">(V18-U18)*100</f>
        <v>0.846368345678614</v>
      </c>
      <c r="X18" s="11" t="n">
        <v>0.564985439536591</v>
      </c>
      <c r="Y18" s="11" t="n">
        <v>0.491682150110185</v>
      </c>
      <c r="Z18" s="12" t="n">
        <f aca="false">(Y18-X18)*100</f>
        <v>-7.3303289426406</v>
      </c>
      <c r="AA18" s="11" t="n">
        <v>0.301886941355662</v>
      </c>
      <c r="AB18" s="11" t="n">
        <v>0.354958302726526</v>
      </c>
      <c r="AC18" s="12" t="n">
        <f aca="false">(AB18-AA18)*100</f>
        <v>5.30713613708644</v>
      </c>
      <c r="AD18" s="11" t="n">
        <v>0.53162353000407</v>
      </c>
      <c r="AE18" s="11" t="n">
        <v>0.430596281797479</v>
      </c>
      <c r="AF18" s="12" t="n">
        <f aca="false">(AE18-AD18)*100</f>
        <v>-10.1027248206591</v>
      </c>
      <c r="AG18" s="11" t="n">
        <v>0.0351503002848958</v>
      </c>
      <c r="AH18" s="11" t="n">
        <v>0.0315516570885365</v>
      </c>
      <c r="AI18" s="12" t="n">
        <f aca="false">(AH18-AG18)*100</f>
        <v>-0.35986431963593</v>
      </c>
      <c r="AJ18" s="14" t="s">
        <v>74</v>
      </c>
      <c r="AK18" s="14" t="s">
        <v>74</v>
      </c>
      <c r="AL18" s="14" t="s">
        <v>134</v>
      </c>
      <c r="AM18" s="20" t="n">
        <v>29.7988367412973</v>
      </c>
      <c r="AN18" s="20" t="n">
        <v>13.6723847383658</v>
      </c>
      <c r="AO18" s="12" t="n">
        <v>-16.1264520029315</v>
      </c>
    </row>
    <row r="19" customFormat="false" ht="15" hidden="false" customHeight="false" outlineLevel="0" collapsed="false">
      <c r="A19" s="14" t="s">
        <v>85</v>
      </c>
      <c r="B19" s="14" t="n">
        <v>1</v>
      </c>
      <c r="C19" s="11" t="n">
        <v>0.34246972876808</v>
      </c>
      <c r="D19" s="11" t="n">
        <v>0.368823890007882</v>
      </c>
      <c r="E19" s="12" t="n">
        <f aca="false">(D19-C19)*100</f>
        <v>2.63541612398019</v>
      </c>
      <c r="F19" s="11" t="n">
        <v>0.0404387488591773</v>
      </c>
      <c r="G19" s="11" t="n">
        <v>0.019485068745074</v>
      </c>
      <c r="H19" s="12" t="n">
        <f aca="false">(G19-F19)*100</f>
        <v>-2.09536801141033</v>
      </c>
      <c r="I19" s="11" t="n">
        <v>0.0295247027552183</v>
      </c>
      <c r="J19" s="11" t="n">
        <v>0.0134512654348017</v>
      </c>
      <c r="K19" s="12" t="n">
        <f aca="false">(J19-I19)*100</f>
        <v>-1.60734373204167</v>
      </c>
      <c r="L19" s="11" t="n">
        <v>0.155719675144154</v>
      </c>
      <c r="M19" s="11" t="n">
        <v>0.0340178649619056</v>
      </c>
      <c r="N19" s="12" t="n">
        <f aca="false">(M19-L19)*100</f>
        <v>-12.1701810182248</v>
      </c>
      <c r="O19" s="11" t="n">
        <v>0.298464463108842</v>
      </c>
      <c r="P19" s="11" t="n">
        <v>0.277366669585778</v>
      </c>
      <c r="Q19" s="12" t="n">
        <f aca="false">(P19-O19)*100</f>
        <v>-2.10977935230637</v>
      </c>
      <c r="R19" s="11" t="n">
        <v>0.0230856258437883</v>
      </c>
      <c r="S19" s="11" t="n">
        <v>0.0102154304229792</v>
      </c>
      <c r="T19" s="12" t="n">
        <f aca="false">(S19-R19)*100</f>
        <v>-1.2870195420809</v>
      </c>
      <c r="U19" s="11" t="n">
        <v>0.0228332779569915</v>
      </c>
      <c r="V19" s="11" t="n">
        <v>0.223425869165426</v>
      </c>
      <c r="W19" s="12" t="n">
        <f aca="false">(V19-U19)*100</f>
        <v>20.0592591208435</v>
      </c>
      <c r="X19" s="11" t="n">
        <v>0.410460661067348</v>
      </c>
      <c r="Y19" s="11" t="n">
        <v>0.401760224187757</v>
      </c>
      <c r="Z19" s="12" t="n">
        <f aca="false">(Y19-X19)*100</f>
        <v>-0.870043687959021</v>
      </c>
      <c r="AA19" s="11" t="n">
        <v>0.477269764096784</v>
      </c>
      <c r="AB19" s="11" t="n">
        <v>0.321599964970663</v>
      </c>
      <c r="AC19" s="12" t="n">
        <f aca="false">(AB19-AA19)*100</f>
        <v>-15.5669799126121</v>
      </c>
      <c r="AD19" s="11" t="n">
        <v>0.738620160481133</v>
      </c>
      <c r="AE19" s="11" t="n">
        <v>0.680965003563154</v>
      </c>
      <c r="AF19" s="12" t="n">
        <f aca="false">(AE19-AD19)*100</f>
        <v>-5.76551569179785</v>
      </c>
      <c r="AG19" s="11" t="n">
        <v>0.0316780713892172</v>
      </c>
      <c r="AH19" s="11" t="n">
        <v>0.0233382958227516</v>
      </c>
      <c r="AI19" s="12" t="n">
        <f aca="false">(AH19-AG19)*100</f>
        <v>-0.833977556646562</v>
      </c>
      <c r="AJ19" s="14" t="s">
        <v>74</v>
      </c>
      <c r="AK19" s="14" t="s">
        <v>74</v>
      </c>
      <c r="AL19" s="14" t="s">
        <v>134</v>
      </c>
      <c r="AM19" s="20" t="n">
        <v>5.45071435480954</v>
      </c>
      <c r="AN19" s="20" t="n">
        <v>8.01602592170943</v>
      </c>
      <c r="AO19" s="12" t="n">
        <v>2.56531156689989</v>
      </c>
    </row>
    <row r="20" customFormat="false" ht="15" hidden="false" customHeight="false" outlineLevel="0" collapsed="false">
      <c r="A20" s="14" t="s">
        <v>85</v>
      </c>
      <c r="B20" s="14" t="n">
        <v>2</v>
      </c>
      <c r="C20" s="11" t="n">
        <v>0.454728103889228</v>
      </c>
      <c r="D20" s="11" t="n">
        <v>0.451283699011598</v>
      </c>
      <c r="E20" s="12" t="n">
        <f aca="false">(D20-C20)*100</f>
        <v>-0.344440487763009</v>
      </c>
      <c r="F20" s="11" t="n">
        <v>0.0392941054114488</v>
      </c>
      <c r="G20" s="11" t="n">
        <v>0.0163458694166488</v>
      </c>
      <c r="H20" s="12" t="n">
        <f aca="false">(G20-F20)*100</f>
        <v>-2.29482359948</v>
      </c>
      <c r="I20" s="11" t="n">
        <v>0.019476866493644</v>
      </c>
      <c r="J20" s="11" t="n">
        <v>0.0130103940349052</v>
      </c>
      <c r="K20" s="12" t="n">
        <f aca="false">(J20-I20)*100</f>
        <v>-0.646647245873883</v>
      </c>
      <c r="L20" s="11" t="n">
        <v>0.138229023367512</v>
      </c>
      <c r="M20" s="11" t="n">
        <v>0.0741505758030132</v>
      </c>
      <c r="N20" s="12" t="n">
        <f aca="false">(M20-L20)*100</f>
        <v>-6.40784475644992</v>
      </c>
      <c r="O20" s="11" t="n">
        <v>0.235882817338193</v>
      </c>
      <c r="P20" s="11" t="n">
        <v>0.237099258443241</v>
      </c>
      <c r="Q20" s="12" t="n">
        <f aca="false">(P20-O20)*100</f>
        <v>0.121644110504771</v>
      </c>
      <c r="R20" s="11" t="n">
        <v>0.02212420757045</v>
      </c>
      <c r="S20" s="11" t="n">
        <v>0.0102257311015229</v>
      </c>
      <c r="T20" s="12" t="n">
        <f aca="false">(S20-R20)*100</f>
        <v>-1.18984764689271</v>
      </c>
      <c r="U20" s="11" t="n">
        <v>0.0177844591624002</v>
      </c>
      <c r="V20" s="11" t="n">
        <v>0.147729938696615</v>
      </c>
      <c r="W20" s="12" t="n">
        <f aca="false">(V20-U20)*100</f>
        <v>12.9945479534214</v>
      </c>
      <c r="X20" s="11" t="n">
        <v>0.510412087002974</v>
      </c>
      <c r="Y20" s="11" t="n">
        <v>0.480639962463152</v>
      </c>
      <c r="Z20" s="12" t="n">
        <f aca="false">(Y20-X20)*100</f>
        <v>-2.97721245398219</v>
      </c>
      <c r="AA20" s="11" t="n">
        <v>0.396236048276156</v>
      </c>
      <c r="AB20" s="11" t="n">
        <v>0.321475565347777</v>
      </c>
      <c r="AC20" s="12" t="n">
        <f aca="false">(AB20-AA20)*100</f>
        <v>-7.47604829283786</v>
      </c>
      <c r="AD20" s="11" t="n">
        <v>0.66073297121028</v>
      </c>
      <c r="AE20" s="11" t="n">
        <v>0.588152009910821</v>
      </c>
      <c r="AF20" s="12" t="n">
        <f aca="false">(AE20-AD20)*100</f>
        <v>-7.25809612994596</v>
      </c>
      <c r="AG20" s="11" t="n">
        <v>0.0367838587832631</v>
      </c>
      <c r="AH20" s="11" t="n">
        <v>0.0289584544610708</v>
      </c>
      <c r="AI20" s="12" t="n">
        <f aca="false">(AH20-AG20)*100</f>
        <v>-0.782540432219231</v>
      </c>
      <c r="AJ20" s="14" t="s">
        <v>74</v>
      </c>
      <c r="AK20" s="14" t="s">
        <v>74</v>
      </c>
      <c r="AL20" s="14" t="s">
        <v>134</v>
      </c>
      <c r="AM20" s="20" t="n">
        <v>23.6057730945054</v>
      </c>
      <c r="AN20" s="20" t="n">
        <v>15.9164397115375</v>
      </c>
      <c r="AO20" s="12" t="n">
        <v>-7.68933338296787</v>
      </c>
    </row>
    <row r="21" customFormat="false" ht="15" hidden="false" customHeight="false" outlineLevel="0" collapsed="false">
      <c r="A21" s="14" t="s">
        <v>86</v>
      </c>
      <c r="B21" s="14" t="n">
        <v>1</v>
      </c>
      <c r="C21" s="11" t="n">
        <v>0.220812210234412</v>
      </c>
      <c r="D21" s="11" t="n">
        <v>0.374210062284918</v>
      </c>
      <c r="E21" s="12" t="n">
        <f aca="false">(D21-C21)*100</f>
        <v>15.3397852050506</v>
      </c>
      <c r="F21" s="11" t="n">
        <v>0.0227696174011006</v>
      </c>
      <c r="G21" s="11" t="n">
        <v>0.0706009499161002</v>
      </c>
      <c r="H21" s="12" t="n">
        <f aca="false">(G21-F21)*100</f>
        <v>4.78313325149997</v>
      </c>
      <c r="I21" s="11" t="n">
        <v>0.0167901555526669</v>
      </c>
      <c r="J21" s="11" t="n">
        <v>0.0488211370552601</v>
      </c>
      <c r="K21" s="12" t="n">
        <f aca="false">(J21-I21)*100</f>
        <v>3.20309815025932</v>
      </c>
      <c r="L21" s="11" t="n">
        <v>0.29774361974089</v>
      </c>
      <c r="M21" s="11" t="n">
        <v>0.117482437928387</v>
      </c>
      <c r="N21" s="12" t="n">
        <f aca="false">(M21-L21)*100</f>
        <v>-18.0261181812503</v>
      </c>
      <c r="O21" s="11" t="n">
        <v>0.290686338229559</v>
      </c>
      <c r="P21" s="11" t="n">
        <v>0.315849947384887</v>
      </c>
      <c r="Q21" s="12" t="n">
        <f aca="false">(P21-O21)*100</f>
        <v>2.51636091553272</v>
      </c>
      <c r="R21" s="11" t="n">
        <v>0.0399930672906105</v>
      </c>
      <c r="S21" s="11" t="n">
        <v>0.00547197178692301</v>
      </c>
      <c r="T21" s="12" t="n">
        <f aca="false">(S21-R21)*100</f>
        <v>-3.45210955036875</v>
      </c>
      <c r="U21" s="11" t="n">
        <v>0.0659473980675073</v>
      </c>
      <c r="V21" s="11" t="n">
        <v>0.0172179403316174</v>
      </c>
      <c r="W21" s="12" t="n">
        <f aca="false">(V21-U21)*100</f>
        <v>-4.87294577358898</v>
      </c>
      <c r="X21" s="11" t="n">
        <v>0.253076389791585</v>
      </c>
      <c r="Y21" s="11" t="n">
        <v>0.493632149256278</v>
      </c>
      <c r="Z21" s="12" t="n">
        <f aca="false">(Y21-X21)*100</f>
        <v>24.0555759464693</v>
      </c>
      <c r="AA21" s="11" t="n">
        <v>0.62842302526106</v>
      </c>
      <c r="AB21" s="11" t="n">
        <v>0.438804357100196</v>
      </c>
      <c r="AC21" s="12" t="n">
        <f aca="false">(AB21-AA21)*100</f>
        <v>-18.9618668160864</v>
      </c>
      <c r="AD21" s="11" t="n">
        <v>0.583123306361449</v>
      </c>
      <c r="AE21" s="11" t="n">
        <v>0.524812977258751</v>
      </c>
      <c r="AF21" s="12" t="n">
        <f aca="false">(AE21-AD21)*100</f>
        <v>-5.83103291026974</v>
      </c>
      <c r="AG21" s="11" t="n">
        <v>0.0232191602755752</v>
      </c>
      <c r="AH21" s="11" t="n">
        <v>0.0204886095389779</v>
      </c>
      <c r="AI21" s="12" t="n">
        <f aca="false">(AH21-AG21)*100</f>
        <v>-0.273055073659735</v>
      </c>
      <c r="AJ21" s="14" t="s">
        <v>132</v>
      </c>
      <c r="AK21" s="14" t="s">
        <v>74</v>
      </c>
      <c r="AL21" s="14" t="s">
        <v>135</v>
      </c>
      <c r="AM21" s="20" t="n">
        <v>8.39020321504398</v>
      </c>
      <c r="AN21" s="20" t="n">
        <v>5.4827792156082</v>
      </c>
      <c r="AO21" s="12" t="n">
        <v>-2.90742399943578</v>
      </c>
    </row>
    <row r="22" customFormat="false" ht="15" hidden="false" customHeight="false" outlineLevel="0" collapsed="false">
      <c r="A22" s="14" t="s">
        <v>86</v>
      </c>
      <c r="B22" s="14" t="n">
        <v>2</v>
      </c>
      <c r="C22" s="11" t="n">
        <v>0.332769744621704</v>
      </c>
      <c r="D22" s="11" t="n">
        <v>0.37140605536772</v>
      </c>
      <c r="E22" s="12" t="n">
        <f aca="false">(D22-C22)*100</f>
        <v>3.86363107460159</v>
      </c>
      <c r="F22" s="11" t="n">
        <v>0.0297958633280086</v>
      </c>
      <c r="G22" s="11" t="n">
        <v>0.00734677275847167</v>
      </c>
      <c r="H22" s="12" t="n">
        <f aca="false">(G22-F22)*100</f>
        <v>-2.2449090569537</v>
      </c>
      <c r="I22" s="11" t="n">
        <v>0.021098271891791</v>
      </c>
      <c r="J22" s="11" t="n">
        <v>0.0635330604774131</v>
      </c>
      <c r="K22" s="12" t="n">
        <f aca="false">(J22-I22)*100</f>
        <v>4.24347885856222</v>
      </c>
      <c r="L22" s="11" t="n">
        <v>0.195885110885215</v>
      </c>
      <c r="M22" s="11" t="n">
        <v>0.0935709383023616</v>
      </c>
      <c r="N22" s="12" t="n">
        <f aca="false">(M22-L22)*100</f>
        <v>-10.2314172582853</v>
      </c>
      <c r="O22" s="11" t="n">
        <v>0.31463290666556</v>
      </c>
      <c r="P22" s="11" t="n">
        <v>0.385626763606782</v>
      </c>
      <c r="Q22" s="12" t="n">
        <f aca="false">(P22-O22)*100</f>
        <v>7.09938569412222</v>
      </c>
      <c r="R22" s="11" t="n">
        <v>0.0178619587992449</v>
      </c>
      <c r="S22" s="11" t="n">
        <v>0.00981264458397946</v>
      </c>
      <c r="T22" s="12" t="n">
        <f aca="false">(S22-R22)*100</f>
        <v>-0.80493142152654</v>
      </c>
      <c r="U22" s="11" t="n">
        <v>0.0337530859075161</v>
      </c>
      <c r="V22" s="11" t="n">
        <v>0.0164425350179221</v>
      </c>
      <c r="W22" s="12" t="n">
        <f aca="false">(V22-U22)*100</f>
        <v>-1.73105508895941</v>
      </c>
      <c r="X22" s="11" t="n">
        <v>0.37532933634836</v>
      </c>
      <c r="Y22" s="11" t="n">
        <v>0.442285888603605</v>
      </c>
      <c r="Z22" s="12" t="n">
        <f aca="false">(Y22-X22)*100</f>
        <v>6.69565522552446</v>
      </c>
      <c r="AA22" s="11" t="n">
        <v>0.52837997635002</v>
      </c>
      <c r="AB22" s="11" t="n">
        <v>0.489010346493124</v>
      </c>
      <c r="AC22" s="12" t="n">
        <f aca="false">(AB22-AA22)*100</f>
        <v>-3.93696298568961</v>
      </c>
      <c r="AD22" s="11" t="n">
        <v>0.643891426892148</v>
      </c>
      <c r="AE22" s="11" t="n">
        <v>0.625292084858003</v>
      </c>
      <c r="AF22" s="12" t="n">
        <f aca="false">(AE22-AD22)*100</f>
        <v>-1.85993420341452</v>
      </c>
      <c r="AG22" s="11" t="n">
        <v>0.0272026637346223</v>
      </c>
      <c r="AH22" s="11" t="n">
        <v>0.0216081551719755</v>
      </c>
      <c r="AI22" s="12" t="n">
        <f aca="false">(AH22-AG22)*100</f>
        <v>-0.559450856264684</v>
      </c>
      <c r="AJ22" s="14" t="s">
        <v>74</v>
      </c>
      <c r="AK22" s="14" t="s">
        <v>132</v>
      </c>
      <c r="AL22" s="14" t="s">
        <v>133</v>
      </c>
      <c r="AM22" s="20" t="n">
        <v>2.55274567972948</v>
      </c>
      <c r="AN22" s="20" t="n">
        <v>4.67244578895188</v>
      </c>
      <c r="AO22" s="12" t="n">
        <v>2.1197001092224</v>
      </c>
    </row>
    <row r="23" customFormat="false" ht="15" hidden="false" customHeight="false" outlineLevel="0" collapsed="false">
      <c r="A23" s="14" t="s">
        <v>86</v>
      </c>
      <c r="B23" s="14" t="n">
        <v>3</v>
      </c>
      <c r="C23" s="11" t="n">
        <v>0.324292618364851</v>
      </c>
      <c r="D23" s="11" t="n">
        <v>0.28097173219086</v>
      </c>
      <c r="E23" s="12" t="n">
        <f aca="false">(D23-C23)*100</f>
        <v>-4.33208861739903</v>
      </c>
      <c r="F23" s="11" t="n">
        <v>0.0273978783564281</v>
      </c>
      <c r="G23" s="11" t="n">
        <v>0.00465704805107527</v>
      </c>
      <c r="H23" s="12" t="n">
        <f aca="false">(G23-F23)*100</f>
        <v>-2.27408303053528</v>
      </c>
      <c r="I23" s="11" t="n">
        <v>0.0169300338901478</v>
      </c>
      <c r="J23" s="11" t="n">
        <v>0.00823777721774194</v>
      </c>
      <c r="K23" s="12" t="n">
        <f aca="false">(J23-I23)*100</f>
        <v>-0.869225667240585</v>
      </c>
      <c r="L23" s="11" t="n">
        <v>0.259740910822789</v>
      </c>
      <c r="M23" s="11" t="n">
        <v>0.282772597446237</v>
      </c>
      <c r="N23" s="12" t="n">
        <f aca="false">(M23-L23)*100</f>
        <v>2.3031686623448</v>
      </c>
      <c r="O23" s="11" t="n">
        <v>0.270319048669461</v>
      </c>
      <c r="P23" s="11" t="n">
        <v>0.31905766969086</v>
      </c>
      <c r="Q23" s="12" t="n">
        <f aca="false">(P23-O23)*100</f>
        <v>4.87386210213994</v>
      </c>
      <c r="R23" s="11" t="n">
        <v>0.0237832634808591</v>
      </c>
      <c r="S23" s="11" t="n">
        <v>0.0052713373655914</v>
      </c>
      <c r="T23" s="12" t="n">
        <f aca="false">(S23-R23)*100</f>
        <v>-1.85119261152677</v>
      </c>
      <c r="U23" s="11" t="n">
        <v>0.0225951029739106</v>
      </c>
      <c r="V23" s="11" t="n">
        <v>0.0272649949596774</v>
      </c>
      <c r="W23" s="12" t="n">
        <f aca="false">(V23-U23)*100</f>
        <v>0.466989198576682</v>
      </c>
      <c r="X23" s="11" t="n">
        <v>0.362960474863136</v>
      </c>
      <c r="Y23" s="11" t="n">
        <v>0.293866557459677</v>
      </c>
      <c r="Z23" s="12" t="n">
        <f aca="false">(Y23-X23)*100</f>
        <v>-6.90939174034585</v>
      </c>
      <c r="AA23" s="11" t="n">
        <v>0.553843222973109</v>
      </c>
      <c r="AB23" s="11" t="n">
        <v>0.607101604502688</v>
      </c>
      <c r="AC23" s="12" t="n">
        <f aca="false">(AB23-AA23)*100</f>
        <v>5.32583815295796</v>
      </c>
      <c r="AD23" s="11" t="n">
        <v>0.635722162375783</v>
      </c>
      <c r="AE23" s="11" t="n">
        <v>0.588904245549918</v>
      </c>
      <c r="AF23" s="12" t="n">
        <f aca="false">(AE23-AD23)*100</f>
        <v>-4.68179168258653</v>
      </c>
      <c r="AG23" s="11" t="n">
        <v>0.0283403854252311</v>
      </c>
      <c r="AH23" s="11" t="n">
        <v>0.0179456485215054</v>
      </c>
      <c r="AI23" s="12" t="n">
        <f aca="false">(AH23-AG23)*100</f>
        <v>-1.03947369037257</v>
      </c>
      <c r="AJ23" s="14" t="s">
        <v>74</v>
      </c>
      <c r="AK23" s="14" t="s">
        <v>132</v>
      </c>
      <c r="AL23" s="14" t="s">
        <v>133</v>
      </c>
      <c r="AM23" s="20" t="n">
        <v>5.68411975855776</v>
      </c>
      <c r="AN23" s="20" t="n">
        <v>31.3235047043011</v>
      </c>
      <c r="AO23" s="12" t="n">
        <v>25.6393849457433</v>
      </c>
    </row>
    <row r="24" customFormat="false" ht="15" hidden="false" customHeight="false" outlineLevel="0" collapsed="false">
      <c r="A24" s="14" t="s">
        <v>86</v>
      </c>
      <c r="B24" s="14" t="n">
        <v>4</v>
      </c>
      <c r="C24" s="11" t="n">
        <v>0.265694982921973</v>
      </c>
      <c r="D24" s="11" t="n">
        <v>0.302561455022614</v>
      </c>
      <c r="E24" s="12" t="n">
        <f aca="false">(D24-C24)*100</f>
        <v>3.6866472100641</v>
      </c>
      <c r="F24" s="11" t="n">
        <v>0.0255744085385121</v>
      </c>
      <c r="G24" s="11" t="n">
        <v>0.00618986926522864</v>
      </c>
      <c r="H24" s="12" t="n">
        <f aca="false">(G24-F24)*100</f>
        <v>-1.93845392732834</v>
      </c>
      <c r="I24" s="11" t="n">
        <v>0.0259907011269993</v>
      </c>
      <c r="J24" s="11" t="n">
        <v>0.0257651291483149</v>
      </c>
      <c r="K24" s="12" t="n">
        <f aca="false">(J24-I24)*100</f>
        <v>-0.0225571978684468</v>
      </c>
      <c r="L24" s="11" t="n">
        <v>0.277948028628893</v>
      </c>
      <c r="M24" s="11" t="n">
        <v>0.110024791743973</v>
      </c>
      <c r="N24" s="12" t="n">
        <f aca="false">(M24-L24)*100</f>
        <v>-16.792323688492</v>
      </c>
      <c r="O24" s="11" t="n">
        <v>0.314993053430903</v>
      </c>
      <c r="P24" s="11" t="n">
        <v>0.488236021704876</v>
      </c>
      <c r="Q24" s="12" t="n">
        <f aca="false">(P24-O24)*100</f>
        <v>17.3242968273973</v>
      </c>
      <c r="R24" s="11" t="n">
        <v>0.0114706162634982</v>
      </c>
      <c r="S24" s="11" t="n">
        <v>0.00720627698992735</v>
      </c>
      <c r="T24" s="12" t="n">
        <f aca="false">(S24-R24)*100</f>
        <v>-0.426433927357081</v>
      </c>
      <c r="U24" s="11" t="n">
        <v>0.0152924831602125</v>
      </c>
      <c r="V24" s="11" t="n">
        <v>0.0209896261878257</v>
      </c>
      <c r="W24" s="12" t="n">
        <f aca="false">(V24-U24)*100</f>
        <v>0.569714302761323</v>
      </c>
      <c r="X24" s="11" t="n">
        <v>0.309751779274648</v>
      </c>
      <c r="Y24" s="11" t="n">
        <v>0.334516453436157</v>
      </c>
      <c r="Z24" s="12" t="n">
        <f aca="false">(Y24-X24)*100</f>
        <v>2.47646741615094</v>
      </c>
      <c r="AA24" s="11" t="n">
        <v>0.604411698323294</v>
      </c>
      <c r="AB24" s="11" t="n">
        <v>0.605467090438776</v>
      </c>
      <c r="AC24" s="12" t="n">
        <f aca="false">(AB24-AA24)*100</f>
        <v>0.105539211548245</v>
      </c>
      <c r="AD24" s="11" t="n">
        <v>0.629136439798176</v>
      </c>
      <c r="AE24" s="11" t="n">
        <v>0.547304814660019</v>
      </c>
      <c r="AF24" s="12" t="n">
        <f aca="false">(AE24-AD24)*100</f>
        <v>-8.18316251381568</v>
      </c>
      <c r="AG24" s="11" t="n">
        <v>0.0259957167003546</v>
      </c>
      <c r="AH24" s="11" t="n">
        <v>0.0212746505762333</v>
      </c>
      <c r="AI24" s="12" t="n">
        <f aca="false">(AH24-AG24)*100</f>
        <v>-0.472106612412133</v>
      </c>
      <c r="AJ24" s="14" t="s">
        <v>153</v>
      </c>
      <c r="AK24" s="14" t="s">
        <v>132</v>
      </c>
      <c r="AL24" s="14" t="s">
        <v>154</v>
      </c>
      <c r="AM24" s="20" t="n">
        <v>4.92428992020223</v>
      </c>
      <c r="AN24" s="20" t="n">
        <v>27.0950637002619</v>
      </c>
      <c r="AO24" s="12" t="n">
        <v>22.1707737800597</v>
      </c>
    </row>
    <row r="25" customFormat="false" ht="15" hidden="false" customHeight="false" outlineLevel="0" collapsed="false">
      <c r="A25" s="14" t="s">
        <v>86</v>
      </c>
      <c r="B25" s="14" t="n">
        <v>5</v>
      </c>
      <c r="C25" s="11" t="n">
        <v>0.296860612338858</v>
      </c>
      <c r="D25" s="11" t="n">
        <v>0.324132574882979</v>
      </c>
      <c r="E25" s="12" t="n">
        <f aca="false">(D25-C25)*100</f>
        <v>2.72719625441208</v>
      </c>
      <c r="F25" s="11" t="n">
        <v>0.017466620626151</v>
      </c>
      <c r="G25" s="11" t="n">
        <v>0.00503243004974707</v>
      </c>
      <c r="H25" s="12" t="n">
        <f aca="false">(G25-F25)*100</f>
        <v>-1.24341905764039</v>
      </c>
      <c r="I25" s="11" t="n">
        <v>0.0191259975445058</v>
      </c>
      <c r="J25" s="11" t="n">
        <v>0.00915702860981088</v>
      </c>
      <c r="K25" s="12" t="n">
        <f aca="false">(J25-I25)*100</f>
        <v>-0.996896893469496</v>
      </c>
      <c r="L25" s="11" t="n">
        <v>0.34598008747698</v>
      </c>
      <c r="M25" s="11" t="n">
        <v>0.227235994206671</v>
      </c>
      <c r="N25" s="12" t="n">
        <f aca="false">(M25-L25)*100</f>
        <v>-11.8744093270309</v>
      </c>
      <c r="O25" s="11" t="n">
        <v>0.25962054941682</v>
      </c>
      <c r="P25" s="11" t="n">
        <v>0.389396738103734</v>
      </c>
      <c r="Q25" s="12" t="n">
        <f aca="false">(P25-O25)*100</f>
        <v>12.9776188686914</v>
      </c>
      <c r="R25" s="11" t="n">
        <v>0.00864698434622468</v>
      </c>
      <c r="S25" s="11" t="n">
        <v>0.00544698893809954</v>
      </c>
      <c r="T25" s="12" t="n">
        <f aca="false">(S25-R25)*100</f>
        <v>-0.319999540812514</v>
      </c>
      <c r="U25" s="11" t="n">
        <v>0.0132030770411295</v>
      </c>
      <c r="V25" s="11" t="n">
        <v>0.00889464956654982</v>
      </c>
      <c r="W25" s="12" t="n">
        <f aca="false">(V25-U25)*100</f>
        <v>-0.430842747457971</v>
      </c>
      <c r="X25" s="11" t="n">
        <v>0.324638390116636</v>
      </c>
      <c r="Y25" s="11" t="n">
        <v>0.338322033542537</v>
      </c>
      <c r="Z25" s="12" t="n">
        <f aca="false">(Y25-X25)*100</f>
        <v>1.36836434259009</v>
      </c>
      <c r="AA25" s="11" t="n">
        <v>0.614247621240025</v>
      </c>
      <c r="AB25" s="11" t="n">
        <v>0.622079721248504</v>
      </c>
      <c r="AC25" s="12" t="n">
        <f aca="false">(AB25-AA25)*100</f>
        <v>0.783210000847989</v>
      </c>
      <c r="AD25" s="11" t="n">
        <v>0.688951961169796</v>
      </c>
      <c r="AE25" s="11" t="n">
        <v>0.629173269941891</v>
      </c>
      <c r="AF25" s="12" t="n">
        <f aca="false">(AE25-AD25)*100</f>
        <v>-5.9778691227905</v>
      </c>
      <c r="AG25" s="11" t="n">
        <v>0.0170301949048496</v>
      </c>
      <c r="AH25" s="11" t="n">
        <v>0.0162150248735333</v>
      </c>
      <c r="AI25" s="12" t="n">
        <f aca="false">(AH25-AG25)*100</f>
        <v>-0.0815170031316301</v>
      </c>
      <c r="AJ25" s="14" t="s">
        <v>132</v>
      </c>
      <c r="AK25" s="14" t="s">
        <v>132</v>
      </c>
      <c r="AL25" s="14" t="s">
        <v>150</v>
      </c>
      <c r="AM25" s="20" t="n">
        <v>4.3191758747698</v>
      </c>
      <c r="AN25" s="20" t="n">
        <v>28.3757687705968</v>
      </c>
      <c r="AO25" s="12" t="n">
        <v>24.056592895827</v>
      </c>
    </row>
    <row r="26" customFormat="false" ht="15" hidden="false" customHeight="false" outlineLevel="0" collapsed="false">
      <c r="A26" s="14" t="s">
        <v>86</v>
      </c>
      <c r="B26" s="14" t="n">
        <v>6</v>
      </c>
      <c r="C26" s="11" t="n">
        <v>0.387996010049554</v>
      </c>
      <c r="D26" s="11" t="n">
        <v>0.334217407942852</v>
      </c>
      <c r="E26" s="12" t="n">
        <f aca="false">(D26-C26)*100</f>
        <v>-5.3778602106702</v>
      </c>
      <c r="F26" s="11" t="n">
        <v>0.0242117447498546</v>
      </c>
      <c r="G26" s="11" t="n">
        <v>0.013734161068118</v>
      </c>
      <c r="H26" s="12" t="n">
        <f aca="false">(G26-F26)*100</f>
        <v>-1.04775836817366</v>
      </c>
      <c r="I26" s="11" t="n">
        <v>0.0192349750094681</v>
      </c>
      <c r="J26" s="11" t="n">
        <v>0.0332936474189982</v>
      </c>
      <c r="K26" s="12" t="n">
        <f aca="false">(J26-I26)*100</f>
        <v>1.40586724095301</v>
      </c>
      <c r="L26" s="11" t="n">
        <v>0.194243376308869</v>
      </c>
      <c r="M26" s="11" t="n">
        <v>0.113264308189472</v>
      </c>
      <c r="N26" s="12" t="n">
        <f aca="false">(M26-L26)*100</f>
        <v>-8.09790681193972</v>
      </c>
      <c r="O26" s="11" t="n">
        <v>0.310960095161385</v>
      </c>
      <c r="P26" s="11" t="n">
        <v>0.423675482609065</v>
      </c>
      <c r="Q26" s="12" t="n">
        <f aca="false">(P26-O26)*100</f>
        <v>11.271538744768</v>
      </c>
      <c r="R26" s="11" t="n">
        <v>0.00911074246150071</v>
      </c>
      <c r="S26" s="11" t="n">
        <v>0.0129422144740199</v>
      </c>
      <c r="T26" s="12" t="n">
        <f aca="false">(S26-R26)*100</f>
        <v>0.383147201251919</v>
      </c>
      <c r="U26" s="11" t="n">
        <v>0.0112657424348299</v>
      </c>
      <c r="V26" s="11" t="n">
        <v>0.011065992006123</v>
      </c>
      <c r="W26" s="12" t="n">
        <f aca="false">(V26-U26)*100</f>
        <v>-0.019975042870695</v>
      </c>
      <c r="X26" s="11" t="n">
        <v>0.425095081372586</v>
      </c>
      <c r="Y26" s="11" t="n">
        <v>0.381245216429969</v>
      </c>
      <c r="Z26" s="12" t="n">
        <f aca="false">(Y26-X26)*100</f>
        <v>-4.3849864942617</v>
      </c>
      <c r="AA26" s="11" t="n">
        <v>0.514314213931755</v>
      </c>
      <c r="AB26" s="11" t="n">
        <v>0.549882005272557</v>
      </c>
      <c r="AC26" s="12" t="n">
        <f aca="false">(AB26-AA26)*100</f>
        <v>3.55677913408023</v>
      </c>
      <c r="AD26" s="11" t="n">
        <v>0.645610204629827</v>
      </c>
      <c r="AE26" s="11" t="n">
        <v>0.597986835288546</v>
      </c>
      <c r="AF26" s="12" t="n">
        <f aca="false">(AE26-AD26)*100</f>
        <v>-4.76233693412811</v>
      </c>
      <c r="AG26" s="11" t="n">
        <v>0.0163865344506617</v>
      </c>
      <c r="AH26" s="11" t="n">
        <v>0.0198146100858917</v>
      </c>
      <c r="AI26" s="12" t="n">
        <f aca="false">(AH26-AG26)*100</f>
        <v>0.342807563522996</v>
      </c>
      <c r="AJ26" s="14" t="s">
        <v>74</v>
      </c>
      <c r="AK26" s="14" t="s">
        <v>132</v>
      </c>
      <c r="AL26" s="14" t="s">
        <v>133</v>
      </c>
      <c r="AM26" s="20" t="n">
        <v>8.13565831515274</v>
      </c>
      <c r="AN26" s="20" t="n">
        <v>16.8636788842589</v>
      </c>
      <c r="AO26" s="12" t="n">
        <v>8.72802056910612</v>
      </c>
    </row>
    <row r="27" customFormat="false" ht="15" hidden="false" customHeight="false" outlineLevel="0" collapsed="false">
      <c r="A27" s="14" t="s">
        <v>86</v>
      </c>
      <c r="B27" s="14" t="n">
        <v>7</v>
      </c>
      <c r="C27" s="11" t="n">
        <v>0.308587263367652</v>
      </c>
      <c r="D27" s="11" t="n">
        <v>0.335230834956197</v>
      </c>
      <c r="E27" s="12" t="n">
        <f aca="false">(D27-C27)*100</f>
        <v>2.66435715885445</v>
      </c>
      <c r="F27" s="11" t="n">
        <v>0.0325110013284623</v>
      </c>
      <c r="G27" s="11" t="n">
        <v>0.0106138029372437</v>
      </c>
      <c r="H27" s="12" t="n">
        <f aca="false">(G27-F27)*100</f>
        <v>-2.18971983912186</v>
      </c>
      <c r="I27" s="11" t="n">
        <v>0.0352976585851876</v>
      </c>
      <c r="J27" s="11" t="n">
        <v>0.0186532177077959</v>
      </c>
      <c r="K27" s="12" t="n">
        <f aca="false">(J27-I27)*100</f>
        <v>-1.66444408773918</v>
      </c>
      <c r="L27" s="11" t="n">
        <v>0.190042759880438</v>
      </c>
      <c r="M27" s="11" t="n">
        <v>0.0703573628056392</v>
      </c>
      <c r="N27" s="12" t="n">
        <f aca="false">(M27-L27)*100</f>
        <v>-11.9685397074799</v>
      </c>
      <c r="O27" s="11" t="n">
        <v>0.335519760876785</v>
      </c>
      <c r="P27" s="11" t="n">
        <v>0.44051443377331</v>
      </c>
      <c r="Q27" s="12" t="n">
        <f aca="false">(P27-O27)*100</f>
        <v>10.4994672896525</v>
      </c>
      <c r="R27" s="11" t="n">
        <v>0.0134921952839588</v>
      </c>
      <c r="S27" s="11" t="n">
        <v>0.0344712794820153</v>
      </c>
      <c r="T27" s="12" t="n">
        <f aca="false">(S27-R27)*100</f>
        <v>2.09790841980565</v>
      </c>
      <c r="U27" s="11" t="n">
        <v>0.0171817917635337</v>
      </c>
      <c r="V27" s="11" t="n">
        <v>0.0242070163174043</v>
      </c>
      <c r="W27" s="12" t="n">
        <f aca="false">(V27-U27)*100</f>
        <v>0.70252245538706</v>
      </c>
      <c r="X27" s="11" t="n">
        <v>0.360879898704749</v>
      </c>
      <c r="Y27" s="11" t="n">
        <v>0.364497855601236</v>
      </c>
      <c r="Z27" s="12" t="n">
        <f aca="false">(Y27-X27)*100</f>
        <v>0.361795689648703</v>
      </c>
      <c r="AA27" s="11" t="n">
        <v>0.539054716041182</v>
      </c>
      <c r="AB27" s="11" t="n">
        <v>0.545343076060964</v>
      </c>
      <c r="AC27" s="12" t="n">
        <f aca="false">(AB27-AA27)*100</f>
        <v>0.628836001978184</v>
      </c>
      <c r="AD27" s="11" t="n">
        <v>0.61308220921354</v>
      </c>
      <c r="AE27" s="11" t="n">
        <v>0.543142649642449</v>
      </c>
      <c r="AF27" s="12" t="n">
        <f aca="false">(AE27-AD27)*100</f>
        <v>-6.9939559571091</v>
      </c>
      <c r="AG27" s="11" t="n">
        <v>0.0299526735303886</v>
      </c>
      <c r="AH27" s="11" t="n">
        <v>0.0264817989646965</v>
      </c>
      <c r="AI27" s="12" t="n">
        <f aca="false">(AH27-AG27)*100</f>
        <v>-0.34708745656921</v>
      </c>
      <c r="AJ27" s="14" t="s">
        <v>153</v>
      </c>
      <c r="AK27" s="14" t="s">
        <v>132</v>
      </c>
      <c r="AL27" s="14" t="s">
        <v>154</v>
      </c>
      <c r="AM27" s="20" t="n">
        <v>2.71608269677848</v>
      </c>
      <c r="AN27" s="20" t="n">
        <v>18.0845220459728</v>
      </c>
      <c r="AO27" s="12" t="n">
        <v>15.3684393491943</v>
      </c>
    </row>
    <row r="28" customFormat="false" ht="15" hidden="false" customHeight="false" outlineLevel="0" collapsed="false">
      <c r="A28" s="14" t="s">
        <v>87</v>
      </c>
      <c r="B28" s="14" t="n">
        <v>1</v>
      </c>
      <c r="C28" s="11" t="n">
        <v>0.316558441558442</v>
      </c>
      <c r="D28" s="11" t="n">
        <v>0.280992852054727</v>
      </c>
      <c r="E28" s="12" t="n">
        <f aca="false">(D28-C28)*100</f>
        <v>-3.55655895037143</v>
      </c>
      <c r="F28" s="11" t="n">
        <v>0.0374036979969183</v>
      </c>
      <c r="G28" s="11" t="n">
        <v>0.024139667411756</v>
      </c>
      <c r="H28" s="12" t="n">
        <f aca="false">(G28-F28)*100</f>
        <v>-1.32640305851623</v>
      </c>
      <c r="I28" s="11" t="n">
        <v>0.0262491745542593</v>
      </c>
      <c r="J28" s="11" t="n">
        <v>0.123799464518189</v>
      </c>
      <c r="K28" s="12" t="n">
        <f aca="false">(J28-I28)*100</f>
        <v>9.75502899639299</v>
      </c>
      <c r="L28" s="11" t="n">
        <v>0.180998239049087</v>
      </c>
      <c r="M28" s="11" t="n">
        <v>0.124910957726413</v>
      </c>
      <c r="N28" s="12" t="n">
        <f aca="false">(M28-L28)*100</f>
        <v>-5.60872813226735</v>
      </c>
      <c r="O28" s="11" t="n">
        <v>0.236231565045124</v>
      </c>
      <c r="P28" s="11" t="n">
        <v>0.16835744639041</v>
      </c>
      <c r="Q28" s="12" t="n">
        <f aca="false">(P28-O28)*100</f>
        <v>-6.7874118654714</v>
      </c>
      <c r="R28" s="11" t="n">
        <v>0.0295729694034779</v>
      </c>
      <c r="S28" s="11" t="n">
        <v>0.0116860308024858</v>
      </c>
      <c r="T28" s="12" t="n">
        <f aca="false">(S28-R28)*100</f>
        <v>-1.78869386009921</v>
      </c>
      <c r="U28" s="11" t="n">
        <v>0.0783348007924279</v>
      </c>
      <c r="V28" s="11" t="n">
        <v>0.176641448257228</v>
      </c>
      <c r="W28" s="12" t="n">
        <f aca="false">(V28-U28)*100</f>
        <v>9.83066474647999</v>
      </c>
      <c r="X28" s="11" t="n">
        <v>0.369838212634823</v>
      </c>
      <c r="Y28" s="11" t="n">
        <v>0.428931983984673</v>
      </c>
      <c r="Z28" s="12" t="n">
        <f aca="false">(Y28-X28)*100</f>
        <v>5.90937713498497</v>
      </c>
      <c r="AA28" s="11" t="n">
        <v>0.446802773497689</v>
      </c>
      <c r="AB28" s="11" t="n">
        <v>0.304954434919309</v>
      </c>
      <c r="AC28" s="12" t="n">
        <f aca="false">(AB28-AA28)*100</f>
        <v>-14.184833857838</v>
      </c>
      <c r="AD28" s="11" t="n">
        <v>0.655210459137684</v>
      </c>
      <c r="AE28" s="11" t="n">
        <v>0.556505216681077</v>
      </c>
      <c r="AF28" s="12" t="n">
        <f aca="false">(AE28-AD28)*100</f>
        <v>-9.87052424566068</v>
      </c>
      <c r="AG28" s="11" t="n">
        <v>0.0333755227823024</v>
      </c>
      <c r="AH28" s="11" t="n">
        <v>0.0282908796148461</v>
      </c>
      <c r="AI28" s="12" t="n">
        <f aca="false">(AH28-AG28)*100</f>
        <v>-0.508464316745633</v>
      </c>
      <c r="AJ28" s="14" t="s">
        <v>74</v>
      </c>
      <c r="AK28" s="14" t="s">
        <v>74</v>
      </c>
      <c r="AL28" s="14" t="s">
        <v>134</v>
      </c>
      <c r="AM28" s="20" t="n">
        <v>6.26293198327097</v>
      </c>
      <c r="AN28" s="20" t="n">
        <v>12.3977549065363</v>
      </c>
      <c r="AO28" s="12" t="n">
        <v>6.13482292326535</v>
      </c>
    </row>
    <row r="29" customFormat="false" ht="15" hidden="false" customHeight="false" outlineLevel="0" collapsed="false">
      <c r="A29" s="14" t="s">
        <v>87</v>
      </c>
      <c r="B29" s="14" t="n">
        <v>2</v>
      </c>
      <c r="C29" s="11" t="n">
        <v>0.449256254446482</v>
      </c>
      <c r="D29" s="11" t="n">
        <v>0.339231157120399</v>
      </c>
      <c r="E29" s="12" t="n">
        <f aca="false">(D29-C29)*100</f>
        <v>-11.0025097326084</v>
      </c>
      <c r="F29" s="11" t="n">
        <v>0.0589513807755318</v>
      </c>
      <c r="G29" s="11" t="n">
        <v>0.0247827247649275</v>
      </c>
      <c r="H29" s="12" t="n">
        <f aca="false">(G29-F29)*100</f>
        <v>-3.41686560106043</v>
      </c>
      <c r="I29" s="11" t="n">
        <v>0.0846414421940983</v>
      </c>
      <c r="J29" s="11" t="n">
        <v>0.223400468661941</v>
      </c>
      <c r="K29" s="12" t="n">
        <f aca="false">(J29-I29)*100</f>
        <v>13.8759026467842</v>
      </c>
      <c r="L29" s="11" t="n">
        <v>0.124142522403744</v>
      </c>
      <c r="M29" s="11" t="n">
        <v>0.0944516951917658</v>
      </c>
      <c r="N29" s="12" t="n">
        <f aca="false">(M29-L29)*100</f>
        <v>-2.96908272119781</v>
      </c>
      <c r="O29" s="11" t="n">
        <v>0.159224859833824</v>
      </c>
      <c r="P29" s="11" t="n">
        <v>0.120124284400676</v>
      </c>
      <c r="Q29" s="12" t="n">
        <f aca="false">(P29-O29)*100</f>
        <v>-3.91005754331477</v>
      </c>
      <c r="R29" s="11" t="n">
        <v>0.0142483242064865</v>
      </c>
      <c r="S29" s="11" t="n">
        <v>0.00843888114377243</v>
      </c>
      <c r="T29" s="12" t="n">
        <f aca="false">(S29-R29)*100</f>
        <v>-0.580944306271405</v>
      </c>
      <c r="U29" s="11" t="n">
        <v>0.0296127562642369</v>
      </c>
      <c r="V29" s="11" t="n">
        <v>0.0710705069261116</v>
      </c>
      <c r="W29" s="12" t="n">
        <f aca="false">(V29-U29)*100</f>
        <v>4.14577506618747</v>
      </c>
      <c r="X29" s="11" t="n">
        <v>0.533355960081195</v>
      </c>
      <c r="Y29" s="11" t="n">
        <v>0.587414350547267</v>
      </c>
      <c r="Z29" s="12" t="n">
        <f aca="false">(Y29-X29)*100</f>
        <v>5.40583904660714</v>
      </c>
      <c r="AA29" s="11" t="n">
        <v>0.297615706444054</v>
      </c>
      <c r="AB29" s="11" t="n">
        <v>0.223014860736215</v>
      </c>
      <c r="AC29" s="12" t="n">
        <f aca="false">(AB29-AA29)*100</f>
        <v>-7.46008457078398</v>
      </c>
      <c r="AD29" s="11" t="n">
        <v>0.604683195592286</v>
      </c>
      <c r="AE29" s="11" t="n">
        <v>0.511384148653773</v>
      </c>
      <c r="AF29" s="12" t="n">
        <f aca="false">(AE29-AD29)*100</f>
        <v>-9.32990469385132</v>
      </c>
      <c r="AG29" s="11" t="n">
        <v>0.0363224572648178</v>
      </c>
      <c r="AH29" s="11" t="n">
        <v>0.0282606116334945</v>
      </c>
      <c r="AI29" s="12" t="n">
        <f aca="false">(AH29-AG29)*100</f>
        <v>-0.80618456313233</v>
      </c>
      <c r="AJ29" s="14" t="s">
        <v>74</v>
      </c>
      <c r="AK29" s="14" t="s">
        <v>74</v>
      </c>
      <c r="AL29" s="14" t="s">
        <v>134</v>
      </c>
      <c r="AM29" s="20" t="n">
        <v>27.1599297700557</v>
      </c>
      <c r="AN29" s="20" t="n">
        <v>36.4399489811052</v>
      </c>
      <c r="AO29" s="12" t="n">
        <v>9.28001921104954</v>
      </c>
    </row>
    <row r="30" customFormat="false" ht="15" hidden="false" customHeight="false" outlineLevel="0" collapsed="false">
      <c r="A30" s="14" t="s">
        <v>88</v>
      </c>
      <c r="B30" s="14" t="n">
        <v>1</v>
      </c>
      <c r="C30" s="11" t="n">
        <v>0.425427014740783</v>
      </c>
      <c r="D30" s="11" t="n">
        <v>0.352863317263393</v>
      </c>
      <c r="E30" s="12" t="n">
        <f aca="false">(D30-C30)*100</f>
        <v>-7.25636974773902</v>
      </c>
      <c r="F30" s="11" t="n">
        <v>0.0645173869929026</v>
      </c>
      <c r="G30" s="11" t="n">
        <v>0.0486374489011521</v>
      </c>
      <c r="H30" s="12" t="n">
        <f aca="false">(G30-F30)*100</f>
        <v>-1.58799380917505</v>
      </c>
      <c r="I30" s="11" t="n">
        <v>0.194148254615548</v>
      </c>
      <c r="J30" s="11" t="n">
        <v>0.305142211339235</v>
      </c>
      <c r="K30" s="12" t="n">
        <f aca="false">(J30-I30)*100</f>
        <v>11.0993956723688</v>
      </c>
      <c r="L30" s="11" t="n">
        <v>0.0233702131452574</v>
      </c>
      <c r="M30" s="11" t="n">
        <v>0.0129713439187917</v>
      </c>
      <c r="N30" s="12" t="n">
        <f aca="false">(M30-L30)*100</f>
        <v>-1.03988692264658</v>
      </c>
      <c r="O30" s="11" t="n">
        <v>0.0829962897349333</v>
      </c>
      <c r="P30" s="11" t="n">
        <v>0.0465502232313308</v>
      </c>
      <c r="Q30" s="12" t="n">
        <f aca="false">(P30-O30)*100</f>
        <v>-3.64460665036025</v>
      </c>
      <c r="R30" s="11" t="n">
        <v>0.0187908769818721</v>
      </c>
      <c r="S30" s="11" t="n">
        <v>0.0145953073057989</v>
      </c>
      <c r="T30" s="12" t="n">
        <f aca="false">(S30-R30)*100</f>
        <v>-0.419556967607315</v>
      </c>
      <c r="U30" s="11" t="n">
        <v>0.0320052144265802</v>
      </c>
      <c r="V30" s="11" t="n">
        <v>0.0214526072503093</v>
      </c>
      <c r="W30" s="12" t="n">
        <f aca="false">(V30-U30)*100</f>
        <v>-1.0552607176271</v>
      </c>
      <c r="X30" s="11" t="n">
        <v>0.516495637931611</v>
      </c>
      <c r="Y30" s="11" t="n">
        <v>0.70664297750378</v>
      </c>
      <c r="Z30" s="12" t="n">
        <f aca="false">(Y30-X30)*100</f>
        <v>19.0147339572169</v>
      </c>
      <c r="AA30" s="11" t="n">
        <v>0.125157379862063</v>
      </c>
      <c r="AB30" s="11" t="n">
        <v>0.0741168744559214</v>
      </c>
      <c r="AC30" s="12" t="n">
        <f aca="false">(AB30-AA30)*100</f>
        <v>-5.10405054061414</v>
      </c>
      <c r="AD30" s="11" t="n">
        <v>0.751287009366917</v>
      </c>
      <c r="AE30" s="11" t="n">
        <v>0.741572821618275</v>
      </c>
      <c r="AF30" s="12" t="n">
        <f aca="false">(AE30-AD30)*100</f>
        <v>-0.971418774864197</v>
      </c>
      <c r="AG30" s="11" t="n">
        <v>0.103469599224521</v>
      </c>
      <c r="AH30" s="11" t="n">
        <v>0.0695249779823146</v>
      </c>
      <c r="AI30" s="12" t="n">
        <f aca="false">(AH30-AG30)*100</f>
        <v>-3.39446212422066</v>
      </c>
      <c r="AJ30" s="14" t="s">
        <v>74</v>
      </c>
      <c r="AK30" s="14" t="s">
        <v>74</v>
      </c>
      <c r="AL30" s="14" t="s">
        <v>134</v>
      </c>
      <c r="AM30" s="20" t="n">
        <v>21.0872302258471</v>
      </c>
      <c r="AN30" s="20" t="n">
        <v>63.2526103047859</v>
      </c>
      <c r="AO30" s="12" t="n">
        <v>42.1653800789388</v>
      </c>
    </row>
    <row r="31" customFormat="false" ht="15" hidden="false" customHeight="false" outlineLevel="0" collapsed="false">
      <c r="A31" s="14" t="s">
        <v>88</v>
      </c>
      <c r="B31" s="14" t="n">
        <v>2</v>
      </c>
      <c r="C31" s="11" t="n">
        <v>0.276956930004186</v>
      </c>
      <c r="D31" s="11" t="n">
        <v>0.22331724219477</v>
      </c>
      <c r="E31" s="12" t="n">
        <f aca="false">(D31-C31)*100</f>
        <v>-5.36396878094163</v>
      </c>
      <c r="F31" s="11" t="n">
        <v>0.0491905284474664</v>
      </c>
      <c r="G31" s="11" t="n">
        <v>0.0155719037410612</v>
      </c>
      <c r="H31" s="12" t="n">
        <f aca="false">(G31-F31)*100</f>
        <v>-3.36186247064052</v>
      </c>
      <c r="I31" s="11" t="n">
        <v>0.200993313798916</v>
      </c>
      <c r="J31" s="11" t="n">
        <v>0.225733483448747</v>
      </c>
      <c r="K31" s="12" t="n">
        <f aca="false">(J31-I31)*100</f>
        <v>2.47401696498312</v>
      </c>
      <c r="L31" s="11" t="n">
        <v>0.0330633209263387</v>
      </c>
      <c r="M31" s="11" t="n">
        <v>0.0329534179531866</v>
      </c>
      <c r="N31" s="12" t="n">
        <f aca="false">(M31-L31)*100</f>
        <v>-0.010990297315204</v>
      </c>
      <c r="O31" s="11" t="n">
        <v>0.22404995983754</v>
      </c>
      <c r="P31" s="11" t="n">
        <v>0.231393657109661</v>
      </c>
      <c r="Q31" s="12" t="n">
        <f aca="false">(P31-O31)*100</f>
        <v>0.734369727212139</v>
      </c>
      <c r="R31" s="11" t="n">
        <v>0.0571098867531762</v>
      </c>
      <c r="S31" s="11" t="n">
        <v>0.0652745004292684</v>
      </c>
      <c r="T31" s="12" t="n">
        <f aca="false">(S31-R31)*100</f>
        <v>0.816461367609217</v>
      </c>
      <c r="U31" s="11" t="n">
        <v>0.0248385016574086</v>
      </c>
      <c r="V31" s="11" t="n">
        <v>0.0138908167409532</v>
      </c>
      <c r="W31" s="12" t="n">
        <f aca="false">(V31-U31)*100</f>
        <v>-1.09476849164553</v>
      </c>
      <c r="X31" s="11" t="n">
        <v>0.343241959022977</v>
      </c>
      <c r="Y31" s="11" t="n">
        <v>0.464622629384578</v>
      </c>
      <c r="Z31" s="12" t="n">
        <f aca="false">(Y31-X31)*100</f>
        <v>12.1380670361601</v>
      </c>
      <c r="AA31" s="11" t="n">
        <v>0.314223167517055</v>
      </c>
      <c r="AB31" s="11" t="n">
        <v>0.329621575492116</v>
      </c>
      <c r="AC31" s="12" t="n">
        <f aca="false">(AB31-AA31)*100</f>
        <v>1.53984079750614</v>
      </c>
      <c r="AD31" s="11" t="n">
        <v>0.774032251708693</v>
      </c>
      <c r="AE31" s="11" t="n">
        <v>0.714091146043657</v>
      </c>
      <c r="AF31" s="12" t="n">
        <f aca="false">(AE31-AD31)*100</f>
        <v>-5.99411056650357</v>
      </c>
      <c r="AG31" s="11" t="n">
        <v>0.0953094772092181</v>
      </c>
      <c r="AH31" s="11" t="n">
        <v>0.0803785787360488</v>
      </c>
      <c r="AI31" s="12" t="n">
        <f aca="false">(AH31-AG31)*100</f>
        <v>-1.49308984731694</v>
      </c>
      <c r="AJ31" s="14" t="s">
        <v>153</v>
      </c>
      <c r="AK31" s="14" t="s">
        <v>74</v>
      </c>
      <c r="AL31" s="14" t="s">
        <v>155</v>
      </c>
      <c r="AM31" s="20" t="n">
        <v>10.2979941396749</v>
      </c>
      <c r="AN31" s="20" t="n">
        <v>13.5001053892462</v>
      </c>
      <c r="AO31" s="12" t="n">
        <v>3.20211124957133</v>
      </c>
    </row>
    <row r="32" customFormat="false" ht="15" hidden="false" customHeight="false" outlineLevel="0" collapsed="false">
      <c r="A32" s="14" t="s">
        <v>88</v>
      </c>
      <c r="B32" s="14" t="n">
        <v>3</v>
      </c>
      <c r="C32" s="11" t="n">
        <v>0.387648158904215</v>
      </c>
      <c r="D32" s="11" t="n">
        <v>0.407185924952869</v>
      </c>
      <c r="E32" s="12" t="n">
        <f aca="false">(D32-C32)*100</f>
        <v>1.95377660486543</v>
      </c>
      <c r="F32" s="11" t="n">
        <v>0.0448003165829467</v>
      </c>
      <c r="G32" s="11" t="n">
        <v>0.116357680321426</v>
      </c>
      <c r="H32" s="12" t="n">
        <f aca="false">(G32-F32)*100</f>
        <v>7.15573637384798</v>
      </c>
      <c r="I32" s="11" t="n">
        <v>0.245543265272255</v>
      </c>
      <c r="J32" s="11" t="n">
        <v>0.331512210136364</v>
      </c>
      <c r="K32" s="12" t="n">
        <f aca="false">(J32-I32)*100</f>
        <v>8.59689448641094</v>
      </c>
      <c r="L32" s="11" t="n">
        <v>0.0188673223848398</v>
      </c>
      <c r="M32" s="11" t="n">
        <v>0.00472685900219304</v>
      </c>
      <c r="N32" s="12" t="n">
        <f aca="false">(M32-L32)*100</f>
        <v>-1.41404633826467</v>
      </c>
      <c r="O32" s="11" t="n">
        <v>0.104708533059302</v>
      </c>
      <c r="P32" s="11" t="n">
        <v>0.0181984071584432</v>
      </c>
      <c r="Q32" s="12" t="n">
        <f aca="false">(P32-O32)*100</f>
        <v>-8.65101259008587</v>
      </c>
      <c r="R32" s="11" t="n">
        <v>0.012414391758631</v>
      </c>
      <c r="S32" s="11" t="n">
        <v>0.00545787324322987</v>
      </c>
      <c r="T32" s="12" t="n">
        <f aca="false">(S32-R32)*100</f>
        <v>-0.695651851540116</v>
      </c>
      <c r="U32" s="11" t="n">
        <v>0.0358453594429161</v>
      </c>
      <c r="V32" s="11" t="n">
        <v>0.0160548315644254</v>
      </c>
      <c r="W32" s="12" t="n">
        <f aca="false">(V32-U32)*100</f>
        <v>-1.97905278784907</v>
      </c>
      <c r="X32" s="11" t="n">
        <v>0.449062697465422</v>
      </c>
      <c r="Y32" s="11" t="n">
        <v>0.85505581541066</v>
      </c>
      <c r="Z32" s="12" t="n">
        <f aca="false">(Y32-X32)*100</f>
        <v>40.5993117945238</v>
      </c>
      <c r="AA32" s="11" t="n">
        <v>0.135990247202773</v>
      </c>
      <c r="AB32" s="11" t="n">
        <v>0.0283831394038661</v>
      </c>
      <c r="AC32" s="12" t="n">
        <f aca="false">(AB32-AA32)*100</f>
        <v>-10.7607107798906</v>
      </c>
      <c r="AD32" s="11" t="n">
        <v>0.665886053084557</v>
      </c>
      <c r="AE32" s="11" t="n">
        <v>0.70011005418052</v>
      </c>
      <c r="AF32" s="12" t="n">
        <f aca="false">(AE32-AD32)*100</f>
        <v>3.42240010959626</v>
      </c>
      <c r="AG32" s="11" t="n">
        <v>0.0785649090781437</v>
      </c>
      <c r="AH32" s="11" t="n">
        <v>0.0451634888616514</v>
      </c>
      <c r="AI32" s="12" t="n">
        <f aca="false">(AH32-AG32)*100</f>
        <v>-3.34014202164922</v>
      </c>
      <c r="AJ32" s="14" t="s">
        <v>74</v>
      </c>
      <c r="AK32" s="14" t="s">
        <v>74</v>
      </c>
      <c r="AL32" s="14" t="s">
        <v>134</v>
      </c>
      <c r="AM32" s="20" t="n">
        <v>4.4257785323572</v>
      </c>
      <c r="AN32" s="20" t="n">
        <v>82.6672676006794</v>
      </c>
      <c r="AO32" s="12" t="n">
        <v>78.2414890683222</v>
      </c>
    </row>
    <row r="33" customFormat="false" ht="15" hidden="false" customHeight="false" outlineLevel="0" collapsed="false">
      <c r="A33" s="14" t="s">
        <v>88</v>
      </c>
      <c r="B33" s="14" t="n">
        <v>4</v>
      </c>
      <c r="C33" s="11" t="n">
        <v>0.444381844987363</v>
      </c>
      <c r="D33" s="11" t="n">
        <v>0.368723539156935</v>
      </c>
      <c r="E33" s="12" t="n">
        <f aca="false">(D33-C33)*100</f>
        <v>-7.56583058304286</v>
      </c>
      <c r="F33" s="11" t="n">
        <v>0.0405433866891323</v>
      </c>
      <c r="G33" s="11" t="n">
        <v>0.0576923076923077</v>
      </c>
      <c r="H33" s="12" t="n">
        <f aca="false">(G33-F33)*100</f>
        <v>1.71489210031754</v>
      </c>
      <c r="I33" s="11" t="n">
        <v>0.155017902274642</v>
      </c>
      <c r="J33" s="11" t="n">
        <v>0.192399730022703</v>
      </c>
      <c r="K33" s="12" t="n">
        <f aca="false">(J33-I33)*100</f>
        <v>3.73818277480606</v>
      </c>
      <c r="L33" s="11" t="n">
        <v>0.0534330244313395</v>
      </c>
      <c r="M33" s="11" t="n">
        <v>0.0520524410447303</v>
      </c>
      <c r="N33" s="12" t="n">
        <f aca="false">(M33-L33)*100</f>
        <v>-0.138058338660918</v>
      </c>
      <c r="O33" s="11" t="n">
        <v>0.121530117944398</v>
      </c>
      <c r="P33" s="11" t="n">
        <v>0.103711165197472</v>
      </c>
      <c r="Q33" s="12" t="n">
        <f aca="false">(P33-O33)*100</f>
        <v>-1.78189527469256</v>
      </c>
      <c r="R33" s="11" t="n">
        <v>0.0206297388374052</v>
      </c>
      <c r="S33" s="11" t="n">
        <v>0.036191274824617</v>
      </c>
      <c r="T33" s="12" t="n">
        <f aca="false">(S33-R33)*100</f>
        <v>1.55615359872118</v>
      </c>
      <c r="U33" s="11" t="n">
        <v>0.0324189132266217</v>
      </c>
      <c r="V33" s="11" t="n">
        <v>0.0275959748839302</v>
      </c>
      <c r="W33" s="12" t="n">
        <f aca="false">(V33-U33)*100</f>
        <v>-0.482293834269152</v>
      </c>
      <c r="X33" s="11" t="n">
        <v>0.506292122999158</v>
      </c>
      <c r="Y33" s="11" t="n">
        <v>0.618815576871945</v>
      </c>
      <c r="Z33" s="12" t="n">
        <f aca="false">(Y33-X33)*100</f>
        <v>11.2523453872787</v>
      </c>
      <c r="AA33" s="11" t="n">
        <v>0.195592881213142</v>
      </c>
      <c r="AB33" s="11" t="n">
        <v>0.191954881066819</v>
      </c>
      <c r="AC33" s="12" t="n">
        <f aca="false">(AB33-AA33)*100</f>
        <v>-0.363800014632298</v>
      </c>
      <c r="AD33" s="11" t="n">
        <v>0.765029083350789</v>
      </c>
      <c r="AE33" s="11" t="n">
        <v>0.700902056775461</v>
      </c>
      <c r="AF33" s="12" t="n">
        <f aca="false">(AE33-AD33)*100</f>
        <v>-6.41270265753281</v>
      </c>
      <c r="AG33" s="11" t="n">
        <v>0.0851674389216512</v>
      </c>
      <c r="AH33" s="11" t="n">
        <v>0.0607448919068169</v>
      </c>
      <c r="AI33" s="12" t="n">
        <f aca="false">(AH33-AG33)*100</f>
        <v>-2.44225470148343</v>
      </c>
      <c r="AJ33" s="14" t="s">
        <v>74</v>
      </c>
      <c r="AK33" s="14" t="s">
        <v>74</v>
      </c>
      <c r="AL33" s="14" t="s">
        <v>134</v>
      </c>
      <c r="AM33" s="20" t="n">
        <v>20.4607203032856</v>
      </c>
      <c r="AN33" s="20" t="n">
        <v>42.6860695805125</v>
      </c>
      <c r="AO33" s="12" t="n">
        <v>22.225349277227</v>
      </c>
    </row>
    <row r="34" customFormat="false" ht="15" hidden="false" customHeight="false" outlineLevel="0" collapsed="false">
      <c r="A34" s="14" t="s">
        <v>88</v>
      </c>
      <c r="B34" s="14" t="n">
        <v>5</v>
      </c>
      <c r="C34" s="11" t="n">
        <v>0.449577042617608</v>
      </c>
      <c r="D34" s="11" t="n">
        <v>0.238040391379709</v>
      </c>
      <c r="E34" s="12" t="n">
        <f aca="false">(D34-C34)*100</f>
        <v>-21.1536651237899</v>
      </c>
      <c r="F34" s="11" t="n">
        <v>0.045665315482956</v>
      </c>
      <c r="G34" s="11" t="n">
        <v>0.0320296752993784</v>
      </c>
      <c r="H34" s="12" t="n">
        <f aca="false">(G34-F34)*100</f>
        <v>-1.36356401835776</v>
      </c>
      <c r="I34" s="11" t="n">
        <v>0.0896911053219204</v>
      </c>
      <c r="J34" s="11" t="n">
        <v>0.101605153655493</v>
      </c>
      <c r="K34" s="12" t="n">
        <f aca="false">(J34-I34)*100</f>
        <v>1.19140483335729</v>
      </c>
      <c r="L34" s="11" t="n">
        <v>0.0334543698890554</v>
      </c>
      <c r="M34" s="11" t="n">
        <v>0.021590248253979</v>
      </c>
      <c r="N34" s="12" t="n">
        <f aca="false">(M34-L34)*100</f>
        <v>-1.18641216350764</v>
      </c>
      <c r="O34" s="11" t="n">
        <v>0.218564861847333</v>
      </c>
      <c r="P34" s="11" t="n">
        <v>0.366266366300242</v>
      </c>
      <c r="Q34" s="12" t="n">
        <f aca="false">(P34-O34)*100</f>
        <v>14.7701504452909</v>
      </c>
      <c r="R34" s="11" t="n">
        <v>0.0312918053893119</v>
      </c>
      <c r="S34" s="11" t="n">
        <v>0.0193939599247955</v>
      </c>
      <c r="T34" s="12" t="n">
        <f aca="false">(S34-R34)*100</f>
        <v>-1.18978454645164</v>
      </c>
      <c r="U34" s="11" t="n">
        <v>0.0211629567788853</v>
      </c>
      <c r="V34" s="11" t="n">
        <v>0.0331475804129474</v>
      </c>
      <c r="W34" s="12" t="n">
        <f aca="false">(V34-U34)*100</f>
        <v>1.1984623634062</v>
      </c>
      <c r="X34" s="11" t="n">
        <v>0.51913115199308</v>
      </c>
      <c r="Y34" s="11" t="n">
        <v>0.371675220334581</v>
      </c>
      <c r="Z34" s="12" t="n">
        <f aca="false">(Y34-X34)*100</f>
        <v>-14.7455931658499</v>
      </c>
      <c r="AA34" s="11" t="n">
        <v>0.2833110371257</v>
      </c>
      <c r="AB34" s="11" t="n">
        <v>0.407250574479017</v>
      </c>
      <c r="AC34" s="12" t="n">
        <f aca="false">(AB34-AA34)*100</f>
        <v>12.3939537353316</v>
      </c>
      <c r="AD34" s="11" t="n">
        <v>0.718895975241153</v>
      </c>
      <c r="AE34" s="11" t="n">
        <v>0.596482070210416</v>
      </c>
      <c r="AF34" s="12" t="n">
        <f aca="false">(AE34-AD34)*100</f>
        <v>-12.2413905030737</v>
      </c>
      <c r="AG34" s="11" t="n">
        <v>0.0703235799997988</v>
      </c>
      <c r="AH34" s="11" t="n">
        <v>0.0771354528362608</v>
      </c>
      <c r="AI34" s="12" t="n">
        <f aca="false">(AH34-AG34)*100</f>
        <v>0.681187283646194</v>
      </c>
      <c r="AJ34" s="14" t="s">
        <v>74</v>
      </c>
      <c r="AK34" s="14" t="s">
        <v>132</v>
      </c>
      <c r="AL34" s="14" t="s">
        <v>133</v>
      </c>
      <c r="AM34" s="20" t="n">
        <v>19.5083434755932</v>
      </c>
      <c r="AN34" s="20" t="n">
        <v>3.55753541444356</v>
      </c>
      <c r="AO34" s="12" t="n">
        <v>-15.9508080611496</v>
      </c>
    </row>
    <row r="35" customFormat="false" ht="15" hidden="false" customHeight="false" outlineLevel="0" collapsed="false">
      <c r="A35" s="14" t="s">
        <v>88</v>
      </c>
      <c r="B35" s="14" t="n">
        <v>6</v>
      </c>
      <c r="C35" s="11" t="n">
        <v>0.523432385471478</v>
      </c>
      <c r="D35" s="11" t="n">
        <v>0.370509254336134</v>
      </c>
      <c r="E35" s="12" t="n">
        <f aca="false">(D35-C35)*100</f>
        <v>-15.2923131135344</v>
      </c>
      <c r="F35" s="11" t="n">
        <v>0.0528502306075537</v>
      </c>
      <c r="G35" s="11" t="n">
        <v>0.0395303151567389</v>
      </c>
      <c r="H35" s="12" t="n">
        <f aca="false">(G35-F35)*100</f>
        <v>-1.33199154508148</v>
      </c>
      <c r="I35" s="11" t="n">
        <v>0.0918935415118208</v>
      </c>
      <c r="J35" s="11" t="n">
        <v>0.218231070167289</v>
      </c>
      <c r="K35" s="12" t="n">
        <f aca="false">(J35-I35)*100</f>
        <v>12.6337528655468</v>
      </c>
      <c r="L35" s="11" t="n">
        <v>0.0496655329077225</v>
      </c>
      <c r="M35" s="11" t="n">
        <v>0.0590296239498973</v>
      </c>
      <c r="N35" s="12" t="n">
        <f aca="false">(M35-L35)*100</f>
        <v>0.936409104217478</v>
      </c>
      <c r="O35" s="11" t="n">
        <v>0.0778454314108654</v>
      </c>
      <c r="P35" s="11" t="n">
        <v>0.0766260151225983</v>
      </c>
      <c r="Q35" s="12" t="n">
        <f aca="false">(P35-O35)*100</f>
        <v>-0.121941628826711</v>
      </c>
      <c r="R35" s="11" t="n">
        <v>0.0424052097125897</v>
      </c>
      <c r="S35" s="11" t="n">
        <v>0.0359707398431772</v>
      </c>
      <c r="T35" s="12" t="n">
        <f aca="false">(S35-R35)*100</f>
        <v>-0.643446986941245</v>
      </c>
      <c r="U35" s="11" t="n">
        <v>0.0458901648462534</v>
      </c>
      <c r="V35" s="11" t="n">
        <v>0.0557554862794043</v>
      </c>
      <c r="W35" s="12" t="n">
        <f aca="false">(V35-U35)*100</f>
        <v>0.986532143315084</v>
      </c>
      <c r="X35" s="11" t="n">
        <v>0.606337892980375</v>
      </c>
      <c r="Y35" s="11" t="n">
        <v>0.628270639660161</v>
      </c>
      <c r="Z35" s="12" t="n">
        <f aca="false">(Y35-X35)*100</f>
        <v>2.19327466797863</v>
      </c>
      <c r="AA35" s="11" t="n">
        <v>0.169916174031178</v>
      </c>
      <c r="AB35" s="11" t="n">
        <v>0.171626378915673</v>
      </c>
      <c r="AC35" s="12" t="n">
        <f aca="false">(AB35-AA35)*100</f>
        <v>0.171020488449522</v>
      </c>
      <c r="AD35" s="11" t="n">
        <v>0.657953713719419</v>
      </c>
      <c r="AE35" s="11" t="n">
        <v>0.545734715133522</v>
      </c>
      <c r="AF35" s="12" t="n">
        <f aca="false">(AE35-AD35)*100</f>
        <v>-11.2218998585897</v>
      </c>
      <c r="AG35" s="11" t="n">
        <v>0.0702503950108044</v>
      </c>
      <c r="AH35" s="11" t="n">
        <v>0.058251666452122</v>
      </c>
      <c r="AI35" s="12" t="n">
        <f aca="false">(AH35-AG35)*100</f>
        <v>-1.19987285586823</v>
      </c>
      <c r="AJ35" s="14" t="s">
        <v>74</v>
      </c>
      <c r="AK35" s="14" t="s">
        <v>74</v>
      </c>
      <c r="AL35" s="14" t="s">
        <v>134</v>
      </c>
      <c r="AM35" s="20" t="n">
        <v>42.1842005522768</v>
      </c>
      <c r="AN35" s="20" t="n">
        <v>45.6644260744489</v>
      </c>
      <c r="AO35" s="12" t="n">
        <v>3.48022552217206</v>
      </c>
    </row>
    <row r="36" customFormat="false" ht="15" hidden="false" customHeight="false" outlineLevel="0" collapsed="false">
      <c r="A36" s="14" t="s">
        <v>88</v>
      </c>
      <c r="B36" s="14" t="n">
        <v>7</v>
      </c>
      <c r="C36" s="11" t="n">
        <v>0.456649597336523</v>
      </c>
      <c r="D36" s="11" t="n">
        <v>0.40241433341745</v>
      </c>
      <c r="E36" s="12" t="n">
        <f aca="false">(D36-C36)*100</f>
        <v>-5.42352639190734</v>
      </c>
      <c r="F36" s="11" t="n">
        <v>0.0449241250819934</v>
      </c>
      <c r="G36" s="11" t="n">
        <v>0.0762211045839471</v>
      </c>
      <c r="H36" s="12" t="n">
        <f aca="false">(G36-F36)*100</f>
        <v>3.12969795019537</v>
      </c>
      <c r="I36" s="11" t="n">
        <v>0.161467778653599</v>
      </c>
      <c r="J36" s="11" t="n">
        <v>0.171256873573202</v>
      </c>
      <c r="K36" s="12" t="n">
        <f aca="false">(J36-I36)*100</f>
        <v>0.97890949196025</v>
      </c>
      <c r="L36" s="11" t="n">
        <v>0.0445658345138548</v>
      </c>
      <c r="M36" s="11" t="n">
        <v>0.0411270019190254</v>
      </c>
      <c r="N36" s="12" t="n">
        <f aca="false">(M36-L36)*100</f>
        <v>-0.343883259482947</v>
      </c>
      <c r="O36" s="11" t="n">
        <v>0.121658940452108</v>
      </c>
      <c r="P36" s="11" t="n">
        <v>0.0769840198592715</v>
      </c>
      <c r="Q36" s="12" t="n">
        <f aca="false">(P36-O36)*100</f>
        <v>-4.46749205928361</v>
      </c>
      <c r="R36" s="11" t="n">
        <v>0.0160073201519152</v>
      </c>
      <c r="S36" s="11" t="n">
        <v>0.00985921278880745</v>
      </c>
      <c r="T36" s="12" t="n">
        <f aca="false">(S36-R36)*100</f>
        <v>-0.614810736310776</v>
      </c>
      <c r="U36" s="11" t="n">
        <v>0.0223132341511545</v>
      </c>
      <c r="V36" s="11" t="n">
        <v>0.0218076397161955</v>
      </c>
      <c r="W36" s="12" t="n">
        <f aca="false">(V36-U36)*100</f>
        <v>-0.0505594434959001</v>
      </c>
      <c r="X36" s="11" t="n">
        <v>0.525237436403424</v>
      </c>
      <c r="Y36" s="11" t="n">
        <v>0.649892311574599</v>
      </c>
      <c r="Z36" s="12" t="n">
        <f aca="false">(Y36-X36)*100</f>
        <v>12.4654875171174</v>
      </c>
      <c r="AA36" s="11" t="n">
        <v>0.182232095117878</v>
      </c>
      <c r="AB36" s="11" t="n">
        <v>0.127970234567104</v>
      </c>
      <c r="AC36" s="12" t="n">
        <f aca="false">(AB36-AA36)*100</f>
        <v>-5.42618605507733</v>
      </c>
      <c r="AD36" s="11" t="n">
        <v>0.655818123321295</v>
      </c>
      <c r="AE36" s="11" t="n">
        <v>0.583972199470172</v>
      </c>
      <c r="AF36" s="12" t="n">
        <f aca="false">(AE36-AD36)*100</f>
        <v>-7.18459238511231</v>
      </c>
      <c r="AG36" s="11" t="n">
        <v>0.0660798050899309</v>
      </c>
      <c r="AH36" s="11" t="n">
        <v>0.0416199625584657</v>
      </c>
      <c r="AI36" s="12" t="n">
        <f aca="false">(AH36-AG36)*100</f>
        <v>-2.44598425314652</v>
      </c>
      <c r="AJ36" s="14" t="s">
        <v>74</v>
      </c>
      <c r="AK36" s="14" t="s">
        <v>74</v>
      </c>
      <c r="AL36" s="14" t="s">
        <v>134</v>
      </c>
      <c r="AM36" s="20" t="n">
        <v>19.960091942872</v>
      </c>
      <c r="AN36" s="20" t="n">
        <v>52.1922077007494</v>
      </c>
      <c r="AO36" s="12" t="n">
        <v>32.2321157578775</v>
      </c>
    </row>
    <row r="37" customFormat="false" ht="15" hidden="false" customHeight="false" outlineLevel="0" collapsed="false">
      <c r="A37" s="14" t="s">
        <v>88</v>
      </c>
      <c r="B37" s="14" t="n">
        <v>8</v>
      </c>
      <c r="C37" s="11" t="n">
        <v>0.38668828473338</v>
      </c>
      <c r="D37" s="11" t="n">
        <v>0.382953388654101</v>
      </c>
      <c r="E37" s="12" t="n">
        <f aca="false">(D37-C37)*100</f>
        <v>-0.373489607927868</v>
      </c>
      <c r="F37" s="11" t="n">
        <v>0.0534705299193718</v>
      </c>
      <c r="G37" s="11" t="n">
        <v>0.0957337199617485</v>
      </c>
      <c r="H37" s="12" t="n">
        <f aca="false">(G37-F37)*100</f>
        <v>4.22631900423767</v>
      </c>
      <c r="I37" s="11" t="n">
        <v>0.167942100045418</v>
      </c>
      <c r="J37" s="11" t="n">
        <v>0.164814757688867</v>
      </c>
      <c r="K37" s="12" t="n">
        <f aca="false">(J37-I37)*100</f>
        <v>-0.31273423565506</v>
      </c>
      <c r="L37" s="11" t="n">
        <v>0.0228650124287605</v>
      </c>
      <c r="M37" s="11" t="n">
        <v>0.0212666193663818</v>
      </c>
      <c r="N37" s="12" t="n">
        <f aca="false">(M37-L37)*100</f>
        <v>-0.159839306237865</v>
      </c>
      <c r="O37" s="11" t="n">
        <v>0.161085526476434</v>
      </c>
      <c r="P37" s="11" t="n">
        <v>0.143677699972237</v>
      </c>
      <c r="Q37" s="12" t="n">
        <f aca="false">(P37-O37)*100</f>
        <v>-1.74078265041974</v>
      </c>
      <c r="R37" s="11" t="n">
        <v>0.0230505892062686</v>
      </c>
      <c r="S37" s="11" t="n">
        <v>0.0123330351358855</v>
      </c>
      <c r="T37" s="12" t="n">
        <f aca="false">(S37-R37)*100</f>
        <v>-1.07175540703831</v>
      </c>
      <c r="U37" s="11" t="n">
        <v>0.0294481044308897</v>
      </c>
      <c r="V37" s="11" t="n">
        <v>0.0316315513465157</v>
      </c>
      <c r="W37" s="12" t="n">
        <f aca="false">(V37-U37)*100</f>
        <v>0.218344691562598</v>
      </c>
      <c r="X37" s="11" t="n">
        <v>0.462364541161418</v>
      </c>
      <c r="Y37" s="11" t="n">
        <v>0.643501866304717</v>
      </c>
      <c r="Z37" s="12" t="n">
        <f aca="false">(Y37-X37)*100</f>
        <v>18.1137325143299</v>
      </c>
      <c r="AA37" s="11" t="n">
        <v>0.207001128111463</v>
      </c>
      <c r="AB37" s="11" t="n">
        <v>0.177277354474504</v>
      </c>
      <c r="AC37" s="12" t="n">
        <f aca="false">(AB37-AA37)*100</f>
        <v>-2.97237736369592</v>
      </c>
      <c r="AD37" s="11" t="n">
        <v>0.683057575555407</v>
      </c>
      <c r="AE37" s="11" t="n">
        <v>0.596989362955979</v>
      </c>
      <c r="AF37" s="12" t="n">
        <f aca="false">(AE37-AD37)*100</f>
        <v>-8.60682125994287</v>
      </c>
      <c r="AG37" s="11" t="n">
        <v>0.0977452421532767</v>
      </c>
      <c r="AH37" s="11" t="n">
        <v>0.0616219884628436</v>
      </c>
      <c r="AI37" s="12" t="n">
        <f aca="false">(AH37-AG37)*100</f>
        <v>-3.61232536904331</v>
      </c>
      <c r="AJ37" s="14" t="s">
        <v>74</v>
      </c>
      <c r="AK37" s="14" t="s">
        <v>74</v>
      </c>
      <c r="AL37" s="14" t="s">
        <v>134</v>
      </c>
      <c r="AM37" s="20" t="n">
        <v>9.84045280733712</v>
      </c>
      <c r="AN37" s="20" t="n">
        <v>46.6224511830213</v>
      </c>
      <c r="AO37" s="12" t="n">
        <v>36.7819983756841</v>
      </c>
    </row>
    <row r="38" customFormat="false" ht="15" hidden="false" customHeight="false" outlineLevel="0" collapsed="false">
      <c r="A38" s="14" t="s">
        <v>88</v>
      </c>
      <c r="B38" s="14" t="n">
        <v>9</v>
      </c>
      <c r="C38" s="11" t="n">
        <v>0.634637249178011</v>
      </c>
      <c r="D38" s="11" t="n">
        <v>0.442460678491626</v>
      </c>
      <c r="E38" s="12" t="n">
        <f aca="false">(D38-C38)*100</f>
        <v>-19.2176570686385</v>
      </c>
      <c r="F38" s="11" t="n">
        <v>0.0492271763512891</v>
      </c>
      <c r="G38" s="11" t="n">
        <v>0.0258310103134803</v>
      </c>
      <c r="H38" s="12" t="n">
        <f aca="false">(G38-F38)*100</f>
        <v>-2.33961660378088</v>
      </c>
      <c r="I38" s="11" t="n">
        <v>0.0285980600026631</v>
      </c>
      <c r="J38" s="11" t="n">
        <v>0.0187127437351248</v>
      </c>
      <c r="K38" s="12" t="n">
        <f aca="false">(J38-I38)*100</f>
        <v>-0.988531626753835</v>
      </c>
      <c r="L38" s="11" t="n">
        <v>0.0813231724180315</v>
      </c>
      <c r="M38" s="11" t="n">
        <v>0.0959219174193736</v>
      </c>
      <c r="N38" s="12" t="n">
        <f aca="false">(M38-L38)*100</f>
        <v>1.45987450013421</v>
      </c>
      <c r="O38" s="11" t="n">
        <v>0.054343484005777</v>
      </c>
      <c r="P38" s="11" t="n">
        <v>0.141863122575386</v>
      </c>
      <c r="Q38" s="12" t="n">
        <f aca="false">(P38-O38)*100</f>
        <v>8.7519638569609</v>
      </c>
      <c r="R38" s="11" t="n">
        <v>0.0119022011902201</v>
      </c>
      <c r="S38" s="11" t="n">
        <v>0.0207434148755759</v>
      </c>
      <c r="T38" s="12" t="n">
        <f aca="false">(S38-R38)*100</f>
        <v>0.884121368535578</v>
      </c>
      <c r="U38" s="11" t="n">
        <v>0.0247825953354024</v>
      </c>
      <c r="V38" s="11" t="n">
        <v>0.106351851986637</v>
      </c>
      <c r="W38" s="12" t="n">
        <f aca="false">(V38-U38)*100</f>
        <v>8.15692566512345</v>
      </c>
      <c r="X38" s="11" t="n">
        <v>0.720528736338588</v>
      </c>
      <c r="Y38" s="11" t="n">
        <v>0.487004432540231</v>
      </c>
      <c r="Z38" s="12" t="n">
        <f aca="false">(Y38-X38)*100</f>
        <v>-23.3524303798357</v>
      </c>
      <c r="AA38" s="11" t="n">
        <v>0.147568857614029</v>
      </c>
      <c r="AB38" s="11" t="n">
        <v>0.258528454870335</v>
      </c>
      <c r="AC38" s="12" t="n">
        <f aca="false">(AB38-AA38)*100</f>
        <v>11.0959597256307</v>
      </c>
      <c r="AD38" s="11" t="n">
        <v>0.622743146916711</v>
      </c>
      <c r="AE38" s="11" t="n">
        <v>0.429460490122531</v>
      </c>
      <c r="AF38" s="12" t="n">
        <f aca="false">(AE38-AD38)*100</f>
        <v>-19.328265679418</v>
      </c>
      <c r="AG38" s="11" t="n">
        <v>0.0526636552663655</v>
      </c>
      <c r="AH38" s="11" t="n">
        <v>0.0479427627317258</v>
      </c>
      <c r="AI38" s="12" t="n">
        <f aca="false">(AH38-AG38)*100</f>
        <v>-0.472089253463974</v>
      </c>
      <c r="AJ38" s="14" t="s">
        <v>74</v>
      </c>
      <c r="AK38" s="14" t="s">
        <v>74</v>
      </c>
      <c r="AL38" s="14" t="s">
        <v>134</v>
      </c>
      <c r="AM38" s="20" t="n">
        <v>60.2520767394934</v>
      </c>
      <c r="AN38" s="20" t="n">
        <v>22.8475977669896</v>
      </c>
      <c r="AO38" s="12" t="n">
        <v>-37.4044789725038</v>
      </c>
    </row>
    <row r="39" customFormat="false" ht="15" hidden="false" customHeight="false" outlineLevel="0" collapsed="false">
      <c r="A39" s="14" t="s">
        <v>88</v>
      </c>
      <c r="B39" s="14" t="n">
        <v>10</v>
      </c>
      <c r="C39" s="11" t="n">
        <v>0.36895905918788</v>
      </c>
      <c r="D39" s="11" t="n">
        <v>0.370875085773264</v>
      </c>
      <c r="E39" s="12" t="n">
        <f aca="false">(D39-C39)*100</f>
        <v>0.191602658538381</v>
      </c>
      <c r="F39" s="11" t="n">
        <v>0.0403705912510332</v>
      </c>
      <c r="G39" s="11" t="n">
        <v>0.0416248433397415</v>
      </c>
      <c r="H39" s="12" t="n">
        <f aca="false">(G39-F39)*100</f>
        <v>0.125425208870831</v>
      </c>
      <c r="I39" s="11" t="n">
        <v>0.224159578141185</v>
      </c>
      <c r="J39" s="11" t="n">
        <v>0.273561419327765</v>
      </c>
      <c r="K39" s="12" t="n">
        <f aca="false">(J39-I39)*100</f>
        <v>4.94018411865799</v>
      </c>
      <c r="L39" s="11" t="n">
        <v>0.0191573286460132</v>
      </c>
      <c r="M39" s="11" t="n">
        <v>0.0202396547519806</v>
      </c>
      <c r="N39" s="12" t="n">
        <f aca="false">(M39-L39)*100</f>
        <v>0.108232610596742</v>
      </c>
      <c r="O39" s="11" t="n">
        <v>0.142100086840976</v>
      </c>
      <c r="P39" s="11" t="n">
        <v>0.0740797450336572</v>
      </c>
      <c r="Q39" s="12" t="n">
        <f aca="false">(P39-O39)*100</f>
        <v>-6.80203418073192</v>
      </c>
      <c r="R39" s="11" t="n">
        <v>0.0115665902884585</v>
      </c>
      <c r="S39" s="11" t="n">
        <v>0.0127936848194083</v>
      </c>
      <c r="T39" s="12" t="n">
        <f aca="false">(S39-R39)*100</f>
        <v>0.122709453094977</v>
      </c>
      <c r="U39" s="11" t="n">
        <v>0.0208209087960493</v>
      </c>
      <c r="V39" s="11" t="n">
        <v>0.0260864140821268</v>
      </c>
      <c r="W39" s="12" t="n">
        <f aca="false">(V39-U39)*100</f>
        <v>0.526550528607758</v>
      </c>
      <c r="X39" s="11" t="n">
        <v>0.428942109503332</v>
      </c>
      <c r="Y39" s="11" t="n">
        <v>0.68606134844077</v>
      </c>
      <c r="Z39" s="12" t="n">
        <f aca="false">(Y39-X39)*100</f>
        <v>25.7119238937437</v>
      </c>
      <c r="AA39" s="11" t="n">
        <v>0.172824005775448</v>
      </c>
      <c r="AB39" s="11" t="n">
        <v>0.107113084605046</v>
      </c>
      <c r="AC39" s="12" t="n">
        <f aca="false">(AB39-AA39)*100</f>
        <v>-6.57109211704021</v>
      </c>
      <c r="AD39" s="11" t="n">
        <v>0.6922984988139</v>
      </c>
      <c r="AE39" s="11" t="n">
        <v>0.598708446366911</v>
      </c>
      <c r="AF39" s="12" t="n">
        <f aca="false">(AE39-AD39)*100</f>
        <v>-9.35900524469888</v>
      </c>
      <c r="AG39" s="11" t="n">
        <v>0.0817822279418689</v>
      </c>
      <c r="AH39" s="11" t="n">
        <v>0.0620629816771296</v>
      </c>
      <c r="AI39" s="12" t="n">
        <f aca="false">(AH39-AG39)*100</f>
        <v>-1.97192462647393</v>
      </c>
      <c r="AJ39" s="14" t="s">
        <v>74</v>
      </c>
      <c r="AK39" s="14" t="s">
        <v>74</v>
      </c>
      <c r="AL39" s="14" t="s">
        <v>134</v>
      </c>
      <c r="AM39" s="20" t="n">
        <v>0.962574678008307</v>
      </c>
      <c r="AN39" s="20" t="n">
        <v>57.8948263835724</v>
      </c>
      <c r="AO39" s="12" t="n">
        <v>56.9322517055641</v>
      </c>
    </row>
    <row r="40" customFormat="false" ht="15" hidden="false" customHeight="false" outlineLevel="0" collapsed="false">
      <c r="A40" s="14" t="s">
        <v>88</v>
      </c>
      <c r="B40" s="14" t="n">
        <v>11</v>
      </c>
      <c r="C40" s="11" t="n">
        <v>0.232640151912157</v>
      </c>
      <c r="D40" s="11" t="n">
        <v>0.341462767545052</v>
      </c>
      <c r="E40" s="12" t="n">
        <f aca="false">(D40-C40)*100</f>
        <v>10.8822615632895</v>
      </c>
      <c r="F40" s="11" t="n">
        <v>0.0402098656588512</v>
      </c>
      <c r="G40" s="11" t="n">
        <v>0.12335427044021</v>
      </c>
      <c r="H40" s="12" t="n">
        <f aca="false">(G40-F40)*100</f>
        <v>8.31444047813587</v>
      </c>
      <c r="I40" s="11" t="n">
        <v>0.270932619806534</v>
      </c>
      <c r="J40" s="11" t="n">
        <v>0.126491520140082</v>
      </c>
      <c r="K40" s="12" t="n">
        <f aca="false">(J40-I40)*100</f>
        <v>-14.4441099666452</v>
      </c>
      <c r="L40" s="11" t="n">
        <v>0.0135080980770535</v>
      </c>
      <c r="M40" s="11" t="n">
        <v>0.0116005279599918</v>
      </c>
      <c r="N40" s="12" t="n">
        <f aca="false">(M40-L40)*100</f>
        <v>-0.190757011706173</v>
      </c>
      <c r="O40" s="11" t="n">
        <v>0.140888661459072</v>
      </c>
      <c r="P40" s="11" t="n">
        <v>0.0611664201526839</v>
      </c>
      <c r="Q40" s="12" t="n">
        <f aca="false">(P40-O40)*100</f>
        <v>-7.9722241306388</v>
      </c>
      <c r="R40" s="11" t="n">
        <v>0.145876361753155</v>
      </c>
      <c r="S40" s="11" t="n">
        <v>0.0265173875266136</v>
      </c>
      <c r="T40" s="12" t="n">
        <f aca="false">(S40-R40)*100</f>
        <v>-11.9358974226542</v>
      </c>
      <c r="U40" s="11" t="n">
        <v>0.0171579356222911</v>
      </c>
      <c r="V40" s="11" t="n">
        <v>0.0155204319190285</v>
      </c>
      <c r="W40" s="12" t="n">
        <f aca="false">(V40-U40)*100</f>
        <v>-0.163750370326269</v>
      </c>
      <c r="X40" s="11" t="n">
        <v>0.288861213694289</v>
      </c>
      <c r="Y40" s="11" t="n">
        <v>0.591308558125344</v>
      </c>
      <c r="Z40" s="12" t="n">
        <f aca="false">(Y40-X40)*100</f>
        <v>30.2447344431055</v>
      </c>
      <c r="AA40" s="11" t="n">
        <v>0.300273121289281</v>
      </c>
      <c r="AB40" s="11" t="n">
        <v>0.0992843356392893</v>
      </c>
      <c r="AC40" s="12" t="n">
        <f aca="false">(AB40-AA40)*100</f>
        <v>-20.0988785649991</v>
      </c>
      <c r="AD40" s="11" t="n">
        <v>0.716277981161155</v>
      </c>
      <c r="AE40" s="11" t="n">
        <v>0.707082123746055</v>
      </c>
      <c r="AF40" s="12" t="n">
        <f aca="false">(AE40-AD40)*100</f>
        <v>-0.919585741509998</v>
      </c>
      <c r="AG40" s="11" t="n">
        <v>0.107978470890696</v>
      </c>
      <c r="AH40" s="11" t="n">
        <v>0.09137156842587</v>
      </c>
      <c r="AI40" s="12" t="n">
        <f aca="false">(AH40-AG40)*100</f>
        <v>-1.6606902464826</v>
      </c>
      <c r="AJ40" s="14" t="s">
        <v>153</v>
      </c>
      <c r="AK40" s="14" t="s">
        <v>74</v>
      </c>
      <c r="AL40" s="14" t="s">
        <v>155</v>
      </c>
      <c r="AM40" s="20" t="n">
        <v>13.7602574615133</v>
      </c>
      <c r="AN40" s="20" t="n">
        <v>49.2024222486055</v>
      </c>
      <c r="AO40" s="12" t="n">
        <v>35.4421647870922</v>
      </c>
    </row>
    <row r="41" customFormat="false" ht="15" hidden="false" customHeight="false" outlineLevel="0" collapsed="false">
      <c r="A41" s="14" t="s">
        <v>88</v>
      </c>
      <c r="B41" s="14" t="n">
        <v>12</v>
      </c>
      <c r="C41" s="11" t="n">
        <v>0.571202131693137</v>
      </c>
      <c r="D41" s="11" t="n">
        <v>0.44167891082678</v>
      </c>
      <c r="E41" s="12" t="n">
        <f aca="false">(D41-C41)*100</f>
        <v>-12.9523220866357</v>
      </c>
      <c r="F41" s="11" t="n">
        <v>0.0442558031764756</v>
      </c>
      <c r="G41" s="11" t="n">
        <v>0.0692021011609356</v>
      </c>
      <c r="H41" s="12" t="n">
        <f aca="false">(G41-F41)*100</f>
        <v>2.494629798446</v>
      </c>
      <c r="I41" s="11" t="n">
        <v>0.0799016303660951</v>
      </c>
      <c r="J41" s="11" t="n">
        <v>0.131385618524521</v>
      </c>
      <c r="K41" s="12" t="n">
        <f aca="false">(J41-I41)*100</f>
        <v>5.14839881584258</v>
      </c>
      <c r="L41" s="11" t="n">
        <v>0.0673947845136285</v>
      </c>
      <c r="M41" s="11" t="n">
        <v>0.045775291810391</v>
      </c>
      <c r="N41" s="12" t="n">
        <f aca="false">(M41-L41)*100</f>
        <v>-2.16194927032375</v>
      </c>
      <c r="O41" s="11" t="n">
        <v>0.101387075030543</v>
      </c>
      <c r="P41" s="11" t="n">
        <v>0.131688306774541</v>
      </c>
      <c r="Q41" s="12" t="n">
        <f aca="false">(P41-O41)*100</f>
        <v>3.03012317439984</v>
      </c>
      <c r="R41" s="11" t="n">
        <v>0.0134547331170746</v>
      </c>
      <c r="S41" s="11" t="n">
        <v>0.0104427446257071</v>
      </c>
      <c r="T41" s="12" t="n">
        <f aca="false">(S41-R41)*100</f>
        <v>-0.301198849136755</v>
      </c>
      <c r="U41" s="11" t="n">
        <v>0.0232232379828959</v>
      </c>
      <c r="V41" s="11" t="n">
        <v>0.0249087205746032</v>
      </c>
      <c r="W41" s="12" t="n">
        <f aca="false">(V41-U41)*100</f>
        <v>0.168548259170729</v>
      </c>
      <c r="X41" s="11" t="n">
        <v>0.645200530816868</v>
      </c>
      <c r="Y41" s="11" t="n">
        <v>0.642266630512237</v>
      </c>
      <c r="Z41" s="12" t="n">
        <f aca="false">(Y41-X41)*100</f>
        <v>-0.293390030463148</v>
      </c>
      <c r="AA41" s="11" t="n">
        <v>0.182236592661246</v>
      </c>
      <c r="AB41" s="11" t="n">
        <v>0.18790634321064</v>
      </c>
      <c r="AC41" s="12" t="n">
        <f aca="false">(AB41-AA41)*100</f>
        <v>0.566975054939342</v>
      </c>
      <c r="AD41" s="11" t="n">
        <v>0.647618527941287</v>
      </c>
      <c r="AE41" s="11" t="n">
        <v>0.522027816640606</v>
      </c>
      <c r="AF41" s="12" t="n">
        <f aca="false">(AE41-AD41)*100</f>
        <v>-12.5590711300681</v>
      </c>
      <c r="AG41" s="11" t="n">
        <v>0.0551512406791086</v>
      </c>
      <c r="AH41" s="11" t="n">
        <v>0.0470238808417256</v>
      </c>
      <c r="AI41" s="12" t="n">
        <f aca="false">(AH41-AG41)*100</f>
        <v>-0.812735983738299</v>
      </c>
      <c r="AJ41" s="14" t="s">
        <v>74</v>
      </c>
      <c r="AK41" s="14" t="s">
        <v>74</v>
      </c>
      <c r="AL41" s="14" t="s">
        <v>134</v>
      </c>
      <c r="AM41" s="20" t="n">
        <v>45.0388633778489</v>
      </c>
      <c r="AN41" s="20" t="n">
        <v>45.4360287301597</v>
      </c>
      <c r="AO41" s="12" t="n">
        <v>0.397165352310807</v>
      </c>
    </row>
    <row r="42" customFormat="false" ht="15" hidden="false" customHeight="false" outlineLevel="0" collapsed="false">
      <c r="A42" s="14" t="s">
        <v>88</v>
      </c>
      <c r="B42" s="14" t="n">
        <v>13</v>
      </c>
      <c r="C42" s="11" t="n">
        <v>0.347044498810584</v>
      </c>
      <c r="D42" s="11" t="n">
        <v>0.272754269645216</v>
      </c>
      <c r="E42" s="12" t="n">
        <f aca="false">(D42-C42)*100</f>
        <v>-7.42902291653677</v>
      </c>
      <c r="F42" s="11" t="n">
        <v>0.0911566083044905</v>
      </c>
      <c r="G42" s="11" t="n">
        <v>0.156985975927565</v>
      </c>
      <c r="H42" s="12" t="n">
        <f aca="false">(G42-F42)*100</f>
        <v>6.5829367623074</v>
      </c>
      <c r="I42" s="11" t="n">
        <v>0.124697008985445</v>
      </c>
      <c r="J42" s="11" t="n">
        <v>0.191209803517533</v>
      </c>
      <c r="K42" s="12" t="n">
        <f aca="false">(J42-I42)*100</f>
        <v>6.65127945320879</v>
      </c>
      <c r="L42" s="11" t="n">
        <v>0.0345381571381865</v>
      </c>
      <c r="M42" s="11" t="n">
        <v>0.023496684888668</v>
      </c>
      <c r="N42" s="12" t="n">
        <f aca="false">(M42-L42)*100</f>
        <v>-1.10414722495184</v>
      </c>
      <c r="O42" s="11" t="n">
        <v>0.167019921306892</v>
      </c>
      <c r="P42" s="11" t="n">
        <v>0.0902049672125186</v>
      </c>
      <c r="Q42" s="12" t="n">
        <f aca="false">(P42-O42)*100</f>
        <v>-7.68149540943733</v>
      </c>
      <c r="R42" s="11" t="n">
        <v>0.0490140813312439</v>
      </c>
      <c r="S42" s="11" t="n">
        <v>0.0230421449436977</v>
      </c>
      <c r="T42" s="12" t="n">
        <f aca="false">(S42-R42)*100</f>
        <v>-2.59719363875462</v>
      </c>
      <c r="U42" s="11" t="n">
        <v>0.0278357140441268</v>
      </c>
      <c r="V42" s="11" t="n">
        <v>0.0183997769724003</v>
      </c>
      <c r="W42" s="12" t="n">
        <f aca="false">(V42-U42)*100</f>
        <v>-0.943593707172644</v>
      </c>
      <c r="X42" s="11" t="n">
        <v>0.459542948623998</v>
      </c>
      <c r="Y42" s="11" t="n">
        <v>0.620950049090314</v>
      </c>
      <c r="Z42" s="12" t="n">
        <f aca="false">(Y42-X42)*100</f>
        <v>16.1407100466316</v>
      </c>
      <c r="AA42" s="11" t="n">
        <v>0.250572159776322</v>
      </c>
      <c r="AB42" s="11" t="n">
        <v>0.136743797044884</v>
      </c>
      <c r="AC42" s="12" t="n">
        <f aca="false">(AB42-AA42)*100</f>
        <v>-11.3828362731438</v>
      </c>
      <c r="AD42" s="11" t="n">
        <v>0.653601851033101</v>
      </c>
      <c r="AE42" s="11" t="n">
        <v>0.623762413666658</v>
      </c>
      <c r="AF42" s="12" t="n">
        <f aca="false">(AE42-AD42)*100</f>
        <v>-2.98394373664427</v>
      </c>
      <c r="AG42" s="11" t="n">
        <v>0.0969063912783684</v>
      </c>
      <c r="AH42" s="11" t="n">
        <v>0.0685870474297281</v>
      </c>
      <c r="AI42" s="12" t="n">
        <f aca="false">(AH42-AG42)*100</f>
        <v>-2.83193438486403</v>
      </c>
      <c r="AJ42" s="14" t="s">
        <v>74</v>
      </c>
      <c r="AK42" s="14" t="s">
        <v>74</v>
      </c>
      <c r="AL42" s="14" t="s">
        <v>134</v>
      </c>
      <c r="AM42" s="20" t="n">
        <v>12.7616996809434</v>
      </c>
      <c r="AN42" s="20" t="n">
        <v>48.420625204543</v>
      </c>
      <c r="AO42" s="12" t="n">
        <v>35.6589255235996</v>
      </c>
    </row>
    <row r="43" customFormat="false" ht="15" hidden="false" customHeight="false" outlineLevel="0" collapsed="false">
      <c r="A43" s="14" t="s">
        <v>89</v>
      </c>
      <c r="B43" s="14" t="n">
        <v>1</v>
      </c>
      <c r="C43" s="11" t="n">
        <v>0.441999295244281</v>
      </c>
      <c r="D43" s="11" t="n">
        <v>0.537768164488247</v>
      </c>
      <c r="E43" s="12" t="n">
        <f aca="false">(D43-C43)*100</f>
        <v>9.57688692439658</v>
      </c>
      <c r="F43" s="11" t="n">
        <v>0.0427206334510229</v>
      </c>
      <c r="G43" s="11" t="n">
        <v>0.0206956916939495</v>
      </c>
      <c r="H43" s="12" t="n">
        <f aca="false">(G43-F43)*100</f>
        <v>-2.20249417570734</v>
      </c>
      <c r="I43" s="11" t="n">
        <v>0.0484277729028335</v>
      </c>
      <c r="J43" s="11" t="n">
        <v>0.0320408695725359</v>
      </c>
      <c r="K43" s="12" t="n">
        <f aca="false">(J43-I43)*100</f>
        <v>-1.63869033302976</v>
      </c>
      <c r="L43" s="11" t="n">
        <v>0.114826816646054</v>
      </c>
      <c r="M43" s="11" t="n">
        <v>0.176675054916384</v>
      </c>
      <c r="N43" s="12" t="n">
        <f aca="false">(M43-L43)*100</f>
        <v>6.18482382703303</v>
      </c>
      <c r="O43" s="11" t="n">
        <v>0.101540098527613</v>
      </c>
      <c r="P43" s="11" t="n">
        <v>0.0692745987527037</v>
      </c>
      <c r="Q43" s="12" t="n">
        <f aca="false">(P43-O43)*100</f>
        <v>-3.22654997749096</v>
      </c>
      <c r="R43" s="11" t="n">
        <v>0.0122572220187797</v>
      </c>
      <c r="S43" s="11" t="n">
        <v>0.00803757038134274</v>
      </c>
      <c r="T43" s="12" t="n">
        <f aca="false">(S43-R43)*100</f>
        <v>-0.421965163743693</v>
      </c>
      <c r="U43" s="11" t="n">
        <v>0.0256959462727405</v>
      </c>
      <c r="V43" s="11" t="n">
        <v>0.0742486344546656</v>
      </c>
      <c r="W43" s="12" t="n">
        <f aca="false">(V43-U43)*100</f>
        <v>4.85526881819251</v>
      </c>
      <c r="X43" s="11" t="n">
        <v>0.519432602552321</v>
      </c>
      <c r="Y43" s="11" t="n">
        <v>0.590504725754732</v>
      </c>
      <c r="Z43" s="12" t="n">
        <f aca="false">(Y43-X43)*100</f>
        <v>7.1072123202411</v>
      </c>
      <c r="AA43" s="11" t="n">
        <v>0.228624137192447</v>
      </c>
      <c r="AB43" s="11" t="n">
        <v>0.253987224050431</v>
      </c>
      <c r="AC43" s="12" t="n">
        <f aca="false">(AB43-AA43)*100</f>
        <v>2.53630868579838</v>
      </c>
      <c r="AD43" s="11" t="n">
        <v>0.490948069701729</v>
      </c>
      <c r="AE43" s="11" t="n">
        <v>0.361692282871085</v>
      </c>
      <c r="AF43" s="12" t="n">
        <f aca="false">(AE43-AD43)*100</f>
        <v>-12.9255786830644</v>
      </c>
      <c r="AG43" s="11" t="n">
        <v>0.0344293896953659</v>
      </c>
      <c r="AH43" s="11" t="n">
        <v>0.0330339934521154</v>
      </c>
      <c r="AI43" s="12" t="n">
        <f aca="false">(AH43-AG43)*100</f>
        <v>-0.139539624325045</v>
      </c>
      <c r="AJ43" s="14" t="s">
        <v>74</v>
      </c>
      <c r="AK43" s="14" t="s">
        <v>74</v>
      </c>
      <c r="AL43" s="14" t="s">
        <v>134</v>
      </c>
      <c r="AM43" s="20" t="n">
        <v>34.3319675812369</v>
      </c>
      <c r="AN43" s="20" t="n">
        <v>33.6517501704302</v>
      </c>
      <c r="AO43" s="12" t="n">
        <v>-0.680217410806762</v>
      </c>
    </row>
    <row r="44" customFormat="false" ht="15" hidden="false" customHeight="false" outlineLevel="0" collapsed="false">
      <c r="A44" s="14" t="s">
        <v>89</v>
      </c>
      <c r="B44" s="14" t="n">
        <v>2</v>
      </c>
      <c r="C44" s="11" t="n">
        <v>0.312243007704506</v>
      </c>
      <c r="D44" s="11" t="n">
        <v>0.404818733066701</v>
      </c>
      <c r="E44" s="12" t="n">
        <f aca="false">(D44-C44)*100</f>
        <v>9.25757253621949</v>
      </c>
      <c r="F44" s="11" t="n">
        <v>0.0425431887393519</v>
      </c>
      <c r="G44" s="11" t="n">
        <v>0.021585924396852</v>
      </c>
      <c r="H44" s="12" t="n">
        <f aca="false">(G44-F44)*100</f>
        <v>-2.09572643424999</v>
      </c>
      <c r="I44" s="11" t="n">
        <v>0.0512230377366434</v>
      </c>
      <c r="J44" s="11" t="n">
        <v>0.0548235711521094</v>
      </c>
      <c r="K44" s="12" t="n">
        <f aca="false">(J44-I44)*100</f>
        <v>0.360053341546598</v>
      </c>
      <c r="L44" s="11" t="n">
        <v>0.161177147508315</v>
      </c>
      <c r="M44" s="11" t="n">
        <v>0.205417042962198</v>
      </c>
      <c r="N44" s="12" t="n">
        <f aca="false">(M44-L44)*100</f>
        <v>4.42398954538834</v>
      </c>
      <c r="O44" s="11" t="n">
        <v>0.142315842654055</v>
      </c>
      <c r="P44" s="11" t="n">
        <v>0.120016772029416</v>
      </c>
      <c r="Q44" s="12" t="n">
        <f aca="false">(P44-O44)*100</f>
        <v>-2.22990706246394</v>
      </c>
      <c r="R44" s="11" t="n">
        <v>0.068323112115301</v>
      </c>
      <c r="S44" s="11" t="n">
        <v>0.0193845955360599</v>
      </c>
      <c r="T44" s="12" t="n">
        <f aca="false">(S44-R44)*100</f>
        <v>-4.89385165792411</v>
      </c>
      <c r="U44" s="11" t="n">
        <v>0.037680508581613</v>
      </c>
      <c r="V44" s="11" t="n">
        <v>0.0862066185008386</v>
      </c>
      <c r="W44" s="12" t="n">
        <f aca="false">(V44-U44)*100</f>
        <v>4.85261099192256</v>
      </c>
      <c r="X44" s="11" t="n">
        <v>0.379092580378068</v>
      </c>
      <c r="Y44" s="11" t="n">
        <v>0.481228228615663</v>
      </c>
      <c r="Z44" s="12" t="n">
        <f aca="false">(Y44-X44)*100</f>
        <v>10.2135648237594</v>
      </c>
      <c r="AA44" s="11" t="n">
        <v>0.371816102277671</v>
      </c>
      <c r="AB44" s="11" t="n">
        <v>0.344818410527674</v>
      </c>
      <c r="AC44" s="12" t="n">
        <f aca="false">(AB44-AA44)*100</f>
        <v>-2.69976917499971</v>
      </c>
      <c r="AD44" s="11" t="n">
        <v>0.496721957136235</v>
      </c>
      <c r="AE44" s="11" t="n">
        <v>0.400059355987535</v>
      </c>
      <c r="AF44" s="12" t="n">
        <f aca="false">(AE44-AD44)*100</f>
        <v>-9.66626011486996</v>
      </c>
      <c r="AG44" s="11" t="n">
        <v>0.047616374531625</v>
      </c>
      <c r="AH44" s="11" t="n">
        <v>0.0354712295187718</v>
      </c>
      <c r="AI44" s="12" t="n">
        <f aca="false">(AH44-AG44)*100</f>
        <v>-1.21451450128532</v>
      </c>
      <c r="AJ44" s="14" t="s">
        <v>74</v>
      </c>
      <c r="AK44" s="14" t="s">
        <v>74</v>
      </c>
      <c r="AL44" s="14" t="s">
        <v>134</v>
      </c>
      <c r="AM44" s="20" t="n">
        <v>11.1911812172839</v>
      </c>
      <c r="AN44" s="20" t="n">
        <v>13.6409818087989</v>
      </c>
      <c r="AO44" s="12" t="n">
        <v>2.44980059151495</v>
      </c>
    </row>
    <row r="45" customFormat="false" ht="15" hidden="false" customHeight="false" outlineLevel="0" collapsed="false">
      <c r="A45" s="14" t="s">
        <v>89</v>
      </c>
      <c r="B45" s="14" t="n">
        <v>3</v>
      </c>
      <c r="C45" s="11" t="n">
        <v>0.328075411669279</v>
      </c>
      <c r="D45" s="11" t="n">
        <v>0.517719298245614</v>
      </c>
      <c r="E45" s="12" t="n">
        <f aca="false">(D45-C45)*100</f>
        <v>18.9643886576335</v>
      </c>
      <c r="F45" s="11" t="n">
        <v>0.0448248978209682</v>
      </c>
      <c r="G45" s="11" t="n">
        <v>0.026374269005848</v>
      </c>
      <c r="H45" s="12" t="n">
        <f aca="false">(G45-F45)*100</f>
        <v>-1.84506288151202</v>
      </c>
      <c r="I45" s="11" t="n">
        <v>0.0373987069135239</v>
      </c>
      <c r="J45" s="11" t="n">
        <v>0.0300584795321637</v>
      </c>
      <c r="K45" s="12" t="n">
        <f aca="false">(J45-I45)*100</f>
        <v>-0.734022738136012</v>
      </c>
      <c r="L45" s="11" t="n">
        <v>0.111707866407314</v>
      </c>
      <c r="M45" s="11" t="n">
        <v>0.182280701754386</v>
      </c>
      <c r="N45" s="12" t="n">
        <f aca="false">(M45-L45)*100</f>
        <v>7.05728353470716</v>
      </c>
      <c r="O45" s="11" t="n">
        <v>0.163714827969098</v>
      </c>
      <c r="P45" s="11" t="n">
        <v>0.0722124756335283</v>
      </c>
      <c r="Q45" s="12" t="n">
        <f aca="false">(P45-O45)*100</f>
        <v>-9.15023523355699</v>
      </c>
      <c r="R45" s="11" t="n">
        <v>0.0134269941645732</v>
      </c>
      <c r="S45" s="11" t="n">
        <v>0.00714424951267057</v>
      </c>
      <c r="T45" s="12" t="n">
        <f aca="false">(S45-R45)*100</f>
        <v>-0.628274465190265</v>
      </c>
      <c r="U45" s="11" t="n">
        <v>0.0230897049211312</v>
      </c>
      <c r="V45" s="11" t="n">
        <v>0.0743079922027291</v>
      </c>
      <c r="W45" s="12" t="n">
        <f aca="false">(V45-U45)*100</f>
        <v>5.12182872815979</v>
      </c>
      <c r="X45" s="11" t="n">
        <v>0.401817566130899</v>
      </c>
      <c r="Y45" s="11" t="n">
        <v>0.574152046783626</v>
      </c>
      <c r="Z45" s="12" t="n">
        <f aca="false">(Y45-X45)*100</f>
        <v>17.2334480652726</v>
      </c>
      <c r="AA45" s="11" t="n">
        <v>0.288849688540986</v>
      </c>
      <c r="AB45" s="11" t="n">
        <v>0.261637426900585</v>
      </c>
      <c r="AC45" s="12" t="n">
        <f aca="false">(AB45-AA45)*100</f>
        <v>-2.7212261640401</v>
      </c>
      <c r="AD45" s="11" t="n">
        <v>0.441949012442356</v>
      </c>
      <c r="AE45" s="11" t="n">
        <v>0.342287521518075</v>
      </c>
      <c r="AF45" s="12" t="n">
        <f aca="false">(AE45-AD45)*100</f>
        <v>-9.9661490924281</v>
      </c>
      <c r="AG45" s="11" t="n">
        <v>0.049699566083649</v>
      </c>
      <c r="AH45" s="11" t="n">
        <v>0.0346296296296296</v>
      </c>
      <c r="AI45" s="12" t="n">
        <f aca="false">(AH45-AG45)*100</f>
        <v>-1.50699364540194</v>
      </c>
      <c r="AJ45" s="14" t="s">
        <v>74</v>
      </c>
      <c r="AK45" s="14" t="s">
        <v>74</v>
      </c>
      <c r="AL45" s="14" t="s">
        <v>134</v>
      </c>
      <c r="AM45" s="20" t="n">
        <v>17.4448548230866</v>
      </c>
      <c r="AN45" s="20" t="n">
        <v>31.2514619883041</v>
      </c>
      <c r="AO45" s="12" t="n">
        <v>13.8066071652175</v>
      </c>
    </row>
    <row r="46" customFormat="false" ht="15" hidden="false" customHeight="false" outlineLevel="0" collapsed="false">
      <c r="A46" s="14" t="s">
        <v>89</v>
      </c>
      <c r="B46" s="14" t="n">
        <v>4</v>
      </c>
      <c r="C46" s="11" t="n">
        <v>0.31041061800083</v>
      </c>
      <c r="D46" s="11" t="n">
        <v>0.36200312282484</v>
      </c>
      <c r="E46" s="12" t="n">
        <f aca="false">(D46-C46)*100</f>
        <v>5.15925048240102</v>
      </c>
      <c r="F46" s="11" t="n">
        <v>0.033524125535739</v>
      </c>
      <c r="G46" s="11" t="n">
        <v>0.0165610048221934</v>
      </c>
      <c r="H46" s="12" t="n">
        <f aca="false">(G46-F46)*100</f>
        <v>-1.69631207135456</v>
      </c>
      <c r="I46" s="11" t="n">
        <v>0.0448002212083506</v>
      </c>
      <c r="J46" s="11" t="n">
        <v>0.0237786180559475</v>
      </c>
      <c r="K46" s="12" t="n">
        <f aca="false">(J46-I46)*100</f>
        <v>-2.10216031524031</v>
      </c>
      <c r="L46" s="11" t="n">
        <v>0.229675100235034</v>
      </c>
      <c r="M46" s="11" t="n">
        <v>0.370594026500116</v>
      </c>
      <c r="N46" s="12" t="n">
        <f aca="false">(M46-L46)*100</f>
        <v>14.0918926265082</v>
      </c>
      <c r="O46" s="11" t="n">
        <v>0.145792893681737</v>
      </c>
      <c r="P46" s="11" t="n">
        <v>0.0848179292786776</v>
      </c>
      <c r="Q46" s="12" t="n">
        <f aca="false">(P46-O46)*100</f>
        <v>-6.09749644030589</v>
      </c>
      <c r="R46" s="11" t="n">
        <v>0.00972210700953961</v>
      </c>
      <c r="S46" s="11" t="n">
        <v>0.00611396429444852</v>
      </c>
      <c r="T46" s="12" t="n">
        <f aca="false">(S46-R46)*100</f>
        <v>-0.360814271509109</v>
      </c>
      <c r="U46" s="11" t="n">
        <v>0.0198811005115443</v>
      </c>
      <c r="V46" s="11" t="n">
        <v>0.0647515849276671</v>
      </c>
      <c r="W46" s="12" t="n">
        <f aca="false">(V46-U46)*100</f>
        <v>4.48704844161228</v>
      </c>
      <c r="X46" s="11" t="n">
        <v>0.367498963085857</v>
      </c>
      <c r="Y46" s="11" t="n">
        <v>0.402342745702981</v>
      </c>
      <c r="Z46" s="12" t="n">
        <f aca="false">(Y46-X46)*100</f>
        <v>3.4843782617124</v>
      </c>
      <c r="AA46" s="11" t="n">
        <v>0.38519010092631</v>
      </c>
      <c r="AB46" s="11" t="n">
        <v>0.461525920073242</v>
      </c>
      <c r="AC46" s="12" t="n">
        <f aca="false">(AB46-AA46)*100</f>
        <v>7.63358191469322</v>
      </c>
      <c r="AD46" s="11" t="n">
        <v>0.545471822191118</v>
      </c>
      <c r="AE46" s="11" t="n">
        <v>0.462634391445364</v>
      </c>
      <c r="AF46" s="12" t="n">
        <f aca="false">(AE46-AD46)*100</f>
        <v>-8.28374307457536</v>
      </c>
      <c r="AG46" s="11" t="n">
        <v>0.0355647725701645</v>
      </c>
      <c r="AH46" s="11" t="n">
        <v>0.024963786519179</v>
      </c>
      <c r="AI46" s="12" t="n">
        <f aca="false">(AH46-AG46)*100</f>
        <v>-1.06009860509855</v>
      </c>
      <c r="AJ46" s="14" t="s">
        <v>74</v>
      </c>
      <c r="AK46" s="14" t="s">
        <v>132</v>
      </c>
      <c r="AL46" s="14" t="s">
        <v>133</v>
      </c>
      <c r="AM46" s="20" t="n">
        <v>10.8220655329739</v>
      </c>
      <c r="AN46" s="20" t="n">
        <v>5.91831743702617</v>
      </c>
      <c r="AO46" s="12" t="n">
        <v>-4.9037480959477</v>
      </c>
    </row>
    <row r="47" customFormat="false" ht="15" hidden="false" customHeight="false" outlineLevel="0" collapsed="false">
      <c r="A47" s="14" t="s">
        <v>89</v>
      </c>
      <c r="B47" s="14" t="n">
        <v>5</v>
      </c>
      <c r="C47" s="11" t="n">
        <v>0.257228417450905</v>
      </c>
      <c r="D47" s="11" t="n">
        <v>0.170986325283678</v>
      </c>
      <c r="E47" s="12" t="n">
        <f aca="false">(D47-C47)*100</f>
        <v>-8.62420921672275</v>
      </c>
      <c r="F47" s="11" t="n">
        <v>0.0388110206001114</v>
      </c>
      <c r="G47" s="11" t="n">
        <v>0.0252371254000582</v>
      </c>
      <c r="H47" s="12" t="n">
        <f aca="false">(G47-F47)*100</f>
        <v>-1.35738952000532</v>
      </c>
      <c r="I47" s="11" t="n">
        <v>0.026594738349937</v>
      </c>
      <c r="J47" s="11" t="n">
        <v>0.0271166715158569</v>
      </c>
      <c r="K47" s="12" t="n">
        <f aca="false">(J47-I47)*100</f>
        <v>0.0521933165919818</v>
      </c>
      <c r="L47" s="11" t="n">
        <v>0.32115849274861</v>
      </c>
      <c r="M47" s="11" t="n">
        <v>0.441070701192901</v>
      </c>
      <c r="N47" s="12" t="n">
        <f aca="false">(M47-L47)*100</f>
        <v>11.9912208444291</v>
      </c>
      <c r="O47" s="11" t="n">
        <v>0.195076730144487</v>
      </c>
      <c r="P47" s="11" t="n">
        <v>0.133785277858598</v>
      </c>
      <c r="Q47" s="12" t="n">
        <f aca="false">(P47-O47)*100</f>
        <v>-6.12914522858897</v>
      </c>
      <c r="R47" s="11" t="n">
        <v>0.023437964529538</v>
      </c>
      <c r="S47" s="11" t="n">
        <v>0.0223101542042479</v>
      </c>
      <c r="T47" s="12" t="n">
        <f aca="false">(S47-R47)*100</f>
        <v>-0.112781032529011</v>
      </c>
      <c r="U47" s="11" t="n">
        <v>0.0164433321261196</v>
      </c>
      <c r="V47" s="11" t="n">
        <v>0.109927262147221</v>
      </c>
      <c r="W47" s="12" t="n">
        <f aca="false">(V47-U47)*100</f>
        <v>9.34839300211018</v>
      </c>
      <c r="X47" s="11" t="n">
        <v>0.316455764625755</v>
      </c>
      <c r="Y47" s="11" t="n">
        <v>0.223340122199593</v>
      </c>
      <c r="Z47" s="12" t="n">
        <f aca="false">(Y47-X47)*100</f>
        <v>-9.31156424261621</v>
      </c>
      <c r="AA47" s="11" t="n">
        <v>0.539673187422635</v>
      </c>
      <c r="AB47" s="11" t="n">
        <v>0.597166133255746</v>
      </c>
      <c r="AC47" s="12" t="n">
        <f aca="false">(AB47-AA47)*100</f>
        <v>5.74929458331116</v>
      </c>
      <c r="AD47" s="11" t="n">
        <v>0.573688339798991</v>
      </c>
      <c r="AE47" s="11" t="n">
        <v>0.506376483622691</v>
      </c>
      <c r="AF47" s="12" t="n">
        <f aca="false">(AE47-AD47)*100</f>
        <v>-6.73118561762997</v>
      </c>
      <c r="AG47" s="11" t="n">
        <v>0.0432921259033833</v>
      </c>
      <c r="AH47" s="11" t="n">
        <v>0.0315565900494617</v>
      </c>
      <c r="AI47" s="12" t="n">
        <f aca="false">(AH47-AG47)*100</f>
        <v>-1.17355358539215</v>
      </c>
      <c r="AJ47" s="14" t="s">
        <v>132</v>
      </c>
      <c r="AK47" s="14" t="s">
        <v>132</v>
      </c>
      <c r="AL47" s="14" t="s">
        <v>150</v>
      </c>
      <c r="AM47" s="20" t="n">
        <v>4.45840247785123</v>
      </c>
      <c r="AN47" s="20" t="n">
        <v>37.3826011056154</v>
      </c>
      <c r="AO47" s="12" t="n">
        <v>32.9241986277641</v>
      </c>
    </row>
    <row r="48" customFormat="false" ht="15" hidden="false" customHeight="false" outlineLevel="0" collapsed="false">
      <c r="A48" s="14" t="s">
        <v>89</v>
      </c>
      <c r="B48" s="14" t="n">
        <v>6</v>
      </c>
      <c r="C48" s="11" t="n">
        <v>0.23152811792431</v>
      </c>
      <c r="D48" s="11" t="n">
        <v>0.206648697214735</v>
      </c>
      <c r="E48" s="12" t="n">
        <f aca="false">(D48-C48)*100</f>
        <v>-2.48794207095754</v>
      </c>
      <c r="F48" s="11" t="n">
        <v>0.022027632734162</v>
      </c>
      <c r="G48" s="11" t="n">
        <v>0.00968140257818393</v>
      </c>
      <c r="H48" s="12" t="n">
        <f aca="false">(G48-F48)*100</f>
        <v>-1.23462301559781</v>
      </c>
      <c r="I48" s="11" t="n">
        <v>0.0378540732868167</v>
      </c>
      <c r="J48" s="11" t="n">
        <v>0.0202612777529537</v>
      </c>
      <c r="K48" s="12" t="n">
        <f aca="false">(J48-I48)*100</f>
        <v>-1.7592795533863</v>
      </c>
      <c r="L48" s="11" t="n">
        <v>0.447465459082298</v>
      </c>
      <c r="M48" s="11" t="n">
        <v>0.595821862192561</v>
      </c>
      <c r="N48" s="12" t="n">
        <f aca="false">(M48-L48)*100</f>
        <v>14.8356403110264</v>
      </c>
      <c r="O48" s="11" t="n">
        <v>0.149595674876392</v>
      </c>
      <c r="P48" s="11" t="n">
        <v>0.0591358327207384</v>
      </c>
      <c r="Q48" s="12" t="n">
        <f aca="false">(P48-O48)*100</f>
        <v>-9.04598421556536</v>
      </c>
      <c r="R48" s="11" t="n">
        <v>0.0107527378586942</v>
      </c>
      <c r="S48" s="11" t="n">
        <v>0.00621723818172209</v>
      </c>
      <c r="T48" s="12" t="n">
        <f aca="false">(S48-R48)*100</f>
        <v>-0.453549967697206</v>
      </c>
      <c r="U48" s="11" t="n">
        <v>0.0198974169400675</v>
      </c>
      <c r="V48" s="11" t="n">
        <v>0.056637406248949</v>
      </c>
      <c r="W48" s="12" t="n">
        <f aca="false">(V48-U48)*100</f>
        <v>3.67399893088815</v>
      </c>
      <c r="X48" s="11" t="n">
        <v>0.276327341620073</v>
      </c>
      <c r="Y48" s="11" t="n">
        <v>0.236591377545873</v>
      </c>
      <c r="Z48" s="12" t="n">
        <f aca="false">(Y48-X48)*100</f>
        <v>-3.97359640742004</v>
      </c>
      <c r="AA48" s="11" t="n">
        <v>0.607813871817384</v>
      </c>
      <c r="AB48" s="11" t="n">
        <v>0.661174933095022</v>
      </c>
      <c r="AC48" s="12" t="n">
        <f aca="false">(AB48-AA48)*100</f>
        <v>5.33610612776382</v>
      </c>
      <c r="AD48" s="11" t="n">
        <v>0.622850416317697</v>
      </c>
      <c r="AE48" s="11" t="n">
        <v>0.56781841247323</v>
      </c>
      <c r="AF48" s="12" t="n">
        <f aca="false">(AE48-AD48)*100</f>
        <v>-5.50320038444668</v>
      </c>
      <c r="AG48" s="11" t="n">
        <v>0.0323367681715263</v>
      </c>
      <c r="AH48" s="11" t="n">
        <v>0.0205351437315921</v>
      </c>
      <c r="AI48" s="12" t="n">
        <f aca="false">(AH48-AG48)*100</f>
        <v>-1.18016244399341</v>
      </c>
      <c r="AJ48" s="14" t="s">
        <v>132</v>
      </c>
      <c r="AK48" s="14" t="s">
        <v>132</v>
      </c>
      <c r="AL48" s="14" t="s">
        <v>150</v>
      </c>
      <c r="AM48" s="20" t="n">
        <v>20.1788272260986</v>
      </c>
      <c r="AN48" s="20" t="n">
        <v>42.4583555549149</v>
      </c>
      <c r="AO48" s="12" t="n">
        <v>22.2795283288163</v>
      </c>
    </row>
    <row r="49" customFormat="false" ht="15" hidden="false" customHeight="false" outlineLevel="0" collapsed="false">
      <c r="A49" s="14" t="s">
        <v>89</v>
      </c>
      <c r="B49" s="14" t="n">
        <v>7</v>
      </c>
      <c r="C49" s="11" t="n">
        <v>0.315215783618323</v>
      </c>
      <c r="D49" s="11" t="n">
        <v>0.223506943008039</v>
      </c>
      <c r="E49" s="12" t="n">
        <f aca="false">(D49-C49)*100</f>
        <v>-9.17088406102832</v>
      </c>
      <c r="F49" s="11" t="n">
        <v>0.0363787193816197</v>
      </c>
      <c r="G49" s="11" t="n">
        <v>0.0138998055681959</v>
      </c>
      <c r="H49" s="12" t="n">
        <f aca="false">(G49-F49)*100</f>
        <v>-2.24789138134237</v>
      </c>
      <c r="I49" s="11" t="n">
        <v>0.0258901757522363</v>
      </c>
      <c r="J49" s="11" t="n">
        <v>0.023559343068713</v>
      </c>
      <c r="K49" s="12" t="n">
        <f aca="false">(J49-I49)*100</f>
        <v>-0.233083268352326</v>
      </c>
      <c r="L49" s="11" t="n">
        <v>0.245808762531913</v>
      </c>
      <c r="M49" s="11" t="n">
        <v>0.355603359119679</v>
      </c>
      <c r="N49" s="12" t="n">
        <f aca="false">(M49-L49)*100</f>
        <v>10.9794596587766</v>
      </c>
      <c r="O49" s="11" t="n">
        <v>0.20665839244259</v>
      </c>
      <c r="P49" s="11" t="n">
        <v>0.204056867855321</v>
      </c>
      <c r="Q49" s="12" t="n">
        <f aca="false">(P49-O49)*100</f>
        <v>-0.260152458726878</v>
      </c>
      <c r="R49" s="11" t="n">
        <v>0.0175430699086191</v>
      </c>
      <c r="S49" s="11" t="n">
        <v>0.0146582274990003</v>
      </c>
      <c r="T49" s="12" t="n">
        <f aca="false">(S49-R49)*100</f>
        <v>-0.288484240961887</v>
      </c>
      <c r="U49" s="11" t="n">
        <v>0.0417419599621872</v>
      </c>
      <c r="V49" s="11" t="n">
        <v>0.0796136184999793</v>
      </c>
      <c r="W49" s="12" t="n">
        <f aca="false">(V49-U49)*100</f>
        <v>3.78716585377921</v>
      </c>
      <c r="X49" s="11" t="n">
        <v>0.373844877590786</v>
      </c>
      <c r="Y49" s="11" t="n">
        <v>0.260966091644948</v>
      </c>
      <c r="Z49" s="12" t="n">
        <f aca="false">(Y49-X49)*100</f>
        <v>-11.2878785945838</v>
      </c>
      <c r="AA49" s="11" t="n">
        <v>0.470010224883121</v>
      </c>
      <c r="AB49" s="11" t="n">
        <v>0.574318454474</v>
      </c>
      <c r="AC49" s="12" t="n">
        <f aca="false">(AB49-AA49)*100</f>
        <v>10.4308229590879</v>
      </c>
      <c r="AD49" s="11" t="n">
        <v>0.53775075819665</v>
      </c>
      <c r="AE49" s="11" t="n">
        <v>0.489074576134019</v>
      </c>
      <c r="AF49" s="12" t="n">
        <f aca="false">(AE49-AD49)*100</f>
        <v>-4.86761820626318</v>
      </c>
      <c r="AG49" s="11" t="n">
        <v>0.0611820993807193</v>
      </c>
      <c r="AH49" s="11" t="n">
        <v>0.0469463175167887</v>
      </c>
      <c r="AI49" s="12" t="n">
        <f aca="false">(AH49-AG49)*100</f>
        <v>-1.42357818639306</v>
      </c>
      <c r="AJ49" s="14" t="s">
        <v>74</v>
      </c>
      <c r="AK49" s="14" t="s">
        <v>132</v>
      </c>
      <c r="AL49" s="14" t="s">
        <v>133</v>
      </c>
      <c r="AM49" s="20" t="n">
        <v>6.87510851880671</v>
      </c>
      <c r="AN49" s="20" t="n">
        <v>31.3352362829052</v>
      </c>
      <c r="AO49" s="12" t="n">
        <v>24.4601277640985</v>
      </c>
    </row>
    <row r="50" customFormat="false" ht="15" hidden="false" customHeight="false" outlineLevel="0" collapsed="false">
      <c r="A50" s="14" t="s">
        <v>89</v>
      </c>
      <c r="B50" s="14" t="n">
        <v>8</v>
      </c>
      <c r="C50" s="11" t="n">
        <v>0.267538670522764</v>
      </c>
      <c r="D50" s="11" t="n">
        <v>0.290951036675049</v>
      </c>
      <c r="E50" s="12" t="n">
        <f aca="false">(D50-C50)*100</f>
        <v>2.34123661522845</v>
      </c>
      <c r="F50" s="11" t="n">
        <v>0.039010122255817</v>
      </c>
      <c r="G50" s="11" t="n">
        <v>0.0172878018693362</v>
      </c>
      <c r="H50" s="12" t="n">
        <f aca="false">(G50-F50)*100</f>
        <v>-2.17223203864808</v>
      </c>
      <c r="I50" s="11" t="n">
        <v>0.0398810306296832</v>
      </c>
      <c r="J50" s="11" t="n">
        <v>0.0282831996963515</v>
      </c>
      <c r="K50" s="12" t="n">
        <f aca="false">(J50-I50)*100</f>
        <v>-1.15978309333317</v>
      </c>
      <c r="L50" s="11" t="n">
        <v>0.355949563998072</v>
      </c>
      <c r="M50" s="11" t="n">
        <v>0.464457702709114</v>
      </c>
      <c r="N50" s="12" t="n">
        <f aca="false">(M50-L50)*100</f>
        <v>10.8508138711042</v>
      </c>
      <c r="O50" s="11" t="n">
        <v>0.159200955260506</v>
      </c>
      <c r="P50" s="11" t="n">
        <v>0.064222849551644</v>
      </c>
      <c r="Q50" s="12" t="n">
        <f aca="false">(P50-O50)*100</f>
        <v>-9.49781057088617</v>
      </c>
      <c r="R50" s="11" t="n">
        <v>0.0146192103764077</v>
      </c>
      <c r="S50" s="11" t="n">
        <v>0.0100464961806709</v>
      </c>
      <c r="T50" s="12" t="n">
        <f aca="false">(S50-R50)*100</f>
        <v>-0.457271419573683</v>
      </c>
      <c r="U50" s="11" t="n">
        <v>0.0258752903027913</v>
      </c>
      <c r="V50" s="11" t="n">
        <v>0.0653852540684158</v>
      </c>
      <c r="W50" s="12" t="n">
        <f aca="false">(V50-U50)*100</f>
        <v>3.95099637656245</v>
      </c>
      <c r="X50" s="11" t="n">
        <v>0.334061829017133</v>
      </c>
      <c r="Y50" s="11" t="n">
        <v>0.336522038240736</v>
      </c>
      <c r="Z50" s="12" t="n">
        <f aca="false">(Y50-X50)*100</f>
        <v>0.246020922360296</v>
      </c>
      <c r="AA50" s="11" t="n">
        <v>0.529769729634985</v>
      </c>
      <c r="AB50" s="11" t="n">
        <v>0.538727048441429</v>
      </c>
      <c r="AC50" s="12" t="n">
        <f aca="false">(AB50-AA50)*100</f>
        <v>0.895731880644368</v>
      </c>
      <c r="AD50" s="11" t="n">
        <v>0.550351189220149</v>
      </c>
      <c r="AE50" s="11" t="n">
        <v>0.481546743584984</v>
      </c>
      <c r="AF50" s="12" t="n">
        <f aca="false">(AE50-AD50)*100</f>
        <v>-6.88044456351651</v>
      </c>
      <c r="AG50" s="11" t="n">
        <v>0.0395304763156742</v>
      </c>
      <c r="AH50" s="11" t="n">
        <v>0.0250213502870428</v>
      </c>
      <c r="AI50" s="12" t="n">
        <f aca="false">(AH50-AG50)*100</f>
        <v>-1.45091260286314</v>
      </c>
      <c r="AJ50" s="14" t="s">
        <v>132</v>
      </c>
      <c r="AK50" s="14" t="s">
        <v>132</v>
      </c>
      <c r="AL50" s="14" t="s">
        <v>150</v>
      </c>
      <c r="AM50" s="20" t="n">
        <v>6.23822356601376</v>
      </c>
      <c r="AN50" s="20" t="n">
        <v>20.2205010200693</v>
      </c>
      <c r="AO50" s="12" t="n">
        <v>13.9822774540555</v>
      </c>
    </row>
    <row r="51" customFormat="false" ht="15" hidden="false" customHeight="false" outlineLevel="0" collapsed="false">
      <c r="A51" s="14" t="s">
        <v>89</v>
      </c>
      <c r="B51" s="14" t="n">
        <v>9</v>
      </c>
      <c r="C51" s="11" t="n">
        <v>0.166382532503876</v>
      </c>
      <c r="D51" s="11" t="n">
        <v>0.166333549643089</v>
      </c>
      <c r="E51" s="12" t="n">
        <f aca="false">(D51-C51)*100</f>
        <v>-0.00489828607870835</v>
      </c>
      <c r="F51" s="11" t="n">
        <v>0.0219180020972318</v>
      </c>
      <c r="G51" s="11" t="n">
        <v>0.0175275794938352</v>
      </c>
      <c r="H51" s="12" t="n">
        <f aca="false">(G51-F51)*100</f>
        <v>-0.439042260339661</v>
      </c>
      <c r="I51" s="11" t="n">
        <v>0.057384378839832</v>
      </c>
      <c r="J51" s="11" t="n">
        <v>0.0228033744321869</v>
      </c>
      <c r="K51" s="12" t="n">
        <f aca="false">(J51-I51)*100</f>
        <v>-3.45810044076451</v>
      </c>
      <c r="L51" s="11" t="n">
        <v>0.292364403672086</v>
      </c>
      <c r="M51" s="11" t="n">
        <v>0.231739130434783</v>
      </c>
      <c r="N51" s="12" t="n">
        <f aca="false">(M51-L51)*100</f>
        <v>-6.0625273237303</v>
      </c>
      <c r="O51" s="11" t="n">
        <v>0.296880528553875</v>
      </c>
      <c r="P51" s="11" t="n">
        <v>0.288462037637898</v>
      </c>
      <c r="Q51" s="12" t="n">
        <f aca="false">(P51-O51)*100</f>
        <v>-0.841849091597746</v>
      </c>
      <c r="R51" s="11" t="n">
        <v>0.0253147455980649</v>
      </c>
      <c r="S51" s="11" t="n">
        <v>0.0107073329007138</v>
      </c>
      <c r="T51" s="12" t="n">
        <f aca="false">(S51-R51)*100</f>
        <v>-1.46074126973511</v>
      </c>
      <c r="U51" s="11" t="n">
        <v>0.0274441435124129</v>
      </c>
      <c r="V51" s="11" t="n">
        <v>0.155003244646334</v>
      </c>
      <c r="W51" s="12" t="n">
        <f aca="false">(V51-U51)*100</f>
        <v>12.7559101133921</v>
      </c>
      <c r="X51" s="11" t="n">
        <v>0.202035472809969</v>
      </c>
      <c r="Y51" s="11" t="n">
        <v>0.206664503569111</v>
      </c>
      <c r="Z51" s="12" t="n">
        <f aca="false">(Y51-X51)*100</f>
        <v>0.462903075914212</v>
      </c>
      <c r="AA51" s="11" t="n">
        <v>0.614559677824026</v>
      </c>
      <c r="AB51" s="11" t="n">
        <v>0.530908500973394</v>
      </c>
      <c r="AC51" s="12" t="n">
        <f aca="false">(AB51-AA51)*100</f>
        <v>-8.36511768506316</v>
      </c>
      <c r="AD51" s="11" t="n">
        <v>0.620632518695675</v>
      </c>
      <c r="AE51" s="11" t="n">
        <v>0.595095578296969</v>
      </c>
      <c r="AF51" s="12" t="n">
        <f aca="false">(AE51-AD51)*100</f>
        <v>-2.55369403987061</v>
      </c>
      <c r="AG51" s="11" t="n">
        <v>0.0736347085426812</v>
      </c>
      <c r="AH51" s="11" t="n">
        <v>0.0515249837767683</v>
      </c>
      <c r="AI51" s="12" t="n">
        <f aca="false">(AH51-AG51)*100</f>
        <v>-2.21097247659129</v>
      </c>
      <c r="AJ51" s="14" t="s">
        <v>153</v>
      </c>
      <c r="AK51" s="14" t="s">
        <v>132</v>
      </c>
      <c r="AL51" s="14" t="s">
        <v>154</v>
      </c>
      <c r="AM51" s="20" t="n">
        <v>3.37294056342196</v>
      </c>
      <c r="AN51" s="20" t="n">
        <v>32.4243997404283</v>
      </c>
      <c r="AO51" s="12" t="n">
        <v>29.0514591770063</v>
      </c>
    </row>
    <row r="52" customFormat="false" ht="15" hidden="false" customHeight="false" outlineLevel="0" collapsed="false">
      <c r="A52" s="14" t="s">
        <v>90</v>
      </c>
      <c r="B52" s="14" t="n">
        <v>1</v>
      </c>
      <c r="C52" s="11" t="n">
        <v>0.523650058816833</v>
      </c>
      <c r="D52" s="11" t="n">
        <v>0.511520125267382</v>
      </c>
      <c r="E52" s="12" t="n">
        <f aca="false">(D52-C52)*100</f>
        <v>-1.21299335494515</v>
      </c>
      <c r="F52" s="11" t="n">
        <v>0.0380933859522635</v>
      </c>
      <c r="G52" s="11" t="n">
        <v>0.0204608050106953</v>
      </c>
      <c r="H52" s="12" t="n">
        <f aca="false">(G52-F52)*100</f>
        <v>-1.76325809415682</v>
      </c>
      <c r="I52" s="11" t="n">
        <v>0.040465032444124</v>
      </c>
      <c r="J52" s="11" t="n">
        <v>0.0318620940344206</v>
      </c>
      <c r="K52" s="12" t="n">
        <f aca="false">(J52-I52)*100</f>
        <v>-0.860293840970344</v>
      </c>
      <c r="L52" s="11" t="n">
        <v>0.0924372936667552</v>
      </c>
      <c r="M52" s="11" t="n">
        <v>0.136410026982818</v>
      </c>
      <c r="N52" s="12" t="n">
        <f aca="false">(M52-L52)*100</f>
        <v>4.39727333160625</v>
      </c>
      <c r="O52" s="11" t="n">
        <v>0.066292262740485</v>
      </c>
      <c r="P52" s="11" t="n">
        <v>0.105582507304934</v>
      </c>
      <c r="Q52" s="12" t="n">
        <f aca="false">(P52-O52)*100</f>
        <v>3.92902445644489</v>
      </c>
      <c r="R52" s="11" t="n">
        <v>0.123961218836565</v>
      </c>
      <c r="S52" s="11" t="n">
        <v>0.0645071092035176</v>
      </c>
      <c r="T52" s="12" t="n">
        <f aca="false">(S52-R52)*100</f>
        <v>-5.94541096330476</v>
      </c>
      <c r="U52" s="11" t="n">
        <v>0.0237259515045725</v>
      </c>
      <c r="V52" s="11" t="n">
        <v>0.0293106099794483</v>
      </c>
      <c r="W52" s="12" t="n">
        <f aca="false">(V52-U52)*100</f>
        <v>0.558465847487578</v>
      </c>
      <c r="X52" s="11" t="n">
        <v>0.597076234204834</v>
      </c>
      <c r="Y52" s="11" t="n">
        <v>0.563843024312497</v>
      </c>
      <c r="Z52" s="12" t="n">
        <f aca="false">(Y52-X52)*100</f>
        <v>-3.3233209892337</v>
      </c>
      <c r="AA52" s="11" t="n">
        <v>0.282690775243805</v>
      </c>
      <c r="AB52" s="11" t="n">
        <v>0.306499643491269</v>
      </c>
      <c r="AC52" s="12" t="n">
        <f aca="false">(AB52-AA52)*100</f>
        <v>2.38088682474637</v>
      </c>
      <c r="AD52" s="11" t="n">
        <v>0.678176337942992</v>
      </c>
      <c r="AE52" s="11" t="n">
        <v>0.454269473817916</v>
      </c>
      <c r="AF52" s="12" t="n">
        <f aca="false">(AE52-AD52)*100</f>
        <v>-22.3906864125076</v>
      </c>
      <c r="AG52" s="11" t="n">
        <v>0.0360585132622472</v>
      </c>
      <c r="AH52" s="11" t="n">
        <v>0.0375382722608246</v>
      </c>
      <c r="AI52" s="12" t="n">
        <f aca="false">(AH52-AG52)*100</f>
        <v>0.14797589985774</v>
      </c>
      <c r="AJ52" s="14" t="s">
        <v>74</v>
      </c>
      <c r="AK52" s="14" t="s">
        <v>74</v>
      </c>
      <c r="AL52" s="14" t="s">
        <v>134</v>
      </c>
      <c r="AM52" s="20" t="n">
        <v>35.6951770196942</v>
      </c>
      <c r="AN52" s="20" t="n">
        <v>25.7343380821228</v>
      </c>
      <c r="AO52" s="12" t="n">
        <v>-9.96083893757131</v>
      </c>
    </row>
    <row r="53" customFormat="false" ht="15" hidden="false" customHeight="false" outlineLevel="0" collapsed="false">
      <c r="A53" s="14" t="s">
        <v>90</v>
      </c>
      <c r="B53" s="14" t="n">
        <v>2</v>
      </c>
      <c r="C53" s="11" t="n">
        <v>0.44026121169322</v>
      </c>
      <c r="D53" s="11" t="n">
        <v>0.354473584264497</v>
      </c>
      <c r="E53" s="12" t="n">
        <f aca="false">(D53-C53)*100</f>
        <v>-8.57876274287226</v>
      </c>
      <c r="F53" s="11" t="n">
        <v>0.027622787344503</v>
      </c>
      <c r="G53" s="11" t="n">
        <v>0.0241019849281388</v>
      </c>
      <c r="H53" s="12" t="n">
        <f aca="false">(G53-F53)*100</f>
        <v>-0.352080241636418</v>
      </c>
      <c r="I53" s="11" t="n">
        <v>0.0470235369894693</v>
      </c>
      <c r="J53" s="11" t="n">
        <v>0.0263457732824275</v>
      </c>
      <c r="K53" s="12" t="n">
        <f aca="false">(J53-I53)*100</f>
        <v>-2.06777637070418</v>
      </c>
      <c r="L53" s="11" t="n">
        <v>0.16800273162555</v>
      </c>
      <c r="M53" s="11" t="n">
        <v>0.263507705838847</v>
      </c>
      <c r="N53" s="12" t="n">
        <f aca="false">(M53-L53)*100</f>
        <v>9.5504974213297</v>
      </c>
      <c r="O53" s="11" t="n">
        <v>0.102773531169244</v>
      </c>
      <c r="P53" s="11" t="n">
        <v>0.15284746237032</v>
      </c>
      <c r="Q53" s="12" t="n">
        <f aca="false">(P53-O53)*100</f>
        <v>5.00739312010756</v>
      </c>
      <c r="R53" s="11" t="n">
        <v>0.0983540404001211</v>
      </c>
      <c r="S53" s="11" t="n">
        <v>0.0815209786715174</v>
      </c>
      <c r="T53" s="12" t="n">
        <f aca="false">(S53-R53)*100</f>
        <v>-1.68330617286037</v>
      </c>
      <c r="U53" s="11" t="n">
        <v>0.0218064426009421</v>
      </c>
      <c r="V53" s="11" t="n">
        <v>0.0304085793671417</v>
      </c>
      <c r="W53" s="12" t="n">
        <f aca="false">(V53-U53)*100</f>
        <v>0.860213676619964</v>
      </c>
      <c r="X53" s="11" t="n">
        <v>0.498118127284438</v>
      </c>
      <c r="Y53" s="11" t="n">
        <v>0.404921342475064</v>
      </c>
      <c r="Z53" s="12" t="n">
        <f aca="false">(Y53-X53)*100</f>
        <v>-9.31967848093748</v>
      </c>
      <c r="AA53" s="11" t="n">
        <v>0.369130303194916</v>
      </c>
      <c r="AB53" s="11" t="n">
        <v>0.497876146880684</v>
      </c>
      <c r="AC53" s="12" t="n">
        <f aca="false">(AB53-AA53)*100</f>
        <v>12.8745843685769</v>
      </c>
      <c r="AD53" s="11" t="n">
        <v>0.70347997696211</v>
      </c>
      <c r="AE53" s="11" t="n">
        <v>0.541304977047531</v>
      </c>
      <c r="AF53" s="12" t="n">
        <f aca="false">(AE53-AD53)*100</f>
        <v>-16.217499991458</v>
      </c>
      <c r="AG53" s="11" t="n">
        <v>0.0337340234826674</v>
      </c>
      <c r="AH53" s="11" t="n">
        <v>0.0259259999600216</v>
      </c>
      <c r="AI53" s="12" t="n">
        <f aca="false">(AH53-AG53)*100</f>
        <v>-0.780802352264578</v>
      </c>
      <c r="AJ53" s="14" t="s">
        <v>74</v>
      </c>
      <c r="AK53" s="14" t="s">
        <v>132</v>
      </c>
      <c r="AL53" s="14" t="s">
        <v>133</v>
      </c>
      <c r="AM53" s="20" t="n">
        <v>20.9954912657825</v>
      </c>
      <c r="AN53" s="20" t="n">
        <v>9.2954804405621</v>
      </c>
      <c r="AO53" s="12" t="n">
        <v>-11.7000108252204</v>
      </c>
    </row>
    <row r="54" customFormat="false" ht="15" hidden="false" customHeight="false" outlineLevel="0" collapsed="false">
      <c r="A54" s="14" t="s">
        <v>90</v>
      </c>
      <c r="B54" s="14" t="n">
        <v>3</v>
      </c>
      <c r="C54" s="11" t="n">
        <v>0.458647166897238</v>
      </c>
      <c r="D54" s="11" t="n">
        <v>0.385824249424875</v>
      </c>
      <c r="E54" s="12" t="n">
        <f aca="false">(D54-C54)*100</f>
        <v>-7.28229174723638</v>
      </c>
      <c r="F54" s="11" t="n">
        <v>0.0317786219870148</v>
      </c>
      <c r="G54" s="11" t="n">
        <v>0.0176274740101533</v>
      </c>
      <c r="H54" s="12" t="n">
        <f aca="false">(G54-F54)*100</f>
        <v>-1.41511479768615</v>
      </c>
      <c r="I54" s="11" t="n">
        <v>0.0425056910926166</v>
      </c>
      <c r="J54" s="11" t="n">
        <v>0.0301297793653721</v>
      </c>
      <c r="K54" s="12" t="n">
        <f aca="false">(J54-I54)*100</f>
        <v>-1.23759117272445</v>
      </c>
      <c r="L54" s="11" t="n">
        <v>0.183864379981994</v>
      </c>
      <c r="M54" s="11" t="n">
        <v>0.278229681327108</v>
      </c>
      <c r="N54" s="12" t="n">
        <f aca="false">(M54-L54)*100</f>
        <v>9.43653013451146</v>
      </c>
      <c r="O54" s="11" t="n">
        <v>0.0880527313584693</v>
      </c>
      <c r="P54" s="11" t="n">
        <v>0.129425068675319</v>
      </c>
      <c r="Q54" s="12" t="n">
        <f aca="false">(P54-O54)*100</f>
        <v>4.13723373168493</v>
      </c>
      <c r="R54" s="11" t="n">
        <v>0.0815857470153788</v>
      </c>
      <c r="S54" s="11" t="n">
        <v>0.0246357538754235</v>
      </c>
      <c r="T54" s="12" t="n">
        <f aca="false">(S54-R54)*100</f>
        <v>-5.69499931399553</v>
      </c>
      <c r="U54" s="11" t="n">
        <v>0.0296924980053727</v>
      </c>
      <c r="V54" s="11" t="n">
        <v>0.024014521311189</v>
      </c>
      <c r="W54" s="12" t="n">
        <f aca="false">(V54-U54)*100</f>
        <v>-0.56779766941837</v>
      </c>
      <c r="X54" s="11" t="n">
        <v>0.519920654091365</v>
      </c>
      <c r="Y54" s="11" t="n">
        <v>0.4335815028004</v>
      </c>
      <c r="Z54" s="12" t="n">
        <f aca="false">(Y54-X54)*100</f>
        <v>-8.6339151290965</v>
      </c>
      <c r="AA54" s="11" t="n">
        <v>0.353502858355842</v>
      </c>
      <c r="AB54" s="11" t="n">
        <v>0.43229050387785</v>
      </c>
      <c r="AC54" s="12" t="n">
        <f aca="false">(AB54-AA54)*100</f>
        <v>7.87876455220087</v>
      </c>
      <c r="AD54" s="11" t="n">
        <v>0.722374974883937</v>
      </c>
      <c r="AE54" s="11" t="n">
        <v>0.539485707852106</v>
      </c>
      <c r="AF54" s="12" t="n">
        <f aca="false">(AE54-AD54)*100</f>
        <v>-18.2889267031831</v>
      </c>
      <c r="AG54" s="11" t="n">
        <v>0.0343917667640191</v>
      </c>
      <c r="AH54" s="11" t="n">
        <v>0.0261354481125208</v>
      </c>
      <c r="AI54" s="12" t="n">
        <f aca="false">(AH54-AG54)*100</f>
        <v>-0.825631865149837</v>
      </c>
      <c r="AJ54" s="14" t="s">
        <v>74</v>
      </c>
      <c r="AK54" s="14" t="s">
        <v>74</v>
      </c>
      <c r="AL54" s="14" t="s">
        <v>134</v>
      </c>
      <c r="AM54" s="20" t="n">
        <v>22.477802908862</v>
      </c>
      <c r="AN54" s="20" t="n">
        <v>0.129099892254977</v>
      </c>
      <c r="AO54" s="12" t="n">
        <v>-22.348703016607</v>
      </c>
    </row>
    <row r="55" customFormat="false" ht="15" hidden="false" customHeight="false" outlineLevel="0" collapsed="false">
      <c r="A55" s="14" t="s">
        <v>90</v>
      </c>
      <c r="B55" s="14" t="n">
        <v>4</v>
      </c>
      <c r="C55" s="11" t="n">
        <v>0.504951004611331</v>
      </c>
      <c r="D55" s="11" t="n">
        <v>0.485506905210295</v>
      </c>
      <c r="E55" s="12" t="n">
        <f aca="false">(D55-C55)*100</f>
        <v>-1.94440994010357</v>
      </c>
      <c r="F55" s="11" t="n">
        <v>0.0451560441370224</v>
      </c>
      <c r="G55" s="11" t="n">
        <v>0.0414704959196485</v>
      </c>
      <c r="H55" s="12" t="n">
        <f aca="false">(G55-F55)*100</f>
        <v>-0.368554821737394</v>
      </c>
      <c r="I55" s="11" t="n">
        <v>0.043848814229249</v>
      </c>
      <c r="J55" s="11" t="n">
        <v>0.0303201506591337</v>
      </c>
      <c r="K55" s="12" t="n">
        <f aca="false">(J55-I55)*100</f>
        <v>-1.35286635701153</v>
      </c>
      <c r="L55" s="11" t="n">
        <v>0.0953351449275362</v>
      </c>
      <c r="M55" s="11" t="n">
        <v>0.159220025109856</v>
      </c>
      <c r="N55" s="12" t="n">
        <f aca="false">(M55-L55)*100</f>
        <v>6.38848801823194</v>
      </c>
      <c r="O55" s="11" t="n">
        <v>0.0632977190382082</v>
      </c>
      <c r="P55" s="11" t="n">
        <v>0.124121155053358</v>
      </c>
      <c r="Q55" s="12" t="n">
        <f aca="false">(P55-O55)*100</f>
        <v>6.08234360151502</v>
      </c>
      <c r="R55" s="11" t="n">
        <v>0.135154191370224</v>
      </c>
      <c r="S55" s="11" t="n">
        <v>0.033890458254865</v>
      </c>
      <c r="T55" s="12" t="n">
        <f aca="false">(S55-R55)*100</f>
        <v>-10.1263733115359</v>
      </c>
      <c r="U55" s="11" t="n">
        <v>0.0249094202898551</v>
      </c>
      <c r="V55" s="11" t="n">
        <v>0.0357266164469554</v>
      </c>
      <c r="W55" s="12" t="n">
        <f aca="false">(V55-U55)*100</f>
        <v>1.08171961571004</v>
      </c>
      <c r="X55" s="11" t="n">
        <v>0.583508316864295</v>
      </c>
      <c r="Y55" s="11" t="n">
        <v>0.557297551789077</v>
      </c>
      <c r="Z55" s="12" t="n">
        <f aca="false">(Y55-X55)*100</f>
        <v>-2.62107650752179</v>
      </c>
      <c r="AA55" s="11" t="n">
        <v>0.293787055335968</v>
      </c>
      <c r="AB55" s="11" t="n">
        <v>0.317231638418079</v>
      </c>
      <c r="AC55" s="12" t="n">
        <f aca="false">(AB55-AA55)*100</f>
        <v>2.34445830821107</v>
      </c>
      <c r="AD55" s="11" t="n">
        <v>0.692831851780538</v>
      </c>
      <c r="AE55" s="11" t="n">
        <v>0.442013478220154</v>
      </c>
      <c r="AF55" s="12" t="n">
        <f aca="false">(AE55-AD55)*100</f>
        <v>-25.0818373560384</v>
      </c>
      <c r="AG55" s="11" t="n">
        <v>0.0380434782608696</v>
      </c>
      <c r="AH55" s="11" t="n">
        <v>0.0312146892655367</v>
      </c>
      <c r="AI55" s="12" t="n">
        <f aca="false">(AH55-AG55)*100</f>
        <v>-0.682878899533285</v>
      </c>
      <c r="AJ55" s="14" t="s">
        <v>74</v>
      </c>
      <c r="AK55" s="14" t="s">
        <v>74</v>
      </c>
      <c r="AL55" s="14" t="s">
        <v>134</v>
      </c>
      <c r="AM55" s="20" t="n">
        <v>32.810956027668</v>
      </c>
      <c r="AN55" s="20" t="n">
        <v>24.0065913370998</v>
      </c>
      <c r="AO55" s="12" t="n">
        <v>-8.80436469056818</v>
      </c>
    </row>
    <row r="56" customFormat="false" ht="15" hidden="false" customHeight="false" outlineLevel="0" collapsed="false">
      <c r="A56" s="14" t="s">
        <v>90</v>
      </c>
      <c r="B56" s="14" t="n">
        <v>5</v>
      </c>
      <c r="C56" s="11" t="n">
        <v>0.44413777119952</v>
      </c>
      <c r="D56" s="11" t="n">
        <v>0.333342280798293</v>
      </c>
      <c r="E56" s="12" t="n">
        <f aca="false">(D56-C56)*100</f>
        <v>-11.0795490401227</v>
      </c>
      <c r="F56" s="11" t="n">
        <v>0.0337369832131514</v>
      </c>
      <c r="G56" s="11" t="n">
        <v>0.0165818894361755</v>
      </c>
      <c r="H56" s="12" t="n">
        <f aca="false">(G56-F56)*100</f>
        <v>-1.71550937769759</v>
      </c>
      <c r="I56" s="11" t="n">
        <v>0.0524779959020495</v>
      </c>
      <c r="J56" s="11" t="n">
        <v>0.018346776899435</v>
      </c>
      <c r="K56" s="12" t="n">
        <f aca="false">(J56-I56)*100</f>
        <v>-3.41312190026145</v>
      </c>
      <c r="L56" s="11" t="n">
        <v>0.203475356990482</v>
      </c>
      <c r="M56" s="11" t="n">
        <v>0.294749627561771</v>
      </c>
      <c r="N56" s="12" t="n">
        <f aca="false">(M56-L56)*100</f>
        <v>9.12742705712891</v>
      </c>
      <c r="O56" s="11" t="n">
        <v>0.0954327340914717</v>
      </c>
      <c r="P56" s="11" t="n">
        <v>0.137439772376491</v>
      </c>
      <c r="Q56" s="12" t="n">
        <f aca="false">(P56-O56)*100</f>
        <v>4.20070382850197</v>
      </c>
      <c r="R56" s="11" t="n">
        <v>0.0608371828433877</v>
      </c>
      <c r="S56" s="11" t="n">
        <v>0.0320565300836141</v>
      </c>
      <c r="T56" s="12" t="n">
        <f aca="false">(S56-R56)*100</f>
        <v>-2.87806527597737</v>
      </c>
      <c r="U56" s="11" t="n">
        <v>0.025383063560371</v>
      </c>
      <c r="V56" s="11" t="n">
        <v>0.0758230549329611</v>
      </c>
      <c r="W56" s="12" t="n">
        <f aca="false">(V56-U56)*100</f>
        <v>5.04399913725901</v>
      </c>
      <c r="X56" s="11" t="n">
        <v>0.506939652674993</v>
      </c>
      <c r="Y56" s="11" t="n">
        <v>0.368270947133903</v>
      </c>
      <c r="Z56" s="12" t="n">
        <f aca="false">(Y56-X56)*100</f>
        <v>-13.8668705541089</v>
      </c>
      <c r="AA56" s="11" t="n">
        <v>0.359745273925341</v>
      </c>
      <c r="AB56" s="11" t="n">
        <v>0.464245930021877</v>
      </c>
      <c r="AC56" s="12" t="n">
        <f aca="false">(AB56-AA56)*100</f>
        <v>10.4500656096535</v>
      </c>
      <c r="AD56" s="11" t="n">
        <v>0.703388919969323</v>
      </c>
      <c r="AE56" s="11" t="n">
        <v>0.530498180860229</v>
      </c>
      <c r="AF56" s="12" t="n">
        <f aca="false">(AE56-AD56)*100</f>
        <v>-17.2890739109094</v>
      </c>
      <c r="AG56" s="11" t="n">
        <v>0.037813864556942</v>
      </c>
      <c r="AH56" s="11" t="n">
        <v>0.0275537183427505</v>
      </c>
      <c r="AI56" s="12" t="n">
        <f aca="false">(AH56-AG56)*100</f>
        <v>-1.02601462141915</v>
      </c>
      <c r="AJ56" s="14" t="s">
        <v>74</v>
      </c>
      <c r="AK56" s="14" t="s">
        <v>132</v>
      </c>
      <c r="AL56" s="14" t="s">
        <v>133</v>
      </c>
      <c r="AM56" s="20" t="n">
        <v>21.7244049280752</v>
      </c>
      <c r="AN56" s="20" t="n">
        <v>9.59749828879733</v>
      </c>
      <c r="AO56" s="12" t="n">
        <v>-12.1269066392779</v>
      </c>
    </row>
    <row r="57" customFormat="false" ht="15" hidden="false" customHeight="false" outlineLevel="0" collapsed="false">
      <c r="A57" s="14" t="s">
        <v>90</v>
      </c>
      <c r="B57" s="14" t="n">
        <v>6</v>
      </c>
      <c r="C57" s="11" t="n">
        <v>0.395828261052408</v>
      </c>
      <c r="D57" s="11" t="n">
        <v>0.285306429108082</v>
      </c>
      <c r="E57" s="12" t="n">
        <f aca="false">(D57-C57)*100</f>
        <v>-11.0521831944326</v>
      </c>
      <c r="F57" s="11" t="n">
        <v>0.0307391290875206</v>
      </c>
      <c r="G57" s="11" t="n">
        <v>0.0327519587850166</v>
      </c>
      <c r="H57" s="12" t="n">
        <f aca="false">(G57-F57)*100</f>
        <v>0.2012829697496</v>
      </c>
      <c r="I57" s="11" t="n">
        <v>0.0461441073744694</v>
      </c>
      <c r="J57" s="11" t="n">
        <v>0.0247289900182462</v>
      </c>
      <c r="K57" s="12" t="n">
        <f aca="false">(J57-I57)*100</f>
        <v>-2.14151173562231</v>
      </c>
      <c r="L57" s="11" t="n">
        <v>0.211048202531197</v>
      </c>
      <c r="M57" s="11" t="n">
        <v>0.306284211656113</v>
      </c>
      <c r="N57" s="12" t="n">
        <f aca="false">(M57-L57)*100</f>
        <v>9.52360091249152</v>
      </c>
      <c r="O57" s="11" t="n">
        <v>0.142898880483043</v>
      </c>
      <c r="P57" s="11" t="n">
        <v>0.200729848663733</v>
      </c>
      <c r="Q57" s="12" t="n">
        <f aca="false">(P57-O57)*100</f>
        <v>5.78309681806896</v>
      </c>
      <c r="R57" s="11" t="n">
        <v>0.0600262947043174</v>
      </c>
      <c r="S57" s="11" t="n">
        <v>0.0313244606633036</v>
      </c>
      <c r="T57" s="12" t="n">
        <f aca="false">(S57-R57)*100</f>
        <v>-2.87018340410137</v>
      </c>
      <c r="U57" s="11" t="n">
        <v>0.0358254279529528</v>
      </c>
      <c r="V57" s="11" t="n">
        <v>0.0309649028657293</v>
      </c>
      <c r="W57" s="12" t="n">
        <f aca="false">(V57-U57)*100</f>
        <v>-0.486052508722353</v>
      </c>
      <c r="X57" s="11" t="n">
        <v>0.449626163673468</v>
      </c>
      <c r="Y57" s="11" t="n">
        <v>0.342787377911345</v>
      </c>
      <c r="Z57" s="12" t="n">
        <f aca="false">(Y57-X57)*100</f>
        <v>-10.6838785762123</v>
      </c>
      <c r="AA57" s="11" t="n">
        <v>0.413973377718558</v>
      </c>
      <c r="AB57" s="11" t="n">
        <v>0.538338520983149</v>
      </c>
      <c r="AC57" s="12" t="n">
        <f aca="false">(AB57-AA57)*100</f>
        <v>12.4365143264591</v>
      </c>
      <c r="AD57" s="11" t="n">
        <v>0.715530976114231</v>
      </c>
      <c r="AE57" s="11" t="n">
        <v>0.570368624522117</v>
      </c>
      <c r="AF57" s="12" t="n">
        <f aca="false">(AE57-AD57)*100</f>
        <v>-14.5162351592114</v>
      </c>
      <c r="AG57" s="11" t="n">
        <v>0.0360733241552716</v>
      </c>
      <c r="AH57" s="11" t="n">
        <v>0.0321884726843405</v>
      </c>
      <c r="AI57" s="12" t="n">
        <f aca="false">(AH57-AG57)*100</f>
        <v>-0.38848514709311</v>
      </c>
      <c r="AJ57" s="14" t="s">
        <v>74</v>
      </c>
      <c r="AK57" s="14" t="s">
        <v>132</v>
      </c>
      <c r="AL57" s="14" t="s">
        <v>133</v>
      </c>
      <c r="AM57" s="20" t="n">
        <v>14.2726238485</v>
      </c>
      <c r="AN57" s="20" t="n">
        <v>19.5551143071804</v>
      </c>
      <c r="AO57" s="12" t="n">
        <v>5.28249045868042</v>
      </c>
    </row>
    <row r="58" customFormat="false" ht="15" hidden="false" customHeight="false" outlineLevel="0" collapsed="false">
      <c r="A58" s="14" t="s">
        <v>90</v>
      </c>
      <c r="B58" s="14" t="n">
        <v>7</v>
      </c>
      <c r="C58" s="11" t="n">
        <v>0.45989021534682</v>
      </c>
      <c r="D58" s="11" t="n">
        <v>0.4310803421163</v>
      </c>
      <c r="E58" s="12" t="n">
        <f aca="false">(D58-C58)*100</f>
        <v>-2.88098732305193</v>
      </c>
      <c r="F58" s="11" t="n">
        <v>0.0288203907719473</v>
      </c>
      <c r="G58" s="11" t="n">
        <v>0.018682608026248</v>
      </c>
      <c r="H58" s="12" t="n">
        <f aca="false">(G58-F58)*100</f>
        <v>-1.01377827456993</v>
      </c>
      <c r="I58" s="11" t="n">
        <v>0.0399024989443783</v>
      </c>
      <c r="J58" s="11" t="n">
        <v>0.0250375616515447</v>
      </c>
      <c r="K58" s="12" t="n">
        <f aca="false">(J58-I58)*100</f>
        <v>-1.48649372928337</v>
      </c>
      <c r="L58" s="11" t="n">
        <v>0.107182065947564</v>
      </c>
      <c r="M58" s="11" t="n">
        <v>0.165133231045302</v>
      </c>
      <c r="N58" s="12" t="n">
        <f aca="false">(M58-L58)*100</f>
        <v>5.79511650977379</v>
      </c>
      <c r="O58" s="11" t="n">
        <v>0.0857164792138498</v>
      </c>
      <c r="P58" s="11" t="n">
        <v>0.149800644520777</v>
      </c>
      <c r="Q58" s="12" t="n">
        <f aca="false">(P58-O58)*100</f>
        <v>6.40841653069272</v>
      </c>
      <c r="R58" s="11" t="n">
        <v>0.171763080112088</v>
      </c>
      <c r="S58" s="11" t="n">
        <v>0.0989769427204723</v>
      </c>
      <c r="T58" s="12" t="n">
        <f aca="false">(S58-R58)*100</f>
        <v>-7.27861373916155</v>
      </c>
      <c r="U58" s="11" t="n">
        <v>0.0286399754328049</v>
      </c>
      <c r="V58" s="11" t="n">
        <v>0.0312226251214449</v>
      </c>
      <c r="W58" s="12" t="n">
        <f aca="false">(V58-U58)*100</f>
        <v>0.258264968864004</v>
      </c>
      <c r="X58" s="11" t="n">
        <v>0.517035814364132</v>
      </c>
      <c r="Y58" s="11" t="n">
        <v>0.474800511794093</v>
      </c>
      <c r="Z58" s="12" t="n">
        <f aca="false">(Y58-X58)*100</f>
        <v>-4.22353025700388</v>
      </c>
      <c r="AA58" s="11" t="n">
        <v>0.364661625273502</v>
      </c>
      <c r="AB58" s="11" t="n">
        <v>0.413910818286552</v>
      </c>
      <c r="AC58" s="12" t="n">
        <f aca="false">(AB58-AA58)*100</f>
        <v>4.92491930130496</v>
      </c>
      <c r="AD58" s="11" t="n">
        <v>0.70944795901972</v>
      </c>
      <c r="AE58" s="11" t="n">
        <v>0.51092195811328</v>
      </c>
      <c r="AF58" s="12" t="n">
        <f aca="false">(AE58-AD58)*100</f>
        <v>-19.8526000906439</v>
      </c>
      <c r="AG58" s="11" t="n">
        <v>0.0328701393420598</v>
      </c>
      <c r="AH58" s="11" t="n">
        <v>0.0315995689037307</v>
      </c>
      <c r="AI58" s="12" t="n">
        <f aca="false">(AH58-AG58)*100</f>
        <v>-0.127057043832911</v>
      </c>
      <c r="AJ58" s="14" t="s">
        <v>74</v>
      </c>
      <c r="AK58" s="14" t="s">
        <v>74</v>
      </c>
      <c r="AL58" s="14" t="s">
        <v>134</v>
      </c>
      <c r="AM58" s="20" t="n">
        <v>20.9450692871675</v>
      </c>
      <c r="AN58" s="20" t="n">
        <v>6.08896935075415</v>
      </c>
      <c r="AO58" s="12" t="n">
        <v>-14.8560999364133</v>
      </c>
    </row>
    <row r="59" customFormat="false" ht="15" hidden="false" customHeight="false" outlineLevel="0" collapsed="false">
      <c r="A59" s="14" t="s">
        <v>90</v>
      </c>
      <c r="B59" s="14" t="n">
        <v>8</v>
      </c>
      <c r="C59" s="11" t="n">
        <v>0.455019500759108</v>
      </c>
      <c r="D59" s="11" t="n">
        <v>0.406564400221117</v>
      </c>
      <c r="E59" s="12" t="n">
        <f aca="false">(D59-C59)*100</f>
        <v>-4.84551005379914</v>
      </c>
      <c r="F59" s="11" t="n">
        <v>0.0310778260006545</v>
      </c>
      <c r="G59" s="11" t="n">
        <v>0.0233278054173577</v>
      </c>
      <c r="H59" s="12" t="n">
        <f aca="false">(G59-F59)*100</f>
        <v>-0.775002058329684</v>
      </c>
      <c r="I59" s="11" t="n">
        <v>0.0489155217458947</v>
      </c>
      <c r="J59" s="11" t="n">
        <v>0.0220909342177999</v>
      </c>
      <c r="K59" s="12" t="n">
        <f aca="false">(J59-I59)*100</f>
        <v>-2.68245875280948</v>
      </c>
      <c r="L59" s="11" t="n">
        <v>0.119703009071742</v>
      </c>
      <c r="M59" s="11" t="n">
        <v>0.177300995024876</v>
      </c>
      <c r="N59" s="12" t="n">
        <f aca="false">(M59-L59)*100</f>
        <v>5.75979859531332</v>
      </c>
      <c r="O59" s="11" t="n">
        <v>0.117980933783255</v>
      </c>
      <c r="P59" s="11" t="n">
        <v>0.20616362631288</v>
      </c>
      <c r="Q59" s="12" t="n">
        <f aca="false">(P59-O59)*100</f>
        <v>8.81826925296254</v>
      </c>
      <c r="R59" s="11" t="n">
        <v>0.107814788388599</v>
      </c>
      <c r="S59" s="11" t="n">
        <v>0.0402432283029298</v>
      </c>
      <c r="T59" s="12" t="n">
        <f aca="false">(S59-R59)*100</f>
        <v>-6.75715600856691</v>
      </c>
      <c r="U59" s="11" t="n">
        <v>0.0255628933010735</v>
      </c>
      <c r="V59" s="11" t="n">
        <v>0.0320411829740188</v>
      </c>
      <c r="W59" s="12" t="n">
        <f aca="false">(V59-U59)*100</f>
        <v>0.647828967294532</v>
      </c>
      <c r="X59" s="11" t="n">
        <v>0.518907957489955</v>
      </c>
      <c r="Y59" s="11" t="n">
        <v>0.451983139856274</v>
      </c>
      <c r="Z59" s="12" t="n">
        <f aca="false">(Y59-X59)*100</f>
        <v>-6.69248176336804</v>
      </c>
      <c r="AA59" s="11" t="n">
        <v>0.345498731243596</v>
      </c>
      <c r="AB59" s="11" t="n">
        <v>0.423707849640686</v>
      </c>
      <c r="AC59" s="12" t="n">
        <f aca="false">(AB59-AA59)*100</f>
        <v>7.82091183970896</v>
      </c>
      <c r="AD59" s="11" t="n">
        <v>0.670917421616583</v>
      </c>
      <c r="AE59" s="11" t="n">
        <v>0.511756031839769</v>
      </c>
      <c r="AF59" s="12" t="n">
        <f aca="false">(AE59-AD59)*100</f>
        <v>-15.9161389776814</v>
      </c>
      <c r="AG59" s="11" t="n">
        <v>0.0392643895216279</v>
      </c>
      <c r="AH59" s="11" t="n">
        <v>0.0334646213377557</v>
      </c>
      <c r="AI59" s="12" t="n">
        <f aca="false">(AH59-AG59)*100</f>
        <v>-0.579976818387221</v>
      </c>
      <c r="AJ59" s="14" t="s">
        <v>74</v>
      </c>
      <c r="AK59" s="14" t="s">
        <v>74</v>
      </c>
      <c r="AL59" s="14" t="s">
        <v>134</v>
      </c>
      <c r="AM59" s="20" t="n">
        <v>26.582726672854</v>
      </c>
      <c r="AN59" s="20" t="n">
        <v>2.82752902155887</v>
      </c>
      <c r="AO59" s="12" t="n">
        <v>-23.7551976512951</v>
      </c>
    </row>
    <row r="60" customFormat="false" ht="15" hidden="false" customHeight="false" outlineLevel="0" collapsed="false">
      <c r="A60" s="14" t="s">
        <v>90</v>
      </c>
      <c r="B60" s="14" t="n">
        <v>9</v>
      </c>
      <c r="C60" s="11" t="n">
        <v>0.505167569992913</v>
      </c>
      <c r="D60" s="11" t="n">
        <v>0.434201072638997</v>
      </c>
      <c r="E60" s="12" t="n">
        <f aca="false">(D60-C60)*100</f>
        <v>-7.0966497353916</v>
      </c>
      <c r="F60" s="11" t="n">
        <v>0.0395916931376098</v>
      </c>
      <c r="G60" s="11" t="n">
        <v>0.0325492956724314</v>
      </c>
      <c r="H60" s="12" t="n">
        <f aca="false">(G60-F60)*100</f>
        <v>-0.704239746517837</v>
      </c>
      <c r="I60" s="11" t="n">
        <v>0.0745333380921546</v>
      </c>
      <c r="J60" s="11" t="n">
        <v>0.0579718559267296</v>
      </c>
      <c r="K60" s="12" t="n">
        <f aca="false">(J60-I60)*100</f>
        <v>-1.6561482165425</v>
      </c>
      <c r="L60" s="11" t="n">
        <v>0.0869691577396279</v>
      </c>
      <c r="M60" s="11" t="n">
        <v>0.106886516535913</v>
      </c>
      <c r="N60" s="12" t="n">
        <f aca="false">(M60-L60)*100</f>
        <v>1.99173587962852</v>
      </c>
      <c r="O60" s="11" t="n">
        <v>0.0854089442045205</v>
      </c>
      <c r="P60" s="11" t="n">
        <v>0.168646718581039</v>
      </c>
      <c r="Q60" s="12" t="n">
        <f aca="false">(P60-O60)*100</f>
        <v>8.32377743765189</v>
      </c>
      <c r="R60" s="11" t="n">
        <v>0.0761292427865618</v>
      </c>
      <c r="S60" s="11" t="n">
        <v>0.0618255183575125</v>
      </c>
      <c r="T60" s="12" t="n">
        <f aca="false">(S60-R60)*100</f>
        <v>-1.43037244290493</v>
      </c>
      <c r="U60" s="11" t="n">
        <v>0.0286701983918583</v>
      </c>
      <c r="V60" s="11" t="n">
        <v>0.0302051657945729</v>
      </c>
      <c r="W60" s="12" t="n">
        <f aca="false">(V60-U60)*100</f>
        <v>0.15349674027146</v>
      </c>
      <c r="X60" s="11" t="n">
        <v>0.578946295002728</v>
      </c>
      <c r="Y60" s="11" t="n">
        <v>0.524722224238158</v>
      </c>
      <c r="Z60" s="12" t="n">
        <f aca="false">(Y60-X60)*100</f>
        <v>-5.422407076457</v>
      </c>
      <c r="AA60" s="11" t="n">
        <v>0.24850734473071</v>
      </c>
      <c r="AB60" s="11" t="n">
        <v>0.337358753474465</v>
      </c>
      <c r="AC60" s="12" t="n">
        <f aca="false">(AB60-AA60)*100</f>
        <v>8.88514087437547</v>
      </c>
      <c r="AD60" s="11" t="n">
        <v>0.666414091647355</v>
      </c>
      <c r="AE60" s="11" t="n">
        <v>0.449918042957245</v>
      </c>
      <c r="AF60" s="12" t="n">
        <f aca="false">(AE60-AD60)*100</f>
        <v>-21.649604869011</v>
      </c>
      <c r="AG60" s="11" t="n">
        <v>0.0393979411299821</v>
      </c>
      <c r="AH60" s="11" t="n">
        <v>0.0407065773526573</v>
      </c>
      <c r="AI60" s="12" t="n">
        <f aca="false">(AH60-AG60)*100</f>
        <v>0.130863622267519</v>
      </c>
      <c r="AJ60" s="14" t="s">
        <v>74</v>
      </c>
      <c r="AK60" s="14" t="s">
        <v>74</v>
      </c>
      <c r="AL60" s="14" t="s">
        <v>134</v>
      </c>
      <c r="AM60" s="20" t="n">
        <v>38.717769608468</v>
      </c>
      <c r="AN60" s="20" t="n">
        <v>18.7363470763693</v>
      </c>
      <c r="AO60" s="12" t="n">
        <v>-19.9814225320987</v>
      </c>
    </row>
    <row r="61" customFormat="false" ht="15" hidden="false" customHeight="false" outlineLevel="0" collapsed="false">
      <c r="A61" s="14" t="s">
        <v>90</v>
      </c>
      <c r="B61" s="14" t="n">
        <v>10</v>
      </c>
      <c r="C61" s="11" t="n">
        <v>0.376916248194719</v>
      </c>
      <c r="D61" s="11" t="n">
        <v>0.310464957074254</v>
      </c>
      <c r="E61" s="12" t="n">
        <f aca="false">(D61-C61)*100</f>
        <v>-6.64512911204644</v>
      </c>
      <c r="F61" s="11" t="n">
        <v>0.0279746841033659</v>
      </c>
      <c r="G61" s="11" t="n">
        <v>0.0200303243898358</v>
      </c>
      <c r="H61" s="12" t="n">
        <f aca="false">(G61-F61)*100</f>
        <v>-0.794435971353013</v>
      </c>
      <c r="I61" s="11" t="n">
        <v>0.041807445488232</v>
      </c>
      <c r="J61" s="11" t="n">
        <v>0.0163538724448659</v>
      </c>
      <c r="K61" s="12" t="n">
        <f aca="false">(J61-I61)*100</f>
        <v>-2.54535730433661</v>
      </c>
      <c r="L61" s="11" t="n">
        <v>0.311153215940358</v>
      </c>
      <c r="M61" s="11" t="n">
        <v>0.447457162996131</v>
      </c>
      <c r="N61" s="12" t="n">
        <f aca="false">(M61-L61)*100</f>
        <v>13.6303947055773</v>
      </c>
      <c r="O61" s="11" t="n">
        <v>0.107212733913673</v>
      </c>
      <c r="P61" s="11" t="n">
        <v>0.0974944346124006</v>
      </c>
      <c r="Q61" s="12" t="n">
        <f aca="false">(P61-O61)*100</f>
        <v>-0.971829930127274</v>
      </c>
      <c r="R61" s="11" t="n">
        <v>0.0368520309691325</v>
      </c>
      <c r="S61" s="11" t="n">
        <v>0.0173731370530575</v>
      </c>
      <c r="T61" s="12" t="n">
        <f aca="false">(S61-R61)*100</f>
        <v>-1.94788939160749</v>
      </c>
      <c r="U61" s="11" t="n">
        <v>0.0262875465398222</v>
      </c>
      <c r="V61" s="11" t="n">
        <v>0.0460443912556224</v>
      </c>
      <c r="W61" s="12" t="n">
        <f aca="false">(V61-U61)*100</f>
        <v>1.97568447158002</v>
      </c>
      <c r="X61" s="11" t="n">
        <v>0.429345593788507</v>
      </c>
      <c r="Y61" s="11" t="n">
        <v>0.346849153908956</v>
      </c>
      <c r="Z61" s="12" t="n">
        <f aca="false">(Y61-X61)*100</f>
        <v>-8.24964398795514</v>
      </c>
      <c r="AA61" s="11" t="n">
        <v>0.455217980823164</v>
      </c>
      <c r="AB61" s="11" t="n">
        <v>0.562324734661589</v>
      </c>
      <c r="AC61" s="12" t="n">
        <f aca="false">(AB61-AA61)*100</f>
        <v>10.7106753838425</v>
      </c>
      <c r="AD61" s="11" t="n">
        <v>0.708668884722644</v>
      </c>
      <c r="AE61" s="11" t="n">
        <v>0.609118820811248</v>
      </c>
      <c r="AF61" s="12" t="n">
        <f aca="false">(AE61-AD61)*100</f>
        <v>-9.95500639113956</v>
      </c>
      <c r="AG61" s="11" t="n">
        <v>0.0309912154015343</v>
      </c>
      <c r="AH61" s="11" t="n">
        <v>0.018412685534049</v>
      </c>
      <c r="AI61" s="12" t="n">
        <f aca="false">(AH61-AG61)*100</f>
        <v>-1.25785298674853</v>
      </c>
      <c r="AJ61" s="14" t="s">
        <v>74</v>
      </c>
      <c r="AK61" s="14" t="s">
        <v>132</v>
      </c>
      <c r="AL61" s="14" t="s">
        <v>133</v>
      </c>
      <c r="AM61" s="20" t="n">
        <v>5.50528003391942</v>
      </c>
      <c r="AN61" s="20" t="n">
        <v>21.5475580752633</v>
      </c>
      <c r="AO61" s="12" t="n">
        <v>16.0422780413439</v>
      </c>
    </row>
    <row r="62" customFormat="false" ht="15" hidden="false" customHeight="false" outlineLevel="0" collapsed="false">
      <c r="A62" s="14" t="s">
        <v>90</v>
      </c>
      <c r="B62" s="14" t="n">
        <v>11</v>
      </c>
      <c r="C62" s="11" t="n">
        <v>0.427737280057469</v>
      </c>
      <c r="D62" s="11" t="n">
        <v>0.433908783389712</v>
      </c>
      <c r="E62" s="12" t="n">
        <f aca="false">(D62-C62)*100</f>
        <v>0.617150333224248</v>
      </c>
      <c r="F62" s="11" t="n">
        <v>0.0293011111673935</v>
      </c>
      <c r="G62" s="11" t="n">
        <v>0.0175667794237723</v>
      </c>
      <c r="H62" s="12" t="n">
        <f aca="false">(G62-F62)*100</f>
        <v>-1.17343317436212</v>
      </c>
      <c r="I62" s="11" t="n">
        <v>0.0373827472036618</v>
      </c>
      <c r="J62" s="11" t="n">
        <v>0.0210078152338738</v>
      </c>
      <c r="K62" s="12" t="n">
        <f aca="false">(J62-I62)*100</f>
        <v>-1.6374931969788</v>
      </c>
      <c r="L62" s="11" t="n">
        <v>0.120759443541368</v>
      </c>
      <c r="M62" s="11" t="n">
        <v>0.19749795870757</v>
      </c>
      <c r="N62" s="12" t="n">
        <f aca="false">(M62-L62)*100</f>
        <v>7.6738515166202</v>
      </c>
      <c r="O62" s="11" t="n">
        <v>0.0896762280172593</v>
      </c>
      <c r="P62" s="11" t="n">
        <v>0.154998250320775</v>
      </c>
      <c r="Q62" s="12" t="n">
        <f aca="false">(P62-O62)*100</f>
        <v>6.53220223035152</v>
      </c>
      <c r="R62" s="11" t="n">
        <v>0.193056700390037</v>
      </c>
      <c r="S62" s="11" t="n">
        <v>0.0649130992651347</v>
      </c>
      <c r="T62" s="12" t="n">
        <f aca="false">(S62-R62)*100</f>
        <v>-12.8143601124902</v>
      </c>
      <c r="U62" s="11" t="n">
        <v>0.0249678806772918</v>
      </c>
      <c r="V62" s="11" t="n">
        <v>0.0382771491893153</v>
      </c>
      <c r="W62" s="12" t="n">
        <f aca="false">(V62-U62)*100</f>
        <v>1.33092685120235</v>
      </c>
      <c r="X62" s="11" t="n">
        <v>0.48378837625887</v>
      </c>
      <c r="Y62" s="11" t="n">
        <v>0.472483378047358</v>
      </c>
      <c r="Z62" s="12" t="n">
        <f aca="false">(Y62-X62)*100</f>
        <v>-1.13049982115122</v>
      </c>
      <c r="AA62" s="11" t="n">
        <v>0.403492371948664</v>
      </c>
      <c r="AB62" s="11" t="n">
        <v>0.41740930829348</v>
      </c>
      <c r="AC62" s="12" t="n">
        <f aca="false">(AB62-AA62)*100</f>
        <v>1.39169363448153</v>
      </c>
      <c r="AD62" s="11" t="n">
        <v>0.70890080043874</v>
      </c>
      <c r="AE62" s="11" t="n">
        <v>0.559593473911639</v>
      </c>
      <c r="AF62" s="12" t="n">
        <f aca="false">(AE62-AD62)*100</f>
        <v>-14.9307326527101</v>
      </c>
      <c r="AG62" s="11" t="n">
        <v>0.0325383705027192</v>
      </c>
      <c r="AH62" s="11" t="n">
        <v>0.0304852443718652</v>
      </c>
      <c r="AI62" s="12" t="n">
        <f aca="false">(AH62-AG62)*100</f>
        <v>-0.205312613085404</v>
      </c>
      <c r="AJ62" s="14" t="s">
        <v>74</v>
      </c>
      <c r="AK62" s="14" t="s">
        <v>74</v>
      </c>
      <c r="AL62" s="14" t="s">
        <v>134</v>
      </c>
      <c r="AM62" s="20" t="n">
        <v>14.5004351650173</v>
      </c>
      <c r="AN62" s="20" t="n">
        <v>5.50740697538785</v>
      </c>
      <c r="AO62" s="12" t="n">
        <v>-8.99302818962949</v>
      </c>
    </row>
    <row r="63" customFormat="false" ht="15" hidden="false" customHeight="false" outlineLevel="0" collapsed="false">
      <c r="A63" s="14" t="s">
        <v>90</v>
      </c>
      <c r="B63" s="14" t="n">
        <v>12</v>
      </c>
      <c r="C63" s="11" t="n">
        <v>0.44302308190837</v>
      </c>
      <c r="D63" s="11" t="n">
        <v>0.330219310737682</v>
      </c>
      <c r="E63" s="12" t="n">
        <f aca="false">(D63-C63)*100</f>
        <v>-11.2803771170689</v>
      </c>
      <c r="F63" s="11" t="n">
        <v>0.032763348123037</v>
      </c>
      <c r="G63" s="11" t="n">
        <v>0.0144878002468433</v>
      </c>
      <c r="H63" s="12" t="n">
        <f aca="false">(G63-F63)*100</f>
        <v>-1.82755478761938</v>
      </c>
      <c r="I63" s="11" t="n">
        <v>0.0480632135201157</v>
      </c>
      <c r="J63" s="11" t="n">
        <v>0.0197284724200133</v>
      </c>
      <c r="K63" s="12" t="n">
        <f aca="false">(J63-I63)*100</f>
        <v>-2.83347411001024</v>
      </c>
      <c r="L63" s="11" t="n">
        <v>0.197866294431427</v>
      </c>
      <c r="M63" s="11" t="n">
        <v>0.303686825532454</v>
      </c>
      <c r="N63" s="12" t="n">
        <f aca="false">(M63-L63)*100</f>
        <v>10.5820531101026</v>
      </c>
      <c r="O63" s="11" t="n">
        <v>0.124996261029962</v>
      </c>
      <c r="P63" s="11" t="n">
        <v>0.190075635304915</v>
      </c>
      <c r="Q63" s="12" t="n">
        <f aca="false">(P63-O63)*100</f>
        <v>6.50793742749531</v>
      </c>
      <c r="R63" s="11" t="n">
        <v>0.0416421556408595</v>
      </c>
      <c r="S63" s="11" t="n">
        <v>0.0332288996487231</v>
      </c>
      <c r="T63" s="12" t="n">
        <f aca="false">(S63-R63)*100</f>
        <v>-0.84132559921364</v>
      </c>
      <c r="U63" s="11" t="n">
        <v>0.0269903783837679</v>
      </c>
      <c r="V63" s="11" t="n">
        <v>0.0341782967815437</v>
      </c>
      <c r="W63" s="12" t="n">
        <f aca="false">(V63-U63)*100</f>
        <v>0.718791839777584</v>
      </c>
      <c r="X63" s="11" t="n">
        <v>0.50195423500673</v>
      </c>
      <c r="Y63" s="11" t="n">
        <v>0.364435583404538</v>
      </c>
      <c r="Z63" s="12" t="n">
        <f aca="false">(Y63-X63)*100</f>
        <v>-13.7518651602192</v>
      </c>
      <c r="AA63" s="11" t="n">
        <v>0.364504711102248</v>
      </c>
      <c r="AB63" s="11" t="n">
        <v>0.526991360486091</v>
      </c>
      <c r="AC63" s="12" t="n">
        <f aca="false">(AB63-AA63)*100</f>
        <v>16.2486649383843</v>
      </c>
      <c r="AD63" s="11" t="n">
        <v>0.673046273399255</v>
      </c>
      <c r="AE63" s="11" t="n">
        <v>0.522840237469638</v>
      </c>
      <c r="AF63" s="12" t="n">
        <f aca="false">(AE63-AD63)*100</f>
        <v>-15.0206035929617</v>
      </c>
      <c r="AG63" s="11" t="n">
        <v>0.0366768034298819</v>
      </c>
      <c r="AH63" s="11" t="n">
        <v>0.0300832304819773</v>
      </c>
      <c r="AI63" s="12" t="n">
        <f aca="false">(AH63-AG63)*100</f>
        <v>-0.659357294790457</v>
      </c>
      <c r="AJ63" s="14" t="s">
        <v>74</v>
      </c>
      <c r="AK63" s="14" t="s">
        <v>132</v>
      </c>
      <c r="AL63" s="14" t="s">
        <v>133</v>
      </c>
      <c r="AM63" s="20" t="n">
        <v>23.5455406550676</v>
      </c>
      <c r="AN63" s="20" t="n">
        <v>16.2555777081553</v>
      </c>
      <c r="AO63" s="12" t="n">
        <v>-7.28996294691223</v>
      </c>
    </row>
    <row r="64" customFormat="false" ht="15" hidden="false" customHeight="false" outlineLevel="0" collapsed="false">
      <c r="A64" s="14" t="s">
        <v>90</v>
      </c>
      <c r="B64" s="14" t="n">
        <v>13</v>
      </c>
      <c r="C64" s="11" t="n">
        <v>0.474516654746691</v>
      </c>
      <c r="D64" s="11" t="n">
        <v>0.381104287954914</v>
      </c>
      <c r="E64" s="12" t="n">
        <f aca="false">(D64-C64)*100</f>
        <v>-9.34123667917767</v>
      </c>
      <c r="F64" s="11" t="n">
        <v>0.0293309571545259</v>
      </c>
      <c r="G64" s="11" t="n">
        <v>0.0171252359305633</v>
      </c>
      <c r="H64" s="12" t="n">
        <f aca="false">(G64-F64)*100</f>
        <v>-1.22057212239626</v>
      </c>
      <c r="I64" s="11" t="n">
        <v>0.0404145806708797</v>
      </c>
      <c r="J64" s="11" t="n">
        <v>0.0638913257303879</v>
      </c>
      <c r="K64" s="12" t="n">
        <f aca="false">(J64-I64)*100</f>
        <v>2.34767450595082</v>
      </c>
      <c r="L64" s="11" t="n">
        <v>0.123698084596655</v>
      </c>
      <c r="M64" s="11" t="n">
        <v>0.232953186059494</v>
      </c>
      <c r="N64" s="12" t="n">
        <f aca="false">(M64-L64)*100</f>
        <v>10.9255101462839</v>
      </c>
      <c r="O64" s="11" t="n">
        <v>0.0849483923665256</v>
      </c>
      <c r="P64" s="11" t="n">
        <v>0.135826886779913</v>
      </c>
      <c r="Q64" s="12" t="n">
        <f aca="false">(P64-O64)*100</f>
        <v>5.08784944133877</v>
      </c>
      <c r="R64" s="11" t="n">
        <v>0.144778855135165</v>
      </c>
      <c r="S64" s="11" t="n">
        <v>0.0540340803360183</v>
      </c>
      <c r="T64" s="12" t="n">
        <f aca="false">(S64-R64)*100</f>
        <v>-9.07447747991464</v>
      </c>
      <c r="U64" s="11" t="n">
        <v>0.0218037854716989</v>
      </c>
      <c r="V64" s="11" t="n">
        <v>0.0322726426881463</v>
      </c>
      <c r="W64" s="12" t="n">
        <f aca="false">(V64-U64)*100</f>
        <v>1.04688572164475</v>
      </c>
      <c r="X64" s="11" t="n">
        <v>0.530595256240401</v>
      </c>
      <c r="Y64" s="11" t="n">
        <v>0.462120849615865</v>
      </c>
      <c r="Z64" s="12" t="n">
        <f aca="false">(Y64-X64)*100</f>
        <v>-6.84744066245353</v>
      </c>
      <c r="AA64" s="11" t="n">
        <v>0.353425332098346</v>
      </c>
      <c r="AB64" s="11" t="n">
        <v>0.422814153175426</v>
      </c>
      <c r="AC64" s="12" t="n">
        <f aca="false">(AB64-AA64)*100</f>
        <v>6.93888210770804</v>
      </c>
      <c r="AD64" s="11" t="n">
        <v>0.716723061926477</v>
      </c>
      <c r="AE64" s="11" t="n">
        <v>0.523211176081139</v>
      </c>
      <c r="AF64" s="12" t="n">
        <f aca="false">(AE64-AD64)*100</f>
        <v>-19.3511885845338</v>
      </c>
      <c r="AG64" s="11" t="n">
        <v>0.0334540963681201</v>
      </c>
      <c r="AH64" s="11" t="n">
        <v>0.0270356487758194</v>
      </c>
      <c r="AI64" s="12" t="n">
        <f aca="false">(AH64-AG64)*100</f>
        <v>-0.641844759230068</v>
      </c>
      <c r="AJ64" s="14" t="s">
        <v>74</v>
      </c>
      <c r="AK64" s="14" t="s">
        <v>74</v>
      </c>
      <c r="AL64" s="14" t="s">
        <v>134</v>
      </c>
      <c r="AM64" s="20" t="n">
        <v>24.0314531036882</v>
      </c>
      <c r="AN64" s="20" t="n">
        <v>3.93066964404392</v>
      </c>
      <c r="AO64" s="12" t="n">
        <v>-20.1007834596442</v>
      </c>
    </row>
    <row r="65" customFormat="false" ht="15" hidden="false" customHeight="false" outlineLevel="0" collapsed="false">
      <c r="A65" s="14" t="s">
        <v>90</v>
      </c>
      <c r="B65" s="14" t="n">
        <v>14</v>
      </c>
      <c r="C65" s="11" t="n">
        <v>0.477901554540341</v>
      </c>
      <c r="D65" s="11" t="n">
        <v>0.382098249210931</v>
      </c>
      <c r="E65" s="12" t="n">
        <f aca="false">(D65-C65)*100</f>
        <v>-9.58033053294099</v>
      </c>
      <c r="F65" s="11" t="n">
        <v>0.031054006739671</v>
      </c>
      <c r="G65" s="11" t="n">
        <v>0.0190320753189997</v>
      </c>
      <c r="H65" s="12" t="n">
        <f aca="false">(G65-F65)*100</f>
        <v>-1.20219314206713</v>
      </c>
      <c r="I65" s="11" t="n">
        <v>0.0436080897080703</v>
      </c>
      <c r="J65" s="11" t="n">
        <v>0.0255132320807144</v>
      </c>
      <c r="K65" s="12" t="n">
        <f aca="false">(J65-I65)*100</f>
        <v>-1.80948576273559</v>
      </c>
      <c r="L65" s="11" t="n">
        <v>0.168770404327689</v>
      </c>
      <c r="M65" s="11" t="n">
        <v>0.245973724675605</v>
      </c>
      <c r="N65" s="12" t="n">
        <f aca="false">(M65-L65)*100</f>
        <v>7.72033203479161</v>
      </c>
      <c r="O65" s="11" t="n">
        <v>0.0848557174174758</v>
      </c>
      <c r="P65" s="11" t="n">
        <v>0.127249183954248</v>
      </c>
      <c r="Q65" s="12" t="n">
        <f aca="false">(P65-O65)*100</f>
        <v>4.23934665367717</v>
      </c>
      <c r="R65" s="11" t="n">
        <v>0.0852342324818497</v>
      </c>
      <c r="S65" s="11" t="n">
        <v>0.02576276673231</v>
      </c>
      <c r="T65" s="12" t="n">
        <f aca="false">(S65-R65)*100</f>
        <v>-5.94714657495397</v>
      </c>
      <c r="U65" s="11" t="n">
        <v>0.0319529800175589</v>
      </c>
      <c r="V65" s="11" t="n">
        <v>0.0764857428039602</v>
      </c>
      <c r="W65" s="12" t="n">
        <f aca="false">(V65-U65)*100</f>
        <v>4.45327627864013</v>
      </c>
      <c r="X65" s="11" t="n">
        <v>0.535919502462977</v>
      </c>
      <c r="Y65" s="11" t="n">
        <v>0.426643556610645</v>
      </c>
      <c r="Z65" s="12" t="n">
        <f aca="false">(Y65-X65)*100</f>
        <v>-10.9275945852331</v>
      </c>
      <c r="AA65" s="11" t="n">
        <v>0.338860354227014</v>
      </c>
      <c r="AB65" s="11" t="n">
        <v>0.398985675362163</v>
      </c>
      <c r="AC65" s="12" t="n">
        <f aca="false">(AB65-AA65)*100</f>
        <v>6.01253211351481</v>
      </c>
      <c r="AD65" s="11" t="n">
        <v>0.705157719526526</v>
      </c>
      <c r="AE65" s="11" t="n">
        <v>0.532076907067039</v>
      </c>
      <c r="AF65" s="12" t="n">
        <f aca="false">(AE65-AD65)*100</f>
        <v>-17.3080812459487</v>
      </c>
      <c r="AG65" s="11" t="n">
        <v>0.0346025854681758</v>
      </c>
      <c r="AH65" s="11" t="n">
        <v>0.0346111305942971</v>
      </c>
      <c r="AI65" s="12" t="n">
        <f aca="false">(AH65-AG65)*100</f>
        <v>0.00085451261212996</v>
      </c>
      <c r="AJ65" s="14" t="s">
        <v>74</v>
      </c>
      <c r="AK65" s="14" t="s">
        <v>74</v>
      </c>
      <c r="AL65" s="14" t="s">
        <v>134</v>
      </c>
      <c r="AM65" s="20" t="n">
        <v>24.9961885635879</v>
      </c>
      <c r="AN65" s="20" t="n">
        <v>2.76578812484826</v>
      </c>
      <c r="AO65" s="12" t="n">
        <v>-22.2304004387396</v>
      </c>
    </row>
    <row r="66" customFormat="false" ht="15" hidden="false" customHeight="false" outlineLevel="0" collapsed="false">
      <c r="A66" s="14" t="s">
        <v>90</v>
      </c>
      <c r="B66" s="14" t="n">
        <v>15</v>
      </c>
      <c r="C66" s="11" t="n">
        <v>0.328527540934267</v>
      </c>
      <c r="D66" s="11" t="n">
        <v>0.196844895638213</v>
      </c>
      <c r="E66" s="12" t="n">
        <f aca="false">(D66-C66)*100</f>
        <v>-13.1682645296054</v>
      </c>
      <c r="F66" s="11" t="n">
        <v>0.0183483881386975</v>
      </c>
      <c r="G66" s="11" t="n">
        <v>0.00871354027294621</v>
      </c>
      <c r="H66" s="12" t="n">
        <f aca="false">(G66-F66)*100</f>
        <v>-0.963484786575131</v>
      </c>
      <c r="I66" s="11" t="n">
        <v>0.0428483863034917</v>
      </c>
      <c r="J66" s="11" t="n">
        <v>0.00985499732405673</v>
      </c>
      <c r="K66" s="12" t="n">
        <f aca="false">(J66-I66)*100</f>
        <v>-3.29933889794349</v>
      </c>
      <c r="L66" s="11" t="n">
        <v>0.367742219644778</v>
      </c>
      <c r="M66" s="11" t="n">
        <v>0.602714409954509</v>
      </c>
      <c r="N66" s="12" t="n">
        <f aca="false">(M66-L66)*100</f>
        <v>23.4972190309732</v>
      </c>
      <c r="O66" s="11" t="n">
        <v>0.123024859698512</v>
      </c>
      <c r="P66" s="11" t="n">
        <v>0.101535322451164</v>
      </c>
      <c r="Q66" s="12" t="n">
        <f aca="false">(P66-O66)*100</f>
        <v>-2.14895372473484</v>
      </c>
      <c r="R66" s="11" t="n">
        <v>0.0269481627754185</v>
      </c>
      <c r="S66" s="11" t="n">
        <v>0.017907914102221</v>
      </c>
      <c r="T66" s="12" t="n">
        <f aca="false">(S66-R66)*100</f>
        <v>-0.904024867319749</v>
      </c>
      <c r="U66" s="11" t="n">
        <v>0.0233144551824378</v>
      </c>
      <c r="V66" s="11" t="n">
        <v>0.0274493243243243</v>
      </c>
      <c r="W66" s="12" t="n">
        <f aca="false">(V66-U66)*100</f>
        <v>0.413486914188651</v>
      </c>
      <c r="X66" s="11" t="n">
        <v>0.366002444494199</v>
      </c>
      <c r="Y66" s="11" t="n">
        <v>0.215413433235215</v>
      </c>
      <c r="Z66" s="12" t="n">
        <f aca="false">(Y66-X66)*100</f>
        <v>-15.0589011258984</v>
      </c>
      <c r="AA66" s="11" t="n">
        <v>0.517715242118709</v>
      </c>
      <c r="AB66" s="11" t="n">
        <v>0.722157646507894</v>
      </c>
      <c r="AC66" s="12" t="n">
        <f aca="false">(AB66-AA66)*100</f>
        <v>20.4442404389186</v>
      </c>
      <c r="AD66" s="11" t="n">
        <v>0.74090823799436</v>
      </c>
      <c r="AE66" s="11" t="n">
        <v>0.638668656987441</v>
      </c>
      <c r="AF66" s="12" t="n">
        <f aca="false">(AE66-AD66)*100</f>
        <v>-10.2239581006919</v>
      </c>
      <c r="AG66" s="11" t="n">
        <v>0.0295871887949671</v>
      </c>
      <c r="AH66" s="11" t="n">
        <v>0.0159135001337972</v>
      </c>
      <c r="AI66" s="12" t="n">
        <f aca="false">(AH66-AG66)*100</f>
        <v>-1.367368866117</v>
      </c>
      <c r="AJ66" s="14" t="s">
        <v>132</v>
      </c>
      <c r="AK66" s="14" t="s">
        <v>132</v>
      </c>
      <c r="AL66" s="14" t="s">
        <v>150</v>
      </c>
      <c r="AM66" s="20" t="n">
        <v>5.2002393108435</v>
      </c>
      <c r="AN66" s="20" t="n">
        <v>50.6744213272679</v>
      </c>
      <c r="AO66" s="12" t="n">
        <v>45.4741820164244</v>
      </c>
    </row>
    <row r="67" customFormat="false" ht="15" hidden="false" customHeight="false" outlineLevel="0" collapsed="false">
      <c r="A67" s="14" t="s">
        <v>90</v>
      </c>
      <c r="B67" s="14" t="n">
        <v>16</v>
      </c>
      <c r="C67" s="11" t="n">
        <v>0.433146178857582</v>
      </c>
      <c r="D67" s="11" t="n">
        <v>0.346653204993676</v>
      </c>
      <c r="E67" s="12" t="n">
        <f aca="false">(D67-C67)*100</f>
        <v>-8.64929738639059</v>
      </c>
      <c r="F67" s="11" t="n">
        <v>0.0316178943827783</v>
      </c>
      <c r="G67" s="11" t="n">
        <v>0.0174245475119539</v>
      </c>
      <c r="H67" s="12" t="n">
        <f aca="false">(G67-F67)*100</f>
        <v>-1.41933468708245</v>
      </c>
      <c r="I67" s="11" t="n">
        <v>0.0443435362708824</v>
      </c>
      <c r="J67" s="11" t="n">
        <v>0.0250534591016602</v>
      </c>
      <c r="K67" s="12" t="n">
        <f aca="false">(J67-I67)*100</f>
        <v>-1.92900771692222</v>
      </c>
      <c r="L67" s="11" t="n">
        <v>0.163941283517469</v>
      </c>
      <c r="M67" s="11" t="n">
        <v>0.275622082437622</v>
      </c>
      <c r="N67" s="12" t="n">
        <f aca="false">(M67-L67)*100</f>
        <v>11.1680798920152</v>
      </c>
      <c r="O67" s="11" t="n">
        <v>0.0870354558548302</v>
      </c>
      <c r="P67" s="11" t="n">
        <v>0.143502946631651</v>
      </c>
      <c r="Q67" s="12" t="n">
        <f aca="false">(P67-O67)*100</f>
        <v>5.6467490776821</v>
      </c>
      <c r="R67" s="11" t="n">
        <v>0.132426884697319</v>
      </c>
      <c r="S67" s="11" t="n">
        <v>0.0841108772964726</v>
      </c>
      <c r="T67" s="12" t="n">
        <f aca="false">(S67-R67)*100</f>
        <v>-4.8316007400846</v>
      </c>
      <c r="U67" s="11" t="n">
        <v>0.0273228285337266</v>
      </c>
      <c r="V67" s="11" t="n">
        <v>0.0335501948350283</v>
      </c>
      <c r="W67" s="12" t="n">
        <f aca="false">(V67-U67)*100</f>
        <v>0.622736630130171</v>
      </c>
      <c r="X67" s="11" t="n">
        <v>0.492117087979853</v>
      </c>
      <c r="Y67" s="11" t="n">
        <v>0.38913121160729</v>
      </c>
      <c r="Z67" s="12" t="n">
        <f aca="false">(Y67-X67)*100</f>
        <v>-10.2985876372563</v>
      </c>
      <c r="AA67" s="11" t="n">
        <v>0.383403624069618</v>
      </c>
      <c r="AB67" s="11" t="n">
        <v>0.503235906365745</v>
      </c>
      <c r="AC67" s="12" t="n">
        <f aca="false">(AB67-AA67)*100</f>
        <v>11.9832282296127</v>
      </c>
      <c r="AD67" s="11" t="n">
        <v>0.70922753672389</v>
      </c>
      <c r="AE67" s="11" t="n">
        <v>0.532446039037325</v>
      </c>
      <c r="AF67" s="12" t="n">
        <f aca="false">(AE67-AD67)*100</f>
        <v>-17.6781497686565</v>
      </c>
      <c r="AG67" s="11" t="n">
        <v>0.0360940774664286</v>
      </c>
      <c r="AH67" s="11" t="n">
        <v>0.0277476843842703</v>
      </c>
      <c r="AI67" s="12" t="n">
        <f aca="false">(AH67-AG67)*100</f>
        <v>-0.834639308215837</v>
      </c>
      <c r="AJ67" s="14" t="s">
        <v>74</v>
      </c>
      <c r="AK67" s="14" t="s">
        <v>132</v>
      </c>
      <c r="AL67" s="14" t="s">
        <v>133</v>
      </c>
      <c r="AM67" s="20" t="n">
        <v>16.8426091231338</v>
      </c>
      <c r="AN67" s="20" t="n">
        <v>11.4104694758456</v>
      </c>
      <c r="AO67" s="12" t="n">
        <v>-5.43213964728828</v>
      </c>
    </row>
    <row r="68" customFormat="false" ht="15" hidden="false" customHeight="false" outlineLevel="0" collapsed="false">
      <c r="A68" s="14" t="s">
        <v>90</v>
      </c>
      <c r="B68" s="14" t="n">
        <v>17</v>
      </c>
      <c r="C68" s="11" t="n">
        <v>0.366907490230326</v>
      </c>
      <c r="D68" s="11" t="n">
        <v>0.282548476454294</v>
      </c>
      <c r="E68" s="12" t="n">
        <f aca="false">(D68-C68)*100</f>
        <v>-8.43590137760324</v>
      </c>
      <c r="F68" s="11" t="n">
        <v>0.0292252185495894</v>
      </c>
      <c r="G68" s="11" t="n">
        <v>0.0163337617318908</v>
      </c>
      <c r="H68" s="12" t="n">
        <f aca="false">(G68-F68)*100</f>
        <v>-1.28914568176986</v>
      </c>
      <c r="I68" s="11" t="n">
        <v>0.0388934465998006</v>
      </c>
      <c r="J68" s="11" t="n">
        <v>0.0354990501840748</v>
      </c>
      <c r="K68" s="12" t="n">
        <f aca="false">(J68-I68)*100</f>
        <v>-0.33943964157258</v>
      </c>
      <c r="L68" s="11" t="n">
        <v>0.212798052240188</v>
      </c>
      <c r="M68" s="11" t="n">
        <v>0.275113798700468</v>
      </c>
      <c r="N68" s="12" t="n">
        <f aca="false">(M68-L68)*100</f>
        <v>6.23157464602791</v>
      </c>
      <c r="O68" s="11" t="n">
        <v>0.168073676132003</v>
      </c>
      <c r="P68" s="11" t="n">
        <v>0.24448415522706</v>
      </c>
      <c r="Q68" s="12" t="n">
        <f aca="false">(P68-O68)*100</f>
        <v>7.64104790950567</v>
      </c>
      <c r="R68" s="11" t="n">
        <v>0.0818138513245296</v>
      </c>
      <c r="S68" s="11" t="n">
        <v>0.0436556904470535</v>
      </c>
      <c r="T68" s="12" t="n">
        <f aca="false">(S68-R68)*100</f>
        <v>-3.81581608774761</v>
      </c>
      <c r="U68" s="11" t="n">
        <v>0.0255687582149064</v>
      </c>
      <c r="V68" s="11" t="n">
        <v>0.0271324775602788</v>
      </c>
      <c r="W68" s="12" t="n">
        <f aca="false">(V68-U68)*100</f>
        <v>0.156371934537239</v>
      </c>
      <c r="X68" s="11" t="n">
        <v>0.423867114792565</v>
      </c>
      <c r="Y68" s="11" t="n">
        <v>0.334381288370259</v>
      </c>
      <c r="Z68" s="12" t="n">
        <f aca="false">(Y68-X68)*100</f>
        <v>-8.9485826422306</v>
      </c>
      <c r="AA68" s="11" t="n">
        <v>0.462685579696721</v>
      </c>
      <c r="AB68" s="11" t="n">
        <v>0.563253644374581</v>
      </c>
      <c r="AC68" s="12" t="n">
        <f aca="false">(AB68-AA68)*100</f>
        <v>10.056806467786</v>
      </c>
      <c r="AD68" s="11" t="n">
        <v>0.706728386402955</v>
      </c>
      <c r="AE68" s="11" t="n">
        <v>0.582998501465698</v>
      </c>
      <c r="AF68" s="12" t="n">
        <f aca="false">(AE68-AD68)*100</f>
        <v>-12.3729884937257</v>
      </c>
      <c r="AG68" s="11" t="n">
        <v>0.0338167447358439</v>
      </c>
      <c r="AH68" s="11" t="n">
        <v>0.0251867629966052</v>
      </c>
      <c r="AI68" s="12" t="n">
        <f aca="false">(AH68-AG68)*100</f>
        <v>-0.862998173923866</v>
      </c>
      <c r="AJ68" s="14" t="s">
        <v>74</v>
      </c>
      <c r="AK68" s="14" t="s">
        <v>132</v>
      </c>
      <c r="AL68" s="14" t="s">
        <v>133</v>
      </c>
      <c r="AM68" s="20" t="n">
        <v>10.3686453012941</v>
      </c>
      <c r="AN68" s="20" t="n">
        <v>22.8872356004322</v>
      </c>
      <c r="AO68" s="12" t="n">
        <v>12.5185902991381</v>
      </c>
    </row>
    <row r="69" customFormat="false" ht="15" hidden="false" customHeight="false" outlineLevel="0" collapsed="false">
      <c r="A69" s="14" t="s">
        <v>90</v>
      </c>
      <c r="B69" s="14" t="n">
        <v>18</v>
      </c>
      <c r="C69" s="11" t="n">
        <v>0.446445664444626</v>
      </c>
      <c r="D69" s="11" t="n">
        <v>0.397779240991261</v>
      </c>
      <c r="E69" s="12" t="n">
        <f aca="false">(D69-C69)*100</f>
        <v>-4.86664234533651</v>
      </c>
      <c r="F69" s="11" t="n">
        <v>0.0340517407895471</v>
      </c>
      <c r="G69" s="11" t="n">
        <v>0.0197234526517419</v>
      </c>
      <c r="H69" s="12" t="n">
        <f aca="false">(G69-F69)*100</f>
        <v>-1.43282881378052</v>
      </c>
      <c r="I69" s="11" t="n">
        <v>0.0452420708334585</v>
      </c>
      <c r="J69" s="11" t="n">
        <v>0.0477313540045493</v>
      </c>
      <c r="K69" s="12" t="n">
        <f aca="false">(J69-I69)*100</f>
        <v>0.248928317109073</v>
      </c>
      <c r="L69" s="11" t="n">
        <v>0.135103812095172</v>
      </c>
      <c r="M69" s="11" t="n">
        <v>0.227193822578714</v>
      </c>
      <c r="N69" s="12" t="n">
        <f aca="false">(M69-L69)*100</f>
        <v>9.20900104835427</v>
      </c>
      <c r="O69" s="11" t="n">
        <v>0.0819336478243887</v>
      </c>
      <c r="P69" s="11" t="n">
        <v>0.141865198132408</v>
      </c>
      <c r="Q69" s="12" t="n">
        <f aca="false">(P69-O69)*100</f>
        <v>5.99315503080188</v>
      </c>
      <c r="R69" s="11" t="n">
        <v>0.144980662663273</v>
      </c>
      <c r="S69" s="11" t="n">
        <v>0.0537830719501975</v>
      </c>
      <c r="T69" s="12" t="n">
        <f aca="false">(S69-R69)*100</f>
        <v>-9.11975907130753</v>
      </c>
      <c r="U69" s="11" t="n">
        <v>0.0280123106507733</v>
      </c>
      <c r="V69" s="11" t="n">
        <v>0.0378786064886867</v>
      </c>
      <c r="W69" s="12" t="n">
        <f aca="false">(V69-U69)*100</f>
        <v>0.986629583791342</v>
      </c>
      <c r="X69" s="11" t="n">
        <v>0.510801866342732</v>
      </c>
      <c r="Y69" s="11" t="n">
        <v>0.465234047647552</v>
      </c>
      <c r="Z69" s="12" t="n">
        <f aca="false">(Y69-X69)*100</f>
        <v>-4.55678186951805</v>
      </c>
      <c r="AA69" s="11" t="n">
        <v>0.362018122582833</v>
      </c>
      <c r="AB69" s="11" t="n">
        <v>0.422842092661319</v>
      </c>
      <c r="AC69" s="12" t="n">
        <f aca="false">(AB69-AA69)*100</f>
        <v>6.08239700784864</v>
      </c>
      <c r="AD69" s="11" t="n">
        <v>0.724651700980743</v>
      </c>
      <c r="AE69" s="11" t="n">
        <v>0.513926402638233</v>
      </c>
      <c r="AF69" s="12" t="n">
        <f aca="false">(AE69-AD69)*100</f>
        <v>-21.0725298342509</v>
      </c>
      <c r="AG69" s="11" t="n">
        <v>0.0369791689023003</v>
      </c>
      <c r="AH69" s="11" t="n">
        <v>0.0341434215252005</v>
      </c>
      <c r="AI69" s="12" t="n">
        <f aca="false">(AH69-AG69)*100</f>
        <v>-0.283574737709977</v>
      </c>
      <c r="AJ69" s="14" t="s">
        <v>74</v>
      </c>
      <c r="AK69" s="14" t="s">
        <v>74</v>
      </c>
      <c r="AL69" s="14" t="s">
        <v>134</v>
      </c>
      <c r="AM69" s="20" t="n">
        <v>20.2705080933515</v>
      </c>
      <c r="AN69" s="20" t="n">
        <v>4.23919549862325</v>
      </c>
      <c r="AO69" s="12" t="n">
        <v>-16.0313125947282</v>
      </c>
    </row>
    <row r="70" customFormat="false" ht="15" hidden="false" customHeight="false" outlineLevel="0" collapsed="false">
      <c r="A70" s="14" t="s">
        <v>90</v>
      </c>
      <c r="B70" s="14" t="n">
        <v>19</v>
      </c>
      <c r="C70" s="11" t="n">
        <v>0.493596624693133</v>
      </c>
      <c r="D70" s="11" t="n">
        <v>0.493991934093964</v>
      </c>
      <c r="E70" s="12" t="n">
        <f aca="false">(D70-C70)*100</f>
        <v>0.0395309400831712</v>
      </c>
      <c r="F70" s="11" t="n">
        <v>0.0459577526579608</v>
      </c>
      <c r="G70" s="11" t="n">
        <v>0.0223225673020578</v>
      </c>
      <c r="H70" s="12" t="n">
        <f aca="false">(G70-F70)*100</f>
        <v>-2.3635185355903</v>
      </c>
      <c r="I70" s="11" t="n">
        <v>0.039493703969906</v>
      </c>
      <c r="J70" s="11" t="n">
        <v>0.0367653648616042</v>
      </c>
      <c r="K70" s="12" t="n">
        <f aca="false">(J70-I70)*100</f>
        <v>-0.272833910830178</v>
      </c>
      <c r="L70" s="11" t="n">
        <v>0.0907300407911809</v>
      </c>
      <c r="M70" s="11" t="n">
        <v>0.153272896487539</v>
      </c>
      <c r="N70" s="12" t="n">
        <f aca="false">(M70-L70)*100</f>
        <v>6.25428556963583</v>
      </c>
      <c r="O70" s="11" t="n">
        <v>0.0714639086725598</v>
      </c>
      <c r="P70" s="11" t="n">
        <v>0.127337906311399</v>
      </c>
      <c r="Q70" s="12" t="n">
        <f aca="false">(P70-O70)*100</f>
        <v>5.58739976388393</v>
      </c>
      <c r="R70" s="11" t="n">
        <v>0.150558661825242</v>
      </c>
      <c r="S70" s="11" t="n">
        <v>0.0534486918754955</v>
      </c>
      <c r="T70" s="12" t="n">
        <f aca="false">(S70-R70)*100</f>
        <v>-9.71099699497465</v>
      </c>
      <c r="U70" s="11" t="n">
        <v>0.0256555058759836</v>
      </c>
      <c r="V70" s="11" t="n">
        <v>0.0320705939126538</v>
      </c>
      <c r="W70" s="12" t="n">
        <f aca="false">(V70-U70)*100</f>
        <v>0.641508803667021</v>
      </c>
      <c r="X70" s="11" t="n">
        <v>0.570180433301285</v>
      </c>
      <c r="Y70" s="11" t="n">
        <v>0.553079866257626</v>
      </c>
      <c r="Z70" s="12" t="n">
        <f aca="false">(Y70-X70)*100</f>
        <v>-1.71005670436589</v>
      </c>
      <c r="AA70" s="11" t="n">
        <v>0.312752611288983</v>
      </c>
      <c r="AB70" s="11" t="n">
        <v>0.334059494674434</v>
      </c>
      <c r="AC70" s="12" t="n">
        <f aca="false">(AB70-AA70)*100</f>
        <v>2.13068833854513</v>
      </c>
      <c r="AD70" s="11" t="n">
        <v>0.715860303968835</v>
      </c>
      <c r="AE70" s="11" t="n">
        <v>0.475385981758655</v>
      </c>
      <c r="AF70" s="12" t="n">
        <f aca="false">(AE70-AD70)*100</f>
        <v>-24.047432221018</v>
      </c>
      <c r="AG70" s="11" t="n">
        <v>0.0352652360194528</v>
      </c>
      <c r="AH70" s="11" t="n">
        <v>0.0358346833959533</v>
      </c>
      <c r="AI70" s="12" t="n">
        <f aca="false">(AH70-AG70)*100</f>
        <v>0.0569447376500443</v>
      </c>
      <c r="AJ70" s="14" t="s">
        <v>74</v>
      </c>
      <c r="AK70" s="14" t="s">
        <v>74</v>
      </c>
      <c r="AL70" s="14" t="s">
        <v>134</v>
      </c>
      <c r="AM70" s="20" t="n">
        <v>30.3236224808879</v>
      </c>
      <c r="AN70" s="20" t="n">
        <v>21.9020371583193</v>
      </c>
      <c r="AO70" s="12" t="n">
        <v>-8.42158532256863</v>
      </c>
    </row>
    <row r="71" customFormat="false" ht="15" hidden="false" customHeight="false" outlineLevel="0" collapsed="false">
      <c r="A71" s="14" t="s">
        <v>90</v>
      </c>
      <c r="B71" s="14" t="n">
        <v>20</v>
      </c>
      <c r="C71" s="11" t="n">
        <v>0.49440100565682</v>
      </c>
      <c r="D71" s="11" t="n">
        <v>0.510269610647142</v>
      </c>
      <c r="E71" s="12" t="n">
        <f aca="false">(D71-C71)*100</f>
        <v>1.58686049903222</v>
      </c>
      <c r="F71" s="11" t="n">
        <v>0.0405581395348837</v>
      </c>
      <c r="G71" s="11" t="n">
        <v>0.0305762117225337</v>
      </c>
      <c r="H71" s="12" t="n">
        <f aca="false">(G71-F71)*100</f>
        <v>-0.998192781235007</v>
      </c>
      <c r="I71" s="11" t="n">
        <v>0.0367567567567568</v>
      </c>
      <c r="J71" s="11" t="n">
        <v>0.0334286694886169</v>
      </c>
      <c r="K71" s="12" t="n">
        <f aca="false">(J71-I71)*100</f>
        <v>-0.33280872681399</v>
      </c>
      <c r="L71" s="11" t="n">
        <v>0.0748862350722816</v>
      </c>
      <c r="M71" s="11" t="n">
        <v>0.113404263432864</v>
      </c>
      <c r="N71" s="12" t="n">
        <f aca="false">(M71-L71)*100</f>
        <v>3.85180283605827</v>
      </c>
      <c r="O71" s="11" t="n">
        <v>0.0722463859208045</v>
      </c>
      <c r="P71" s="11" t="n">
        <v>0.120169317011784</v>
      </c>
      <c r="Q71" s="12" t="n">
        <f aca="false">(P71-O71)*100</f>
        <v>4.7922931090979</v>
      </c>
      <c r="R71" s="11" t="n">
        <v>0.168643620364551</v>
      </c>
      <c r="S71" s="11" t="n">
        <v>0.0856576287991458</v>
      </c>
      <c r="T71" s="12" t="n">
        <f aca="false">(S71-R71)*100</f>
        <v>-8.29859915654048</v>
      </c>
      <c r="U71" s="11" t="n">
        <v>0.0264739157762414</v>
      </c>
      <c r="V71" s="11" t="n">
        <v>0.0336956107234108</v>
      </c>
      <c r="W71" s="12" t="n">
        <f aca="false">(V71-U71)*100</f>
        <v>0.722169494716939</v>
      </c>
      <c r="X71" s="11" t="n">
        <v>0.565993714644878</v>
      </c>
      <c r="Y71" s="11" t="n">
        <v>0.574274491858292</v>
      </c>
      <c r="Z71" s="12" t="n">
        <f aca="false">(Y71-X71)*100</f>
        <v>0.828077721341491</v>
      </c>
      <c r="AA71" s="11" t="n">
        <v>0.315776241357637</v>
      </c>
      <c r="AB71" s="11" t="n">
        <v>0.319231209243794</v>
      </c>
      <c r="AC71" s="12" t="n">
        <f aca="false">(AB71-AA71)*100</f>
        <v>0.34549678861569</v>
      </c>
      <c r="AD71" s="11" t="n">
        <v>0.694631212386877</v>
      </c>
      <c r="AE71" s="11" t="n">
        <v>0.451375142437147</v>
      </c>
      <c r="AF71" s="12" t="n">
        <f aca="false">(AE71-AD71)*100</f>
        <v>-24.325606994973</v>
      </c>
      <c r="AG71" s="11" t="n">
        <v>0.0376367064739158</v>
      </c>
      <c r="AH71" s="11" t="n">
        <v>0.030088090607482</v>
      </c>
      <c r="AI71" s="12" t="n">
        <f aca="false">(AH71-AG71)*100</f>
        <v>-0.754861586643379</v>
      </c>
      <c r="AJ71" s="14" t="s">
        <v>74</v>
      </c>
      <c r="AK71" s="14" t="s">
        <v>74</v>
      </c>
      <c r="AL71" s="14" t="s">
        <v>134</v>
      </c>
      <c r="AM71" s="20" t="n">
        <v>29.5989943431804</v>
      </c>
      <c r="AN71" s="20" t="n">
        <v>25.5043282614499</v>
      </c>
      <c r="AO71" s="12" t="n">
        <v>-4.09466608173052</v>
      </c>
    </row>
    <row r="72" customFormat="false" ht="15" hidden="false" customHeight="false" outlineLevel="0" collapsed="false">
      <c r="A72" s="14" t="s">
        <v>90</v>
      </c>
      <c r="B72" s="14" t="n">
        <v>21</v>
      </c>
      <c r="C72" s="11" t="n">
        <v>0.506369657531269</v>
      </c>
      <c r="D72" s="11" t="n">
        <v>0.444119805216463</v>
      </c>
      <c r="E72" s="12" t="n">
        <f aca="false">(D72-C72)*100</f>
        <v>-6.22498523148054</v>
      </c>
      <c r="F72" s="11" t="n">
        <v>0.0473485122972797</v>
      </c>
      <c r="G72" s="11" t="n">
        <v>0.0347675271829765</v>
      </c>
      <c r="H72" s="12" t="n">
        <f aca="false">(G72-F72)*100</f>
        <v>-1.25809851143032</v>
      </c>
      <c r="I72" s="11" t="n">
        <v>0.0546867829002353</v>
      </c>
      <c r="J72" s="11" t="n">
        <v>0.045840837836035</v>
      </c>
      <c r="K72" s="12" t="n">
        <f aca="false">(J72-I72)*100</f>
        <v>-0.884594506420032</v>
      </c>
      <c r="L72" s="11" t="n">
        <v>0.0753585800760398</v>
      </c>
      <c r="M72" s="11" t="n">
        <v>0.120905876859449</v>
      </c>
      <c r="N72" s="12" t="n">
        <f aca="false">(M72-L72)*100</f>
        <v>4.55472967834092</v>
      </c>
      <c r="O72" s="11" t="n">
        <v>0.0978806456132215</v>
      </c>
      <c r="P72" s="11" t="n">
        <v>0.174984990994597</v>
      </c>
      <c r="Q72" s="12" t="n">
        <f aca="false">(P72-O72)*100</f>
        <v>7.71043453813752</v>
      </c>
      <c r="R72" s="11" t="n">
        <v>0.0494306680773151</v>
      </c>
      <c r="S72" s="11" t="n">
        <v>0.0205656727369755</v>
      </c>
      <c r="T72" s="12" t="n">
        <f aca="false">(S72-R72)*100</f>
        <v>-2.88649953403396</v>
      </c>
      <c r="U72" s="11" t="n">
        <v>0.0577737841611231</v>
      </c>
      <c r="V72" s="11" t="n">
        <v>0.038956707357748</v>
      </c>
      <c r="W72" s="12" t="n">
        <f aca="false">(V72-U72)*100</f>
        <v>-1.88170768033751</v>
      </c>
      <c r="X72" s="11" t="n">
        <v>0.594684947124838</v>
      </c>
      <c r="Y72" s="11" t="n">
        <v>0.524728170235475</v>
      </c>
      <c r="Z72" s="12" t="n">
        <f aca="false">(Y72-X72)*100</f>
        <v>-6.9956776889363</v>
      </c>
      <c r="AA72" s="11" t="n">
        <v>0.222669893766576</v>
      </c>
      <c r="AB72" s="11" t="n">
        <v>0.316456540591021</v>
      </c>
      <c r="AC72" s="12" t="n">
        <f aca="false">(AB72-AA72)*100</f>
        <v>9.3786646824445</v>
      </c>
      <c r="AD72" s="11" t="n">
        <v>0.657918658462164</v>
      </c>
      <c r="AE72" s="11" t="n">
        <v>0.45375022701132</v>
      </c>
      <c r="AF72" s="12" t="n">
        <f aca="false">(AE72-AD72)*100</f>
        <v>-20.4168431450844</v>
      </c>
      <c r="AG72" s="11" t="n">
        <v>0.0466238641139727</v>
      </c>
      <c r="AH72" s="11" t="n">
        <v>0.0427056233740244</v>
      </c>
      <c r="AI72" s="12" t="n">
        <f aca="false">(AH72-AG72)*100</f>
        <v>-0.391824073994827</v>
      </c>
      <c r="AJ72" s="14" t="s">
        <v>74</v>
      </c>
      <c r="AK72" s="14" t="s">
        <v>74</v>
      </c>
      <c r="AL72" s="14" t="s">
        <v>134</v>
      </c>
      <c r="AM72" s="20" t="n">
        <v>41.212191481036</v>
      </c>
      <c r="AN72" s="20" t="n">
        <v>20.8271629644453</v>
      </c>
      <c r="AO72" s="12" t="n">
        <v>-20.3850285165906</v>
      </c>
    </row>
    <row r="73" customFormat="false" ht="15" hidden="false" customHeight="false" outlineLevel="0" collapsed="false">
      <c r="A73" s="14" t="s">
        <v>90</v>
      </c>
      <c r="B73" s="14" t="n">
        <v>22</v>
      </c>
      <c r="C73" s="11" t="n">
        <v>0.498093434946091</v>
      </c>
      <c r="D73" s="11" t="n">
        <v>0.600315814028603</v>
      </c>
      <c r="E73" s="12" t="n">
        <f aca="false">(D73-C73)*100</f>
        <v>10.2222379082511</v>
      </c>
      <c r="F73" s="11" t="n">
        <v>0.0476508678981115</v>
      </c>
      <c r="G73" s="11" t="n">
        <v>0.0269339123257191</v>
      </c>
      <c r="H73" s="12" t="n">
        <f aca="false">(G73-F73)*100</f>
        <v>-2.07169555723924</v>
      </c>
      <c r="I73" s="11" t="n">
        <v>0.0336075180712668</v>
      </c>
      <c r="J73" s="11" t="n">
        <v>0.0363724452260044</v>
      </c>
      <c r="K73" s="12" t="n">
        <f aca="false">(J73-I73)*100</f>
        <v>0.276492715473759</v>
      </c>
      <c r="L73" s="11" t="n">
        <v>0.0566082764545845</v>
      </c>
      <c r="M73" s="11" t="n">
        <v>0.0717579716126254</v>
      </c>
      <c r="N73" s="12" t="n">
        <f aca="false">(M73-L73)*100</f>
        <v>1.51496951580409</v>
      </c>
      <c r="O73" s="11" t="n">
        <v>0.0466220122083804</v>
      </c>
      <c r="P73" s="11" t="n">
        <v>0.0865348382350302</v>
      </c>
      <c r="Q73" s="12" t="n">
        <f aca="false">(P73-O73)*100</f>
        <v>3.99128260266498</v>
      </c>
      <c r="R73" s="11" t="n">
        <v>0.201719355745417</v>
      </c>
      <c r="S73" s="11" t="n">
        <v>0.056918301064078</v>
      </c>
      <c r="T73" s="12" t="n">
        <f aca="false">(S73-R73)*100</f>
        <v>-14.4801054681339</v>
      </c>
      <c r="U73" s="11" t="n">
        <v>0.0306906591570808</v>
      </c>
      <c r="V73" s="11" t="n">
        <v>0.028764198173303</v>
      </c>
      <c r="W73" s="12" t="n">
        <f aca="false">(V73-U73)*100</f>
        <v>-0.192646098377786</v>
      </c>
      <c r="X73" s="11" t="n">
        <v>0.577081974342248</v>
      </c>
      <c r="Y73" s="11" t="n">
        <v>0.663622171580326</v>
      </c>
      <c r="Z73" s="12" t="n">
        <f aca="false">(Y73-X73)*100</f>
        <v>8.65401972380779</v>
      </c>
      <c r="AA73" s="11" t="n">
        <v>0.304949644408382</v>
      </c>
      <c r="AB73" s="11" t="n">
        <v>0.215211110911734</v>
      </c>
      <c r="AC73" s="12" t="n">
        <f aca="false">(AB73-AA73)*100</f>
        <v>-8.97385334966479</v>
      </c>
      <c r="AD73" s="11" t="n">
        <v>0.666627777483163</v>
      </c>
      <c r="AE73" s="11" t="n">
        <v>0.384345883018269</v>
      </c>
      <c r="AF73" s="12" t="n">
        <f aca="false">(AE73-AD73)*100</f>
        <v>-28.2281894464893</v>
      </c>
      <c r="AG73" s="11" t="n">
        <v>0.0378502219464465</v>
      </c>
      <c r="AH73" s="11" t="n">
        <v>0.043218073175546</v>
      </c>
      <c r="AI73" s="12" t="n">
        <f aca="false">(AH73-AG73)*100</f>
        <v>0.536785122909948</v>
      </c>
      <c r="AJ73" s="14" t="s">
        <v>74</v>
      </c>
      <c r="AK73" s="14" t="s">
        <v>74</v>
      </c>
      <c r="AL73" s="14" t="s">
        <v>134</v>
      </c>
      <c r="AM73" s="20" t="n">
        <v>28.8063682985167</v>
      </c>
      <c r="AN73" s="20" t="n">
        <v>44.8411060668593</v>
      </c>
      <c r="AO73" s="12" t="n">
        <v>16.0347377683426</v>
      </c>
    </row>
    <row r="74" customFormat="false" ht="15" hidden="false" customHeight="false" outlineLevel="0" collapsed="false">
      <c r="A74" s="14" t="s">
        <v>90</v>
      </c>
      <c r="B74" s="14" t="n">
        <v>23</v>
      </c>
      <c r="C74" s="11" t="n">
        <v>0.437884420926184</v>
      </c>
      <c r="D74" s="11" t="n">
        <v>0.363260742757146</v>
      </c>
      <c r="E74" s="12" t="n">
        <f aca="false">(D74-C74)*100</f>
        <v>-7.4623678169038</v>
      </c>
      <c r="F74" s="11" t="n">
        <v>0.0284157866326057</v>
      </c>
      <c r="G74" s="11" t="n">
        <v>0.0211938557262298</v>
      </c>
      <c r="H74" s="12" t="n">
        <f aca="false">(G74-F74)*100</f>
        <v>-0.722193090637591</v>
      </c>
      <c r="I74" s="11" t="n">
        <v>0.0391814732872598</v>
      </c>
      <c r="J74" s="11" t="n">
        <v>0.0181703286019833</v>
      </c>
      <c r="K74" s="12" t="n">
        <f aca="false">(J74-I74)*100</f>
        <v>-2.10111446852766</v>
      </c>
      <c r="L74" s="11" t="n">
        <v>0.166617247907306</v>
      </c>
      <c r="M74" s="11" t="n">
        <v>0.297535485125413</v>
      </c>
      <c r="N74" s="12" t="n">
        <f aca="false">(M74-L74)*100</f>
        <v>13.0918237218108</v>
      </c>
      <c r="O74" s="11" t="n">
        <v>0.0836393494970691</v>
      </c>
      <c r="P74" s="11" t="n">
        <v>0.123881975500681</v>
      </c>
      <c r="Q74" s="12" t="n">
        <f aca="false">(P74-O74)*100</f>
        <v>4.02426260036114</v>
      </c>
      <c r="R74" s="11" t="n">
        <v>0.148400732918216</v>
      </c>
      <c r="S74" s="11" t="n">
        <v>0.0739791950223605</v>
      </c>
      <c r="T74" s="12" t="n">
        <f aca="false">(S74-R74)*100</f>
        <v>-7.44215378958553</v>
      </c>
      <c r="U74" s="11" t="n">
        <v>0.0221852215100852</v>
      </c>
      <c r="V74" s="11" t="n">
        <v>0.0404967917557846</v>
      </c>
      <c r="W74" s="12" t="n">
        <f aca="false">(V74-U74)*100</f>
        <v>1.83115702456993</v>
      </c>
      <c r="X74" s="11" t="n">
        <v>0.489424385496735</v>
      </c>
      <c r="Y74" s="11" t="n">
        <v>0.402624927085359</v>
      </c>
      <c r="Z74" s="12" t="n">
        <f aca="false">(Y74-X74)*100</f>
        <v>-8.67994584113759</v>
      </c>
      <c r="AA74" s="11" t="n">
        <v>0.39865733032259</v>
      </c>
      <c r="AB74" s="11" t="n">
        <v>0.495396655648454</v>
      </c>
      <c r="AC74" s="12" t="n">
        <f aca="false">(AB74-AA74)*100</f>
        <v>9.67393253258638</v>
      </c>
      <c r="AD74" s="11" t="n">
        <v>0.73387027030043</v>
      </c>
      <c r="AE74" s="11" t="n">
        <v>0.56839092210182</v>
      </c>
      <c r="AF74" s="12" t="n">
        <f aca="false">(AE74-AD74)*100</f>
        <v>-16.547934819861</v>
      </c>
      <c r="AG74" s="11" t="n">
        <v>0.0340875396300436</v>
      </c>
      <c r="AH74" s="11" t="n">
        <v>0.0263367684230994</v>
      </c>
      <c r="AI74" s="12" t="n">
        <f aca="false">(AH74-AG74)*100</f>
        <v>-0.775077120694421</v>
      </c>
      <c r="AJ74" s="14" t="s">
        <v>74</v>
      </c>
      <c r="AK74" s="14" t="s">
        <v>132</v>
      </c>
      <c r="AL74" s="14" t="s">
        <v>133</v>
      </c>
      <c r="AM74" s="20" t="n">
        <v>15.2221183161128</v>
      </c>
      <c r="AN74" s="20" t="n">
        <v>9.27717285630955</v>
      </c>
      <c r="AO74" s="12" t="n">
        <v>-5.94494545980325</v>
      </c>
    </row>
    <row r="75" customFormat="false" ht="15" hidden="false" customHeight="false" outlineLevel="0" collapsed="false">
      <c r="A75" s="14" t="s">
        <v>90</v>
      </c>
      <c r="B75" s="14" t="n">
        <v>24</v>
      </c>
      <c r="C75" s="11" t="n">
        <v>0.399415621086748</v>
      </c>
      <c r="D75" s="11" t="n">
        <v>0.318257043882282</v>
      </c>
      <c r="E75" s="12" t="n">
        <f aca="false">(D75-C75)*100</f>
        <v>-8.11585772044667</v>
      </c>
      <c r="F75" s="11" t="n">
        <v>0.0286501174487032</v>
      </c>
      <c r="G75" s="11" t="n">
        <v>0.0200034949580091</v>
      </c>
      <c r="H75" s="12" t="n">
        <f aca="false">(G75-F75)*100</f>
        <v>-0.864662249069404</v>
      </c>
      <c r="I75" s="11" t="n">
        <v>0.0500650674000049</v>
      </c>
      <c r="J75" s="11" t="n">
        <v>0.0310588694838769</v>
      </c>
      <c r="K75" s="12" t="n">
        <f aca="false">(J75-I75)*100</f>
        <v>-1.9006197916128</v>
      </c>
      <c r="L75" s="11" t="n">
        <v>0.204254343965101</v>
      </c>
      <c r="M75" s="11" t="n">
        <v>0.362129046184842</v>
      </c>
      <c r="N75" s="12" t="n">
        <f aca="false">(M75-L75)*100</f>
        <v>15.7874702219741</v>
      </c>
      <c r="O75" s="11" t="n">
        <v>0.103645411315998</v>
      </c>
      <c r="P75" s="11" t="n">
        <v>0.144603887626821</v>
      </c>
      <c r="Q75" s="12" t="n">
        <f aca="false">(P75-O75)*100</f>
        <v>4.09584763108223</v>
      </c>
      <c r="R75" s="11" t="n">
        <v>0.101963480410211</v>
      </c>
      <c r="S75" s="11" t="n">
        <v>0.0305654636472971</v>
      </c>
      <c r="T75" s="12" t="n">
        <f aca="false">(S75-R75)*100</f>
        <v>-7.1398016762914</v>
      </c>
      <c r="U75" s="11" t="n">
        <v>0.0236411553351176</v>
      </c>
      <c r="V75" s="11" t="n">
        <v>0.0313518291993462</v>
      </c>
      <c r="W75" s="12" t="n">
        <f aca="false">(V75-U75)*100</f>
        <v>0.771067386422867</v>
      </c>
      <c r="X75" s="11" t="n">
        <v>0.457202838411864</v>
      </c>
      <c r="Y75" s="11" t="n">
        <v>0.369319408324168</v>
      </c>
      <c r="Z75" s="12" t="n">
        <f aca="false">(Y75-X75)*100</f>
        <v>-8.78834300876967</v>
      </c>
      <c r="AA75" s="11" t="n">
        <v>0.40986323569131</v>
      </c>
      <c r="AB75" s="11" t="n">
        <v>0.53729839745896</v>
      </c>
      <c r="AC75" s="12" t="n">
        <f aca="false">(AB75-AA75)*100</f>
        <v>12.743516176765</v>
      </c>
      <c r="AD75" s="11" t="n">
        <v>0.726727137546468</v>
      </c>
      <c r="AE75" s="11" t="n">
        <v>0.575252714892661</v>
      </c>
      <c r="AF75" s="12" t="n">
        <f aca="false">(AE75-AD75)*100</f>
        <v>-15.1474422653808</v>
      </c>
      <c r="AG75" s="11" t="n">
        <v>0.0356151938517446</v>
      </c>
      <c r="AH75" s="11" t="n">
        <v>0.0256622431462846</v>
      </c>
      <c r="AI75" s="12" t="n">
        <f aca="false">(AH75-AG75)*100</f>
        <v>-0.995295070546</v>
      </c>
      <c r="AJ75" s="14" t="s">
        <v>74</v>
      </c>
      <c r="AK75" s="14" t="s">
        <v>132</v>
      </c>
      <c r="AL75" s="14" t="s">
        <v>133</v>
      </c>
      <c r="AM75" s="20" t="n">
        <v>12.7343858701435</v>
      </c>
      <c r="AN75" s="20" t="n">
        <v>16.7978989134792</v>
      </c>
      <c r="AO75" s="12" t="n">
        <v>4.06351304333576</v>
      </c>
    </row>
    <row r="76" customFormat="false" ht="15" hidden="false" customHeight="false" outlineLevel="0" collapsed="false">
      <c r="A76" s="14" t="s">
        <v>91</v>
      </c>
      <c r="B76" s="14" t="n">
        <v>1</v>
      </c>
      <c r="C76" s="11" t="n">
        <v>0.23165711426492</v>
      </c>
      <c r="D76" s="11" t="n">
        <v>0.292357759151136</v>
      </c>
      <c r="E76" s="12" t="n">
        <f aca="false">(D76-C76)*100</f>
        <v>6.07006448862157</v>
      </c>
      <c r="F76" s="11" t="n">
        <v>0.0855735989810772</v>
      </c>
      <c r="G76" s="11" t="n">
        <v>0.0344782792993587</v>
      </c>
      <c r="H76" s="12" t="n">
        <f aca="false">(G76-F76)*100</f>
        <v>-5.10953196817184</v>
      </c>
      <c r="I76" s="11" t="n">
        <v>0.0557223435225619</v>
      </c>
      <c r="J76" s="11" t="n">
        <v>0.0561921430817825</v>
      </c>
      <c r="K76" s="12" t="n">
        <f aca="false">(J76-I76)*100</f>
        <v>0.0469799559220635</v>
      </c>
      <c r="L76" s="11" t="n">
        <v>0.246963700873362</v>
      </c>
      <c r="M76" s="11" t="n">
        <v>0.223989170415544</v>
      </c>
      <c r="N76" s="12" t="n">
        <f aca="false">(M76-L76)*100</f>
        <v>-2.29745304578181</v>
      </c>
      <c r="O76" s="11" t="n">
        <v>0.256430813318777</v>
      </c>
      <c r="P76" s="11" t="n">
        <v>0.262549054462418</v>
      </c>
      <c r="Q76" s="12" t="n">
        <f aca="false">(P76-O76)*100</f>
        <v>0.611824114364046</v>
      </c>
      <c r="R76" s="11" t="n">
        <v>0.0132710152838428</v>
      </c>
      <c r="S76" s="11" t="n">
        <v>0.0156427331027033</v>
      </c>
      <c r="T76" s="12" t="n">
        <f aca="false">(S76-R76)*100</f>
        <v>0.237171781886049</v>
      </c>
      <c r="U76" s="11" t="n">
        <v>0.0267694687045124</v>
      </c>
      <c r="V76" s="11" t="n">
        <v>0.0339655148838418</v>
      </c>
      <c r="W76" s="12" t="n">
        <f aca="false">(V76-U76)*100</f>
        <v>0.71960461793294</v>
      </c>
      <c r="X76" s="11" t="n">
        <v>0.337421533842795</v>
      </c>
      <c r="Y76" s="11" t="n">
        <v>0.383028181532277</v>
      </c>
      <c r="Z76" s="12" t="n">
        <f aca="false">(Y76-X76)*100</f>
        <v>4.5606647689482</v>
      </c>
      <c r="AA76" s="11" t="n">
        <v>0.516665529475983</v>
      </c>
      <c r="AB76" s="11" t="n">
        <v>0.502180957980665</v>
      </c>
      <c r="AC76" s="12" t="n">
        <f aca="false">(AB76-AA76)*100</f>
        <v>-1.44845714953172</v>
      </c>
      <c r="AD76" s="11" t="n">
        <v>0.557474324838342</v>
      </c>
      <c r="AE76" s="11" t="n">
        <v>0.438562930269376</v>
      </c>
      <c r="AF76" s="12" t="n">
        <f aca="false">(AE76-AD76)*100</f>
        <v>-11.8911394568966</v>
      </c>
      <c r="AG76" s="11" t="n">
        <v>0.0395912936681223</v>
      </c>
      <c r="AH76" s="11" t="n">
        <v>0.0291933873900975</v>
      </c>
      <c r="AI76" s="12" t="n">
        <f aca="false">(AH76-AG76)*100</f>
        <v>-1.03979062780248</v>
      </c>
      <c r="AJ76" s="14" t="s">
        <v>74</v>
      </c>
      <c r="AK76" s="14" t="s">
        <v>132</v>
      </c>
      <c r="AL76" s="14" t="s">
        <v>133</v>
      </c>
      <c r="AM76" s="20" t="n">
        <v>0.196733988355167</v>
      </c>
      <c r="AN76" s="20" t="n">
        <v>11.9152776448389</v>
      </c>
      <c r="AO76" s="12" t="n">
        <v>11.7185436564837</v>
      </c>
    </row>
    <row r="77" customFormat="false" ht="15" hidden="false" customHeight="false" outlineLevel="0" collapsed="false">
      <c r="A77" s="14" t="s">
        <v>91</v>
      </c>
      <c r="B77" s="14" t="n">
        <v>2</v>
      </c>
      <c r="C77" s="11" t="n">
        <v>0.384596409189386</v>
      </c>
      <c r="D77" s="11" t="n">
        <v>0.479245364474281</v>
      </c>
      <c r="E77" s="12" t="n">
        <f aca="false">(D77-C77)*100</f>
        <v>9.46489552848944</v>
      </c>
      <c r="F77" s="11" t="n">
        <v>0.0446974409575495</v>
      </c>
      <c r="G77" s="11" t="n">
        <v>0.0158654780149805</v>
      </c>
      <c r="H77" s="12" t="n">
        <f aca="false">(G77-F77)*100</f>
        <v>-2.8831962942569</v>
      </c>
      <c r="I77" s="11" t="n">
        <v>0.0241210665179433</v>
      </c>
      <c r="J77" s="11" t="n">
        <v>0.027716018736374</v>
      </c>
      <c r="K77" s="12" t="n">
        <f aca="false">(J77-I77)*100</f>
        <v>0.359495221843071</v>
      </c>
      <c r="L77" s="11" t="n">
        <v>0.24164503743109</v>
      </c>
      <c r="M77" s="11" t="n">
        <v>0.11999481943575</v>
      </c>
      <c r="N77" s="12" t="n">
        <f aca="false">(M77-L77)*100</f>
        <v>-12.165021799534</v>
      </c>
      <c r="O77" s="11" t="n">
        <v>0.195472875866063</v>
      </c>
      <c r="P77" s="11" t="n">
        <v>0.262481921989337</v>
      </c>
      <c r="Q77" s="12" t="n">
        <f aca="false">(P77-O77)*100</f>
        <v>6.70090461232735</v>
      </c>
      <c r="R77" s="11" t="n">
        <v>0.0134065509770694</v>
      </c>
      <c r="S77" s="11" t="n">
        <v>0.0112173606464193</v>
      </c>
      <c r="T77" s="12" t="n">
        <f aca="false">(S77-R77)*100</f>
        <v>-0.218919033065015</v>
      </c>
      <c r="U77" s="11" t="n">
        <v>0.0243516591947489</v>
      </c>
      <c r="V77" s="11" t="n">
        <v>0.0281693181082306</v>
      </c>
      <c r="W77" s="12" t="n">
        <f aca="false">(V77-U77)*100</f>
        <v>0.38176589134817</v>
      </c>
      <c r="X77" s="11" t="n">
        <v>0.451897295094275</v>
      </c>
      <c r="Y77" s="11" t="n">
        <v>0.522826861225635</v>
      </c>
      <c r="Z77" s="12" t="n">
        <f aca="false">(Y77-X77)*100</f>
        <v>7.09295661313604</v>
      </c>
      <c r="AA77" s="11" t="n">
        <v>0.450524464274223</v>
      </c>
      <c r="AB77" s="11" t="n">
        <v>0.393694102071506</v>
      </c>
      <c r="AC77" s="12" t="n">
        <f aca="false">(AB77-AA77)*100</f>
        <v>-5.68303622027167</v>
      </c>
      <c r="AD77" s="11" t="n">
        <v>0.577670248786427</v>
      </c>
      <c r="AE77" s="11" t="n">
        <v>0.415400617507196</v>
      </c>
      <c r="AF77" s="12" t="n">
        <f aca="false">(AE77-AD77)*100</f>
        <v>-16.2269631279231</v>
      </c>
      <c r="AG77" s="11" t="n">
        <v>0.0299502348827731</v>
      </c>
      <c r="AH77" s="11" t="n">
        <v>0.0228376540678222</v>
      </c>
      <c r="AI77" s="12" t="n">
        <f aca="false">(AH77-AG77)*100</f>
        <v>-0.71125808149509</v>
      </c>
      <c r="AJ77" s="14" t="s">
        <v>74</v>
      </c>
      <c r="AK77" s="14" t="s">
        <v>74</v>
      </c>
      <c r="AL77" s="14" t="s">
        <v>134</v>
      </c>
      <c r="AM77" s="20" t="n">
        <v>17.2494047491366</v>
      </c>
      <c r="AN77" s="20" t="n">
        <v>12.9132759154129</v>
      </c>
      <c r="AO77" s="12" t="n">
        <v>-4.33612883372372</v>
      </c>
    </row>
    <row r="78" customFormat="false" ht="15" hidden="false" customHeight="false" outlineLevel="0" collapsed="false">
      <c r="A78" s="14" t="s">
        <v>91</v>
      </c>
      <c r="B78" s="14" t="n">
        <v>3</v>
      </c>
      <c r="C78" s="11" t="n">
        <v>0.29923037054788</v>
      </c>
      <c r="D78" s="11" t="n">
        <v>0.315625551318414</v>
      </c>
      <c r="E78" s="12" t="n">
        <f aca="false">(D78-C78)*100</f>
        <v>1.63951807705341</v>
      </c>
      <c r="F78" s="11" t="n">
        <v>0.0672380835613614</v>
      </c>
      <c r="G78" s="11" t="n">
        <v>0.029082470449333</v>
      </c>
      <c r="H78" s="12" t="n">
        <f aca="false">(G78-F78)*100</f>
        <v>-3.81556131120284</v>
      </c>
      <c r="I78" s="11" t="n">
        <v>0.0509259517267899</v>
      </c>
      <c r="J78" s="11" t="n">
        <v>0.115590266939894</v>
      </c>
      <c r="K78" s="12" t="n">
        <f aca="false">(J78-I78)*100</f>
        <v>6.46643152131045</v>
      </c>
      <c r="L78" s="11" t="n">
        <v>0.224429744144184</v>
      </c>
      <c r="M78" s="11" t="n">
        <v>0.142060336287269</v>
      </c>
      <c r="N78" s="12" t="n">
        <f aca="false">(M78-L78)*100</f>
        <v>-8.23694078569152</v>
      </c>
      <c r="O78" s="11" t="n">
        <v>0.225750541972949</v>
      </c>
      <c r="P78" s="11" t="n">
        <v>0.248184890143445</v>
      </c>
      <c r="Q78" s="12" t="n">
        <f aca="false">(P78-O78)*100</f>
        <v>2.24343481704959</v>
      </c>
      <c r="R78" s="11" t="n">
        <v>0.0314037795995252</v>
      </c>
      <c r="S78" s="11" t="n">
        <v>0.0354947276995942</v>
      </c>
      <c r="T78" s="12" t="n">
        <f aca="false">(S78-R78)*100</f>
        <v>0.409094810006905</v>
      </c>
      <c r="U78" s="11" t="n">
        <v>0.0182793961111699</v>
      </c>
      <c r="V78" s="11" t="n">
        <v>0.0353115203495868</v>
      </c>
      <c r="W78" s="12" t="n">
        <f aca="false">(V78-U78)*100</f>
        <v>1.70321242384168</v>
      </c>
      <c r="X78" s="11" t="n">
        <v>0.392538885514136</v>
      </c>
      <c r="Y78" s="11" t="n">
        <v>0.460298288707642</v>
      </c>
      <c r="Z78" s="12" t="n">
        <f aca="false">(Y78-X78)*100</f>
        <v>6.77594031935059</v>
      </c>
      <c r="AA78" s="11" t="n">
        <v>0.481584065716658</v>
      </c>
      <c r="AB78" s="11" t="n">
        <v>0.425739954130308</v>
      </c>
      <c r="AC78" s="12" t="n">
        <f aca="false">(AB78-AA78)*100</f>
        <v>-5.58441115863503</v>
      </c>
      <c r="AD78" s="11" t="n">
        <v>0.575164676656783</v>
      </c>
      <c r="AE78" s="11" t="n">
        <v>0.458643247045057</v>
      </c>
      <c r="AF78" s="12" t="n">
        <f aca="false">(AE78-AD78)*100</f>
        <v>-11.6521429611726</v>
      </c>
      <c r="AG78" s="11" t="n">
        <v>0.0387879868700435</v>
      </c>
      <c r="AH78" s="11" t="n">
        <v>0.0263818584010748</v>
      </c>
      <c r="AI78" s="12" t="n">
        <f aca="false">(AH78-AG78)*100</f>
        <v>-1.24061284689687</v>
      </c>
      <c r="AJ78" s="14" t="s">
        <v>74</v>
      </c>
      <c r="AK78" s="14" t="s">
        <v>74</v>
      </c>
      <c r="AL78" s="14" t="s">
        <v>134</v>
      </c>
      <c r="AM78" s="20" t="n">
        <v>9.82629000707769</v>
      </c>
      <c r="AN78" s="20" t="n">
        <v>3.45583345773339</v>
      </c>
      <c r="AO78" s="12" t="n">
        <v>-6.37045654934431</v>
      </c>
    </row>
    <row r="79" customFormat="false" ht="15" hidden="false" customHeight="false" outlineLevel="0" collapsed="false">
      <c r="A79" s="14" t="s">
        <v>91</v>
      </c>
      <c r="B79" s="14" t="n">
        <v>4</v>
      </c>
      <c r="C79" s="11" t="n">
        <v>0.227024414842207</v>
      </c>
      <c r="D79" s="11" t="n">
        <v>0.238396773737088</v>
      </c>
      <c r="E79" s="12" t="n">
        <f aca="false">(D79-C79)*100</f>
        <v>1.13723588948809</v>
      </c>
      <c r="F79" s="11" t="n">
        <v>0.0926167163928226</v>
      </c>
      <c r="G79" s="11" t="n">
        <v>0.0421961228243951</v>
      </c>
      <c r="H79" s="12" t="n">
        <f aca="false">(G79-F79)*100</f>
        <v>-5.04205935684275</v>
      </c>
      <c r="I79" s="11" t="n">
        <v>0.0446905072067908</v>
      </c>
      <c r="J79" s="11" t="n">
        <v>0.0150488184519598</v>
      </c>
      <c r="K79" s="12" t="n">
        <f aca="false">(J79-I79)*100</f>
        <v>-2.9641688754831</v>
      </c>
      <c r="L79" s="11" t="n">
        <v>0.283176450813128</v>
      </c>
      <c r="M79" s="11" t="n">
        <v>0.233755483231923</v>
      </c>
      <c r="N79" s="12" t="n">
        <f aca="false">(M79-L79)*100</f>
        <v>-4.94209675812047</v>
      </c>
      <c r="O79" s="11" t="n">
        <v>0.210725091398075</v>
      </c>
      <c r="P79" s="11" t="n">
        <v>0.173454082354606</v>
      </c>
      <c r="Q79" s="12" t="n">
        <f aca="false">(P79-O79)*100</f>
        <v>-3.72710090434695</v>
      </c>
      <c r="R79" s="11" t="n">
        <v>0.012685422532252</v>
      </c>
      <c r="S79" s="11" t="n">
        <v>0.0144403565869535</v>
      </c>
      <c r="T79" s="12" t="n">
        <f aca="false">(S79-R79)*100</f>
        <v>0.175493405470149</v>
      </c>
      <c r="U79" s="11" t="n">
        <v>0.041559860486616</v>
      </c>
      <c r="V79" s="11" t="n">
        <v>0.108780246214801</v>
      </c>
      <c r="W79" s="12" t="n">
        <f aca="false">(V79-U79)*100</f>
        <v>6.72203857281853</v>
      </c>
      <c r="X79" s="11" t="n">
        <v>0.338661385888978</v>
      </c>
      <c r="Y79" s="11" t="n">
        <v>0.295641715013443</v>
      </c>
      <c r="Z79" s="12" t="n">
        <f aca="false">(Y79-X79)*100</f>
        <v>-4.30196708755348</v>
      </c>
      <c r="AA79" s="11" t="n">
        <v>0.506586964743455</v>
      </c>
      <c r="AB79" s="11" t="n">
        <v>0.421649922173482</v>
      </c>
      <c r="AC79" s="12" t="n">
        <f aca="false">(AB79-AA79)*100</f>
        <v>-8.49370425699727</v>
      </c>
      <c r="AD79" s="11" t="n">
        <v>0.577917958089595</v>
      </c>
      <c r="AE79" s="11" t="n">
        <v>0.411583989749712</v>
      </c>
      <c r="AF79" s="12" t="n">
        <f aca="false">(AE79-AD79)*100</f>
        <v>-16.6333968339882</v>
      </c>
      <c r="AG79" s="11" t="n">
        <v>0.0298777156784469</v>
      </c>
      <c r="AH79" s="11" t="n">
        <v>0.0284703551719259</v>
      </c>
      <c r="AI79" s="12" t="n">
        <f aca="false">(AH79-AG79)*100</f>
        <v>-0.140736050652101</v>
      </c>
      <c r="AJ79" s="14" t="s">
        <v>74</v>
      </c>
      <c r="AK79" s="14" t="s">
        <v>132</v>
      </c>
      <c r="AL79" s="14" t="s">
        <v>133</v>
      </c>
      <c r="AM79" s="20" t="n">
        <v>0.123965205698197</v>
      </c>
      <c r="AN79" s="20" t="n">
        <v>12.600820716004</v>
      </c>
      <c r="AO79" s="12" t="n">
        <v>12.4768555103058</v>
      </c>
    </row>
    <row r="80" customFormat="false" ht="15" hidden="false" customHeight="false" outlineLevel="0" collapsed="false">
      <c r="A80" s="14" t="s">
        <v>92</v>
      </c>
      <c r="B80" s="14" t="n">
        <v>1</v>
      </c>
      <c r="C80" s="11" t="n">
        <v>0.182720285479001</v>
      </c>
      <c r="D80" s="11" t="n">
        <v>0.17435467405571</v>
      </c>
      <c r="E80" s="12" t="n">
        <f aca="false">(D80-C80)*100</f>
        <v>-0.836561142329129</v>
      </c>
      <c r="F80" s="11" t="n">
        <v>0.0247460883886906</v>
      </c>
      <c r="G80" s="11" t="n">
        <v>0.0224369257692869</v>
      </c>
      <c r="H80" s="12" t="n">
        <f aca="false">(G80-F80)*100</f>
        <v>-0.230916261940378</v>
      </c>
      <c r="I80" s="11" t="n">
        <v>0.0874965687620093</v>
      </c>
      <c r="J80" s="11" t="n">
        <v>0.050408341840455</v>
      </c>
      <c r="K80" s="12" t="n">
        <f aca="false">(J80-I80)*100</f>
        <v>-3.70882269215543</v>
      </c>
      <c r="L80" s="11" t="n">
        <v>0.312743617897337</v>
      </c>
      <c r="M80" s="11" t="n">
        <v>0.320191045646784</v>
      </c>
      <c r="N80" s="12" t="n">
        <f aca="false">(M80-L80)*100</f>
        <v>0.744742774944701</v>
      </c>
      <c r="O80" s="11" t="n">
        <v>0.201173483392808</v>
      </c>
      <c r="P80" s="11" t="n">
        <v>0.220825433863206</v>
      </c>
      <c r="Q80" s="12" t="n">
        <f aca="false">(P80-O80)*100</f>
        <v>1.96519504703974</v>
      </c>
      <c r="R80" s="11" t="n">
        <v>0.0320203129289048</v>
      </c>
      <c r="S80" s="11" t="n">
        <v>0.0483082980895435</v>
      </c>
      <c r="T80" s="12" t="n">
        <f aca="false">(S80-R80)*100</f>
        <v>1.62879851606388</v>
      </c>
      <c r="U80" s="11" t="n">
        <v>0.0414424924512764</v>
      </c>
      <c r="V80" s="11" t="n">
        <v>0.0164940936269506</v>
      </c>
      <c r="W80" s="12" t="n">
        <f aca="false">(V80-U80)*100</f>
        <v>-2.49483988243259</v>
      </c>
      <c r="X80" s="11" t="n">
        <v>0.227559703541038</v>
      </c>
      <c r="Y80" s="11" t="n">
        <v>0.247199941665451</v>
      </c>
      <c r="Z80" s="12" t="n">
        <f aca="false">(Y80-X80)*100</f>
        <v>1.96402381244138</v>
      </c>
      <c r="AA80" s="11" t="n">
        <v>0.54593741421905</v>
      </c>
      <c r="AB80" s="11" t="n">
        <v>0.589324777599533</v>
      </c>
      <c r="AC80" s="12" t="n">
        <f aca="false">(AB80-AA80)*100</f>
        <v>4.3387363380483</v>
      </c>
      <c r="AD80" s="11" t="n">
        <v>0.552601839983618</v>
      </c>
      <c r="AE80" s="11" t="n">
        <v>0.490489917667508</v>
      </c>
      <c r="AF80" s="12" t="n">
        <f aca="false">(AE80-AD80)*100</f>
        <v>-6.21119223161093</v>
      </c>
      <c r="AG80" s="11" t="n">
        <v>0.0629289047488334</v>
      </c>
      <c r="AH80" s="11" t="n">
        <v>0.0501531281901706</v>
      </c>
      <c r="AI80" s="12" t="n">
        <f aca="false">(AH80-AG80)*100</f>
        <v>-1.27757765586628</v>
      </c>
      <c r="AJ80" s="14" t="s">
        <v>132</v>
      </c>
      <c r="AK80" s="14" t="s">
        <v>132</v>
      </c>
      <c r="AL80" s="14" t="s">
        <v>150</v>
      </c>
      <c r="AM80" s="20" t="n">
        <v>6.35465275871535</v>
      </c>
      <c r="AN80" s="20" t="n">
        <v>34.2124835934082</v>
      </c>
      <c r="AO80" s="12" t="n">
        <v>27.8578308346929</v>
      </c>
    </row>
    <row r="81" customFormat="false" ht="15" hidden="false" customHeight="false" outlineLevel="0" collapsed="false">
      <c r="A81" s="14" t="s">
        <v>92</v>
      </c>
      <c r="B81" s="14" t="n">
        <v>2</v>
      </c>
      <c r="C81" s="11" t="n">
        <v>0.260767048103694</v>
      </c>
      <c r="D81" s="11" t="n">
        <v>0.234781191426942</v>
      </c>
      <c r="E81" s="12" t="n">
        <f aca="false">(D81-C81)*100</f>
        <v>-2.59858566767525</v>
      </c>
      <c r="F81" s="11" t="n">
        <v>0.0271357587222082</v>
      </c>
      <c r="G81" s="11" t="n">
        <v>0.05585971358932</v>
      </c>
      <c r="H81" s="12" t="n">
        <f aca="false">(G81-F81)*100</f>
        <v>2.87239548671118</v>
      </c>
      <c r="I81" s="11" t="n">
        <v>0.0734543807531938</v>
      </c>
      <c r="J81" s="11" t="n">
        <v>0.0467028692927153</v>
      </c>
      <c r="K81" s="12" t="n">
        <f aca="false">(J81-I81)*100</f>
        <v>-2.67515114604785</v>
      </c>
      <c r="L81" s="11" t="n">
        <v>0.352005541716067</v>
      </c>
      <c r="M81" s="11" t="n">
        <v>0.318066987205607</v>
      </c>
      <c r="N81" s="12" t="n">
        <f aca="false">(M81-L81)*100</f>
        <v>-3.39385545104603</v>
      </c>
      <c r="O81" s="11" t="n">
        <v>0.104180265629371</v>
      </c>
      <c r="P81" s="11" t="n">
        <v>0.158474155621902</v>
      </c>
      <c r="Q81" s="12" t="n">
        <f aca="false">(P81-O81)*100</f>
        <v>5.42938899925312</v>
      </c>
      <c r="R81" s="11" t="n">
        <v>0.0169648447387001</v>
      </c>
      <c r="S81" s="11" t="n">
        <v>0.0250257443640216</v>
      </c>
      <c r="T81" s="12" t="n">
        <f aca="false">(S81-R81)*100</f>
        <v>0.806089962532151</v>
      </c>
      <c r="U81" s="11" t="n">
        <v>0.0361077437489176</v>
      </c>
      <c r="V81" s="11" t="n">
        <v>0.0476585593527978</v>
      </c>
      <c r="W81" s="12" t="n">
        <f aca="false">(V81-U81)*100</f>
        <v>1.15508156038802</v>
      </c>
      <c r="X81" s="11" t="n">
        <v>0.316750369669762</v>
      </c>
      <c r="Y81" s="11" t="n">
        <v>0.337343774308977</v>
      </c>
      <c r="Z81" s="12" t="n">
        <f aca="false">(Y81-X81)*100</f>
        <v>2.05934046392151</v>
      </c>
      <c r="AA81" s="11" t="n">
        <v>0.473150652084138</v>
      </c>
      <c r="AB81" s="11" t="n">
        <v>0.501566887191531</v>
      </c>
      <c r="AC81" s="12" t="n">
        <f aca="false">(AB81-AA81)*100</f>
        <v>2.84162351073926</v>
      </c>
      <c r="AD81" s="11" t="n">
        <v>0.501297200917557</v>
      </c>
      <c r="AE81" s="11" t="n">
        <v>0.421398177430483</v>
      </c>
      <c r="AF81" s="12" t="n">
        <f aca="false">(AE81-AD81)*100</f>
        <v>-7.98990234870739</v>
      </c>
      <c r="AG81" s="11" t="n">
        <v>0.0547510890271358</v>
      </c>
      <c r="AH81" s="11" t="n">
        <v>0.0366496025366533</v>
      </c>
      <c r="AI81" s="12" t="n">
        <f aca="false">(AH81-AG81)*100</f>
        <v>-1.81014864904825</v>
      </c>
      <c r="AJ81" s="14" t="s">
        <v>132</v>
      </c>
      <c r="AK81" s="14" t="s">
        <v>132</v>
      </c>
      <c r="AL81" s="14" t="s">
        <v>150</v>
      </c>
      <c r="AM81" s="20" t="n">
        <v>8.8327760533923</v>
      </c>
      <c r="AN81" s="20" t="n">
        <v>16.4223112882554</v>
      </c>
      <c r="AO81" s="12" t="n">
        <v>7.58953523486308</v>
      </c>
    </row>
    <row r="82" customFormat="false" ht="15" hidden="false" customHeight="false" outlineLevel="0" collapsed="false">
      <c r="A82" s="14" t="s">
        <v>92</v>
      </c>
      <c r="B82" s="14" t="n">
        <v>3</v>
      </c>
      <c r="C82" s="11" t="n">
        <v>0.147369630140133</v>
      </c>
      <c r="D82" s="11" t="n">
        <v>0.168918742833316</v>
      </c>
      <c r="E82" s="12" t="n">
        <f aca="false">(D82-C82)*100</f>
        <v>2.15491126931828</v>
      </c>
      <c r="F82" s="11" t="n">
        <v>0.0156032742089545</v>
      </c>
      <c r="G82" s="11" t="n">
        <v>0.00568122589388096</v>
      </c>
      <c r="H82" s="12" t="n">
        <f aca="false">(G82-F82)*100</f>
        <v>-0.992204831507355</v>
      </c>
      <c r="I82" s="11" t="n">
        <v>0.0804405914856058</v>
      </c>
      <c r="J82" s="11" t="n">
        <v>0.0318591681434379</v>
      </c>
      <c r="K82" s="12" t="n">
        <f aca="false">(J82-I82)*100</f>
        <v>-4.85814233421679</v>
      </c>
      <c r="L82" s="11" t="n">
        <v>0.556766658203054</v>
      </c>
      <c r="M82" s="11" t="n">
        <v>0.649347180235589</v>
      </c>
      <c r="N82" s="12" t="n">
        <f aca="false">(M82-L82)*100</f>
        <v>9.25805220325343</v>
      </c>
      <c r="O82" s="11" t="n">
        <v>0.0939521443166842</v>
      </c>
      <c r="P82" s="11" t="n">
        <v>0.0683962264150943</v>
      </c>
      <c r="Q82" s="12" t="n">
        <f aca="false">(P82-O82)*100</f>
        <v>-2.55559179015899</v>
      </c>
      <c r="R82" s="11" t="n">
        <v>0.0101865622015065</v>
      </c>
      <c r="S82" s="11" t="n">
        <v>0.00725789638277911</v>
      </c>
      <c r="T82" s="12" t="n">
        <f aca="false">(S82-R82)*100</f>
        <v>-0.292866581872741</v>
      </c>
      <c r="U82" s="11" t="n">
        <v>0.0229242990315209</v>
      </c>
      <c r="V82" s="11" t="n">
        <v>0.0338593245074534</v>
      </c>
      <c r="W82" s="12" t="n">
        <f aca="false">(V82-U82)*100</f>
        <v>1.09350254759324</v>
      </c>
      <c r="X82" s="11" t="n">
        <v>0.178521769620467</v>
      </c>
      <c r="Y82" s="11" t="n">
        <v>0.206459136870635</v>
      </c>
      <c r="Z82" s="12" t="n">
        <f aca="false">(Y82-X82)*100</f>
        <v>2.79373672501674</v>
      </c>
      <c r="AA82" s="11" t="n">
        <v>0.660905364721245</v>
      </c>
      <c r="AB82" s="11" t="n">
        <v>0.725001303033462</v>
      </c>
      <c r="AC82" s="12" t="n">
        <f aca="false">(AB82-AA82)*100</f>
        <v>6.40959383122171</v>
      </c>
      <c r="AD82" s="11" t="n">
        <v>0.588274623468535</v>
      </c>
      <c r="AE82" s="11" t="n">
        <v>0.512422629818318</v>
      </c>
      <c r="AF82" s="12" t="n">
        <f aca="false">(AE82-AD82)*100</f>
        <v>-7.58519936502172</v>
      </c>
      <c r="AG82" s="11" t="n">
        <v>0.0350393557981791</v>
      </c>
      <c r="AH82" s="11" t="n">
        <v>0.0174867090586886</v>
      </c>
      <c r="AI82" s="12" t="n">
        <f aca="false">(AH82-AG82)*100</f>
        <v>-1.75526467394905</v>
      </c>
      <c r="AJ82" s="14" t="s">
        <v>132</v>
      </c>
      <c r="AK82" s="14" t="s">
        <v>132</v>
      </c>
      <c r="AL82" s="14" t="s">
        <v>150</v>
      </c>
      <c r="AM82" s="20" t="n">
        <v>39.3987207854232</v>
      </c>
      <c r="AN82" s="20" t="n">
        <v>51.8542166162827</v>
      </c>
      <c r="AO82" s="12" t="n">
        <v>12.4554958308595</v>
      </c>
    </row>
    <row r="83" customFormat="false" ht="15" hidden="false" customHeight="false" outlineLevel="0" collapsed="false">
      <c r="A83" s="14" t="s">
        <v>92</v>
      </c>
      <c r="B83" s="14" t="n">
        <v>4</v>
      </c>
      <c r="C83" s="11" t="n">
        <v>0.14301285922609</v>
      </c>
      <c r="D83" s="11" t="n">
        <v>0.144079874582337</v>
      </c>
      <c r="E83" s="12" t="n">
        <f aca="false">(D83-C83)*100</f>
        <v>0.10670153562474</v>
      </c>
      <c r="F83" s="11" t="n">
        <v>0.0198633062793678</v>
      </c>
      <c r="G83" s="11" t="n">
        <v>0.0246638901645315</v>
      </c>
      <c r="H83" s="12" t="n">
        <f aca="false">(G83-F83)*100</f>
        <v>0.480058388516371</v>
      </c>
      <c r="I83" s="11" t="n">
        <v>0.0970481226708303</v>
      </c>
      <c r="J83" s="11" t="n">
        <v>0.136502557443507</v>
      </c>
      <c r="K83" s="12" t="n">
        <f aca="false">(J83-I83)*100</f>
        <v>3.94544347726763</v>
      </c>
      <c r="L83" s="11" t="n">
        <v>0.405927322541207</v>
      </c>
      <c r="M83" s="11" t="n">
        <v>0.441574688435288</v>
      </c>
      <c r="N83" s="12" t="n">
        <f aca="false">(M83-L83)*100</f>
        <v>3.56473658940811</v>
      </c>
      <c r="O83" s="11" t="n">
        <v>0.160659311523222</v>
      </c>
      <c r="P83" s="11" t="n">
        <v>0.0964860884574578</v>
      </c>
      <c r="Q83" s="12" t="n">
        <f aca="false">(P83-O83)*100</f>
        <v>-6.41732230657639</v>
      </c>
      <c r="R83" s="11" t="n">
        <v>0.030093240436595</v>
      </c>
      <c r="S83" s="11" t="n">
        <v>0.0148695941345073</v>
      </c>
      <c r="T83" s="12" t="n">
        <f aca="false">(S83-R83)*100</f>
        <v>-1.52236463020878</v>
      </c>
      <c r="U83" s="11" t="n">
        <v>0.0418403570534255</v>
      </c>
      <c r="V83" s="11" t="n">
        <v>0.0317740581798603</v>
      </c>
      <c r="W83" s="12" t="n">
        <f aca="false">(V83-U83)*100</f>
        <v>-1.00662988735651</v>
      </c>
      <c r="X83" s="11" t="n">
        <v>0.174402333220404</v>
      </c>
      <c r="Y83" s="11" t="n">
        <v>0.305246322190375</v>
      </c>
      <c r="Z83" s="12" t="n">
        <f aca="false">(Y83-X83)*100</f>
        <v>13.0843988969971</v>
      </c>
      <c r="AA83" s="11" t="n">
        <v>0.596679874501024</v>
      </c>
      <c r="AB83" s="11" t="n">
        <v>0.552930371027253</v>
      </c>
      <c r="AC83" s="12" t="n">
        <f aca="false">(AB83-AA83)*100</f>
        <v>-4.37495034737708</v>
      </c>
      <c r="AD83" s="11" t="n">
        <v>0.515270883616437</v>
      </c>
      <c r="AE83" s="11" t="n">
        <v>0.451871198568873</v>
      </c>
      <c r="AF83" s="12" t="n">
        <f aca="false">(AE83-AD83)*100</f>
        <v>-6.33996850475637</v>
      </c>
      <c r="AG83" s="11" t="n">
        <v>0.0461046708597858</v>
      </c>
      <c r="AH83" s="11" t="n">
        <v>0.0346640485201666</v>
      </c>
      <c r="AI83" s="12" t="n">
        <f aca="false">(AH83-AG83)*100</f>
        <v>-1.14406223396192</v>
      </c>
      <c r="AJ83" s="14" t="s">
        <v>132</v>
      </c>
      <c r="AK83" s="14" t="s">
        <v>132</v>
      </c>
      <c r="AL83" s="14" t="s">
        <v>150</v>
      </c>
      <c r="AM83" s="20" t="n">
        <v>17.6729661653582</v>
      </c>
      <c r="AN83" s="20" t="n">
        <v>24.7684048836878</v>
      </c>
      <c r="AO83" s="12" t="n">
        <v>7.09543871832963</v>
      </c>
    </row>
    <row r="84" customFormat="false" ht="15" hidden="false" customHeight="false" outlineLevel="0" collapsed="false">
      <c r="A84" s="14" t="s">
        <v>92</v>
      </c>
      <c r="B84" s="14" t="n">
        <v>5</v>
      </c>
      <c r="C84" s="11" t="n">
        <v>0.15473854926888</v>
      </c>
      <c r="D84" s="11" t="n">
        <v>0.223404499980835</v>
      </c>
      <c r="E84" s="12" t="n">
        <f aca="false">(D84-C84)*100</f>
        <v>6.86659507119552</v>
      </c>
      <c r="F84" s="11" t="n">
        <v>0.0193570326192158</v>
      </c>
      <c r="G84" s="11" t="n">
        <v>0.00791904634136993</v>
      </c>
      <c r="H84" s="12" t="n">
        <f aca="false">(G84-F84)*100</f>
        <v>-1.14379862778459</v>
      </c>
      <c r="I84" s="11" t="n">
        <v>0.0815545789845405</v>
      </c>
      <c r="J84" s="11" t="n">
        <v>0.0370347656100272</v>
      </c>
      <c r="K84" s="12" t="n">
        <f aca="false">(J84-I84)*100</f>
        <v>-4.45198133745133</v>
      </c>
      <c r="L84" s="11" t="n">
        <v>0.522391378273039</v>
      </c>
      <c r="M84" s="11" t="n">
        <v>0.559446510023382</v>
      </c>
      <c r="N84" s="12" t="n">
        <f aca="false">(M84-L84)*100</f>
        <v>3.70551317503427</v>
      </c>
      <c r="O84" s="11" t="n">
        <v>0.112264249653405</v>
      </c>
      <c r="P84" s="11" t="n">
        <v>0.0846717007167772</v>
      </c>
      <c r="Q84" s="12" t="n">
        <f aca="false">(P84-O84)*100</f>
        <v>-2.75925489366273</v>
      </c>
      <c r="R84" s="11" t="n">
        <v>0.0119673546260692</v>
      </c>
      <c r="S84" s="11" t="n">
        <v>0.00762006976120204</v>
      </c>
      <c r="T84" s="12" t="n">
        <f aca="false">(S84-R84)*100</f>
        <v>-0.434728486486718</v>
      </c>
      <c r="U84" s="11" t="n">
        <v>0.0235488765073635</v>
      </c>
      <c r="V84" s="11" t="n">
        <v>0.031538196174633</v>
      </c>
      <c r="W84" s="12" t="n">
        <f aca="false">(V84-U84)*100</f>
        <v>0.798931966726947</v>
      </c>
      <c r="X84" s="11" t="n">
        <v>0.190025896570666</v>
      </c>
      <c r="Y84" s="11" t="n">
        <v>0.268358311932232</v>
      </c>
      <c r="Z84" s="12" t="n">
        <f aca="false">(Y84-X84)*100</f>
        <v>7.83324153615658</v>
      </c>
      <c r="AA84" s="11" t="n">
        <v>0.646622982552513</v>
      </c>
      <c r="AB84" s="11" t="n">
        <v>0.651738280501361</v>
      </c>
      <c r="AC84" s="12" t="n">
        <f aca="false">(AB84-AA84)*100</f>
        <v>0.511529794884824</v>
      </c>
      <c r="AD84" s="11" t="n">
        <v>0.533140878805945</v>
      </c>
      <c r="AE84" s="11" t="n">
        <v>0.435887496950843</v>
      </c>
      <c r="AF84" s="12" t="n">
        <f aca="false">(AE84-AD84)*100</f>
        <v>-9.72533818551026</v>
      </c>
      <c r="AG84" s="11" t="n">
        <v>0.0356143242041382</v>
      </c>
      <c r="AH84" s="11" t="n">
        <v>0.0221779293955307</v>
      </c>
      <c r="AI84" s="12" t="n">
        <f aca="false">(AH84-AG84)*100</f>
        <v>-1.34363948086075</v>
      </c>
      <c r="AJ84" s="14" t="s">
        <v>132</v>
      </c>
      <c r="AK84" s="14" t="s">
        <v>132</v>
      </c>
      <c r="AL84" s="14" t="s">
        <v>150</v>
      </c>
      <c r="AM84" s="20" t="n">
        <v>34.2181328310968</v>
      </c>
      <c r="AN84" s="20" t="n">
        <v>38.3379968569129</v>
      </c>
      <c r="AO84" s="12" t="n">
        <v>4.11986402581606</v>
      </c>
    </row>
    <row r="85" customFormat="false" ht="15" hidden="false" customHeight="false" outlineLevel="0" collapsed="false">
      <c r="A85" s="14" t="s">
        <v>92</v>
      </c>
      <c r="B85" s="14" t="n">
        <v>6</v>
      </c>
      <c r="C85" s="11" t="n">
        <v>0.166614410652222</v>
      </c>
      <c r="D85" s="11" t="n">
        <v>0.220040127118024</v>
      </c>
      <c r="E85" s="12" t="n">
        <f aca="false">(D85-C85)*100</f>
        <v>5.34257164658017</v>
      </c>
      <c r="F85" s="11" t="n">
        <v>0.019092346383995</v>
      </c>
      <c r="G85" s="11" t="n">
        <v>0.00692705358581199</v>
      </c>
      <c r="H85" s="12" t="n">
        <f aca="false">(G85-F85)*100</f>
        <v>-1.2165292798183</v>
      </c>
      <c r="I85" s="11" t="n">
        <v>0.0851750798849923</v>
      </c>
      <c r="J85" s="11" t="n">
        <v>0.0347377824641565</v>
      </c>
      <c r="K85" s="12" t="n">
        <f aca="false">(J85-I85)*100</f>
        <v>-5.04372974208358</v>
      </c>
      <c r="L85" s="11" t="n">
        <v>0.50664096115488</v>
      </c>
      <c r="M85" s="11" t="n">
        <v>0.585350672934698</v>
      </c>
      <c r="N85" s="12" t="n">
        <f aca="false">(M85-L85)*100</f>
        <v>7.87097117798181</v>
      </c>
      <c r="O85" s="11" t="n">
        <v>0.110511464080105</v>
      </c>
      <c r="P85" s="11" t="n">
        <v>0.0739788820057701</v>
      </c>
      <c r="Q85" s="12" t="n">
        <f aca="false">(P85-O85)*100</f>
        <v>-3.6532582074335</v>
      </c>
      <c r="R85" s="11" t="n">
        <v>0.0133619740765695</v>
      </c>
      <c r="S85" s="11" t="n">
        <v>0.00760804299752501</v>
      </c>
      <c r="T85" s="12" t="n">
        <f aca="false">(S85-R85)*100</f>
        <v>-0.575393107904451</v>
      </c>
      <c r="U85" s="11" t="n">
        <v>0.0225212303956559</v>
      </c>
      <c r="V85" s="11" t="n">
        <v>0.030527364058404</v>
      </c>
      <c r="W85" s="12" t="n">
        <f aca="false">(V85-U85)*100</f>
        <v>0.800613366274813</v>
      </c>
      <c r="X85" s="11" t="n">
        <v>0.201563677845007</v>
      </c>
      <c r="Y85" s="11" t="n">
        <v>0.261704963167992</v>
      </c>
      <c r="Z85" s="12" t="n">
        <f aca="false">(Y85-X85)*100</f>
        <v>6.01412853229855</v>
      </c>
      <c r="AA85" s="11" t="n">
        <v>0.630514399311555</v>
      </c>
      <c r="AB85" s="11" t="n">
        <v>0.666937597937993</v>
      </c>
      <c r="AC85" s="12" t="n">
        <f aca="false">(AB85-AA85)*100</f>
        <v>3.64231986264385</v>
      </c>
      <c r="AD85" s="11" t="n">
        <v>0.534817758876584</v>
      </c>
      <c r="AE85" s="11" t="n">
        <v>0.44829680303841</v>
      </c>
      <c r="AF85" s="12" t="n">
        <f aca="false">(AE85-AD85)*100</f>
        <v>-8.6520955838174</v>
      </c>
      <c r="AG85" s="11" t="n">
        <v>0.0366370252763454</v>
      </c>
      <c r="AH85" s="11" t="n">
        <v>0.0204296823513905</v>
      </c>
      <c r="AI85" s="12" t="n">
        <f aca="false">(AH85-AG85)*100</f>
        <v>-1.62073429249548</v>
      </c>
      <c r="AJ85" s="14" t="s">
        <v>132</v>
      </c>
      <c r="AK85" s="14" t="s">
        <v>132</v>
      </c>
      <c r="AL85" s="14" t="s">
        <v>150</v>
      </c>
      <c r="AM85" s="20" t="n">
        <v>32.3942816354576</v>
      </c>
      <c r="AN85" s="20" t="n">
        <v>40.5232634770001</v>
      </c>
      <c r="AO85" s="12" t="n">
        <v>8.12898184154254</v>
      </c>
    </row>
    <row r="86" customFormat="false" ht="15" hidden="false" customHeight="false" outlineLevel="0" collapsed="false">
      <c r="A86" s="14" t="s">
        <v>92</v>
      </c>
      <c r="B86" s="14" t="n">
        <v>7</v>
      </c>
      <c r="C86" s="11" t="n">
        <v>0.155218589996061</v>
      </c>
      <c r="D86" s="11" t="n">
        <v>0.177272904407467</v>
      </c>
      <c r="E86" s="12" t="n">
        <f aca="false">(D86-C86)*100</f>
        <v>2.20543144114052</v>
      </c>
      <c r="F86" s="11" t="n">
        <v>0.0179729552317185</v>
      </c>
      <c r="G86" s="11" t="n">
        <v>0.00776275281555668</v>
      </c>
      <c r="H86" s="12" t="n">
        <f aca="false">(G86-F86)*100</f>
        <v>-1.02102024161618</v>
      </c>
      <c r="I86" s="11" t="n">
        <v>0.0796704739398713</v>
      </c>
      <c r="J86" s="11" t="n">
        <v>0.0642609407271735</v>
      </c>
      <c r="K86" s="12" t="n">
        <f aca="false">(J86-I86)*100</f>
        <v>-1.54095332126978</v>
      </c>
      <c r="L86" s="11" t="n">
        <v>0.417533149533937</v>
      </c>
      <c r="M86" s="11" t="n">
        <v>0.45713729005105</v>
      </c>
      <c r="N86" s="12" t="n">
        <f aca="false">(M86-L86)*100</f>
        <v>3.9604140517113</v>
      </c>
      <c r="O86" s="11" t="n">
        <v>0.233267690691873</v>
      </c>
      <c r="P86" s="11" t="n">
        <v>0.206172791395503</v>
      </c>
      <c r="Q86" s="12" t="n">
        <f aca="false">(P86-O86)*100</f>
        <v>-2.70948992963705</v>
      </c>
      <c r="R86" s="11" t="n">
        <v>0.0136602336878036</v>
      </c>
      <c r="S86" s="11" t="n">
        <v>0.011932504578933</v>
      </c>
      <c r="T86" s="12" t="n">
        <f aca="false">(S86-R86)*100</f>
        <v>-0.172772910887059</v>
      </c>
      <c r="U86" s="11" t="n">
        <v>0.0172311933832217</v>
      </c>
      <c r="V86" s="11" t="n">
        <v>0.0358754530220958</v>
      </c>
      <c r="W86" s="12" t="n">
        <f aca="false">(V86-U86)*100</f>
        <v>1.86442596388741</v>
      </c>
      <c r="X86" s="11" t="n">
        <v>0.181908888013654</v>
      </c>
      <c r="Y86" s="11" t="n">
        <v>0.249296597950197</v>
      </c>
      <c r="Z86" s="12" t="n">
        <f aca="false">(Y86-X86)*100</f>
        <v>6.73877099365431</v>
      </c>
      <c r="AA86" s="11" t="n">
        <v>0.664461073913614</v>
      </c>
      <c r="AB86" s="11" t="n">
        <v>0.675242586025486</v>
      </c>
      <c r="AC86" s="12" t="n">
        <f aca="false">(AB86-AA86)*100</f>
        <v>1.07815121118718</v>
      </c>
      <c r="AD86" s="11" t="n">
        <v>0.507703536328098</v>
      </c>
      <c r="AE86" s="11" t="n">
        <v>0.406157011712567</v>
      </c>
      <c r="AF86" s="12" t="n">
        <f aca="false">(AE86-AD86)*100</f>
        <v>-10.154652461553</v>
      </c>
      <c r="AG86" s="11" t="n">
        <v>0.0396809767625049</v>
      </c>
      <c r="AH86" s="11" t="n">
        <v>0.0252133587934999</v>
      </c>
      <c r="AI86" s="12" t="n">
        <f aca="false">(AH86-AG86)*100</f>
        <v>-1.44676179690051</v>
      </c>
      <c r="AJ86" s="14" t="s">
        <v>132</v>
      </c>
      <c r="AK86" s="14" t="s">
        <v>132</v>
      </c>
      <c r="AL86" s="14" t="s">
        <v>150</v>
      </c>
      <c r="AM86" s="20" t="n">
        <v>11.8695024287777</v>
      </c>
      <c r="AN86" s="20" t="n">
        <v>42.5945988075289</v>
      </c>
      <c r="AO86" s="12" t="n">
        <v>30.7250963787512</v>
      </c>
    </row>
    <row r="87" customFormat="false" ht="15" hidden="false" customHeight="false" outlineLevel="0" collapsed="false">
      <c r="A87" s="14" t="s">
        <v>92</v>
      </c>
      <c r="B87" s="14" t="n">
        <v>8</v>
      </c>
      <c r="C87" s="11" t="n">
        <v>0.300733236908678</v>
      </c>
      <c r="D87" s="11" t="n">
        <v>0.324136913543818</v>
      </c>
      <c r="E87" s="12" t="n">
        <f aca="false">(D87-C87)*100</f>
        <v>2.34036766351406</v>
      </c>
      <c r="F87" s="11" t="n">
        <v>0.0306753262708788</v>
      </c>
      <c r="G87" s="11" t="n">
        <v>0.032278342976638</v>
      </c>
      <c r="H87" s="12" t="n">
        <f aca="false">(G87-F87)*100</f>
        <v>0.160301670575916</v>
      </c>
      <c r="I87" s="11" t="n">
        <v>0.0651983313694721</v>
      </c>
      <c r="J87" s="11" t="n">
        <v>0.0496555351713344</v>
      </c>
      <c r="K87" s="12" t="n">
        <f aca="false">(J87-I87)*100</f>
        <v>-1.55427961981377</v>
      </c>
      <c r="L87" s="11" t="n">
        <v>0.294450742451234</v>
      </c>
      <c r="M87" s="11" t="n">
        <v>0.305739797554749</v>
      </c>
      <c r="N87" s="12" t="n">
        <f aca="false">(M87-L87)*100</f>
        <v>1.12890551035148</v>
      </c>
      <c r="O87" s="11" t="n">
        <v>0.112492949645109</v>
      </c>
      <c r="P87" s="11" t="n">
        <v>0.0502585089868757</v>
      </c>
      <c r="Q87" s="12" t="n">
        <f aca="false">(P87-O87)*100</f>
        <v>-6.22344406582332</v>
      </c>
      <c r="R87" s="11" t="n">
        <v>0.0536385415677756</v>
      </c>
      <c r="S87" s="11" t="n">
        <v>0.0601177723324823</v>
      </c>
      <c r="T87" s="12" t="n">
        <f aca="false">(S87-R87)*100</f>
        <v>0.647923076470679</v>
      </c>
      <c r="U87" s="11" t="n">
        <v>0.0203887886792242</v>
      </c>
      <c r="V87" s="11" t="n">
        <v>0.0785982783173182</v>
      </c>
      <c r="W87" s="12" t="n">
        <f aca="false">(V87-U87)*100</f>
        <v>5.8209489638094</v>
      </c>
      <c r="X87" s="11" t="n">
        <v>0.35600243481563</v>
      </c>
      <c r="Y87" s="11" t="n">
        <v>0.406070791691791</v>
      </c>
      <c r="Z87" s="12" t="n">
        <f aca="false">(Y87-X87)*100</f>
        <v>5.00683568761609</v>
      </c>
      <c r="AA87" s="11" t="n">
        <v>0.460582233664118</v>
      </c>
      <c r="AB87" s="11" t="n">
        <v>0.416116078874107</v>
      </c>
      <c r="AC87" s="12" t="n">
        <f aca="false">(AB87-AA87)*100</f>
        <v>-4.44661547900115</v>
      </c>
      <c r="AD87" s="11" t="n">
        <v>0.561566637606076</v>
      </c>
      <c r="AE87" s="11" t="n">
        <v>0.470235850906272</v>
      </c>
      <c r="AF87" s="12" t="n">
        <f aca="false">(AE87-AD87)*100</f>
        <v>-9.13307866998044</v>
      </c>
      <c r="AG87" s="11" t="n">
        <v>0.0400292624630729</v>
      </c>
      <c r="AH87" s="11" t="n">
        <v>0.0298792769445906</v>
      </c>
      <c r="AI87" s="12" t="n">
        <f aca="false">(AH87-AG87)*100</f>
        <v>-1.01499855184824</v>
      </c>
      <c r="AJ87" s="14" t="s">
        <v>132</v>
      </c>
      <c r="AK87" s="14" t="s">
        <v>132</v>
      </c>
      <c r="AL87" s="14" t="s">
        <v>150</v>
      </c>
      <c r="AM87" s="20" t="n">
        <v>1.24756378826039</v>
      </c>
      <c r="AN87" s="20" t="n">
        <v>1.00452871823162</v>
      </c>
      <c r="AO87" s="12" t="n">
        <v>-0.243035070028772</v>
      </c>
    </row>
    <row r="88" customFormat="false" ht="15" hidden="false" customHeight="false" outlineLevel="0" collapsed="false">
      <c r="A88" s="14" t="s">
        <v>92</v>
      </c>
      <c r="B88" s="14" t="n">
        <v>9</v>
      </c>
      <c r="C88" s="11" t="n">
        <v>0.233269796238013</v>
      </c>
      <c r="D88" s="11" t="n">
        <v>0.292647708354568</v>
      </c>
      <c r="E88" s="12" t="n">
        <f aca="false">(D88-C88)*100</f>
        <v>5.93779121165551</v>
      </c>
      <c r="F88" s="11" t="n">
        <v>0.0263014022489177</v>
      </c>
      <c r="G88" s="11" t="n">
        <v>0.00985288621615194</v>
      </c>
      <c r="H88" s="12" t="n">
        <f aca="false">(G88-F88)*100</f>
        <v>-1.64485160327657</v>
      </c>
      <c r="I88" s="11" t="n">
        <v>0.0698464766464235</v>
      </c>
      <c r="J88" s="11" t="n">
        <v>0.0367869398294431</v>
      </c>
      <c r="K88" s="12" t="n">
        <f aca="false">(J88-I88)*100</f>
        <v>-3.30595368169803</v>
      </c>
      <c r="L88" s="11" t="n">
        <v>0.391403283242461</v>
      </c>
      <c r="M88" s="11" t="n">
        <v>0.432125505385112</v>
      </c>
      <c r="N88" s="12" t="n">
        <f aca="false">(M88-L88)*100</f>
        <v>4.07222221426515</v>
      </c>
      <c r="O88" s="11" t="n">
        <v>0.163223842664421</v>
      </c>
      <c r="P88" s="11" t="n">
        <v>0.12192946692488</v>
      </c>
      <c r="Q88" s="12" t="n">
        <f aca="false">(P88-O88)*100</f>
        <v>-4.12943757395405</v>
      </c>
      <c r="R88" s="11" t="n">
        <v>0.0162832276844423</v>
      </c>
      <c r="S88" s="11" t="n">
        <v>0.0109655828491829</v>
      </c>
      <c r="T88" s="12" t="n">
        <f aca="false">(S88-R88)*100</f>
        <v>-0.531764483525939</v>
      </c>
      <c r="U88" s="11" t="n">
        <v>0.0201841098157424</v>
      </c>
      <c r="V88" s="11" t="n">
        <v>0.0327013895967112</v>
      </c>
      <c r="W88" s="12" t="n">
        <f aca="false">(V88-U88)*100</f>
        <v>1.25172797809688</v>
      </c>
      <c r="X88" s="11" t="n">
        <v>0.278137328782304</v>
      </c>
      <c r="Y88" s="11" t="n">
        <v>0.339287534400163</v>
      </c>
      <c r="Z88" s="12" t="n">
        <f aca="false">(Y88-X88)*100</f>
        <v>6.1150205617859</v>
      </c>
      <c r="AA88" s="11" t="n">
        <v>0.570910353591324</v>
      </c>
      <c r="AB88" s="11" t="n">
        <v>0.565020555159175</v>
      </c>
      <c r="AC88" s="12" t="n">
        <f aca="false">(AB88-AA88)*100</f>
        <v>-0.588979843214843</v>
      </c>
      <c r="AD88" s="11" t="n">
        <v>0.482795027732696</v>
      </c>
      <c r="AE88" s="11" t="n">
        <v>0.392458314721354</v>
      </c>
      <c r="AF88" s="12" t="n">
        <f aca="false">(AE88-AD88)*100</f>
        <v>-9.03367130113425</v>
      </c>
      <c r="AG88" s="11" t="n">
        <v>0.0380483768488556</v>
      </c>
      <c r="AH88" s="11" t="n">
        <v>0.0247256480820847</v>
      </c>
      <c r="AI88" s="12" t="n">
        <f aca="false">(AH88-AG88)*100</f>
        <v>-1.33227287667709</v>
      </c>
      <c r="AJ88" s="14" t="s">
        <v>132</v>
      </c>
      <c r="AK88" s="14" t="s">
        <v>132</v>
      </c>
      <c r="AL88" s="14" t="s">
        <v>150</v>
      </c>
      <c r="AM88" s="20" t="n">
        <v>14.9733291960341</v>
      </c>
      <c r="AN88" s="20" t="n">
        <v>22.5733020759012</v>
      </c>
      <c r="AO88" s="12" t="n">
        <v>7.5999728798671</v>
      </c>
    </row>
    <row r="89" customFormat="false" ht="15" hidden="false" customHeight="false" outlineLevel="0" collapsed="false">
      <c r="A89" s="14" t="s">
        <v>92</v>
      </c>
      <c r="B89" s="14" t="n">
        <v>10</v>
      </c>
      <c r="C89" s="11" t="n">
        <v>0.196398024539808</v>
      </c>
      <c r="D89" s="11" t="n">
        <v>0.277446336997574</v>
      </c>
      <c r="E89" s="12" t="n">
        <f aca="false">(D89-C89)*100</f>
        <v>8.10483124577668</v>
      </c>
      <c r="F89" s="11" t="n">
        <v>0.0240567404906825</v>
      </c>
      <c r="G89" s="11" t="n">
        <v>0.0129115514806732</v>
      </c>
      <c r="H89" s="12" t="n">
        <f aca="false">(G89-F89)*100</f>
        <v>-1.11451890100093</v>
      </c>
      <c r="I89" s="11" t="n">
        <v>0.0994720360993186</v>
      </c>
      <c r="J89" s="11" t="n">
        <v>0.0947455187930301</v>
      </c>
      <c r="K89" s="12" t="n">
        <f aca="false">(J89-I89)*100</f>
        <v>-0.472651730628854</v>
      </c>
      <c r="L89" s="11" t="n">
        <v>0.321790871737166</v>
      </c>
      <c r="M89" s="11" t="n">
        <v>0.266791435540211</v>
      </c>
      <c r="N89" s="12" t="n">
        <f aca="false">(M89-L89)*100</f>
        <v>-5.4999436196955</v>
      </c>
      <c r="O89" s="11" t="n">
        <v>0.156394387328866</v>
      </c>
      <c r="P89" s="11" t="n">
        <v>0.143243224982602</v>
      </c>
      <c r="Q89" s="12" t="n">
        <f aca="false">(P89-O89)*100</f>
        <v>-1.31511623462642</v>
      </c>
      <c r="R89" s="11" t="n">
        <v>0.0870430043362374</v>
      </c>
      <c r="S89" s="11" t="n">
        <v>0.0367888005297047</v>
      </c>
      <c r="T89" s="12" t="n">
        <f aca="false">(S89-R89)*100</f>
        <v>-5.02542038065327</v>
      </c>
      <c r="U89" s="11" t="n">
        <v>0.0211071897430652</v>
      </c>
      <c r="V89" s="11" t="n">
        <v>0.0832663319978109</v>
      </c>
      <c r="W89" s="12" t="n">
        <f aca="false">(V89-U89)*100</f>
        <v>6.21591422547458</v>
      </c>
      <c r="X89" s="11" t="n">
        <v>0.234713768548355</v>
      </c>
      <c r="Y89" s="11" t="n">
        <v>0.385103407271278</v>
      </c>
      <c r="Z89" s="12" t="n">
        <f aca="false">(Y89-X89)*100</f>
        <v>15.0389638722923</v>
      </c>
      <c r="AA89" s="11" t="n">
        <v>0.56522826340227</v>
      </c>
      <c r="AB89" s="11" t="n">
        <v>0.446823461052518</v>
      </c>
      <c r="AC89" s="12" t="n">
        <f aca="false">(AB89-AA89)*100</f>
        <v>-11.8404802349752</v>
      </c>
      <c r="AD89" s="11" t="n">
        <v>0.54752266058443</v>
      </c>
      <c r="AE89" s="11" t="n">
        <v>0.448621614658321</v>
      </c>
      <c r="AF89" s="12" t="n">
        <f aca="false">(AE89-AD89)*100</f>
        <v>-9.89010459261088</v>
      </c>
      <c r="AG89" s="11" t="n">
        <v>0.0437999761308032</v>
      </c>
      <c r="AH89" s="11" t="n">
        <v>0.0308296229232401</v>
      </c>
      <c r="AI89" s="12" t="n">
        <f aca="false">(AH89-AG89)*100</f>
        <v>-1.29703532075631</v>
      </c>
      <c r="AJ89" s="14" t="s">
        <v>132</v>
      </c>
      <c r="AK89" s="14" t="s">
        <v>132</v>
      </c>
      <c r="AL89" s="14" t="s">
        <v>150</v>
      </c>
      <c r="AM89" s="20" t="n">
        <v>13.8861893963935</v>
      </c>
      <c r="AN89" s="20" t="n">
        <v>6.17200537812401</v>
      </c>
      <c r="AO89" s="12" t="n">
        <v>-7.71418401826947</v>
      </c>
    </row>
    <row r="90" customFormat="false" ht="15" hidden="false" customHeight="false" outlineLevel="0" collapsed="false">
      <c r="A90" s="14" t="s">
        <v>92</v>
      </c>
      <c r="B90" s="14" t="n">
        <v>11</v>
      </c>
      <c r="C90" s="11" t="n">
        <v>0.169464818190811</v>
      </c>
      <c r="D90" s="11" t="n">
        <v>0.238643744501723</v>
      </c>
      <c r="E90" s="12" t="n">
        <f aca="false">(D90-C90)*100</f>
        <v>6.91789263109112</v>
      </c>
      <c r="F90" s="11" t="n">
        <v>0.0203501929028702</v>
      </c>
      <c r="G90" s="11" t="n">
        <v>0.00785996760640966</v>
      </c>
      <c r="H90" s="12" t="n">
        <f aca="false">(G90-F90)*100</f>
        <v>-1.24902252964606</v>
      </c>
      <c r="I90" s="11" t="n">
        <v>0.0865095179548056</v>
      </c>
      <c r="J90" s="11" t="n">
        <v>0.0359124879757295</v>
      </c>
      <c r="K90" s="12" t="n">
        <f aca="false">(J90-I90)*100</f>
        <v>-5.05970299790762</v>
      </c>
      <c r="L90" s="11" t="n">
        <v>0.49582397083139</v>
      </c>
      <c r="M90" s="11" t="n">
        <v>0.549630433531477</v>
      </c>
      <c r="N90" s="12" t="n">
        <f aca="false">(M90-L90)*100</f>
        <v>5.38064627000867</v>
      </c>
      <c r="O90" s="11" t="n">
        <v>0.115035118214836</v>
      </c>
      <c r="P90" s="11" t="n">
        <v>0.0790518708531682</v>
      </c>
      <c r="Q90" s="12" t="n">
        <f aca="false">(P90-O90)*100</f>
        <v>-3.59832473616676</v>
      </c>
      <c r="R90" s="11" t="n">
        <v>0.0113127287630192</v>
      </c>
      <c r="S90" s="11" t="n">
        <v>0.0106306884049034</v>
      </c>
      <c r="T90" s="12" t="n">
        <f aca="false">(S90-R90)*100</f>
        <v>-0.068204035811574</v>
      </c>
      <c r="U90" s="11" t="n">
        <v>0.0222650895267167</v>
      </c>
      <c r="V90" s="11" t="n">
        <v>0.0311767752756333</v>
      </c>
      <c r="W90" s="12" t="n">
        <f aca="false">(V90-U90)*100</f>
        <v>0.891168574891659</v>
      </c>
      <c r="X90" s="11" t="n">
        <v>0.208080722431848</v>
      </c>
      <c r="Y90" s="11" t="n">
        <v>0.282416200083862</v>
      </c>
      <c r="Z90" s="12" t="n">
        <f aca="false">(Y90-X90)*100</f>
        <v>7.43354776520135</v>
      </c>
      <c r="AA90" s="11" t="n">
        <v>0.622171817809245</v>
      </c>
      <c r="AB90" s="11" t="n">
        <v>0.639312992789549</v>
      </c>
      <c r="AC90" s="12" t="n">
        <f aca="false">(AB90-AA90)*100</f>
        <v>1.71411749803033</v>
      </c>
      <c r="AD90" s="11" t="n">
        <v>0.531749729469761</v>
      </c>
      <c r="AE90" s="11" t="n">
        <v>0.432467892648377</v>
      </c>
      <c r="AF90" s="12" t="n">
        <f aca="false">(AE90-AD90)*100</f>
        <v>-9.92818368213843</v>
      </c>
      <c r="AG90" s="11" t="n">
        <v>0.0351606110710702</v>
      </c>
      <c r="AH90" s="11" t="n">
        <v>0.0212695985332445</v>
      </c>
      <c r="AI90" s="12" t="n">
        <f aca="false">(AH90-AG90)*100</f>
        <v>-1.38910125378257</v>
      </c>
      <c r="AJ90" s="14" t="s">
        <v>132</v>
      </c>
      <c r="AK90" s="14" t="s">
        <v>132</v>
      </c>
      <c r="AL90" s="14" t="s">
        <v>150</v>
      </c>
      <c r="AM90" s="20" t="n">
        <v>30.287163833185</v>
      </c>
      <c r="AN90" s="20" t="n">
        <v>35.6896792705687</v>
      </c>
      <c r="AO90" s="12" t="n">
        <v>5.40251543738375</v>
      </c>
    </row>
    <row r="91" customFormat="false" ht="15" hidden="false" customHeight="false" outlineLevel="0" collapsed="false">
      <c r="A91" s="14" t="s">
        <v>92</v>
      </c>
      <c r="B91" s="14" t="n">
        <v>12</v>
      </c>
      <c r="C91" s="11" t="n">
        <v>0.248289316256947</v>
      </c>
      <c r="D91" s="11" t="n">
        <v>0.310613156060083</v>
      </c>
      <c r="E91" s="12" t="n">
        <f aca="false">(D91-C91)*100</f>
        <v>6.23238398031358</v>
      </c>
      <c r="F91" s="11" t="n">
        <v>0.0253965073171882</v>
      </c>
      <c r="G91" s="11" t="n">
        <v>0.0320415765864101</v>
      </c>
      <c r="H91" s="12" t="n">
        <f aca="false">(G91-F91)*100</f>
        <v>0.664506926922197</v>
      </c>
      <c r="I91" s="11" t="n">
        <v>0.0643841833216439</v>
      </c>
      <c r="J91" s="11" t="n">
        <v>0.0411329338112575</v>
      </c>
      <c r="K91" s="12" t="n">
        <f aca="false">(J91-I91)*100</f>
        <v>-2.32512495103864</v>
      </c>
      <c r="L91" s="11" t="n">
        <v>0.328551473751835</v>
      </c>
      <c r="M91" s="11" t="n">
        <v>0.396224023436125</v>
      </c>
      <c r="N91" s="12" t="n">
        <f aca="false">(M91-L91)*100</f>
        <v>6.76725496842901</v>
      </c>
      <c r="O91" s="11" t="n">
        <v>0.104444536126222</v>
      </c>
      <c r="P91" s="11" t="n">
        <v>0.100603508376584</v>
      </c>
      <c r="Q91" s="12" t="n">
        <f aca="false">(P91-O91)*100</f>
        <v>-0.38410277496386</v>
      </c>
      <c r="R91" s="11" t="n">
        <v>0.0135734872015513</v>
      </c>
      <c r="S91" s="11" t="n">
        <v>0.0164503566826053</v>
      </c>
      <c r="T91" s="12" t="n">
        <f aca="false">(S91-R91)*100</f>
        <v>0.287686948105404</v>
      </c>
      <c r="U91" s="11" t="n">
        <v>0.0226323017168723</v>
      </c>
      <c r="V91" s="11" t="n">
        <v>0.0392526918445385</v>
      </c>
      <c r="W91" s="12" t="n">
        <f aca="false">(V91-U91)*100</f>
        <v>1.66203901276662</v>
      </c>
      <c r="X91" s="11" t="n">
        <v>0.295098102776583</v>
      </c>
      <c r="Y91" s="11" t="n">
        <v>0.383787666457751</v>
      </c>
      <c r="Z91" s="12" t="n">
        <f aca="false">(Y91-X91)*100</f>
        <v>8.86895636811682</v>
      </c>
      <c r="AA91" s="11" t="n">
        <v>0.446569497079608</v>
      </c>
      <c r="AB91" s="11" t="n">
        <v>0.513277888495314</v>
      </c>
      <c r="AC91" s="12" t="n">
        <f aca="false">(AB91-AA91)*100</f>
        <v>6.67083914157055</v>
      </c>
      <c r="AD91" s="11" t="n">
        <v>0.535189542813523</v>
      </c>
      <c r="AE91" s="11" t="n">
        <v>0.429248106209457</v>
      </c>
      <c r="AF91" s="12" t="n">
        <f aca="false">(AE91-AD91)*100</f>
        <v>-10.5941436604067</v>
      </c>
      <c r="AG91" s="11" t="n">
        <v>0.0390289328044605</v>
      </c>
      <c r="AH91" s="11" t="n">
        <v>0.0258445244114561</v>
      </c>
      <c r="AI91" s="12" t="n">
        <f aca="false">(AH91-AG91)*100</f>
        <v>-1.31844083930044</v>
      </c>
      <c r="AJ91" s="14" t="s">
        <v>132</v>
      </c>
      <c r="AK91" s="14" t="s">
        <v>132</v>
      </c>
      <c r="AL91" s="14" t="s">
        <v>150</v>
      </c>
      <c r="AM91" s="20" t="n">
        <v>6.96591598936753</v>
      </c>
      <c r="AN91" s="20" t="n">
        <v>12.9490222037563</v>
      </c>
      <c r="AO91" s="12" t="n">
        <v>5.98310621438873</v>
      </c>
    </row>
    <row r="92" customFormat="false" ht="15" hidden="false" customHeight="false" outlineLevel="0" collapsed="false">
      <c r="A92" s="14" t="s">
        <v>92</v>
      </c>
      <c r="B92" s="14" t="n">
        <v>13</v>
      </c>
      <c r="C92" s="11" t="n">
        <v>0.217149948951207</v>
      </c>
      <c r="D92" s="11" t="n">
        <v>0.262287980723674</v>
      </c>
      <c r="E92" s="12" t="n">
        <f aca="false">(D92-C92)*100</f>
        <v>4.51380317724673</v>
      </c>
      <c r="F92" s="11" t="n">
        <v>0.0264353269873876</v>
      </c>
      <c r="G92" s="11" t="n">
        <v>0.0141932776521869</v>
      </c>
      <c r="H92" s="12" t="n">
        <f aca="false">(G92-F92)*100</f>
        <v>-1.22420493352007</v>
      </c>
      <c r="I92" s="11" t="n">
        <v>0.0778815056642762</v>
      </c>
      <c r="J92" s="11" t="n">
        <v>0.0483870967741936</v>
      </c>
      <c r="K92" s="12" t="n">
        <f aca="false">(J92-I92)*100</f>
        <v>-2.94944088900827</v>
      </c>
      <c r="L92" s="11" t="n">
        <v>0.290116097793592</v>
      </c>
      <c r="M92" s="11" t="n">
        <v>0.313307974496772</v>
      </c>
      <c r="N92" s="12" t="n">
        <f aca="false">(M92-L92)*100</f>
        <v>2.31918767031798</v>
      </c>
      <c r="O92" s="11" t="n">
        <v>0.183952949519775</v>
      </c>
      <c r="P92" s="11" t="n">
        <v>0.165710069984974</v>
      </c>
      <c r="Q92" s="12" t="n">
        <f aca="false">(P92-O92)*100</f>
        <v>-1.82428795348003</v>
      </c>
      <c r="R92" s="11" t="n">
        <v>0.0562209220573581</v>
      </c>
      <c r="S92" s="11" t="n">
        <v>0.0190462009123767</v>
      </c>
      <c r="T92" s="12" t="n">
        <f aca="false">(S92-R92)*100</f>
        <v>-3.71747211449814</v>
      </c>
      <c r="U92" s="11" t="n">
        <v>0.0325856366426401</v>
      </c>
      <c r="V92" s="11" t="n">
        <v>0.0476290390264373</v>
      </c>
      <c r="W92" s="12" t="n">
        <f aca="false">(V92-U92)*100</f>
        <v>1.50434023837972</v>
      </c>
      <c r="X92" s="11" t="n">
        <v>0.257609938313495</v>
      </c>
      <c r="Y92" s="11" t="n">
        <v>0.324868355150055</v>
      </c>
      <c r="Z92" s="12" t="n">
        <f aca="false">(Y92-X92)*100</f>
        <v>6.72584168365602</v>
      </c>
      <c r="AA92" s="11" t="n">
        <v>0.530289969370724</v>
      </c>
      <c r="AB92" s="11" t="n">
        <v>0.498064245394122</v>
      </c>
      <c r="AC92" s="12" t="n">
        <f aca="false">(AB92-AA92)*100</f>
        <v>-3.22257239766018</v>
      </c>
      <c r="AD92" s="11" t="n">
        <v>0.533293122279641</v>
      </c>
      <c r="AE92" s="11" t="n">
        <v>0.466349340622574</v>
      </c>
      <c r="AF92" s="12" t="n">
        <f aca="false">(AE92-AD92)*100</f>
        <v>-6.69437816570673</v>
      </c>
      <c r="AG92" s="11" t="n">
        <v>0.048811205057193</v>
      </c>
      <c r="AH92" s="11" t="n">
        <v>0.0314661649046336</v>
      </c>
      <c r="AI92" s="12" t="n">
        <f aca="false">(AH92-AG92)*100</f>
        <v>-1.73450401525594</v>
      </c>
      <c r="AJ92" s="14" t="s">
        <v>132</v>
      </c>
      <c r="AK92" s="14" t="s">
        <v>132</v>
      </c>
      <c r="AL92" s="14" t="s">
        <v>150</v>
      </c>
      <c r="AM92" s="20" t="n">
        <v>6.44987742176085</v>
      </c>
      <c r="AN92" s="20" t="n">
        <v>17.3195890244068</v>
      </c>
      <c r="AO92" s="12" t="n">
        <v>10.8697116026459</v>
      </c>
    </row>
    <row r="93" customFormat="false" ht="15" hidden="false" customHeight="false" outlineLevel="0" collapsed="false">
      <c r="A93" s="14" t="s">
        <v>92</v>
      </c>
      <c r="B93" s="14" t="n">
        <v>14</v>
      </c>
      <c r="C93" s="11" t="n">
        <v>0.242251722924999</v>
      </c>
      <c r="D93" s="11" t="n">
        <v>0.227694263705033</v>
      </c>
      <c r="E93" s="12" t="n">
        <f aca="false">(D93-C93)*100</f>
        <v>-1.45574592199657</v>
      </c>
      <c r="F93" s="11" t="n">
        <v>0.0229614768300786</v>
      </c>
      <c r="G93" s="11" t="n">
        <v>0.026153616034702</v>
      </c>
      <c r="H93" s="12" t="n">
        <f aca="false">(G93-F93)*100</f>
        <v>0.319213920462341</v>
      </c>
      <c r="I93" s="11" t="n">
        <v>0.106853919410102</v>
      </c>
      <c r="J93" s="11" t="n">
        <v>0.0734649614838082</v>
      </c>
      <c r="K93" s="12" t="n">
        <f aca="false">(J93-I93)*100</f>
        <v>-3.33889579262935</v>
      </c>
      <c r="L93" s="11" t="n">
        <v>0.268183535481181</v>
      </c>
      <c r="M93" s="11" t="n">
        <v>0.320447236556727</v>
      </c>
      <c r="N93" s="12" t="n">
        <f aca="false">(M93-L93)*100</f>
        <v>5.22637010755459</v>
      </c>
      <c r="O93" s="11" t="n">
        <v>0.163127450852669</v>
      </c>
      <c r="P93" s="11" t="n">
        <v>0.152823274250243</v>
      </c>
      <c r="Q93" s="12" t="n">
        <f aca="false">(P93-O93)*100</f>
        <v>-1.03041766024256</v>
      </c>
      <c r="R93" s="11" t="n">
        <v>0.0458447869305228</v>
      </c>
      <c r="S93" s="11" t="n">
        <v>0.0258918555081894</v>
      </c>
      <c r="T93" s="12" t="n">
        <f aca="false">(S93-R93)*100</f>
        <v>-1.99529314223334</v>
      </c>
      <c r="U93" s="11" t="n">
        <v>0.0541630297424406</v>
      </c>
      <c r="V93" s="11" t="n">
        <v>0.0595991324508264</v>
      </c>
      <c r="W93" s="12" t="n">
        <f aca="false">(V93-U93)*100</f>
        <v>0.54361027083858</v>
      </c>
      <c r="X93" s="11" t="n">
        <v>0.282292630180174</v>
      </c>
      <c r="Y93" s="11" t="n">
        <v>0.327312841223544</v>
      </c>
      <c r="Z93" s="12" t="n">
        <f aca="false">(Y93-X93)*100</f>
        <v>4.50202110433692</v>
      </c>
      <c r="AA93" s="11" t="n">
        <v>0.477155773264373</v>
      </c>
      <c r="AB93" s="11" t="n">
        <v>0.49916236631516</v>
      </c>
      <c r="AC93" s="12" t="n">
        <f aca="false">(AB93-AA93)*100</f>
        <v>2.20065930507868</v>
      </c>
      <c r="AD93" s="11" t="n">
        <v>0.504696247932961</v>
      </c>
      <c r="AE93" s="11" t="n">
        <v>0.427629790486668</v>
      </c>
      <c r="AF93" s="12" t="n">
        <f aca="false">(AE93-AD93)*100</f>
        <v>-7.70664574462922</v>
      </c>
      <c r="AG93" s="11" t="n">
        <v>0.0547232246381532</v>
      </c>
      <c r="AH93" s="11" t="n">
        <v>0.0407972477750355</v>
      </c>
      <c r="AI93" s="12" t="n">
        <f aca="false">(AH93-AG93)*100</f>
        <v>-1.39259768631177</v>
      </c>
      <c r="AJ93" s="14" t="s">
        <v>132</v>
      </c>
      <c r="AK93" s="14" t="s">
        <v>132</v>
      </c>
      <c r="AL93" s="14" t="s">
        <v>150</v>
      </c>
      <c r="AM93" s="20" t="n">
        <v>7.40760041167811</v>
      </c>
      <c r="AN93" s="20" t="n">
        <v>17.1849525091616</v>
      </c>
      <c r="AO93" s="12" t="n">
        <v>9.77735209748351</v>
      </c>
    </row>
    <row r="94" customFormat="false" ht="15" hidden="false" customHeight="false" outlineLevel="0" collapsed="false">
      <c r="A94" s="14" t="s">
        <v>92</v>
      </c>
      <c r="B94" s="14" t="n">
        <v>15</v>
      </c>
      <c r="C94" s="11" t="n">
        <v>0.27048613664779</v>
      </c>
      <c r="D94" s="11" t="n">
        <v>0.331517116734</v>
      </c>
      <c r="E94" s="12" t="n">
        <f aca="false">(D94-C94)*100</f>
        <v>6.10309800862096</v>
      </c>
      <c r="F94" s="11" t="n">
        <v>0.0341693020519232</v>
      </c>
      <c r="G94" s="11" t="n">
        <v>0.00970125451839252</v>
      </c>
      <c r="H94" s="12" t="n">
        <f aca="false">(G94-F94)*100</f>
        <v>-2.44680475335307</v>
      </c>
      <c r="I94" s="11" t="n">
        <v>0.0540854600279473</v>
      </c>
      <c r="J94" s="11" t="n">
        <v>0.0241866893472252</v>
      </c>
      <c r="K94" s="12" t="n">
        <f aca="false">(J94-I94)*100</f>
        <v>-2.98987706807222</v>
      </c>
      <c r="L94" s="11" t="n">
        <v>0.34090608222402</v>
      </c>
      <c r="M94" s="11" t="n">
        <v>0.425712311290666</v>
      </c>
      <c r="N94" s="12" t="n">
        <f aca="false">(M94-L94)*100</f>
        <v>8.48062290666456</v>
      </c>
      <c r="O94" s="11" t="n">
        <v>0.171736412443922</v>
      </c>
      <c r="P94" s="11" t="n">
        <v>0.0959582535969948</v>
      </c>
      <c r="Q94" s="12" t="n">
        <f aca="false">(P94-O94)*100</f>
        <v>-7.57781588469267</v>
      </c>
      <c r="R94" s="11" t="n">
        <v>0.0139883797896595</v>
      </c>
      <c r="S94" s="11" t="n">
        <v>0.0141842086611383</v>
      </c>
      <c r="T94" s="12" t="n">
        <f aca="false">(S94-R94)*100</f>
        <v>0.0195828871478799</v>
      </c>
      <c r="U94" s="11" t="n">
        <v>0.0200558946826506</v>
      </c>
      <c r="V94" s="11" t="n">
        <v>0.0398947480331703</v>
      </c>
      <c r="W94" s="12" t="n">
        <f aca="false">(V94-U94)*100</f>
        <v>1.98388533505197</v>
      </c>
      <c r="X94" s="11" t="n">
        <v>0.331837905420313</v>
      </c>
      <c r="Y94" s="11" t="n">
        <v>0.365405060599617</v>
      </c>
      <c r="Z94" s="12" t="n">
        <f aca="false">(Y94-X94)*100</f>
        <v>3.35671551793039</v>
      </c>
      <c r="AA94" s="11" t="n">
        <v>0.526630874457601</v>
      </c>
      <c r="AB94" s="11" t="n">
        <v>0.535854773548799</v>
      </c>
      <c r="AC94" s="12" t="n">
        <f aca="false">(AB94-AA94)*100</f>
        <v>0.92238990911977</v>
      </c>
      <c r="AD94" s="11" t="n">
        <v>0.504869726010612</v>
      </c>
      <c r="AE94" s="11" t="n">
        <v>0.400065217237199</v>
      </c>
      <c r="AF94" s="12" t="n">
        <f aca="false">(AE94-AD94)*100</f>
        <v>-10.4804508773413</v>
      </c>
      <c r="AG94" s="11" t="n">
        <v>0.0416415385746856</v>
      </c>
      <c r="AH94" s="11" t="n">
        <v>0.0264724643844355</v>
      </c>
      <c r="AI94" s="12" t="n">
        <f aca="false">(AH94-AG94)*100</f>
        <v>-1.51690741902501</v>
      </c>
      <c r="AJ94" s="14" t="s">
        <v>132</v>
      </c>
      <c r="AK94" s="14" t="s">
        <v>132</v>
      </c>
      <c r="AL94" s="14" t="s">
        <v>150</v>
      </c>
      <c r="AM94" s="20" t="n">
        <v>4.31124512760168</v>
      </c>
      <c r="AN94" s="20" t="n">
        <v>17.0449712949181</v>
      </c>
      <c r="AO94" s="12" t="n">
        <v>12.7337261673165</v>
      </c>
    </row>
    <row r="95" customFormat="false" ht="15" hidden="false" customHeight="false" outlineLevel="0" collapsed="false">
      <c r="A95" s="14" t="s">
        <v>93</v>
      </c>
      <c r="B95" s="14" t="n">
        <v>1</v>
      </c>
      <c r="C95" s="11" t="n">
        <v>0.349334903164041</v>
      </c>
      <c r="D95" s="11" t="n">
        <v>0.382751160386988</v>
      </c>
      <c r="E95" s="12" t="n">
        <f aca="false">(D95-C95)*100</f>
        <v>3.34162572229469</v>
      </c>
      <c r="F95" s="11" t="n">
        <v>0.0279953142931897</v>
      </c>
      <c r="G95" s="11" t="n">
        <v>0.0313673627918622</v>
      </c>
      <c r="H95" s="12" t="n">
        <f aca="false">(G95-F95)*100</f>
        <v>0.337204849867253</v>
      </c>
      <c r="I95" s="11" t="n">
        <v>0.0163999738361549</v>
      </c>
      <c r="J95" s="11" t="n">
        <v>0.00738282177868226</v>
      </c>
      <c r="K95" s="12" t="n">
        <f aca="false">(J95-I95)*100</f>
        <v>-0.901715205747261</v>
      </c>
      <c r="L95" s="11" t="n">
        <v>0.018332530578994</v>
      </c>
      <c r="M95" s="11" t="n">
        <v>0.00719664627295897</v>
      </c>
      <c r="N95" s="12" t="n">
        <f aca="false">(M95-L95)*100</f>
        <v>-1.1135884306035</v>
      </c>
      <c r="O95" s="11" t="n">
        <v>0.232400354401175</v>
      </c>
      <c r="P95" s="11" t="n">
        <v>0.327501974102345</v>
      </c>
      <c r="Q95" s="12" t="n">
        <f aca="false">(P95-O95)*100</f>
        <v>9.51016197011702</v>
      </c>
      <c r="R95" s="11" t="n">
        <v>0.226888107937754</v>
      </c>
      <c r="S95" s="11" t="n">
        <v>0.161754415248416</v>
      </c>
      <c r="T95" s="12" t="n">
        <f aca="false">(S95-R95)*100</f>
        <v>-6.51336926893379</v>
      </c>
      <c r="U95" s="11" t="n">
        <v>0.0551462499479696</v>
      </c>
      <c r="V95" s="11" t="n">
        <v>0.0327797286973493</v>
      </c>
      <c r="W95" s="12" t="n">
        <f aca="false">(V95-U95)*100</f>
        <v>-2.23665212506204</v>
      </c>
      <c r="X95" s="11" t="n">
        <v>0.38467393308002</v>
      </c>
      <c r="Y95" s="11" t="n">
        <v>0.421501344957533</v>
      </c>
      <c r="Z95" s="12" t="n">
        <f aca="false">(Y95-X95)*100</f>
        <v>3.6827411877513</v>
      </c>
      <c r="AA95" s="11" t="n">
        <v>0.477620992917923</v>
      </c>
      <c r="AB95" s="11" t="n">
        <v>0.49645303562372</v>
      </c>
      <c r="AC95" s="12" t="n">
        <f aca="false">(AB95-AA95)*100</f>
        <v>1.88320427057973</v>
      </c>
      <c r="AD95" s="11" t="n">
        <v>0.641130139075271</v>
      </c>
      <c r="AE95" s="11" t="n">
        <v>0.595703752428447</v>
      </c>
      <c r="AF95" s="12" t="n">
        <f aca="false">(AE95-AD95)*100</f>
        <v>-4.54263866468245</v>
      </c>
      <c r="AG95" s="11" t="n">
        <v>0.0507459669027359</v>
      </c>
      <c r="AH95" s="11" t="n">
        <v>0.0304814241784203</v>
      </c>
      <c r="AI95" s="12" t="n">
        <f aca="false">(AH95-AG95)*100</f>
        <v>-2.02645427243156</v>
      </c>
      <c r="AJ95" s="14" t="s">
        <v>74</v>
      </c>
      <c r="AK95" s="14" t="s">
        <v>132</v>
      </c>
      <c r="AL95" s="14" t="s">
        <v>133</v>
      </c>
      <c r="AM95" s="20" t="n">
        <v>8.43070446153023</v>
      </c>
      <c r="AN95" s="20" t="n">
        <v>7.49516906661873</v>
      </c>
      <c r="AO95" s="12" t="n">
        <v>-0.935535394911496</v>
      </c>
    </row>
    <row r="96" customFormat="false" ht="15" hidden="false" customHeight="false" outlineLevel="0" collapsed="false">
      <c r="A96" s="14" t="s">
        <v>93</v>
      </c>
      <c r="B96" s="14" t="n">
        <v>2</v>
      </c>
      <c r="C96" s="11" t="n">
        <v>0.361649413462885</v>
      </c>
      <c r="D96" s="11" t="n">
        <v>0.32086038766562</v>
      </c>
      <c r="E96" s="12" t="n">
        <f aca="false">(D96-C96)*100</f>
        <v>-4.07890257972646</v>
      </c>
      <c r="F96" s="11" t="n">
        <v>0.0545226374241918</v>
      </c>
      <c r="G96" s="11" t="n">
        <v>0.0353403454968014</v>
      </c>
      <c r="H96" s="12" t="n">
        <f aca="false">(G96-F96)*100</f>
        <v>-1.91822919273904</v>
      </c>
      <c r="I96" s="11" t="n">
        <v>0.0507739704630896</v>
      </c>
      <c r="J96" s="11" t="n">
        <v>0.0426779596041881</v>
      </c>
      <c r="K96" s="12" t="n">
        <f aca="false">(J96-I96)*100</f>
        <v>-0.80960108589015</v>
      </c>
      <c r="L96" s="11" t="n">
        <v>0.119262546723687</v>
      </c>
      <c r="M96" s="11" t="n">
        <v>0.0974495052351631</v>
      </c>
      <c r="N96" s="12" t="n">
        <f aca="false">(M96-L96)*100</f>
        <v>-2.18130414885236</v>
      </c>
      <c r="O96" s="11" t="n">
        <v>0.183560802731787</v>
      </c>
      <c r="P96" s="11" t="n">
        <v>0.222332702398352</v>
      </c>
      <c r="Q96" s="12" t="n">
        <f aca="false">(P96-O96)*100</f>
        <v>3.87718996665644</v>
      </c>
      <c r="R96" s="11" t="n">
        <v>0.0781780185925264</v>
      </c>
      <c r="S96" s="11" t="n">
        <v>0.127770323693605</v>
      </c>
      <c r="T96" s="12" t="n">
        <f aca="false">(S96-R96)*100</f>
        <v>4.95923051010788</v>
      </c>
      <c r="U96" s="11" t="n">
        <v>0.0352514730753073</v>
      </c>
      <c r="V96" s="11" t="n">
        <v>0.0237618899297985</v>
      </c>
      <c r="W96" s="12" t="n">
        <f aca="false">(V96-U96)*100</f>
        <v>-1.14895831455088</v>
      </c>
      <c r="X96" s="11" t="n">
        <v>0.439348076653776</v>
      </c>
      <c r="Y96" s="11" t="n">
        <v>0.39887869276661</v>
      </c>
      <c r="Z96" s="12" t="n">
        <f aca="false">(Y96-X96)*100</f>
        <v>-4.04693838871661</v>
      </c>
      <c r="AA96" s="11" t="n">
        <v>0.381001368048</v>
      </c>
      <c r="AB96" s="11" t="n">
        <v>0.44755253132712</v>
      </c>
      <c r="AC96" s="12" t="n">
        <f aca="false">(AB96-AA96)*100</f>
        <v>6.65511632791196</v>
      </c>
      <c r="AD96" s="11" t="n">
        <v>0.638159070598749</v>
      </c>
      <c r="AE96" s="11" t="n">
        <v>0.562986443650098</v>
      </c>
      <c r="AF96" s="12" t="n">
        <f aca="false">(AE96-AD96)*100</f>
        <v>-7.51726269486511</v>
      </c>
      <c r="AG96" s="11" t="n">
        <v>0.0514202923529348</v>
      </c>
      <c r="AH96" s="11" t="n">
        <v>0.0406234276541199</v>
      </c>
      <c r="AI96" s="12" t="n">
        <f aca="false">(AH96-AG96)*100</f>
        <v>-1.0796864698815</v>
      </c>
      <c r="AJ96" s="14" t="s">
        <v>74</v>
      </c>
      <c r="AK96" s="14" t="s">
        <v>132</v>
      </c>
      <c r="AL96" s="14" t="s">
        <v>133</v>
      </c>
      <c r="AM96" s="20" t="n">
        <v>16.3460191957601</v>
      </c>
      <c r="AN96" s="20" t="n">
        <v>4.86738385605099</v>
      </c>
      <c r="AO96" s="12" t="n">
        <v>-11.4786353397091</v>
      </c>
    </row>
    <row r="97" customFormat="false" ht="15" hidden="false" customHeight="false" outlineLevel="0" collapsed="false">
      <c r="A97" s="14" t="s">
        <v>93</v>
      </c>
      <c r="B97" s="14" t="n">
        <v>3</v>
      </c>
      <c r="C97" s="11" t="n">
        <v>0.438905254676839</v>
      </c>
      <c r="D97" s="11" t="n">
        <v>0.459326643838585</v>
      </c>
      <c r="E97" s="12" t="n">
        <f aca="false">(D97-C97)*100</f>
        <v>2.04213891617466</v>
      </c>
      <c r="F97" s="11" t="n">
        <v>0.0282901528312813</v>
      </c>
      <c r="G97" s="11" t="n">
        <v>0.0130195916952018</v>
      </c>
      <c r="H97" s="12" t="n">
        <f aca="false">(G97-F97)*100</f>
        <v>-1.52705611360795</v>
      </c>
      <c r="I97" s="11" t="n">
        <v>0.04970667472367</v>
      </c>
      <c r="J97" s="11" t="n">
        <v>0.0188873477525898</v>
      </c>
      <c r="K97" s="12" t="n">
        <f aca="false">(J97-I97)*100</f>
        <v>-3.08193269710801</v>
      </c>
      <c r="L97" s="11" t="n">
        <v>0.0184455019261274</v>
      </c>
      <c r="M97" s="11" t="n">
        <v>0.0102780547007065</v>
      </c>
      <c r="N97" s="12" t="n">
        <f aca="false">(M97-L97)*100</f>
        <v>-0.816744722542083</v>
      </c>
      <c r="O97" s="11" t="n">
        <v>0.183563713271395</v>
      </c>
      <c r="P97" s="11" t="n">
        <v>0.21948008322136</v>
      </c>
      <c r="Q97" s="12" t="n">
        <f aca="false">(P97-O97)*100</f>
        <v>3.5916369949965</v>
      </c>
      <c r="R97" s="11" t="n">
        <v>0.138308532870056</v>
      </c>
      <c r="S97" s="11" t="n">
        <v>0.186668328204239</v>
      </c>
      <c r="T97" s="12" t="n">
        <f aca="false">(S97-R97)*100</f>
        <v>4.83597953341834</v>
      </c>
      <c r="U97" s="11" t="n">
        <v>0.0347659692323187</v>
      </c>
      <c r="V97" s="11" t="n">
        <v>0.0174353083958216</v>
      </c>
      <c r="W97" s="12" t="n">
        <f aca="false">(V97-U97)*100</f>
        <v>-1.73306608364971</v>
      </c>
      <c r="X97" s="11" t="n">
        <v>0.495510738474709</v>
      </c>
      <c r="Y97" s="11" t="n">
        <v>0.491233583286377</v>
      </c>
      <c r="Z97" s="12" t="n">
        <f aca="false">(Y97-X97)*100</f>
        <v>-0.427715518833183</v>
      </c>
      <c r="AA97" s="11" t="n">
        <v>0.340317748067578</v>
      </c>
      <c r="AB97" s="11" t="n">
        <v>0.416426466126306</v>
      </c>
      <c r="AC97" s="12" t="n">
        <f aca="false">(AB97-AA97)*100</f>
        <v>7.61087180587276</v>
      </c>
      <c r="AD97" s="11" t="n">
        <v>0.629054636223106</v>
      </c>
      <c r="AE97" s="11" t="n">
        <v>0.577809640387319</v>
      </c>
      <c r="AF97" s="12" t="n">
        <f aca="false">(AE97-AD97)*100</f>
        <v>-5.12449958357878</v>
      </c>
      <c r="AG97" s="11" t="n">
        <v>0.0493189314399376</v>
      </c>
      <c r="AH97" s="11" t="n">
        <v>0.0288944995882276</v>
      </c>
      <c r="AI97" s="12" t="n">
        <f aca="false">(AH97-AG97)*100</f>
        <v>-2.04244318517099</v>
      </c>
      <c r="AJ97" s="14" t="s">
        <v>74</v>
      </c>
      <c r="AK97" s="14" t="s">
        <v>74</v>
      </c>
      <c r="AL97" s="14" t="s">
        <v>134</v>
      </c>
      <c r="AM97" s="20" t="n">
        <v>24.6216985170078</v>
      </c>
      <c r="AN97" s="20" t="n">
        <v>7.48071171600711</v>
      </c>
      <c r="AO97" s="12" t="n">
        <v>-17.1409868010007</v>
      </c>
    </row>
    <row r="98" customFormat="false" ht="15" hidden="false" customHeight="false" outlineLevel="0" collapsed="false">
      <c r="A98" s="14" t="s">
        <v>93</v>
      </c>
      <c r="B98" s="14" t="n">
        <v>4</v>
      </c>
      <c r="C98" s="11" t="n">
        <v>0.551279503654148</v>
      </c>
      <c r="D98" s="11" t="n">
        <v>0.539063874140908</v>
      </c>
      <c r="E98" s="12" t="n">
        <f aca="false">(D98-C98)*100</f>
        <v>-1.22156295132401</v>
      </c>
      <c r="F98" s="11" t="n">
        <v>0.053233534256254</v>
      </c>
      <c r="G98" s="11" t="n">
        <v>0.0105664310608775</v>
      </c>
      <c r="H98" s="12" t="n">
        <f aca="false">(G98-F98)*100</f>
        <v>-4.26671031953765</v>
      </c>
      <c r="I98" s="11" t="n">
        <v>0.0185191318363472</v>
      </c>
      <c r="J98" s="11" t="n">
        <v>0.0149245952900557</v>
      </c>
      <c r="K98" s="12" t="n">
        <f aca="false">(J98-I98)*100</f>
        <v>-0.359453654629148</v>
      </c>
      <c r="L98" s="11" t="n">
        <v>0.0437724934313661</v>
      </c>
      <c r="M98" s="11" t="n">
        <v>0.0193804762059868</v>
      </c>
      <c r="N98" s="12" t="n">
        <f aca="false">(M98-L98)*100</f>
        <v>-2.43920172253793</v>
      </c>
      <c r="O98" s="11" t="n">
        <v>0.137676359541631</v>
      </c>
      <c r="P98" s="11" t="n">
        <v>0.229230318230677</v>
      </c>
      <c r="Q98" s="12" t="n">
        <f aca="false">(P98-O98)*100</f>
        <v>9.15539586890457</v>
      </c>
      <c r="R98" s="11" t="n">
        <v>0.0514450994678855</v>
      </c>
      <c r="S98" s="11" t="n">
        <v>0.0458486694244487</v>
      </c>
      <c r="T98" s="12" t="n">
        <f aca="false">(S98-R98)*100</f>
        <v>-0.559643004343674</v>
      </c>
      <c r="U98" s="11" t="n">
        <v>0.0451579784063059</v>
      </c>
      <c r="V98" s="11" t="n">
        <v>0.0609361258590925</v>
      </c>
      <c r="W98" s="12" t="n">
        <f aca="false">(V98-U98)*100</f>
        <v>1.57781474527866</v>
      </c>
      <c r="X98" s="11" t="n">
        <v>0.638703053586805</v>
      </c>
      <c r="Y98" s="11" t="n">
        <v>0.564554900491841</v>
      </c>
      <c r="Z98" s="12" t="n">
        <f aca="false">(Y98-X98)*100</f>
        <v>-7.41481530949647</v>
      </c>
      <c r="AA98" s="11" t="n">
        <v>0.232893952440882</v>
      </c>
      <c r="AB98" s="11" t="n">
        <v>0.294459463861112</v>
      </c>
      <c r="AC98" s="12" t="n">
        <f aca="false">(AB98-AA98)*100</f>
        <v>6.15655114202297</v>
      </c>
      <c r="AD98" s="11" t="n">
        <v>0.600570854591203</v>
      </c>
      <c r="AE98" s="11" t="n">
        <v>0.513281349267386</v>
      </c>
      <c r="AF98" s="12" t="n">
        <f aca="false">(AE98-AD98)*100</f>
        <v>-8.72895053238167</v>
      </c>
      <c r="AG98" s="11" t="n">
        <v>0.032412620608951</v>
      </c>
      <c r="AH98" s="11" t="n">
        <v>0.0335493957851536</v>
      </c>
      <c r="AI98" s="12" t="n">
        <f aca="false">(AH98-AG98)*100</f>
        <v>0.113677517620258</v>
      </c>
      <c r="AJ98" s="14" t="s">
        <v>74</v>
      </c>
      <c r="AK98" s="14" t="s">
        <v>74</v>
      </c>
      <c r="AL98" s="14" t="s">
        <v>134</v>
      </c>
      <c r="AM98" s="20" t="n">
        <v>47.3697864917975</v>
      </c>
      <c r="AN98" s="20" t="n">
        <v>27.0095436630729</v>
      </c>
      <c r="AO98" s="12" t="n">
        <v>-20.3602428287246</v>
      </c>
    </row>
    <row r="99" customFormat="false" ht="15" hidden="false" customHeight="false" outlineLevel="0" collapsed="false">
      <c r="A99" s="14" t="s">
        <v>93</v>
      </c>
      <c r="B99" s="14" t="n">
        <v>5</v>
      </c>
      <c r="C99" s="11" t="n">
        <v>0.36825244719791</v>
      </c>
      <c r="D99" s="11" t="n">
        <v>0.311202772544777</v>
      </c>
      <c r="E99" s="12" t="n">
        <f aca="false">(D99-C99)*100</f>
        <v>-5.70496746531332</v>
      </c>
      <c r="F99" s="11" t="n">
        <v>0.16884412031801</v>
      </c>
      <c r="G99" s="11" t="n">
        <v>0.154176118107771</v>
      </c>
      <c r="H99" s="12" t="n">
        <f aca="false">(G99-F99)*100</f>
        <v>-1.46680022102392</v>
      </c>
      <c r="I99" s="11" t="n">
        <v>0.0372553498504103</v>
      </c>
      <c r="J99" s="11" t="n">
        <v>0.0501233035464187</v>
      </c>
      <c r="K99" s="12" t="n">
        <f aca="false">(J99-I99)*100</f>
        <v>1.28679536960084</v>
      </c>
      <c r="L99" s="11" t="n">
        <v>0.0192711612281396</v>
      </c>
      <c r="M99" s="11" t="n">
        <v>0.0190584991569223</v>
      </c>
      <c r="N99" s="12" t="n">
        <f aca="false">(M99-L99)*100</f>
        <v>-0.0212662071217271</v>
      </c>
      <c r="O99" s="11" t="n">
        <v>0.179513178933763</v>
      </c>
      <c r="P99" s="11" t="n">
        <v>0.203640338109858</v>
      </c>
      <c r="Q99" s="12" t="n">
        <f aca="false">(P99-O99)*100</f>
        <v>2.41271591760955</v>
      </c>
      <c r="R99" s="11" t="n">
        <v>0.0719757536589578</v>
      </c>
      <c r="S99" s="11" t="n">
        <v>0.0966326323247524</v>
      </c>
      <c r="T99" s="12" t="n">
        <f aca="false">(S99-R99)*100</f>
        <v>2.46568786657946</v>
      </c>
      <c r="U99" s="11" t="n">
        <v>0.044531480687054</v>
      </c>
      <c r="V99" s="11" t="n">
        <v>0.0512492379346519</v>
      </c>
      <c r="W99" s="12" t="n">
        <f aca="false">(V99-U99)*100</f>
        <v>0.671775724759793</v>
      </c>
      <c r="X99" s="11" t="n">
        <v>0.552166961017544</v>
      </c>
      <c r="Y99" s="11" t="n">
        <v>0.515502194198966</v>
      </c>
      <c r="Z99" s="12" t="n">
        <f aca="false">(Y99-X99)*100</f>
        <v>-3.66647668185777</v>
      </c>
      <c r="AA99" s="11" t="n">
        <v>0.27076009382086</v>
      </c>
      <c r="AB99" s="11" t="n">
        <v>0.319331469591533</v>
      </c>
      <c r="AC99" s="12" t="n">
        <f aca="false">(AB99-AA99)*100</f>
        <v>4.85713757706729</v>
      </c>
      <c r="AD99" s="11" t="n">
        <v>0.694345155200693</v>
      </c>
      <c r="AE99" s="11" t="n">
        <v>0.659121104285151</v>
      </c>
      <c r="AF99" s="12" t="n">
        <f aca="false">(AE99-AD99)*100</f>
        <v>-3.52240509155426</v>
      </c>
      <c r="AG99" s="11" t="n">
        <v>0.0678139851023171</v>
      </c>
      <c r="AH99" s="11" t="n">
        <v>0.044878097006113</v>
      </c>
      <c r="AI99" s="12" t="n">
        <f aca="false">(AH99-AG99)*100</f>
        <v>-2.29358880962041</v>
      </c>
      <c r="AJ99" s="14" t="s">
        <v>74</v>
      </c>
      <c r="AK99" s="14" t="s">
        <v>74</v>
      </c>
      <c r="AL99" s="14" t="s">
        <v>134</v>
      </c>
      <c r="AM99" s="20" t="n">
        <v>32.4361667158799</v>
      </c>
      <c r="AN99" s="20" t="n">
        <v>19.6170724607433</v>
      </c>
      <c r="AO99" s="12" t="n">
        <v>-12.8190942551366</v>
      </c>
    </row>
    <row r="100" customFormat="false" ht="15" hidden="false" customHeight="false" outlineLevel="0" collapsed="false">
      <c r="A100" s="14" t="s">
        <v>93</v>
      </c>
      <c r="B100" s="14" t="n">
        <v>6</v>
      </c>
      <c r="C100" s="11" t="n">
        <v>0.243431936999537</v>
      </c>
      <c r="D100" s="11" t="n">
        <v>0.293477703376549</v>
      </c>
      <c r="E100" s="12" t="n">
        <f aca="false">(D100-C100)*100</f>
        <v>5.00457663770126</v>
      </c>
      <c r="F100" s="11" t="n">
        <v>0.0531125228861977</v>
      </c>
      <c r="G100" s="11" t="n">
        <v>0.0235760079783445</v>
      </c>
      <c r="H100" s="12" t="n">
        <f aca="false">(G100-F100)*100</f>
        <v>-2.95365149078532</v>
      </c>
      <c r="I100" s="11" t="n">
        <v>0.0336509827278142</v>
      </c>
      <c r="J100" s="11" t="n">
        <v>0.0239635275680296</v>
      </c>
      <c r="K100" s="12" t="n">
        <f aca="false">(J100-I100)*100</f>
        <v>-0.968745515978453</v>
      </c>
      <c r="L100" s="11" t="n">
        <v>0.0628570798314694</v>
      </c>
      <c r="M100" s="11" t="n">
        <v>0.0372930616896994</v>
      </c>
      <c r="N100" s="12" t="n">
        <f aca="false">(M100-L100)*100</f>
        <v>-2.556401814177</v>
      </c>
      <c r="O100" s="11" t="n">
        <v>0.187881896190413</v>
      </c>
      <c r="P100" s="11" t="n">
        <v>0.242484684427981</v>
      </c>
      <c r="Q100" s="12" t="n">
        <f aca="false">(P100-O100)*100</f>
        <v>5.4602788237568</v>
      </c>
      <c r="R100" s="11" t="n">
        <v>0.266378796902918</v>
      </c>
      <c r="S100" s="11" t="n">
        <v>0.286963954979342</v>
      </c>
      <c r="T100" s="12" t="n">
        <f aca="false">(S100-R100)*100</f>
        <v>2.05851580764234</v>
      </c>
      <c r="U100" s="11" t="n">
        <v>0.0445756954095251</v>
      </c>
      <c r="V100" s="11" t="n">
        <v>0.0213762644251318</v>
      </c>
      <c r="W100" s="12" t="n">
        <f aca="false">(V100-U100)*100</f>
        <v>-2.31994309843933</v>
      </c>
      <c r="X100" s="11" t="n">
        <v>0.314461871043169</v>
      </c>
      <c r="Y100" s="11" t="n">
        <v>0.341017238922924</v>
      </c>
      <c r="Z100" s="12" t="n">
        <f aca="false">(Y100-X100)*100</f>
        <v>2.65553678797541</v>
      </c>
      <c r="AA100" s="11" t="n">
        <v>0.517117772924801</v>
      </c>
      <c r="AB100" s="11" t="n">
        <v>0.566741701097022</v>
      </c>
      <c r="AC100" s="12" t="n">
        <f aca="false">(AB100-AA100)*100</f>
        <v>4.96239281722215</v>
      </c>
      <c r="AD100" s="11" t="n">
        <v>0.668327669706106</v>
      </c>
      <c r="AE100" s="11" t="n">
        <v>0.621407804294168</v>
      </c>
      <c r="AF100" s="12" t="n">
        <f aca="false">(AE100-AD100)*100</f>
        <v>-4.69198654119378</v>
      </c>
      <c r="AG100" s="11" t="n">
        <v>0.0729104625769307</v>
      </c>
      <c r="AH100" s="11" t="n">
        <v>0.0407978344493518</v>
      </c>
      <c r="AI100" s="12" t="n">
        <f aca="false">(AH100-AG100)*100</f>
        <v>-3.21126281275789</v>
      </c>
      <c r="AJ100" s="14" t="s">
        <v>132</v>
      </c>
      <c r="AK100" s="14" t="s">
        <v>132</v>
      </c>
      <c r="AL100" s="14" t="s">
        <v>150</v>
      </c>
      <c r="AM100" s="20" t="n">
        <v>5.93497011007434</v>
      </c>
      <c r="AN100" s="20" t="n">
        <v>22.5724462174099</v>
      </c>
      <c r="AO100" s="12" t="n">
        <v>16.6374761073356</v>
      </c>
    </row>
    <row r="101" customFormat="false" ht="15" hidden="false" customHeight="false" outlineLevel="0" collapsed="false">
      <c r="A101" s="14" t="s">
        <v>93</v>
      </c>
      <c r="B101" s="14" t="n">
        <v>7</v>
      </c>
      <c r="C101" s="11" t="n">
        <v>0.45729136823149</v>
      </c>
      <c r="D101" s="11" t="n">
        <v>0.45044128282421</v>
      </c>
      <c r="E101" s="12" t="n">
        <f aca="false">(D101-C101)*100</f>
        <v>-0.68500854072801</v>
      </c>
      <c r="F101" s="11" t="n">
        <v>0.073314194502751</v>
      </c>
      <c r="G101" s="11" t="n">
        <v>0.0309185978790264</v>
      </c>
      <c r="H101" s="12" t="n">
        <f aca="false">(G101-F101)*100</f>
        <v>-4.23955966237245</v>
      </c>
      <c r="I101" s="11" t="n">
        <v>0.0339470622284849</v>
      </c>
      <c r="J101" s="11" t="n">
        <v>0.0159233019091322</v>
      </c>
      <c r="K101" s="12" t="n">
        <f aca="false">(J101-I101)*100</f>
        <v>-1.80237603193527</v>
      </c>
      <c r="L101" s="11" t="n">
        <v>0.0278078243125515</v>
      </c>
      <c r="M101" s="11" t="n">
        <v>0.043577878898425</v>
      </c>
      <c r="N101" s="12" t="n">
        <f aca="false">(M101-L101)*100</f>
        <v>1.57700545858734</v>
      </c>
      <c r="O101" s="11" t="n">
        <v>0.225912261519841</v>
      </c>
      <c r="P101" s="11" t="n">
        <v>0.312514000089601</v>
      </c>
      <c r="Q101" s="12" t="n">
        <f aca="false">(P101-O101)*100</f>
        <v>8.66017385697592</v>
      </c>
      <c r="R101" s="11" t="n">
        <v>0.0810087060240541</v>
      </c>
      <c r="S101" s="11" t="n">
        <v>0.063744407964211</v>
      </c>
      <c r="T101" s="12" t="n">
        <f aca="false">(S101-R101)*100</f>
        <v>-1.72642980598431</v>
      </c>
      <c r="U101" s="11" t="n">
        <v>0.0243406166133625</v>
      </c>
      <c r="V101" s="11" t="n">
        <v>0.0158721015814501</v>
      </c>
      <c r="W101" s="12" t="n">
        <f aca="false">(V101-U101)*100</f>
        <v>-0.846851503191237</v>
      </c>
      <c r="X101" s="11" t="n">
        <v>0.547935754336933</v>
      </c>
      <c r="Y101" s="11" t="n">
        <v>0.497283182612369</v>
      </c>
      <c r="Z101" s="12" t="n">
        <f aca="false">(Y101-X101)*100</f>
        <v>-5.06525717245644</v>
      </c>
      <c r="AA101" s="11" t="n">
        <v>0.334728791856447</v>
      </c>
      <c r="AB101" s="11" t="n">
        <v>0.419836286952237</v>
      </c>
      <c r="AC101" s="12" t="n">
        <f aca="false">(AB101-AA101)*100</f>
        <v>8.51074950957895</v>
      </c>
      <c r="AD101" s="11" t="n">
        <v>0.637210047465407</v>
      </c>
      <c r="AE101" s="11" t="n">
        <v>0.560798079097262</v>
      </c>
      <c r="AF101" s="12" t="n">
        <f aca="false">(AE101-AD101)*100</f>
        <v>-7.6411968368145</v>
      </c>
      <c r="AG101" s="11" t="n">
        <v>0.0389987779993101</v>
      </c>
      <c r="AH101" s="11" t="n">
        <v>0.0326530089792575</v>
      </c>
      <c r="AI101" s="12" t="n">
        <f aca="false">(AH101-AG101)*100</f>
        <v>-0.63457690200526</v>
      </c>
      <c r="AJ101" s="14" t="s">
        <v>74</v>
      </c>
      <c r="AK101" s="14" t="s">
        <v>74</v>
      </c>
      <c r="AL101" s="14" t="s">
        <v>134</v>
      </c>
      <c r="AM101" s="20" t="n">
        <v>26.8454256830633</v>
      </c>
      <c r="AN101" s="20" t="n">
        <v>7.74468956601322</v>
      </c>
      <c r="AO101" s="12" t="n">
        <v>-19.1007361170501</v>
      </c>
    </row>
    <row r="102" customFormat="false" ht="15" hidden="false" customHeight="false" outlineLevel="0" collapsed="false">
      <c r="A102" s="14" t="s">
        <v>93</v>
      </c>
      <c r="B102" s="14" t="n">
        <v>8</v>
      </c>
      <c r="C102" s="11" t="n">
        <v>0.346296181554979</v>
      </c>
      <c r="D102" s="11" t="n">
        <v>0.360594217967564</v>
      </c>
      <c r="E102" s="12" t="n">
        <f aca="false">(D102-C102)*100</f>
        <v>1.42980364125857</v>
      </c>
      <c r="F102" s="11" t="n">
        <v>0.0529197388654504</v>
      </c>
      <c r="G102" s="11" t="n">
        <v>0.0343659244917715</v>
      </c>
      <c r="H102" s="12" t="n">
        <f aca="false">(G102-F102)*100</f>
        <v>-1.85538143736788</v>
      </c>
      <c r="I102" s="11" t="n">
        <v>0.129373130629235</v>
      </c>
      <c r="J102" s="11" t="n">
        <v>0.119620427138982</v>
      </c>
      <c r="K102" s="12" t="n">
        <f aca="false">(J102-I102)*100</f>
        <v>-0.975270349025362</v>
      </c>
      <c r="L102" s="11" t="n">
        <v>0.0398404803613976</v>
      </c>
      <c r="M102" s="11" t="n">
        <v>0.0327345738768778</v>
      </c>
      <c r="N102" s="12" t="n">
        <f aca="false">(M102-L102)*100</f>
        <v>-0.710590648451976</v>
      </c>
      <c r="O102" s="11" t="n">
        <v>0.131260103755358</v>
      </c>
      <c r="P102" s="11" t="n">
        <v>0.215129133651238</v>
      </c>
      <c r="Q102" s="12" t="n">
        <f aca="false">(P102-O102)*100</f>
        <v>8.38690298958794</v>
      </c>
      <c r="R102" s="11" t="n">
        <v>0.184078453020002</v>
      </c>
      <c r="S102" s="11" t="n">
        <v>0.133561602906553</v>
      </c>
      <c r="T102" s="12" t="n">
        <f aca="false">(S102-R102)*100</f>
        <v>-5.0516850113449</v>
      </c>
      <c r="U102" s="11" t="n">
        <v>0.0299042994823498</v>
      </c>
      <c r="V102" s="11" t="n">
        <v>0.0168752166170688</v>
      </c>
      <c r="W102" s="12" t="n">
        <f aca="false">(V102-U102)*100</f>
        <v>-1.30290828652809</v>
      </c>
      <c r="X102" s="11" t="n">
        <v>0.41242473230329</v>
      </c>
      <c r="Y102" s="11" t="n">
        <v>0.514580569598317</v>
      </c>
      <c r="Z102" s="12" t="n">
        <f aca="false">(Y102-X102)*100</f>
        <v>10.2155837295027</v>
      </c>
      <c r="AA102" s="11" t="n">
        <v>0.355179037136758</v>
      </c>
      <c r="AB102" s="11" t="n">
        <v>0.381425310434668</v>
      </c>
      <c r="AC102" s="12" t="n">
        <f aca="false">(AB102-AA102)*100</f>
        <v>2.62462732979106</v>
      </c>
      <c r="AD102" s="11" t="n">
        <v>0.699529924464811</v>
      </c>
      <c r="AE102" s="11" t="n">
        <v>0.644121552702989</v>
      </c>
      <c r="AF102" s="12" t="n">
        <f aca="false">(AE102-AD102)*100</f>
        <v>-5.54083717618226</v>
      </c>
      <c r="AG102" s="11" t="n">
        <v>0.0603437107467344</v>
      </c>
      <c r="AH102" s="11" t="n">
        <v>0.0429768264553679</v>
      </c>
      <c r="AI102" s="12" t="n">
        <f aca="false">(AH102-AG102)*100</f>
        <v>-1.73668842913665</v>
      </c>
      <c r="AJ102" s="14" t="s">
        <v>74</v>
      </c>
      <c r="AK102" s="14" t="s">
        <v>74</v>
      </c>
      <c r="AL102" s="14" t="s">
        <v>134</v>
      </c>
      <c r="AM102" s="20" t="n">
        <v>13.9157227107073</v>
      </c>
      <c r="AN102" s="20" t="n">
        <v>13.3155259163649</v>
      </c>
      <c r="AO102" s="12" t="n">
        <v>-0.600196794342407</v>
      </c>
    </row>
    <row r="103" customFormat="false" ht="15" hidden="false" customHeight="false" outlineLevel="0" collapsed="false">
      <c r="A103" s="14" t="s">
        <v>93</v>
      </c>
      <c r="B103" s="14" t="n">
        <v>9</v>
      </c>
      <c r="C103" s="11" t="n">
        <v>0.491460024532012</v>
      </c>
      <c r="D103" s="11" t="n">
        <v>0.484539314315028</v>
      </c>
      <c r="E103" s="12" t="n">
        <f aca="false">(D103-C103)*100</f>
        <v>-0.692071021698432</v>
      </c>
      <c r="F103" s="11" t="n">
        <v>0.0485339349223667</v>
      </c>
      <c r="G103" s="11" t="n">
        <v>0.0153538145857676</v>
      </c>
      <c r="H103" s="12" t="n">
        <f aca="false">(G103-F103)*100</f>
        <v>-3.3180120336599</v>
      </c>
      <c r="I103" s="11" t="n">
        <v>0.0373650893446008</v>
      </c>
      <c r="J103" s="11" t="n">
        <v>0.018574197041808</v>
      </c>
      <c r="K103" s="12" t="n">
        <f aca="false">(J103-I103)*100</f>
        <v>-1.87908923027928</v>
      </c>
      <c r="L103" s="11" t="n">
        <v>0.0462101740046968</v>
      </c>
      <c r="M103" s="11" t="n">
        <v>0.0176266066288581</v>
      </c>
      <c r="N103" s="12" t="n">
        <f aca="false">(M103-L103)*100</f>
        <v>-2.85835673758388</v>
      </c>
      <c r="O103" s="11" t="n">
        <v>0.17975554281699</v>
      </c>
      <c r="P103" s="11" t="n">
        <v>0.321845877625467</v>
      </c>
      <c r="Q103" s="12" t="n">
        <f aca="false">(P103-O103)*100</f>
        <v>14.2090334808477</v>
      </c>
      <c r="R103" s="11" t="n">
        <v>0.0693060152739511</v>
      </c>
      <c r="S103" s="11" t="n">
        <v>0.0420145914674114</v>
      </c>
      <c r="T103" s="12" t="n">
        <f aca="false">(S103-R103)*100</f>
        <v>-2.72914238065396</v>
      </c>
      <c r="U103" s="11" t="n">
        <v>0.0300486325560754</v>
      </c>
      <c r="V103" s="11" t="n">
        <v>0.0224714297928126</v>
      </c>
      <c r="W103" s="12" t="n">
        <f aca="false">(V103-U103)*100</f>
        <v>-0.757720276326281</v>
      </c>
      <c r="X103" s="11" t="n">
        <v>0.584318003907863</v>
      </c>
      <c r="Y103" s="11" t="n">
        <v>0.518467325942603</v>
      </c>
      <c r="Z103" s="12" t="n">
        <f aca="false">(Y103-X103)*100</f>
        <v>-6.585067796526</v>
      </c>
      <c r="AA103" s="11" t="n">
        <v>0.295271732095638</v>
      </c>
      <c r="AB103" s="11" t="n">
        <v>0.381487075721736</v>
      </c>
      <c r="AC103" s="12" t="n">
        <f aca="false">(AB103-AA103)*100</f>
        <v>8.62153436260984</v>
      </c>
      <c r="AD103" s="11" t="n">
        <v>0.576744235650449</v>
      </c>
      <c r="AE103" s="11" t="n">
        <v>0.484805360782011</v>
      </c>
      <c r="AF103" s="12" t="n">
        <f aca="false">(AE103-AD103)*100</f>
        <v>-9.1938874868438</v>
      </c>
      <c r="AG103" s="11" t="n">
        <v>0.0407983382335719</v>
      </c>
      <c r="AH103" s="11" t="n">
        <v>0.0345692382228049</v>
      </c>
      <c r="AI103" s="12" t="n">
        <f aca="false">(AH103-AG103)*100</f>
        <v>-0.6229100010767</v>
      </c>
      <c r="AJ103" s="14" t="s">
        <v>74</v>
      </c>
      <c r="AK103" s="14" t="s">
        <v>74</v>
      </c>
      <c r="AL103" s="14" t="s">
        <v>134</v>
      </c>
      <c r="AM103" s="20" t="n">
        <v>35.5547748047609</v>
      </c>
      <c r="AN103" s="20" t="n">
        <v>13.6980250220867</v>
      </c>
      <c r="AO103" s="12" t="n">
        <v>-21.8567497826743</v>
      </c>
    </row>
    <row r="104" customFormat="false" ht="15" hidden="false" customHeight="false" outlineLevel="0" collapsed="false">
      <c r="A104" s="14" t="s">
        <v>94</v>
      </c>
      <c r="B104" s="14" t="n">
        <v>1</v>
      </c>
      <c r="C104" s="11" t="n">
        <v>0.359706611949897</v>
      </c>
      <c r="D104" s="11" t="n">
        <v>0.357606079719774</v>
      </c>
      <c r="E104" s="12" t="n">
        <f aca="false">(D104-C104)*100</f>
        <v>-0.210053223012302</v>
      </c>
      <c r="F104" s="11" t="n">
        <v>0.0333506875325391</v>
      </c>
      <c r="G104" s="11" t="n">
        <v>0.0223151680679988</v>
      </c>
      <c r="H104" s="12" t="n">
        <f aca="false">(G104-F104)*100</f>
        <v>-1.10355194645403</v>
      </c>
      <c r="I104" s="11" t="n">
        <v>0.0108923120897518</v>
      </c>
      <c r="J104" s="11" t="n">
        <v>0.0232092445054104</v>
      </c>
      <c r="K104" s="12" t="n">
        <f aca="false">(J104-I104)*100</f>
        <v>1.23169324156586</v>
      </c>
      <c r="L104" s="11" t="n">
        <v>0.0686971079737441</v>
      </c>
      <c r="M104" s="11" t="n">
        <v>0.0860028047055365</v>
      </c>
      <c r="N104" s="12" t="n">
        <f aca="false">(M104-L104)*100</f>
        <v>1.73056967317924</v>
      </c>
      <c r="O104" s="11" t="n">
        <v>0.241151910493166</v>
      </c>
      <c r="P104" s="11" t="n">
        <v>0.300507663949736</v>
      </c>
      <c r="Q104" s="12" t="n">
        <f aca="false">(P104-O104)*100</f>
        <v>5.93557534565703</v>
      </c>
      <c r="R104" s="11" t="n">
        <v>0.0412621606998846</v>
      </c>
      <c r="S104" s="11" t="n">
        <v>0.0295167700570127</v>
      </c>
      <c r="T104" s="12" t="n">
        <f aca="false">(S104-R104)*100</f>
        <v>-1.1745390642872</v>
      </c>
      <c r="U104" s="11" t="n">
        <v>0.0136230463765453</v>
      </c>
      <c r="V104" s="11" t="n">
        <v>0.0136377275761343</v>
      </c>
      <c r="W104" s="12" t="n">
        <f aca="false">(V104-U104)*100</f>
        <v>0.00146811995889902</v>
      </c>
      <c r="X104" s="11" t="n">
        <v>0.505425739339928</v>
      </c>
      <c r="Y104" s="11" t="n">
        <v>0.403130492293184</v>
      </c>
      <c r="Z104" s="12" t="n">
        <f aca="false">(Y104-X104)*100</f>
        <v>-10.2295247046744</v>
      </c>
      <c r="AA104" s="11" t="n">
        <v>0.351111179166794</v>
      </c>
      <c r="AB104" s="11" t="n">
        <v>0.416027238712285</v>
      </c>
      <c r="AC104" s="12" t="n">
        <f aca="false">(AB104-AA104)*100</f>
        <v>6.49160595454907</v>
      </c>
      <c r="AD104" s="11" t="n">
        <v>0.705809877548374</v>
      </c>
      <c r="AE104" s="11" t="n">
        <v>0.562538324273303</v>
      </c>
      <c r="AF104" s="12" t="n">
        <f aca="false">(AE104-AD104)*100</f>
        <v>-14.3271553275071</v>
      </c>
      <c r="AG104" s="11" t="n">
        <v>0.0713870088506416</v>
      </c>
      <c r="AH104" s="11" t="n">
        <v>0.0412377447228057</v>
      </c>
      <c r="AI104" s="12" t="n">
        <f aca="false">(AH104-AG104)*100</f>
        <v>-3.01492641278359</v>
      </c>
      <c r="AJ104" s="14" t="s">
        <v>74</v>
      </c>
      <c r="AK104" s="14" t="s">
        <v>132</v>
      </c>
      <c r="AL104" s="14" t="s">
        <v>133</v>
      </c>
      <c r="AM104" s="20" t="n">
        <v>20.5912677752937</v>
      </c>
      <c r="AN104" s="20" t="n">
        <v>1.28967464191014</v>
      </c>
      <c r="AO104" s="12" t="n">
        <v>-19.3015931333836</v>
      </c>
    </row>
    <row r="105" customFormat="false" ht="15" hidden="false" customHeight="false" outlineLevel="0" collapsed="false">
      <c r="A105" s="14" t="s">
        <v>94</v>
      </c>
      <c r="B105" s="14" t="n">
        <v>2</v>
      </c>
      <c r="C105" s="11" t="n">
        <v>0.441391647838024</v>
      </c>
      <c r="D105" s="11" t="n">
        <v>0.453776055018903</v>
      </c>
      <c r="E105" s="12" t="n">
        <f aca="false">(D105-C105)*100</f>
        <v>1.23844071808788</v>
      </c>
      <c r="F105" s="11" t="n">
        <v>0.09685074788921</v>
      </c>
      <c r="G105" s="11" t="n">
        <v>0.039732835647436</v>
      </c>
      <c r="H105" s="12" t="n">
        <f aca="false">(G105-F105)*100</f>
        <v>-5.7117912241774</v>
      </c>
      <c r="I105" s="11" t="n">
        <v>0.015288685752103</v>
      </c>
      <c r="J105" s="11" t="n">
        <v>0.0193126738995194</v>
      </c>
      <c r="K105" s="12" t="n">
        <f aca="false">(J105-I105)*100</f>
        <v>0.402398814741638</v>
      </c>
      <c r="L105" s="11" t="n">
        <v>0.0881128787917957</v>
      </c>
      <c r="M105" s="11" t="n">
        <v>0.102921170108766</v>
      </c>
      <c r="N105" s="12" t="n">
        <f aca="false">(M105-L105)*100</f>
        <v>1.48082913169705</v>
      </c>
      <c r="O105" s="11" t="n">
        <v>0.164732099001608</v>
      </c>
      <c r="P105" s="11" t="n">
        <v>0.213252937919153</v>
      </c>
      <c r="Q105" s="12" t="n">
        <f aca="false">(P105-O105)*100</f>
        <v>4.85208389175454</v>
      </c>
      <c r="R105" s="11" t="n">
        <v>0.0640604722585582</v>
      </c>
      <c r="S105" s="11" t="n">
        <v>0.0498848075910772</v>
      </c>
      <c r="T105" s="12" t="n">
        <f aca="false">(S105-R105)*100</f>
        <v>-1.4175664667481</v>
      </c>
      <c r="U105" s="11" t="n">
        <v>0.0133704908200671</v>
      </c>
      <c r="V105" s="11" t="n">
        <v>0.0144315237528798</v>
      </c>
      <c r="W105" s="12" t="n">
        <f aca="false">(V105-U105)*100</f>
        <v>0.10610329328127</v>
      </c>
      <c r="X105" s="11" t="n">
        <v>0.554089477847692</v>
      </c>
      <c r="Y105" s="11" t="n">
        <v>0.512821564565858</v>
      </c>
      <c r="Z105" s="12" t="n">
        <f aca="false">(Y105-X105)*100</f>
        <v>-4.12679132818343</v>
      </c>
      <c r="AA105" s="11" t="n">
        <v>0.316905450051962</v>
      </c>
      <c r="AB105" s="11" t="n">
        <v>0.366058915618997</v>
      </c>
      <c r="AC105" s="12" t="n">
        <f aca="false">(AB105-AA105)*100</f>
        <v>4.91534655670349</v>
      </c>
      <c r="AD105" s="11" t="n">
        <v>0.653009615644329</v>
      </c>
      <c r="AE105" s="11" t="n">
        <v>0.475474899559231</v>
      </c>
      <c r="AF105" s="12" t="n">
        <f aca="false">(AE105-AD105)*100</f>
        <v>-17.7534716085098</v>
      </c>
      <c r="AG105" s="11" t="n">
        <v>0.0447596051930862</v>
      </c>
      <c r="AH105" s="11" t="n">
        <v>0.0413120312831136</v>
      </c>
      <c r="AI105" s="12" t="n">
        <f aca="false">(AH105-AG105)*100</f>
        <v>-0.344757390997268</v>
      </c>
      <c r="AJ105" s="14" t="s">
        <v>74</v>
      </c>
      <c r="AK105" s="14" t="s">
        <v>74</v>
      </c>
      <c r="AL105" s="14" t="s">
        <v>134</v>
      </c>
      <c r="AM105" s="20" t="n">
        <v>34.2969117578628</v>
      </c>
      <c r="AN105" s="20" t="n">
        <v>14.6762648946861</v>
      </c>
      <c r="AO105" s="12" t="n">
        <v>-19.6206468631767</v>
      </c>
    </row>
    <row r="106" customFormat="false" ht="15" hidden="false" customHeight="false" outlineLevel="0" collapsed="false">
      <c r="A106" s="14" t="s">
        <v>94</v>
      </c>
      <c r="B106" s="14" t="n">
        <v>3</v>
      </c>
      <c r="C106" s="11" t="n">
        <v>0.498095673369896</v>
      </c>
      <c r="D106" s="11" t="n">
        <v>0.457967485497386</v>
      </c>
      <c r="E106" s="12" t="n">
        <f aca="false">(D106-C106)*100</f>
        <v>-4.01281878725104</v>
      </c>
      <c r="F106" s="11" t="n">
        <v>0.046348771074548</v>
      </c>
      <c r="G106" s="11" t="n">
        <v>0.0194585690754136</v>
      </c>
      <c r="H106" s="12" t="n">
        <f aca="false">(G106-F106)*100</f>
        <v>-2.68902019991344</v>
      </c>
      <c r="I106" s="11" t="n">
        <v>0.0259191549867967</v>
      </c>
      <c r="J106" s="11" t="n">
        <v>0.0253956886056005</v>
      </c>
      <c r="K106" s="12" t="n">
        <f aca="false">(J106-I106)*100</f>
        <v>-0.0523466381196148</v>
      </c>
      <c r="L106" s="11" t="n">
        <v>0.0635638838106846</v>
      </c>
      <c r="M106" s="11" t="n">
        <v>0.0450476258683664</v>
      </c>
      <c r="N106" s="12" t="n">
        <f aca="false">(M106-L106)*100</f>
        <v>-1.85162579423182</v>
      </c>
      <c r="O106" s="11" t="n">
        <v>0.208678651228926</v>
      </c>
      <c r="P106" s="11" t="n">
        <v>0.296118312683521</v>
      </c>
      <c r="Q106" s="12" t="n">
        <f aca="false">(P106-O106)*100</f>
        <v>8.74396614545952</v>
      </c>
      <c r="R106" s="11" t="n">
        <v>0.0323380052813325</v>
      </c>
      <c r="S106" s="11" t="n">
        <v>0.0511709518011889</v>
      </c>
      <c r="T106" s="12" t="n">
        <f aca="false">(S106-R106)*100</f>
        <v>1.88329465198563</v>
      </c>
      <c r="U106" s="11" t="n">
        <v>0.0150771887060735</v>
      </c>
      <c r="V106" s="11" t="n">
        <v>0.0166081787581465</v>
      </c>
      <c r="W106" s="12" t="n">
        <f aca="false">(V106-U106)*100</f>
        <v>0.1530990052073</v>
      </c>
      <c r="X106" s="11" t="n">
        <v>0.567682307536055</v>
      </c>
      <c r="Y106" s="11" t="n">
        <v>0.5028217431784</v>
      </c>
      <c r="Z106" s="12" t="n">
        <f aca="false">(Y106-X106)*100</f>
        <v>-6.48605643576552</v>
      </c>
      <c r="AA106" s="11" t="n">
        <v>0.304580540320943</v>
      </c>
      <c r="AB106" s="11" t="n">
        <v>0.392336890353076</v>
      </c>
      <c r="AC106" s="12" t="n">
        <f aca="false">(AB106-AA106)*100</f>
        <v>8.77563500321335</v>
      </c>
      <c r="AD106" s="11" t="n">
        <v>0.657818695653626</v>
      </c>
      <c r="AE106" s="11" t="n">
        <v>0.447192357087725</v>
      </c>
      <c r="AF106" s="12" t="n">
        <f aca="false">(AE106-AD106)*100</f>
        <v>-21.0626338565901</v>
      </c>
      <c r="AG106" s="11" t="n">
        <v>0.0439924842575665</v>
      </c>
      <c r="AH106" s="11" t="n">
        <v>0.0390317267062952</v>
      </c>
      <c r="AI106" s="12" t="n">
        <f aca="false">(AH106-AG106)*100</f>
        <v>-0.496075755127131</v>
      </c>
      <c r="AJ106" s="14" t="s">
        <v>74</v>
      </c>
      <c r="AK106" s="14" t="s">
        <v>74</v>
      </c>
      <c r="AL106" s="14" t="s">
        <v>134</v>
      </c>
      <c r="AM106" s="20" t="n">
        <v>29.061547836685</v>
      </c>
      <c r="AN106" s="20" t="n">
        <v>11.0484852825324</v>
      </c>
      <c r="AO106" s="12" t="n">
        <v>-18.0130625541525</v>
      </c>
    </row>
    <row r="107" customFormat="false" ht="15" hidden="false" customHeight="false" outlineLevel="0" collapsed="false">
      <c r="A107" s="14" t="s">
        <v>94</v>
      </c>
      <c r="B107" s="14" t="n">
        <v>4</v>
      </c>
      <c r="C107" s="11" t="n">
        <v>0.465192390736153</v>
      </c>
      <c r="D107" s="11" t="n">
        <v>0.437128544408481</v>
      </c>
      <c r="E107" s="12" t="n">
        <f aca="false">(D107-C107)*100</f>
        <v>-2.80638463276726</v>
      </c>
      <c r="F107" s="11" t="n">
        <v>0.0539500897747676</v>
      </c>
      <c r="G107" s="11" t="n">
        <v>0.0181147664231844</v>
      </c>
      <c r="H107" s="12" t="n">
        <f aca="false">(G107-F107)*100</f>
        <v>-3.58353233515832</v>
      </c>
      <c r="I107" s="11" t="n">
        <v>0.0228925657401305</v>
      </c>
      <c r="J107" s="11" t="n">
        <v>0.0222062186908936</v>
      </c>
      <c r="K107" s="12" t="n">
        <f aca="false">(J107-I107)*100</f>
        <v>-0.068634704923691</v>
      </c>
      <c r="L107" s="11" t="n">
        <v>0.0828200640923657</v>
      </c>
      <c r="M107" s="11" t="n">
        <v>0.0592825317938288</v>
      </c>
      <c r="N107" s="12" t="n">
        <f aca="false">(M107-L107)*100</f>
        <v>-2.3537532298537</v>
      </c>
      <c r="O107" s="11" t="n">
        <v>0.21030023409623</v>
      </c>
      <c r="P107" s="11" t="n">
        <v>0.296697556999391</v>
      </c>
      <c r="Q107" s="12" t="n">
        <f aca="false">(P107-O107)*100</f>
        <v>8.63973229031612</v>
      </c>
      <c r="R107" s="11" t="n">
        <v>0.033688265642401</v>
      </c>
      <c r="S107" s="11" t="n">
        <v>0.0376935921684697</v>
      </c>
      <c r="T107" s="12" t="n">
        <f aca="false">(S107-R107)*100</f>
        <v>0.400532652606874</v>
      </c>
      <c r="U107" s="11" t="n">
        <v>0.0182163230982522</v>
      </c>
      <c r="V107" s="11" t="n">
        <v>0.0298430686683391</v>
      </c>
      <c r="W107" s="12" t="n">
        <f aca="false">(V107-U107)*100</f>
        <v>1.16267455700869</v>
      </c>
      <c r="X107" s="11" t="n">
        <v>0.543211209345667</v>
      </c>
      <c r="Y107" s="11" t="n">
        <v>0.477449529522558</v>
      </c>
      <c r="Z107" s="12" t="n">
        <f aca="false">(Y107-X107)*100</f>
        <v>-6.57616798231085</v>
      </c>
      <c r="AA107" s="11" t="n">
        <v>0.326808563830996</v>
      </c>
      <c r="AB107" s="11" t="n">
        <v>0.393673680961689</v>
      </c>
      <c r="AC107" s="12" t="n">
        <f aca="false">(AB107-AA107)*100</f>
        <v>6.68651171306929</v>
      </c>
      <c r="AD107" s="11" t="n">
        <v>0.597950613592814</v>
      </c>
      <c r="AE107" s="11" t="n">
        <v>0.408003073882973</v>
      </c>
      <c r="AF107" s="12" t="n">
        <f aca="false">(AE107-AD107)*100</f>
        <v>-18.9947539709841</v>
      </c>
      <c r="AG107" s="11" t="n">
        <v>0.0486261051387532</v>
      </c>
      <c r="AH107" s="11" t="n">
        <v>0.0386828214401595</v>
      </c>
      <c r="AI107" s="12" t="n">
        <f aca="false">(AH107-AG107)*100</f>
        <v>-0.994328369859361</v>
      </c>
      <c r="AJ107" s="14" t="s">
        <v>74</v>
      </c>
      <c r="AK107" s="14" t="s">
        <v>74</v>
      </c>
      <c r="AL107" s="14" t="s">
        <v>134</v>
      </c>
      <c r="AM107" s="20" t="n">
        <v>27.0284551921635</v>
      </c>
      <c r="AN107" s="20" t="n">
        <v>8.37758485608693</v>
      </c>
      <c r="AO107" s="12" t="n">
        <v>-18.6508703360765</v>
      </c>
    </row>
    <row r="108" customFormat="false" ht="15" hidden="false" customHeight="false" outlineLevel="0" collapsed="false">
      <c r="A108" s="14" t="s">
        <v>94</v>
      </c>
      <c r="B108" s="14" t="n">
        <v>5</v>
      </c>
      <c r="C108" s="11" t="n">
        <v>0.496202653105285</v>
      </c>
      <c r="D108" s="11" t="n">
        <v>0.450645762303705</v>
      </c>
      <c r="E108" s="12" t="n">
        <f aca="false">(D108-C108)*100</f>
        <v>-4.55568908015799</v>
      </c>
      <c r="F108" s="11" t="n">
        <v>0.0314726413510207</v>
      </c>
      <c r="G108" s="11" t="n">
        <v>0.017421006603379</v>
      </c>
      <c r="H108" s="12" t="n">
        <f aca="false">(G108-F108)*100</f>
        <v>-1.40516347476417</v>
      </c>
      <c r="I108" s="11" t="n">
        <v>0.0553361959363831</v>
      </c>
      <c r="J108" s="11" t="n">
        <v>0.0493288888325581</v>
      </c>
      <c r="K108" s="12" t="n">
        <f aca="false">(J108-I108)*100</f>
        <v>-0.600730710382497</v>
      </c>
      <c r="L108" s="11" t="n">
        <v>0.113128793148943</v>
      </c>
      <c r="M108" s="11" t="n">
        <v>0.130039670971749</v>
      </c>
      <c r="N108" s="12" t="n">
        <f aca="false">(M108-L108)*100</f>
        <v>1.69108778228054</v>
      </c>
      <c r="O108" s="11" t="n">
        <v>0.172135198023365</v>
      </c>
      <c r="P108" s="11" t="n">
        <v>0.206878414175085</v>
      </c>
      <c r="Q108" s="12" t="n">
        <f aca="false">(P108-O108)*100</f>
        <v>3.474321615172</v>
      </c>
      <c r="R108" s="11" t="n">
        <v>0.0210905078321779</v>
      </c>
      <c r="S108" s="11" t="n">
        <v>0.0328774762671263</v>
      </c>
      <c r="T108" s="12" t="n">
        <f aca="false">(S108-R108)*100</f>
        <v>1.17869684349484</v>
      </c>
      <c r="U108" s="11" t="n">
        <v>0.0176553841725238</v>
      </c>
      <c r="V108" s="11" t="n">
        <v>0.0266289813559107</v>
      </c>
      <c r="W108" s="12" t="n">
        <f aca="false">(V108-U108)*100</f>
        <v>0.897359718338691</v>
      </c>
      <c r="X108" s="11" t="n">
        <v>0.549087245424233</v>
      </c>
      <c r="Y108" s="11" t="n">
        <v>0.517395657739642</v>
      </c>
      <c r="Z108" s="12" t="n">
        <f aca="false">(Y108-X108)*100</f>
        <v>-3.16915876845911</v>
      </c>
      <c r="AA108" s="11" t="n">
        <v>0.306354499004486</v>
      </c>
      <c r="AB108" s="11" t="n">
        <v>0.36979556141396</v>
      </c>
      <c r="AC108" s="12" t="n">
        <f aca="false">(AB108-AA108)*100</f>
        <v>6.34410624094738</v>
      </c>
      <c r="AD108" s="11" t="n">
        <v>0.654671604147232</v>
      </c>
      <c r="AE108" s="11" t="n">
        <v>0.470221883176094</v>
      </c>
      <c r="AF108" s="12" t="n">
        <f aca="false">(AE108-AD108)*100</f>
        <v>-18.4449720971138</v>
      </c>
      <c r="AG108" s="11" t="n">
        <v>0.0400556528414134</v>
      </c>
      <c r="AH108" s="11" t="n">
        <v>0.0316290447280701</v>
      </c>
      <c r="AI108" s="12" t="n">
        <f aca="false">(AH108-AG108)*100</f>
        <v>-0.842660811334333</v>
      </c>
      <c r="AJ108" s="14" t="s">
        <v>74</v>
      </c>
      <c r="AK108" s="14" t="s">
        <v>74</v>
      </c>
      <c r="AL108" s="14" t="s">
        <v>134</v>
      </c>
      <c r="AM108" s="20" t="n">
        <v>29.0392688368076</v>
      </c>
      <c r="AN108" s="20" t="n">
        <v>14.7600096325682</v>
      </c>
      <c r="AO108" s="12" t="n">
        <v>-14.2792592042394</v>
      </c>
    </row>
    <row r="109" customFormat="false" ht="15" hidden="false" customHeight="false" outlineLevel="0" collapsed="false">
      <c r="A109" s="14" t="s">
        <v>94</v>
      </c>
      <c r="B109" s="14" t="n">
        <v>6</v>
      </c>
      <c r="C109" s="11" t="n">
        <v>0.493893822949658</v>
      </c>
      <c r="D109" s="11" t="n">
        <v>0.444852791523955</v>
      </c>
      <c r="E109" s="12" t="n">
        <f aca="false">(D109-C109)*100</f>
        <v>-4.90410314257026</v>
      </c>
      <c r="F109" s="11" t="n">
        <v>0.0256029766782574</v>
      </c>
      <c r="G109" s="11" t="n">
        <v>0.0167008786569516</v>
      </c>
      <c r="H109" s="12" t="n">
        <f aca="false">(G109-F109)*100</f>
        <v>-0.890209802130578</v>
      </c>
      <c r="I109" s="11" t="n">
        <v>0.0248632366946469</v>
      </c>
      <c r="J109" s="11" t="n">
        <v>0.0153866730244756</v>
      </c>
      <c r="K109" s="12" t="n">
        <f aca="false">(J109-I109)*100</f>
        <v>-0.947656367017122</v>
      </c>
      <c r="L109" s="11" t="n">
        <v>0.130557462736152</v>
      </c>
      <c r="M109" s="11" t="n">
        <v>0.0826728383934127</v>
      </c>
      <c r="N109" s="12" t="n">
        <f aca="false">(M109-L109)*100</f>
        <v>-4.78846243427393</v>
      </c>
      <c r="O109" s="11" t="n">
        <v>0.186622666164648</v>
      </c>
      <c r="P109" s="11" t="n">
        <v>0.324748352881658</v>
      </c>
      <c r="Q109" s="12" t="n">
        <f aca="false">(P109-O109)*100</f>
        <v>13.812568671701</v>
      </c>
      <c r="R109" s="11" t="n">
        <v>0.0159154835994773</v>
      </c>
      <c r="S109" s="11" t="n">
        <v>0.0137584536568063</v>
      </c>
      <c r="T109" s="12" t="n">
        <f aca="false">(S109-R109)*100</f>
        <v>-0.215702994267106</v>
      </c>
      <c r="U109" s="11" t="n">
        <v>0.0165799207105048</v>
      </c>
      <c r="V109" s="11" t="n">
        <v>0.0312036611675496</v>
      </c>
      <c r="W109" s="12" t="n">
        <f aca="false">(V109-U109)*100</f>
        <v>1.46237404570448</v>
      </c>
      <c r="X109" s="11" t="n">
        <v>0.555349826138956</v>
      </c>
      <c r="Y109" s="11" t="n">
        <v>0.476940343205382</v>
      </c>
      <c r="Z109" s="12" t="n">
        <f aca="false">(Y109-X109)*100</f>
        <v>-7.84094829335735</v>
      </c>
      <c r="AA109" s="11" t="n">
        <v>0.333095612500277</v>
      </c>
      <c r="AB109" s="11" t="n">
        <v>0.421179644931877</v>
      </c>
      <c r="AC109" s="12" t="n">
        <f aca="false">(AB109-AA109)*100</f>
        <v>8.80840324315996</v>
      </c>
      <c r="AD109" s="11" t="n">
        <v>0.651287111003407</v>
      </c>
      <c r="AE109" s="11" t="n">
        <v>0.462673636801451</v>
      </c>
      <c r="AF109" s="12" t="n">
        <f aca="false">(AE109-AD109)*100</f>
        <v>-18.8613474201956</v>
      </c>
      <c r="AG109" s="11" t="n">
        <v>0.0376913025182167</v>
      </c>
      <c r="AH109" s="11" t="n">
        <v>0.0265341606238406</v>
      </c>
      <c r="AI109" s="12" t="n">
        <f aca="false">(AH109-AG109)*100</f>
        <v>-1.1157141894376</v>
      </c>
      <c r="AJ109" s="14" t="s">
        <v>74</v>
      </c>
      <c r="AK109" s="14" t="s">
        <v>74</v>
      </c>
      <c r="AL109" s="14" t="s">
        <v>134</v>
      </c>
      <c r="AM109" s="20" t="n">
        <v>31.1970941950344</v>
      </c>
      <c r="AN109" s="20" t="n">
        <v>5.5760698273506</v>
      </c>
      <c r="AO109" s="12" t="n">
        <v>-25.6210243676838</v>
      </c>
    </row>
    <row r="110" customFormat="false" ht="15" hidden="false" customHeight="false" outlineLevel="0" collapsed="false">
      <c r="A110" s="14" t="s">
        <v>94</v>
      </c>
      <c r="B110" s="14" t="n">
        <v>7</v>
      </c>
      <c r="C110" s="11" t="n">
        <v>0.488447547462549</v>
      </c>
      <c r="D110" s="11" t="n">
        <v>0.465262549269854</v>
      </c>
      <c r="E110" s="12" t="n">
        <f aca="false">(D110-C110)*100</f>
        <v>-2.31849981926947</v>
      </c>
      <c r="F110" s="11" t="n">
        <v>0.0285509115115682</v>
      </c>
      <c r="G110" s="11" t="n">
        <v>0.0147368866387912</v>
      </c>
      <c r="H110" s="12" t="n">
        <f aca="false">(G110-F110)*100</f>
        <v>-1.3814024872777</v>
      </c>
      <c r="I110" s="11" t="n">
        <v>0.0231258714134457</v>
      </c>
      <c r="J110" s="11" t="n">
        <v>0.0180156676373739</v>
      </c>
      <c r="K110" s="12" t="n">
        <f aca="false">(J110-I110)*100</f>
        <v>-0.511020377607184</v>
      </c>
      <c r="L110" s="11" t="n">
        <v>0.110901447725676</v>
      </c>
      <c r="M110" s="11" t="n">
        <v>0.0665275241325333</v>
      </c>
      <c r="N110" s="12" t="n">
        <f aca="false">(M110-L110)*100</f>
        <v>-4.43739235931431</v>
      </c>
      <c r="O110" s="11" t="n">
        <v>0.168936272813997</v>
      </c>
      <c r="P110" s="11" t="n">
        <v>0.318612899359051</v>
      </c>
      <c r="Q110" s="12" t="n">
        <f aca="false">(P110-O110)*100</f>
        <v>14.9676626545054</v>
      </c>
      <c r="R110" s="11" t="n">
        <v>0.0133136249751025</v>
      </c>
      <c r="S110" s="11" t="n">
        <v>0.0182977133146713</v>
      </c>
      <c r="T110" s="12" t="n">
        <f aca="false">(S110-R110)*100</f>
        <v>0.498408833956884</v>
      </c>
      <c r="U110" s="11" t="n">
        <v>0.0170928074975627</v>
      </c>
      <c r="V110" s="11" t="n">
        <v>0.0200463965139154</v>
      </c>
      <c r="W110" s="12" t="n">
        <f aca="false">(V110-U110)*100</f>
        <v>0.295358901635277</v>
      </c>
      <c r="X110" s="11" t="n">
        <v>0.546251742826891</v>
      </c>
      <c r="Y110" s="11" t="n">
        <v>0.498015103546019</v>
      </c>
      <c r="Z110" s="12" t="n">
        <f aca="false">(Y110-X110)*100</f>
        <v>-4.82366392808721</v>
      </c>
      <c r="AA110" s="11" t="n">
        <v>0.293151345514776</v>
      </c>
      <c r="AB110" s="11" t="n">
        <v>0.403438136806256</v>
      </c>
      <c r="AC110" s="12" t="n">
        <f aca="false">(AB110-AA110)*100</f>
        <v>11.028679129148</v>
      </c>
      <c r="AD110" s="11" t="n">
        <v>0.667016288899844</v>
      </c>
      <c r="AE110" s="11" t="n">
        <v>0.453420934842381</v>
      </c>
      <c r="AF110" s="12" t="n">
        <f aca="false">(AE110-AD110)*100</f>
        <v>-21.3595354057463</v>
      </c>
      <c r="AG110" s="11" t="n">
        <v>0.0395215481544381</v>
      </c>
      <c r="AH110" s="11" t="n">
        <v>0.0305878537029072</v>
      </c>
      <c r="AI110" s="12" t="n">
        <f aca="false">(AH110-AG110)*100</f>
        <v>-0.893369445153086</v>
      </c>
      <c r="AJ110" s="14" t="s">
        <v>74</v>
      </c>
      <c r="AK110" s="14" t="s">
        <v>74</v>
      </c>
      <c r="AL110" s="14" t="s">
        <v>134</v>
      </c>
      <c r="AM110" s="20" t="n">
        <v>27.3647409084715</v>
      </c>
      <c r="AN110" s="20" t="n">
        <v>9.45769667397635</v>
      </c>
      <c r="AO110" s="12" t="n">
        <v>-17.9070442344951</v>
      </c>
    </row>
    <row r="111" customFormat="false" ht="15" hidden="false" customHeight="false" outlineLevel="0" collapsed="false">
      <c r="A111" s="14" t="s">
        <v>95</v>
      </c>
      <c r="B111" s="14" t="n">
        <v>1</v>
      </c>
      <c r="C111" s="11" t="n">
        <v>0.215994033888899</v>
      </c>
      <c r="D111" s="11" t="n">
        <v>0.187654190765841</v>
      </c>
      <c r="E111" s="12" t="n">
        <f aca="false">(D111-C111)*100</f>
        <v>-2.83398431230575</v>
      </c>
      <c r="F111" s="11" t="n">
        <v>0.0435028934482619</v>
      </c>
      <c r="G111" s="11" t="n">
        <v>0.0324408581357055</v>
      </c>
      <c r="H111" s="12" t="n">
        <f aca="false">(G111-F111)*100</f>
        <v>-1.10620353125565</v>
      </c>
      <c r="I111" s="11" t="n">
        <v>0.0458095584962163</v>
      </c>
      <c r="J111" s="11" t="n">
        <v>0.0310403225333873</v>
      </c>
      <c r="K111" s="12" t="n">
        <f aca="false">(J111-I111)*100</f>
        <v>-1.4769235962829</v>
      </c>
      <c r="L111" s="11" t="n">
        <v>0.161952167051111</v>
      </c>
      <c r="M111" s="11" t="n">
        <v>0.199409313854755</v>
      </c>
      <c r="N111" s="12" t="n">
        <f aca="false">(M111-L111)*100</f>
        <v>3.74571468036437</v>
      </c>
      <c r="O111" s="11" t="n">
        <v>0.186030512727126</v>
      </c>
      <c r="P111" s="11" t="n">
        <v>0.194949867857415</v>
      </c>
      <c r="Q111" s="12" t="n">
        <f aca="false">(P111-O111)*100</f>
        <v>0.89193551302893</v>
      </c>
      <c r="R111" s="11" t="n">
        <v>0.0176902131497251</v>
      </c>
      <c r="S111" s="11" t="n">
        <v>0.0117551230889135</v>
      </c>
      <c r="T111" s="12" t="n">
        <f aca="false">(S111-R111)*100</f>
        <v>-0.593509006081161</v>
      </c>
      <c r="U111" s="11" t="n">
        <v>0.240766113413922</v>
      </c>
      <c r="V111" s="11" t="n">
        <v>0.278132306664557</v>
      </c>
      <c r="W111" s="12" t="n">
        <f aca="false">(V111-U111)*100</f>
        <v>3.7366193250635</v>
      </c>
      <c r="X111" s="11" t="n">
        <v>0.271562115194506</v>
      </c>
      <c r="Y111" s="11" t="n">
        <v>0.251135371434934</v>
      </c>
      <c r="Z111" s="12" t="n">
        <f aca="false">(Y111-X111)*100</f>
        <v>-2.04267437595719</v>
      </c>
      <c r="AA111" s="11" t="n">
        <v>0.365672892927962</v>
      </c>
      <c r="AB111" s="11" t="n">
        <v>0.406114304801083</v>
      </c>
      <c r="AC111" s="12" t="n">
        <f aca="false">(AB111-AA111)*100</f>
        <v>4.04414118731214</v>
      </c>
      <c r="AD111" s="11" t="n">
        <v>0.642497381382185</v>
      </c>
      <c r="AE111" s="11" t="n">
        <v>0.607149210505718</v>
      </c>
      <c r="AF111" s="12" t="n">
        <f aca="false">(AE111-AD111)*100</f>
        <v>-3.53481708764669</v>
      </c>
      <c r="AG111" s="11" t="n">
        <v>0.0408088936679443</v>
      </c>
      <c r="AH111" s="11" t="n">
        <v>0.0244888631049699</v>
      </c>
      <c r="AI111" s="12" t="n">
        <f aca="false">(AH111-AG111)*100</f>
        <v>-1.63200305629745</v>
      </c>
      <c r="AJ111" s="14" t="s">
        <v>132</v>
      </c>
      <c r="AK111" s="14" t="s">
        <v>132</v>
      </c>
      <c r="AL111" s="14" t="s">
        <v>150</v>
      </c>
      <c r="AM111" s="20" t="n">
        <v>14.8846378420252</v>
      </c>
      <c r="AN111" s="20" t="n">
        <v>12.7981998136526</v>
      </c>
      <c r="AO111" s="12" t="n">
        <v>-2.08643802837265</v>
      </c>
    </row>
    <row r="112" customFormat="false" ht="15" hidden="false" customHeight="false" outlineLevel="0" collapsed="false">
      <c r="A112" s="14" t="s">
        <v>95</v>
      </c>
      <c r="B112" s="14" t="n">
        <v>2</v>
      </c>
      <c r="C112" s="11" t="n">
        <v>0.140663736576714</v>
      </c>
      <c r="D112" s="11" t="n">
        <v>0.134666199957447</v>
      </c>
      <c r="E112" s="12" t="n">
        <f aca="false">(D112-C112)*100</f>
        <v>-0.599753661926708</v>
      </c>
      <c r="F112" s="11" t="n">
        <v>0.0126416767536847</v>
      </c>
      <c r="G112" s="11" t="n">
        <v>0.00608780996698719</v>
      </c>
      <c r="H112" s="12" t="n">
        <f aca="false">(G112-F112)*100</f>
        <v>-0.655386678669754</v>
      </c>
      <c r="I112" s="11" t="n">
        <v>0.0615189430962722</v>
      </c>
      <c r="J112" s="11" t="n">
        <v>0.0548108798155126</v>
      </c>
      <c r="K112" s="12" t="n">
        <f aca="false">(J112-I112)*100</f>
        <v>-0.670806328075965</v>
      </c>
      <c r="L112" s="11" t="n">
        <v>0.319336651800452</v>
      </c>
      <c r="M112" s="11" t="n">
        <v>0.286113341706646</v>
      </c>
      <c r="N112" s="12" t="n">
        <f aca="false">(M112-L112)*100</f>
        <v>-3.3223310093806</v>
      </c>
      <c r="O112" s="11" t="n">
        <v>0.154192207859459</v>
      </c>
      <c r="P112" s="11" t="n">
        <v>0.0969382502522289</v>
      </c>
      <c r="Q112" s="12" t="n">
        <f aca="false">(P112-O112)*100</f>
        <v>-5.72539576072304</v>
      </c>
      <c r="R112" s="11" t="n">
        <v>0.0145123601033083</v>
      </c>
      <c r="S112" s="11" t="n">
        <v>0.00438569398974612</v>
      </c>
      <c r="T112" s="12" t="n">
        <f aca="false">(S112-R112)*100</f>
        <v>-1.01266661135622</v>
      </c>
      <c r="U112" s="11" t="n">
        <v>0.21598301497194</v>
      </c>
      <c r="V112" s="11" t="n">
        <v>0.342811648513051</v>
      </c>
      <c r="W112" s="12" t="n">
        <f aca="false">(V112-U112)*100</f>
        <v>12.6828633541111</v>
      </c>
      <c r="X112" s="11" t="n">
        <v>0.164704283152846</v>
      </c>
      <c r="Y112" s="11" t="n">
        <v>0.195564889739947</v>
      </c>
      <c r="Z112" s="12" t="n">
        <f aca="false">(Y112-X112)*100</f>
        <v>3.08606065871011</v>
      </c>
      <c r="AA112" s="11" t="n">
        <v>0.488041219763219</v>
      </c>
      <c r="AB112" s="11" t="n">
        <v>0.387437285948621</v>
      </c>
      <c r="AC112" s="12" t="n">
        <f aca="false">(AB112-AA112)*100</f>
        <v>-10.0603933814599</v>
      </c>
      <c r="AD112" s="11" t="n">
        <v>0.596855948508333</v>
      </c>
      <c r="AE112" s="11" t="n">
        <v>0.53587821635061</v>
      </c>
      <c r="AF112" s="12" t="n">
        <f aca="false">(AE112-AD112)*100</f>
        <v>-6.09777321577235</v>
      </c>
      <c r="AG112" s="11" t="n">
        <v>0.0401711448711559</v>
      </c>
      <c r="AH112" s="11" t="n">
        <v>0.0240767050329099</v>
      </c>
      <c r="AI112" s="12" t="n">
        <f aca="false">(AH112-AG112)*100</f>
        <v>-1.6094439838246</v>
      </c>
      <c r="AJ112" s="14" t="s">
        <v>132</v>
      </c>
      <c r="AK112" s="14" t="s">
        <v>132</v>
      </c>
      <c r="AL112" s="14" t="s">
        <v>150</v>
      </c>
      <c r="AM112" s="20" t="n">
        <v>30.4973169610781</v>
      </c>
      <c r="AN112" s="20" t="n">
        <v>4.46256374355701</v>
      </c>
      <c r="AO112" s="12" t="n">
        <v>-26.0347532175211</v>
      </c>
    </row>
    <row r="113" customFormat="false" ht="15" hidden="false" customHeight="false" outlineLevel="0" collapsed="false">
      <c r="A113" s="14" t="s">
        <v>95</v>
      </c>
      <c r="B113" s="14" t="n">
        <v>3</v>
      </c>
      <c r="C113" s="11" t="n">
        <v>0.120136171125288</v>
      </c>
      <c r="D113" s="11" t="n">
        <v>0.110139391892679</v>
      </c>
      <c r="E113" s="12" t="n">
        <f aca="false">(D113-C113)*100</f>
        <v>-0.99967792326095</v>
      </c>
      <c r="F113" s="11" t="n">
        <v>0.0140031094193963</v>
      </c>
      <c r="G113" s="11" t="n">
        <v>0.00795942845830471</v>
      </c>
      <c r="H113" s="12" t="n">
        <f aca="false">(G113-F113)*100</f>
        <v>-0.604368096109163</v>
      </c>
      <c r="I113" s="11" t="n">
        <v>0.0565056559266606</v>
      </c>
      <c r="J113" s="11" t="n">
        <v>0.0336892853399788</v>
      </c>
      <c r="K113" s="12" t="n">
        <f aca="false">(J113-I113)*100</f>
        <v>-2.28163705866818</v>
      </c>
      <c r="L113" s="11" t="n">
        <v>0.331217498525706</v>
      </c>
      <c r="M113" s="11" t="n">
        <v>0.333806900888521</v>
      </c>
      <c r="N113" s="12" t="n">
        <f aca="false">(M113-L113)*100</f>
        <v>0.258940236281507</v>
      </c>
      <c r="O113" s="11" t="n">
        <v>0.173596740470702</v>
      </c>
      <c r="P113" s="11" t="n">
        <v>0.172830808286656</v>
      </c>
      <c r="Q113" s="12" t="n">
        <f aca="false">(P113-O113)*100</f>
        <v>-0.0765932184045914</v>
      </c>
      <c r="R113" s="11" t="n">
        <v>0.00986972604942905</v>
      </c>
      <c r="S113" s="11" t="n">
        <v>0.00656201600037264</v>
      </c>
      <c r="T113" s="12" t="n">
        <f aca="false">(S113-R113)*100</f>
        <v>-0.33077100490564</v>
      </c>
      <c r="U113" s="11" t="n">
        <v>0.19593094944513</v>
      </c>
      <c r="V113" s="11" t="n">
        <v>0.23544070895392</v>
      </c>
      <c r="W113" s="12" t="n">
        <f aca="false">(V113-U113)*100</f>
        <v>3.95097595087908</v>
      </c>
      <c r="X113" s="11" t="n">
        <v>0.15203988634536</v>
      </c>
      <c r="Y113" s="11" t="n">
        <v>0.151788105690962</v>
      </c>
      <c r="Z113" s="12" t="n">
        <f aca="false">(Y113-X113)*100</f>
        <v>-0.0251780654397793</v>
      </c>
      <c r="AA113" s="11" t="n">
        <v>0.514683965045837</v>
      </c>
      <c r="AB113" s="11" t="n">
        <v>0.51319972517555</v>
      </c>
      <c r="AC113" s="12" t="n">
        <f aca="false">(AB113-AA113)*100</f>
        <v>-0.148423987028723</v>
      </c>
      <c r="AD113" s="11" t="n">
        <v>0.566969102873904</v>
      </c>
      <c r="AE113" s="11" t="n">
        <v>0.49286441966912</v>
      </c>
      <c r="AF113" s="12" t="n">
        <f aca="false">(AE113-AD113)*100</f>
        <v>-7.41046832047836</v>
      </c>
      <c r="AG113" s="11" t="n">
        <v>0.0491609928697797</v>
      </c>
      <c r="AH113" s="11" t="n">
        <v>0.030009432534091</v>
      </c>
      <c r="AI113" s="12" t="n">
        <f aca="false">(AH113-AG113)*100</f>
        <v>-1.91515603356886</v>
      </c>
      <c r="AJ113" s="14" t="s">
        <v>132</v>
      </c>
      <c r="AK113" s="14" t="s">
        <v>132</v>
      </c>
      <c r="AL113" s="14" t="s">
        <v>150</v>
      </c>
      <c r="AM113" s="20" t="n">
        <v>27.5719723368895</v>
      </c>
      <c r="AN113" s="20" t="n">
        <v>27.775901622163</v>
      </c>
      <c r="AO113" s="12" t="n">
        <v>0.20392928527345</v>
      </c>
    </row>
    <row r="114" customFormat="false" ht="15" hidden="false" customHeight="false" outlineLevel="0" collapsed="false">
      <c r="A114" s="14" t="s">
        <v>95</v>
      </c>
      <c r="B114" s="14" t="n">
        <v>4</v>
      </c>
      <c r="C114" s="11" t="n">
        <v>0.284936134793226</v>
      </c>
      <c r="D114" s="11" t="n">
        <v>0.263235000843727</v>
      </c>
      <c r="E114" s="12" t="n">
        <f aca="false">(D114-C114)*100</f>
        <v>-2.17011339494995</v>
      </c>
      <c r="F114" s="11" t="n">
        <v>0.0242853033520818</v>
      </c>
      <c r="G114" s="11" t="n">
        <v>0.0101400586006412</v>
      </c>
      <c r="H114" s="12" t="n">
        <f aca="false">(G114-F114)*100</f>
        <v>-1.41452447514406</v>
      </c>
      <c r="I114" s="11" t="n">
        <v>0.0447209454621124</v>
      </c>
      <c r="J114" s="11" t="n">
        <v>0.0222206881740224</v>
      </c>
      <c r="K114" s="12" t="n">
        <f aca="false">(J114-I114)*100</f>
        <v>-2.25002572880899</v>
      </c>
      <c r="L114" s="11" t="n">
        <v>0.158619507806428</v>
      </c>
      <c r="M114" s="11" t="n">
        <v>0.142183257397947</v>
      </c>
      <c r="N114" s="12" t="n">
        <f aca="false">(M114-L114)*100</f>
        <v>-1.64362504084801</v>
      </c>
      <c r="O114" s="11" t="n">
        <v>0.154971816073101</v>
      </c>
      <c r="P114" s="11" t="n">
        <v>0.123797689723411</v>
      </c>
      <c r="Q114" s="12" t="n">
        <f aca="false">(P114-O114)*100</f>
        <v>-3.11741263496896</v>
      </c>
      <c r="R114" s="11" t="n">
        <v>0.0104167304196682</v>
      </c>
      <c r="S114" s="11" t="n">
        <v>0.00676515256109347</v>
      </c>
      <c r="T114" s="12" t="n">
        <f aca="false">(S114-R114)*100</f>
        <v>-0.365157785857469</v>
      </c>
      <c r="U114" s="11" t="n">
        <v>0.233996976577657</v>
      </c>
      <c r="V114" s="11" t="n">
        <v>0.350192523049074</v>
      </c>
      <c r="W114" s="12" t="n">
        <f aca="false">(V114-U114)*100</f>
        <v>11.6195546471417</v>
      </c>
      <c r="X114" s="11" t="n">
        <v>0.336016059636088</v>
      </c>
      <c r="Y114" s="11" t="n">
        <v>0.29559574761839</v>
      </c>
      <c r="Z114" s="12" t="n">
        <f aca="false">(Y114-X114)*100</f>
        <v>-4.04203120176975</v>
      </c>
      <c r="AA114" s="11" t="n">
        <v>0.324008054299196</v>
      </c>
      <c r="AB114" s="11" t="n">
        <v>0.272746099682452</v>
      </c>
      <c r="AC114" s="12" t="n">
        <f aca="false">(AB114-AA114)*100</f>
        <v>-5.12619546167444</v>
      </c>
      <c r="AD114" s="11" t="n">
        <v>0.566064078934605</v>
      </c>
      <c r="AE114" s="11" t="n">
        <v>0.432788256617603</v>
      </c>
      <c r="AF114" s="12" t="n">
        <f aca="false">(AE114-AD114)*100</f>
        <v>-13.3275822317001</v>
      </c>
      <c r="AG114" s="11" t="n">
        <v>0.0330740371256679</v>
      </c>
      <c r="AH114" s="11" t="n">
        <v>0.0249512939696565</v>
      </c>
      <c r="AI114" s="12" t="n">
        <f aca="false">(AH114-AG114)*100</f>
        <v>-0.812274315601135</v>
      </c>
      <c r="AJ114" s="14" t="s">
        <v>132</v>
      </c>
      <c r="AK114" s="14" t="s">
        <v>62</v>
      </c>
      <c r="AL114" s="14" t="s">
        <v>151</v>
      </c>
      <c r="AM114" s="20" t="n">
        <v>6.70171551676653</v>
      </c>
      <c r="AN114" s="20" t="n">
        <v>5.4596775430684</v>
      </c>
      <c r="AO114" s="12" t="n">
        <v>-1.24203797369813</v>
      </c>
    </row>
    <row r="115" customFormat="false" ht="15" hidden="false" customHeight="false" outlineLevel="0" collapsed="false">
      <c r="A115" s="14" t="s">
        <v>95</v>
      </c>
      <c r="B115" s="14" t="n">
        <v>5</v>
      </c>
      <c r="C115" s="11" t="n">
        <v>0.329458253664755</v>
      </c>
      <c r="D115" s="11" t="n">
        <v>0.347339599110993</v>
      </c>
      <c r="E115" s="12" t="n">
        <f aca="false">(D115-C115)*100</f>
        <v>1.78813454462388</v>
      </c>
      <c r="F115" s="11" t="n">
        <v>0.0231931166347992</v>
      </c>
      <c r="G115" s="11" t="n">
        <v>0.00941956789822408</v>
      </c>
      <c r="H115" s="12" t="n">
        <f aca="false">(G115-F115)*100</f>
        <v>-1.37735487365752</v>
      </c>
      <c r="I115" s="11" t="n">
        <v>0.0461631612492033</v>
      </c>
      <c r="J115" s="11" t="n">
        <v>0.144324222641799</v>
      </c>
      <c r="K115" s="12" t="n">
        <f aca="false">(J115-I115)*100</f>
        <v>9.81610613925953</v>
      </c>
      <c r="L115" s="11" t="n">
        <v>0.0568323773103888</v>
      </c>
      <c r="M115" s="11" t="n">
        <v>0.0610321115299134</v>
      </c>
      <c r="N115" s="12" t="n">
        <f aca="false">(M115-L115)*100</f>
        <v>0.419973421952462</v>
      </c>
      <c r="O115" s="11" t="n">
        <v>0.225697896749522</v>
      </c>
      <c r="P115" s="11" t="n">
        <v>0.0753426089137538</v>
      </c>
      <c r="Q115" s="12" t="n">
        <f aca="false">(P115-O115)*100</f>
        <v>-15.0355287835768</v>
      </c>
      <c r="R115" s="11" t="n">
        <v>0.0147928616953474</v>
      </c>
      <c r="S115" s="11" t="n">
        <v>0.00955891061861201</v>
      </c>
      <c r="T115" s="12" t="n">
        <f aca="false">(S115-R115)*100</f>
        <v>-0.523395107673535</v>
      </c>
      <c r="U115" s="11" t="n">
        <v>0.234168260038241</v>
      </c>
      <c r="V115" s="11" t="n">
        <v>0.285429628442636</v>
      </c>
      <c r="W115" s="12" t="n">
        <f aca="false">(V115-U115)*100</f>
        <v>5.12613684043952</v>
      </c>
      <c r="X115" s="11" t="n">
        <v>0.367304015296367</v>
      </c>
      <c r="Y115" s="11" t="n">
        <v>0.501083389651016</v>
      </c>
      <c r="Z115" s="12" t="n">
        <f aca="false">(Y115-X115)*100</f>
        <v>13.3779374354649</v>
      </c>
      <c r="AA115" s="11" t="n">
        <v>0.297323135755258</v>
      </c>
      <c r="AB115" s="11" t="n">
        <v>0.145933631062279</v>
      </c>
      <c r="AC115" s="12" t="n">
        <f aca="false">(AB115-AA115)*100</f>
        <v>-15.1389504692979</v>
      </c>
      <c r="AD115" s="11" t="n">
        <v>0.5549758590807</v>
      </c>
      <c r="AE115" s="11" t="n">
        <v>0.476883615691565</v>
      </c>
      <c r="AF115" s="12" t="n">
        <f aca="false">(AE115-AD115)*100</f>
        <v>-7.80922433891352</v>
      </c>
      <c r="AG115" s="11" t="n">
        <v>0.0389738687061823</v>
      </c>
      <c r="AH115" s="11" t="n">
        <v>0.0245103845162369</v>
      </c>
      <c r="AI115" s="12" t="n">
        <f aca="false">(AH115-AG115)*100</f>
        <v>-1.44634841899454</v>
      </c>
      <c r="AJ115" s="14" t="s">
        <v>74</v>
      </c>
      <c r="AK115" s="14" t="s">
        <v>74</v>
      </c>
      <c r="AL115" s="14" t="s">
        <v>134</v>
      </c>
      <c r="AM115" s="20" t="n">
        <v>6.15105162523901</v>
      </c>
      <c r="AN115" s="20" t="n">
        <v>21.565376120838</v>
      </c>
      <c r="AO115" s="12" t="n">
        <v>15.414324495599</v>
      </c>
    </row>
    <row r="116" customFormat="false" ht="15" hidden="false" customHeight="false" outlineLevel="0" collapsed="false">
      <c r="A116" s="14" t="s">
        <v>95</v>
      </c>
      <c r="B116" s="14" t="n">
        <v>6</v>
      </c>
      <c r="C116" s="11" t="n">
        <v>0.26342134274674</v>
      </c>
      <c r="D116" s="11" t="n">
        <v>0.21952464833678</v>
      </c>
      <c r="E116" s="12" t="n">
        <f aca="false">(D116-C116)*100</f>
        <v>-4.38966944099602</v>
      </c>
      <c r="F116" s="11" t="n">
        <v>0.0220209129074287</v>
      </c>
      <c r="G116" s="11" t="n">
        <v>0.00843736437670726</v>
      </c>
      <c r="H116" s="12" t="n">
        <f aca="false">(G116-F116)*100</f>
        <v>-1.35835485307214</v>
      </c>
      <c r="I116" s="11" t="n">
        <v>0.040483958975958</v>
      </c>
      <c r="J116" s="11" t="n">
        <v>0.0194467846110643</v>
      </c>
      <c r="K116" s="12" t="n">
        <f aca="false">(J116-I116)*100</f>
        <v>-2.10371743648936</v>
      </c>
      <c r="L116" s="11" t="n">
        <v>0.19546552933709</v>
      </c>
      <c r="M116" s="11" t="n">
        <v>0.169130223890123</v>
      </c>
      <c r="N116" s="12" t="n">
        <f aca="false">(M116-L116)*100</f>
        <v>-2.6335305446967</v>
      </c>
      <c r="O116" s="11" t="n">
        <v>0.12257101814011</v>
      </c>
      <c r="P116" s="11" t="n">
        <v>0.106666921957571</v>
      </c>
      <c r="Q116" s="12" t="n">
        <f aca="false">(P116-O116)*100</f>
        <v>-1.59040961825392</v>
      </c>
      <c r="R116" s="11" t="n">
        <v>0.0101836282446743</v>
      </c>
      <c r="S116" s="11" t="n">
        <v>0.00598657169845038</v>
      </c>
      <c r="T116" s="12" t="n">
        <f aca="false">(S116-R116)*100</f>
        <v>-0.419705654622395</v>
      </c>
      <c r="U116" s="11" t="n">
        <v>0.265882339840314</v>
      </c>
      <c r="V116" s="11" t="n">
        <v>0.402312935590105</v>
      </c>
      <c r="W116" s="12" t="n">
        <f aca="false">(V116-U116)*100</f>
        <v>13.6430595749791</v>
      </c>
      <c r="X116" s="11" t="n">
        <v>0.311165799935413</v>
      </c>
      <c r="Y116" s="11" t="n">
        <v>0.247408797324551</v>
      </c>
      <c r="Z116" s="12" t="n">
        <f aca="false">(Y116-X116)*100</f>
        <v>-6.37570026108615</v>
      </c>
      <c r="AA116" s="11" t="n">
        <v>0.328220175721874</v>
      </c>
      <c r="AB116" s="11" t="n">
        <v>0.281783717546144</v>
      </c>
      <c r="AC116" s="12" t="n">
        <f aca="false">(AB116-AA116)*100</f>
        <v>-4.64364581757301</v>
      </c>
      <c r="AD116" s="11" t="n">
        <v>0.565490359063488</v>
      </c>
      <c r="AE116" s="11" t="n">
        <v>0.444003638537897</v>
      </c>
      <c r="AF116" s="12" t="n">
        <f aca="false">(AE116-AD116)*100</f>
        <v>-12.1486720525591</v>
      </c>
      <c r="AG116" s="11" t="n">
        <v>0.0313916326098819</v>
      </c>
      <c r="AH116" s="11" t="n">
        <v>0.0212593500293585</v>
      </c>
      <c r="AI116" s="12" t="n">
        <f aca="false">(AH116-AG116)*100</f>
        <v>-1.01322825805234</v>
      </c>
      <c r="AJ116" s="14" t="s">
        <v>132</v>
      </c>
      <c r="AK116" s="14" t="s">
        <v>62</v>
      </c>
      <c r="AL116" s="14" t="s">
        <v>151</v>
      </c>
      <c r="AM116" s="20" t="n">
        <v>16.0365697486665</v>
      </c>
      <c r="AN116" s="20" t="n">
        <v>12.0529218043961</v>
      </c>
      <c r="AO116" s="12" t="n">
        <v>-3.98364794427039</v>
      </c>
    </row>
    <row r="117" customFormat="false" ht="15" hidden="false" customHeight="false" outlineLevel="0" collapsed="false">
      <c r="A117" s="14" t="s">
        <v>95</v>
      </c>
      <c r="B117" s="14" t="n">
        <v>7</v>
      </c>
      <c r="C117" s="11" t="n">
        <v>0.30114170682967</v>
      </c>
      <c r="D117" s="11" t="n">
        <v>0.304203989243359</v>
      </c>
      <c r="E117" s="12" t="n">
        <f aca="false">(D117-C117)*100</f>
        <v>0.306228241368961</v>
      </c>
      <c r="F117" s="11" t="n">
        <v>0.0344495709415775</v>
      </c>
      <c r="G117" s="11" t="n">
        <v>0.0260016637969394</v>
      </c>
      <c r="H117" s="12" t="n">
        <f aca="false">(G117-F117)*100</f>
        <v>-0.844790714463813</v>
      </c>
      <c r="I117" s="11" t="n">
        <v>0.0449776654519807</v>
      </c>
      <c r="J117" s="11" t="n">
        <v>0.0379190930372033</v>
      </c>
      <c r="K117" s="12" t="n">
        <f aca="false">(J117-I117)*100</f>
        <v>-0.705857241477743</v>
      </c>
      <c r="L117" s="11" t="n">
        <v>0.0994034324673798</v>
      </c>
      <c r="M117" s="11" t="n">
        <v>0.0999148755054267</v>
      </c>
      <c r="N117" s="12" t="n">
        <f aca="false">(M117-L117)*100</f>
        <v>0.0511443038046885</v>
      </c>
      <c r="O117" s="11" t="n">
        <v>0.153469201833784</v>
      </c>
      <c r="P117" s="11" t="n">
        <v>0.209870572075297</v>
      </c>
      <c r="Q117" s="12" t="n">
        <f aca="false">(P117-O117)*100</f>
        <v>5.64013702415126</v>
      </c>
      <c r="R117" s="11" t="n">
        <v>0.00977136475843423</v>
      </c>
      <c r="S117" s="11" t="n">
        <v>0.0078740157480315</v>
      </c>
      <c r="T117" s="12" t="n">
        <f aca="false">(S117-R117)*100</f>
        <v>-0.189734901040274</v>
      </c>
      <c r="U117" s="11" t="n">
        <v>0.265009697895851</v>
      </c>
      <c r="V117" s="11" t="n">
        <v>0.214697517847124</v>
      </c>
      <c r="W117" s="12" t="n">
        <f aca="false">(V117-U117)*100</f>
        <v>-5.03121800487263</v>
      </c>
      <c r="X117" s="11" t="n">
        <v>0.365427001293053</v>
      </c>
      <c r="Y117" s="11" t="n">
        <v>0.368124746077502</v>
      </c>
      <c r="Z117" s="12" t="n">
        <f aca="false">(Y117-X117)*100</f>
        <v>0.269774478444923</v>
      </c>
      <c r="AA117" s="11" t="n">
        <v>0.262643999059598</v>
      </c>
      <c r="AB117" s="11" t="n">
        <v>0.317659463328755</v>
      </c>
      <c r="AC117" s="12" t="n">
        <f aca="false">(AB117-AA117)*100</f>
        <v>5.50154642691567</v>
      </c>
      <c r="AD117" s="11" t="n">
        <v>0.536526719513109</v>
      </c>
      <c r="AE117" s="11" t="n">
        <v>0.386332720450842</v>
      </c>
      <c r="AF117" s="12" t="n">
        <f aca="false">(AE117-AD117)*100</f>
        <v>-15.0193999062266</v>
      </c>
      <c r="AG117" s="11" t="n">
        <v>0.0303500058775126</v>
      </c>
      <c r="AH117" s="11" t="n">
        <v>0.0275784015941496</v>
      </c>
      <c r="AI117" s="12" t="n">
        <f aca="false">(AH117-AG117)*100</f>
        <v>-0.277160428336302</v>
      </c>
      <c r="AJ117" s="14" t="s">
        <v>132</v>
      </c>
      <c r="AK117" s="14" t="s">
        <v>74</v>
      </c>
      <c r="AL117" s="14" t="s">
        <v>135</v>
      </c>
      <c r="AM117" s="20" t="n">
        <v>0.875749382861173</v>
      </c>
      <c r="AN117" s="20" t="n">
        <v>5.04652827487473</v>
      </c>
      <c r="AO117" s="12" t="n">
        <v>4.17077889201356</v>
      </c>
    </row>
    <row r="118" customFormat="false" ht="15" hidden="false" customHeight="false" outlineLevel="0" collapsed="false">
      <c r="A118" s="14" t="s">
        <v>95</v>
      </c>
      <c r="B118" s="14" t="n">
        <v>8</v>
      </c>
      <c r="C118" s="11" t="n">
        <v>0.200764259007012</v>
      </c>
      <c r="D118" s="11" t="n">
        <v>0.188975574110491</v>
      </c>
      <c r="E118" s="12" t="n">
        <f aca="false">(D118-C118)*100</f>
        <v>-1.17886848965204</v>
      </c>
      <c r="F118" s="11" t="n">
        <v>0.0143389982356222</v>
      </c>
      <c r="G118" s="11" t="n">
        <v>0.00616288941186585</v>
      </c>
      <c r="H118" s="12" t="n">
        <f aca="false">(G118-F118)*100</f>
        <v>-0.81761088237563</v>
      </c>
      <c r="I118" s="11" t="n">
        <v>0.0252589430188231</v>
      </c>
      <c r="J118" s="11" t="n">
        <v>0.0148242475042179</v>
      </c>
      <c r="K118" s="12" t="n">
        <f aca="false">(J118-I118)*100</f>
        <v>-1.04346955146052</v>
      </c>
      <c r="L118" s="11" t="n">
        <v>0.184638028284897</v>
      </c>
      <c r="M118" s="11" t="n">
        <v>0.196648290832501</v>
      </c>
      <c r="N118" s="12" t="n">
        <f aca="false">(M118-L118)*100</f>
        <v>1.20102625476037</v>
      </c>
      <c r="O118" s="11" t="n">
        <v>0.108733213270316</v>
      </c>
      <c r="P118" s="11" t="n">
        <v>0.130581256649151</v>
      </c>
      <c r="Q118" s="12" t="n">
        <f aca="false">(P118-O118)*100</f>
        <v>2.1848043378835</v>
      </c>
      <c r="R118" s="11" t="n">
        <v>0.00769744119502318</v>
      </c>
      <c r="S118" s="11" t="n">
        <v>0.00780166994422773</v>
      </c>
      <c r="T118" s="12" t="n">
        <f aca="false">(S118-R118)*100</f>
        <v>0.0104228749204557</v>
      </c>
      <c r="U118" s="11" t="n">
        <v>0.165170449870643</v>
      </c>
      <c r="V118" s="11" t="n">
        <v>0.390293046197492</v>
      </c>
      <c r="W118" s="12" t="n">
        <f aca="false">(V118-U118)*100</f>
        <v>22.5122596326849</v>
      </c>
      <c r="X118" s="11" t="n">
        <v>0.226708841087149</v>
      </c>
      <c r="Y118" s="11" t="n">
        <v>0.209962711026575</v>
      </c>
      <c r="Z118" s="12" t="n">
        <f aca="false">(Y118-X118)*100</f>
        <v>-1.67461300605742</v>
      </c>
      <c r="AA118" s="11" t="n">
        <v>0.301068682750235</v>
      </c>
      <c r="AB118" s="11" t="n">
        <v>0.335031217425879</v>
      </c>
      <c r="AC118" s="12" t="n">
        <f aca="false">(AB118-AA118)*100</f>
        <v>3.39625346756434</v>
      </c>
      <c r="AD118" s="11" t="n">
        <v>0.669232157551323</v>
      </c>
      <c r="AE118" s="11" t="n">
        <v>0.570100901187902</v>
      </c>
      <c r="AF118" s="12" t="n">
        <f aca="false">(AE118-AD118)*100</f>
        <v>-9.91312563634209</v>
      </c>
      <c r="AG118" s="11" t="n">
        <v>0.0255743369870277</v>
      </c>
      <c r="AH118" s="11" t="n">
        <v>0.0223357726984536</v>
      </c>
      <c r="AI118" s="12" t="n">
        <f aca="false">(AH118-AG118)*100</f>
        <v>-0.323856428857407</v>
      </c>
      <c r="AJ118" s="14" t="s">
        <v>132</v>
      </c>
      <c r="AK118" s="14" t="s">
        <v>62</v>
      </c>
      <c r="AL118" s="14" t="s">
        <v>151</v>
      </c>
      <c r="AM118" s="20" t="n">
        <v>13.0797078263413</v>
      </c>
      <c r="AN118" s="20" t="n">
        <v>5.52618287716131</v>
      </c>
      <c r="AO118" s="12" t="n">
        <v>-7.55352494918003</v>
      </c>
    </row>
    <row r="119" customFormat="false" ht="15" hidden="false" customHeight="false" outlineLevel="0" collapsed="false">
      <c r="A119" s="14" t="s">
        <v>95</v>
      </c>
      <c r="B119" s="14" t="n">
        <v>9</v>
      </c>
      <c r="C119" s="11" t="n">
        <v>0.312595383035578</v>
      </c>
      <c r="D119" s="11" t="n">
        <v>0.31017531615321</v>
      </c>
      <c r="E119" s="12" t="n">
        <f aca="false">(D119-C119)*100</f>
        <v>-0.24200668823674</v>
      </c>
      <c r="F119" s="11" t="n">
        <v>0.0277029212029751</v>
      </c>
      <c r="G119" s="11" t="n">
        <v>0.0111440687609525</v>
      </c>
      <c r="H119" s="12" t="n">
        <f aca="false">(G119-F119)*100</f>
        <v>-1.65588524420226</v>
      </c>
      <c r="I119" s="11" t="n">
        <v>0.0445470688686792</v>
      </c>
      <c r="J119" s="11" t="n">
        <v>0.0241998497940358</v>
      </c>
      <c r="K119" s="12" t="n">
        <f aca="false">(J119-I119)*100</f>
        <v>-2.03472190746434</v>
      </c>
      <c r="L119" s="11" t="n">
        <v>0.115350357136779</v>
      </c>
      <c r="M119" s="11" t="n">
        <v>0.109255873584233</v>
      </c>
      <c r="N119" s="12" t="n">
        <f aca="false">(M119-L119)*100</f>
        <v>-0.60944835525457</v>
      </c>
      <c r="O119" s="11" t="n">
        <v>0.136477876809086</v>
      </c>
      <c r="P119" s="11" t="n">
        <v>0.114596530090503</v>
      </c>
      <c r="Q119" s="12" t="n">
        <f aca="false">(P119-O119)*100</f>
        <v>-2.18813467185835</v>
      </c>
      <c r="R119" s="11" t="n">
        <v>0.0114034142162564</v>
      </c>
      <c r="S119" s="11" t="n">
        <v>0.00833718963123677</v>
      </c>
      <c r="T119" s="12" t="n">
        <f aca="false">(S119-R119)*100</f>
        <v>-0.306622458501962</v>
      </c>
      <c r="U119" s="11" t="n">
        <v>0.261728212954506</v>
      </c>
      <c r="V119" s="11" t="n">
        <v>0.303886389670685</v>
      </c>
      <c r="W119" s="12" t="n">
        <f aca="false">(V119-U119)*100</f>
        <v>4.21581767161793</v>
      </c>
      <c r="X119" s="11" t="n">
        <v>0.365936129533708</v>
      </c>
      <c r="Y119" s="11" t="n">
        <v>0.345519234708198</v>
      </c>
      <c r="Z119" s="12" t="n">
        <f aca="false">(Y119-X119)*100</f>
        <v>-2.04168948255098</v>
      </c>
      <c r="AA119" s="11" t="n">
        <v>0.263231648162121</v>
      </c>
      <c r="AB119" s="11" t="n">
        <v>0.232189593305973</v>
      </c>
      <c r="AC119" s="12" t="n">
        <f aca="false">(AB119-AA119)*100</f>
        <v>-3.10420548561488</v>
      </c>
      <c r="AD119" s="11" t="n">
        <v>0.578507053162928</v>
      </c>
      <c r="AE119" s="11" t="n">
        <v>0.427760164329685</v>
      </c>
      <c r="AF119" s="12" t="n">
        <f aca="false">(AE119-AD119)*100</f>
        <v>-15.0746888833244</v>
      </c>
      <c r="AG119" s="11" t="n">
        <v>0.0369220993628839</v>
      </c>
      <c r="AH119" s="11" t="n">
        <v>0.0297529187749869</v>
      </c>
      <c r="AI119" s="12" t="n">
        <f aca="false">(AH119-AG119)*100</f>
        <v>-0.716918058789697</v>
      </c>
      <c r="AJ119" s="14" t="s">
        <v>132</v>
      </c>
      <c r="AK119" s="14" t="s">
        <v>74</v>
      </c>
      <c r="AL119" s="14" t="s">
        <v>135</v>
      </c>
      <c r="AM119" s="20" t="n">
        <v>2.25458547738323</v>
      </c>
      <c r="AN119" s="20" t="n">
        <v>4.16328450375136</v>
      </c>
      <c r="AO119" s="12" t="n">
        <v>1.90869902636813</v>
      </c>
    </row>
    <row r="120" customFormat="false" ht="15" hidden="false" customHeight="false" outlineLevel="0" collapsed="false">
      <c r="A120" s="14" t="s">
        <v>95</v>
      </c>
      <c r="B120" s="14" t="n">
        <v>10</v>
      </c>
      <c r="C120" s="11" t="n">
        <v>0.172046246696469</v>
      </c>
      <c r="D120" s="11" t="n">
        <v>0.148634015806833</v>
      </c>
      <c r="E120" s="12" t="n">
        <f aca="false">(D120-C120)*100</f>
        <v>-2.34122308896361</v>
      </c>
      <c r="F120" s="11" t="n">
        <v>0.015424684967635</v>
      </c>
      <c r="G120" s="11" t="n">
        <v>0.00474204990976414</v>
      </c>
      <c r="H120" s="12" t="n">
        <f aca="false">(G120-F120)*100</f>
        <v>-1.06826350578708</v>
      </c>
      <c r="I120" s="11" t="n">
        <v>0.0244748548635088</v>
      </c>
      <c r="J120" s="11" t="n">
        <v>0.0125956811251478</v>
      </c>
      <c r="K120" s="12" t="n">
        <f aca="false">(J120-I120)*100</f>
        <v>-1.1879173738361</v>
      </c>
      <c r="L120" s="11" t="n">
        <v>0.224470477514103</v>
      </c>
      <c r="M120" s="11" t="n">
        <v>0.24605762648578</v>
      </c>
      <c r="N120" s="12" t="n">
        <f aca="false">(M120-L120)*100</f>
        <v>2.15871489716768</v>
      </c>
      <c r="O120" s="11" t="n">
        <v>0.0848658615991552</v>
      </c>
      <c r="P120" s="11" t="n">
        <v>0.0948036592196154</v>
      </c>
      <c r="Q120" s="12" t="n">
        <f aca="false">(P120-O120)*100</f>
        <v>0.993779762046024</v>
      </c>
      <c r="R120" s="11" t="n">
        <v>0.00693809880771946</v>
      </c>
      <c r="S120" s="11" t="n">
        <v>0.00657788288007966</v>
      </c>
      <c r="T120" s="12" t="n">
        <f aca="false">(S120-R120)*100</f>
        <v>-0.0360215927639799</v>
      </c>
      <c r="U120" s="11" t="n">
        <v>0.154848735219606</v>
      </c>
      <c r="V120" s="11" t="n">
        <v>0.437849275001556</v>
      </c>
      <c r="W120" s="12" t="n">
        <f aca="false">(V120-U120)*100</f>
        <v>28.300053978195</v>
      </c>
      <c r="X120" s="11" t="n">
        <v>0.201390902773598</v>
      </c>
      <c r="Y120" s="11" t="n">
        <v>0.165971746841745</v>
      </c>
      <c r="Z120" s="12" t="n">
        <f aca="false">(Y120-X120)*100</f>
        <v>-3.5419155931853</v>
      </c>
      <c r="AA120" s="11" t="n">
        <v>0.316274437920978</v>
      </c>
      <c r="AB120" s="11" t="n">
        <v>0.347439168585475</v>
      </c>
      <c r="AC120" s="12" t="n">
        <f aca="false">(AB120-AA120)*100</f>
        <v>3.11647306644972</v>
      </c>
      <c r="AD120" s="11" t="n">
        <v>0.621160212356656</v>
      </c>
      <c r="AE120" s="11" t="n">
        <v>0.523048779693898</v>
      </c>
      <c r="AF120" s="12" t="n">
        <f aca="false">(AE120-AD120)*100</f>
        <v>-9.81114326627577</v>
      </c>
      <c r="AG120" s="11" t="n">
        <v>0.0231561783551015</v>
      </c>
      <c r="AH120" s="11" t="n">
        <v>0.0181031800360943</v>
      </c>
      <c r="AI120" s="12" t="n">
        <f aca="false">(AH120-AG120)*100</f>
        <v>-0.505299831900719</v>
      </c>
      <c r="AJ120" s="14" t="s">
        <v>132</v>
      </c>
      <c r="AK120" s="14" t="s">
        <v>62</v>
      </c>
      <c r="AL120" s="14" t="s">
        <v>151</v>
      </c>
      <c r="AM120" s="20" t="n">
        <v>18.4866408767831</v>
      </c>
      <c r="AN120" s="20" t="n">
        <v>9.04101064160806</v>
      </c>
      <c r="AO120" s="12" t="n">
        <v>-9.44563023517502</v>
      </c>
    </row>
    <row r="121" customFormat="false" ht="15" hidden="false" customHeight="false" outlineLevel="0" collapsed="false">
      <c r="A121" s="14" t="s">
        <v>95</v>
      </c>
      <c r="B121" s="14" t="n">
        <v>11</v>
      </c>
      <c r="C121" s="11" t="n">
        <v>0.29012536313434</v>
      </c>
      <c r="D121" s="11" t="n">
        <v>0.295490457412166</v>
      </c>
      <c r="E121" s="12" t="n">
        <f aca="false">(D121-C121)*100</f>
        <v>0.53650942778255</v>
      </c>
      <c r="F121" s="11" t="n">
        <v>0.0248109084247167</v>
      </c>
      <c r="G121" s="11" t="n">
        <v>0.0109647013561604</v>
      </c>
      <c r="H121" s="12" t="n">
        <f aca="false">(G121-F121)*100</f>
        <v>-1.38462070685563</v>
      </c>
      <c r="I121" s="11" t="n">
        <v>0.0401842497840823</v>
      </c>
      <c r="J121" s="11" t="n">
        <v>0.023962956347298</v>
      </c>
      <c r="K121" s="12" t="n">
        <f aca="false">(J121-I121)*100</f>
        <v>-1.62212934367843</v>
      </c>
      <c r="L121" s="11" t="n">
        <v>0.127943678191002</v>
      </c>
      <c r="M121" s="11" t="n">
        <v>0.12341472127949</v>
      </c>
      <c r="N121" s="12" t="n">
        <f aca="false">(M121-L121)*100</f>
        <v>-0.45289569115121</v>
      </c>
      <c r="O121" s="11" t="n">
        <v>0.13282210997409</v>
      </c>
      <c r="P121" s="11" t="n">
        <v>0.123297929347751</v>
      </c>
      <c r="Q121" s="12" t="n">
        <f aca="false">(P121-O121)*100</f>
        <v>-0.952418062633852</v>
      </c>
      <c r="R121" s="11" t="n">
        <v>0.0120233452851422</v>
      </c>
      <c r="S121" s="11" t="n">
        <v>0.0069594251088913</v>
      </c>
      <c r="T121" s="12" t="n">
        <f aca="false">(S121-R121)*100</f>
        <v>-0.506392017625094</v>
      </c>
      <c r="U121" s="11" t="n">
        <v>0.287424428799498</v>
      </c>
      <c r="V121" s="11" t="n">
        <v>0.314932878989819</v>
      </c>
      <c r="W121" s="12" t="n">
        <f aca="false">(V121-U121)*100</f>
        <v>2.7508450190321</v>
      </c>
      <c r="X121" s="11" t="n">
        <v>0.341652490250988</v>
      </c>
      <c r="Y121" s="11" t="n">
        <v>0.330418115115624</v>
      </c>
      <c r="Z121" s="12" t="n">
        <f aca="false">(Y121-X121)*100</f>
        <v>-1.1234375135364</v>
      </c>
      <c r="AA121" s="11" t="n">
        <v>0.272789133450234</v>
      </c>
      <c r="AB121" s="11" t="n">
        <v>0.253672075736133</v>
      </c>
      <c r="AC121" s="12" t="n">
        <f aca="false">(AB121-AA121)*100</f>
        <v>-1.91170577141016</v>
      </c>
      <c r="AD121" s="11" t="n">
        <v>0.611982420060607</v>
      </c>
      <c r="AE121" s="11" t="n">
        <v>0.464528029717948</v>
      </c>
      <c r="AF121" s="12" t="n">
        <f aca="false">(AE121-AD121)*100</f>
        <v>-14.745439034266</v>
      </c>
      <c r="AG121" s="11" t="n">
        <v>0.0340705069486247</v>
      </c>
      <c r="AH121" s="11" t="n">
        <v>0.0270888580497121</v>
      </c>
      <c r="AI121" s="12" t="n">
        <f aca="false">(AH121-AG121)*100</f>
        <v>-0.698164889891253</v>
      </c>
      <c r="AJ121" s="14" t="s">
        <v>132</v>
      </c>
      <c r="AK121" s="14" t="s">
        <v>74</v>
      </c>
      <c r="AL121" s="14" t="s">
        <v>135</v>
      </c>
      <c r="AM121" s="20" t="n">
        <v>8.57389620246539</v>
      </c>
      <c r="AN121" s="20" t="n">
        <v>1.54852361258055</v>
      </c>
      <c r="AO121" s="12" t="n">
        <v>-7.02537258988484</v>
      </c>
    </row>
    <row r="122" customFormat="false" ht="15" hidden="false" customHeight="false" outlineLevel="0" collapsed="false">
      <c r="A122" s="14" t="s">
        <v>95</v>
      </c>
      <c r="B122" s="14" t="n">
        <v>12</v>
      </c>
      <c r="C122" s="11" t="n">
        <v>0.298406583386523</v>
      </c>
      <c r="D122" s="11" t="n">
        <v>0.280096663850767</v>
      </c>
      <c r="E122" s="12" t="n">
        <f aca="false">(D122-C122)*100</f>
        <v>-1.83099195357567</v>
      </c>
      <c r="F122" s="11" t="n">
        <v>0.0214963071031276</v>
      </c>
      <c r="G122" s="11" t="n">
        <v>0.0220886593083965</v>
      </c>
      <c r="H122" s="12" t="n">
        <f aca="false">(G122-F122)*100</f>
        <v>0.05923522052689</v>
      </c>
      <c r="I122" s="11" t="n">
        <v>0.034318865687973</v>
      </c>
      <c r="J122" s="11" t="n">
        <v>0.0203714218449224</v>
      </c>
      <c r="K122" s="12" t="n">
        <f aca="false">(J122-I122)*100</f>
        <v>-1.39474438430506</v>
      </c>
      <c r="L122" s="11" t="n">
        <v>0.113317224400474</v>
      </c>
      <c r="M122" s="11" t="n">
        <v>0.147557783655777</v>
      </c>
      <c r="N122" s="12" t="n">
        <f aca="false">(M122-L122)*100</f>
        <v>3.42405592553029</v>
      </c>
      <c r="O122" s="11" t="n">
        <v>0.0721653597155102</v>
      </c>
      <c r="P122" s="11" t="n">
        <v>0.0734811450096248</v>
      </c>
      <c r="Q122" s="12" t="n">
        <f aca="false">(P122-O122)*100</f>
        <v>0.131578529411468</v>
      </c>
      <c r="R122" s="11" t="n">
        <v>0.0127142792012401</v>
      </c>
      <c r="S122" s="11" t="n">
        <v>0.0121176030688695</v>
      </c>
      <c r="T122" s="12" t="n">
        <f aca="false">(S122-R122)*100</f>
        <v>-0.0596676132370551</v>
      </c>
      <c r="U122" s="11" t="n">
        <v>0.375997310112155</v>
      </c>
      <c r="V122" s="11" t="n">
        <v>0.365958537024471</v>
      </c>
      <c r="W122" s="12" t="n">
        <f aca="false">(V122-U122)*100</f>
        <v>-1.0038773087684</v>
      </c>
      <c r="X122" s="11" t="n">
        <v>0.345473921765296</v>
      </c>
      <c r="Y122" s="11" t="n">
        <v>0.322556745004085</v>
      </c>
      <c r="Z122" s="12" t="n">
        <f aca="false">(Y122-X122)*100</f>
        <v>-2.29171767612105</v>
      </c>
      <c r="AA122" s="11" t="n">
        <v>0.198196863317224</v>
      </c>
      <c r="AB122" s="11" t="n">
        <v>0.233156531734271</v>
      </c>
      <c r="AC122" s="12" t="n">
        <f aca="false">(AB122-AA122)*100</f>
        <v>3.49596684170469</v>
      </c>
      <c r="AD122" s="11" t="n">
        <v>0.529012924446106</v>
      </c>
      <c r="AE122" s="11" t="n">
        <v>0.373659753270409</v>
      </c>
      <c r="AF122" s="12" t="n">
        <f aca="false">(AE122-AD122)*100</f>
        <v>-15.5353171175697</v>
      </c>
      <c r="AG122" s="11" t="n">
        <v>0.0278904896507705</v>
      </c>
      <c r="AH122" s="11" t="n">
        <v>0.0217562907670789</v>
      </c>
      <c r="AI122" s="12" t="n">
        <f aca="false">(AH122-AG122)*100</f>
        <v>-0.61341988836916</v>
      </c>
      <c r="AJ122" s="14" t="s">
        <v>132</v>
      </c>
      <c r="AK122" s="14" t="s">
        <v>62</v>
      </c>
      <c r="AL122" s="14" t="s">
        <v>151</v>
      </c>
      <c r="AM122" s="20" t="n">
        <v>15.6554891948573</v>
      </c>
      <c r="AN122" s="20" t="n">
        <v>4.34017920203853</v>
      </c>
      <c r="AO122" s="12" t="n">
        <v>-11.3153099928188</v>
      </c>
    </row>
    <row r="123" customFormat="false" ht="15" hidden="false" customHeight="false" outlineLevel="0" collapsed="false">
      <c r="A123" s="14" t="s">
        <v>95</v>
      </c>
      <c r="B123" s="14" t="n">
        <v>13</v>
      </c>
      <c r="C123" s="11" t="n">
        <v>0.220365992778934</v>
      </c>
      <c r="D123" s="11" t="n">
        <v>0.232354898336414</v>
      </c>
      <c r="E123" s="12" t="n">
        <f aca="false">(D123-C123)*100</f>
        <v>1.19889055574798</v>
      </c>
      <c r="F123" s="11" t="n">
        <v>0.0200755036516953</v>
      </c>
      <c r="G123" s="11" t="n">
        <v>0.00845101663585952</v>
      </c>
      <c r="H123" s="12" t="n">
        <f aca="false">(G123-F123)*100</f>
        <v>-1.16244870158358</v>
      </c>
      <c r="I123" s="11" t="n">
        <v>0.0282962283456233</v>
      </c>
      <c r="J123" s="11" t="n">
        <v>0.0200739371534196</v>
      </c>
      <c r="K123" s="12" t="n">
        <f aca="false">(J123-I123)*100</f>
        <v>-0.822229119220367</v>
      </c>
      <c r="L123" s="11" t="n">
        <v>0.154470827599995</v>
      </c>
      <c r="M123" s="11" t="n">
        <v>0.199009242144178</v>
      </c>
      <c r="N123" s="12" t="n">
        <f aca="false">(M123-L123)*100</f>
        <v>4.45384145441822</v>
      </c>
      <c r="O123" s="11" t="n">
        <v>0.106116736642793</v>
      </c>
      <c r="P123" s="11" t="n">
        <v>0.109552680221812</v>
      </c>
      <c r="Q123" s="12" t="n">
        <f aca="false">(P123-O123)*100</f>
        <v>0.3435943579019</v>
      </c>
      <c r="R123" s="11" t="n">
        <v>0.00807959637300215</v>
      </c>
      <c r="S123" s="11" t="n">
        <v>0.00703142329020333</v>
      </c>
      <c r="T123" s="12" t="n">
        <f aca="false">(S123-R123)*100</f>
        <v>-0.104817308279882</v>
      </c>
      <c r="U123" s="11" t="n">
        <v>0.185519058203672</v>
      </c>
      <c r="V123" s="11" t="n">
        <v>0.351526802218115</v>
      </c>
      <c r="W123" s="12" t="n">
        <f aca="false">(V123-U123)*100</f>
        <v>16.6007744014443</v>
      </c>
      <c r="X123" s="11" t="n">
        <v>0.257059356219643</v>
      </c>
      <c r="Y123" s="11" t="n">
        <v>0.260879852125693</v>
      </c>
      <c r="Z123" s="12" t="n">
        <f aca="false">(Y123-X123)*100</f>
        <v>0.382049590605038</v>
      </c>
      <c r="AA123" s="11" t="n">
        <v>0.26866716061579</v>
      </c>
      <c r="AB123" s="11" t="n">
        <v>0.315593345656192</v>
      </c>
      <c r="AC123" s="12" t="n">
        <f aca="false">(AB123-AA123)*100</f>
        <v>4.69261850404023</v>
      </c>
      <c r="AD123" s="11" t="n">
        <v>0.598328067496534</v>
      </c>
      <c r="AE123" s="11" t="n">
        <v>0.457073915864605</v>
      </c>
      <c r="AF123" s="12" t="n">
        <f aca="false">(AE123-AD123)*100</f>
        <v>-14.125415163193</v>
      </c>
      <c r="AG123" s="11" t="n">
        <v>0.0286431688012325</v>
      </c>
      <c r="AH123" s="11" t="n">
        <v>0.0215896487985213</v>
      </c>
      <c r="AI123" s="12" t="n">
        <f aca="false">(AH123-AG123)*100</f>
        <v>-0.705352000271126</v>
      </c>
      <c r="AJ123" s="14" t="s">
        <v>132</v>
      </c>
      <c r="AK123" s="14" t="s">
        <v>62</v>
      </c>
      <c r="AL123" s="14" t="s">
        <v>151</v>
      </c>
      <c r="AM123" s="20" t="n">
        <v>9.10101259570264</v>
      </c>
      <c r="AN123" s="20" t="n">
        <v>3.59334565619224</v>
      </c>
      <c r="AO123" s="12" t="n">
        <v>-5.50766693951041</v>
      </c>
    </row>
    <row r="124" customFormat="false" ht="15" hidden="false" customHeight="false" outlineLevel="0" collapsed="false">
      <c r="A124" s="14" t="s">
        <v>95</v>
      </c>
      <c r="B124" s="14" t="n">
        <v>14</v>
      </c>
      <c r="C124" s="11" t="n">
        <v>0.280008272925841</v>
      </c>
      <c r="D124" s="11" t="n">
        <v>0.264752956423133</v>
      </c>
      <c r="E124" s="12" t="n">
        <f aca="false">(D124-C124)*100</f>
        <v>-1.52553165027083</v>
      </c>
      <c r="F124" s="11" t="n">
        <v>0.0252576461508195</v>
      </c>
      <c r="G124" s="11" t="n">
        <v>0.00897456666126681</v>
      </c>
      <c r="H124" s="12" t="n">
        <f aca="false">(G124-F124)*100</f>
        <v>-1.62830794895527</v>
      </c>
      <c r="I124" s="11" t="n">
        <v>0.0424794564082386</v>
      </c>
      <c r="J124" s="11" t="n">
        <v>0.0241179329337437</v>
      </c>
      <c r="K124" s="12" t="n">
        <f aca="false">(J124-I124)*100</f>
        <v>-1.83615234744949</v>
      </c>
      <c r="L124" s="11" t="n">
        <v>0.158260062450501</v>
      </c>
      <c r="M124" s="11" t="n">
        <v>0.153105459258059</v>
      </c>
      <c r="N124" s="12" t="n">
        <f aca="false">(M124-L124)*100</f>
        <v>-0.51546031924419</v>
      </c>
      <c r="O124" s="11" t="n">
        <v>0.109459888920837</v>
      </c>
      <c r="P124" s="11" t="n">
        <v>0.12319455694152</v>
      </c>
      <c r="Q124" s="12" t="n">
        <f aca="false">(P124-O124)*100</f>
        <v>1.37346680206823</v>
      </c>
      <c r="R124" s="11" t="n">
        <v>0.00998300014628954</v>
      </c>
      <c r="S124" s="11" t="n">
        <v>0.0088449700307792</v>
      </c>
      <c r="T124" s="12" t="n">
        <f aca="false">(S124-R124)*100</f>
        <v>-0.113803011551034</v>
      </c>
      <c r="U124" s="11" t="n">
        <v>0.287494261918814</v>
      </c>
      <c r="V124" s="11" t="n">
        <v>0.334806415033209</v>
      </c>
      <c r="W124" s="12" t="n">
        <f aca="false">(V124-U124)*100</f>
        <v>4.73121531143949</v>
      </c>
      <c r="X124" s="11" t="n">
        <v>0.331819993240414</v>
      </c>
      <c r="Y124" s="11" t="n">
        <v>0.297845456018144</v>
      </c>
      <c r="Z124" s="12" t="n">
        <f aca="false">(Y124-X124)*100</f>
        <v>-3.39745372222707</v>
      </c>
      <c r="AA124" s="11" t="n">
        <v>0.277702951517628</v>
      </c>
      <c r="AB124" s="11" t="n">
        <v>0.285144986230358</v>
      </c>
      <c r="AC124" s="12" t="n">
        <f aca="false">(AB124-AA124)*100</f>
        <v>0.744203471273008</v>
      </c>
      <c r="AD124" s="11" t="n">
        <v>0.629313820415549</v>
      </c>
      <c r="AE124" s="11" t="n">
        <v>0.488935004039476</v>
      </c>
      <c r="AF124" s="12" t="n">
        <f aca="false">(AE124-AD124)*100</f>
        <v>-14.0378816376073</v>
      </c>
      <c r="AG124" s="11" t="n">
        <v>0.0347916887362097</v>
      </c>
      <c r="AH124" s="11" t="n">
        <v>0.0270208974566661</v>
      </c>
      <c r="AI124" s="12" t="n">
        <f aca="false">(AH124-AG124)*100</f>
        <v>-0.777079127954356</v>
      </c>
      <c r="AJ124" s="14" t="s">
        <v>132</v>
      </c>
      <c r="AK124" s="14" t="s">
        <v>62</v>
      </c>
      <c r="AL124" s="14" t="s">
        <v>151</v>
      </c>
      <c r="AM124" s="20" t="n">
        <v>12.3917331275191</v>
      </c>
      <c r="AN124" s="20" t="n">
        <v>3.69609590150656</v>
      </c>
      <c r="AO124" s="12" t="n">
        <v>-8.69563722601252</v>
      </c>
    </row>
    <row r="125" customFormat="false" ht="15" hidden="false" customHeight="false" outlineLevel="0" collapsed="false">
      <c r="A125" s="14" t="s">
        <v>95</v>
      </c>
      <c r="B125" s="14" t="n">
        <v>15</v>
      </c>
      <c r="C125" s="11" t="n">
        <v>0.238465873268277</v>
      </c>
      <c r="D125" s="11" t="n">
        <v>0.222812732859967</v>
      </c>
      <c r="E125" s="12" t="n">
        <f aca="false">(D125-C125)*100</f>
        <v>-1.565314040831</v>
      </c>
      <c r="F125" s="11" t="n">
        <v>0.0244324300196955</v>
      </c>
      <c r="G125" s="11" t="n">
        <v>0.0229026437496536</v>
      </c>
      <c r="H125" s="12" t="n">
        <f aca="false">(G125-F125)*100</f>
        <v>-0.152978627004187</v>
      </c>
      <c r="I125" s="11" t="n">
        <v>0.0736097394952826</v>
      </c>
      <c r="J125" s="11" t="n">
        <v>0.0260864745693823</v>
      </c>
      <c r="K125" s="12" t="n">
        <f aca="false">(J125-I125)*100</f>
        <v>-4.75232649259003</v>
      </c>
      <c r="L125" s="11" t="n">
        <v>0.142694541619939</v>
      </c>
      <c r="M125" s="11" t="n">
        <v>0.139885332824249</v>
      </c>
      <c r="N125" s="12" t="n">
        <f aca="false">(M125-L125)*100</f>
        <v>-0.280920879568988</v>
      </c>
      <c r="O125" s="11" t="n">
        <v>0.185137449854655</v>
      </c>
      <c r="P125" s="11" t="n">
        <v>0.177339992486898</v>
      </c>
      <c r="Q125" s="12" t="n">
        <f aca="false">(P125-O125)*100</f>
        <v>-0.7797457367757</v>
      </c>
      <c r="R125" s="11" t="n">
        <v>0.0200916146382561</v>
      </c>
      <c r="S125" s="11" t="n">
        <v>0.00638613647980392</v>
      </c>
      <c r="T125" s="12" t="n">
        <f aca="false">(S125-R125)*100</f>
        <v>-1.37054781584522</v>
      </c>
      <c r="U125" s="11" t="n">
        <v>0.17072014015589</v>
      </c>
      <c r="V125" s="11" t="n">
        <v>0.276863957433968</v>
      </c>
      <c r="W125" s="12" t="n">
        <f aca="false">(V125-U125)*100</f>
        <v>10.6143817278078</v>
      </c>
      <c r="X125" s="11" t="n">
        <v>0.3171696544644</v>
      </c>
      <c r="Y125" s="11" t="n">
        <v>0.271801851179003</v>
      </c>
      <c r="Z125" s="12" t="n">
        <f aca="false">(Y125-X125)*100</f>
        <v>-4.53678032853976</v>
      </c>
      <c r="AA125" s="11" t="n">
        <v>0.34792360611285</v>
      </c>
      <c r="AB125" s="11" t="n">
        <v>0.323611461790951</v>
      </c>
      <c r="AC125" s="12" t="n">
        <f aca="false">(AB125-AA125)*100</f>
        <v>-2.43121443218991</v>
      </c>
      <c r="AD125" s="11" t="n">
        <v>0.57518565349388</v>
      </c>
      <c r="AE125" s="11" t="n">
        <v>0.497341517050432</v>
      </c>
      <c r="AF125" s="12" t="n">
        <f aca="false">(AE125-AD125)*100</f>
        <v>-7.78441364434485</v>
      </c>
      <c r="AG125" s="11" t="n">
        <v>0.0423871136925386</v>
      </c>
      <c r="AH125" s="11" t="n">
        <v>0.0246823867030416</v>
      </c>
      <c r="AI125" s="12" t="n">
        <f aca="false">(AH125-AG125)*100</f>
        <v>-1.7704726989497</v>
      </c>
      <c r="AJ125" s="14" t="s">
        <v>132</v>
      </c>
      <c r="AK125" s="14" t="s">
        <v>132</v>
      </c>
      <c r="AL125" s="14" t="s">
        <v>150</v>
      </c>
      <c r="AM125" s="20" t="n">
        <v>1.63366419496845</v>
      </c>
      <c r="AN125" s="20" t="n">
        <v>4.67475043569832</v>
      </c>
      <c r="AO125" s="12" t="n">
        <v>3.04108624072987</v>
      </c>
    </row>
    <row r="126" customFormat="false" ht="15" hidden="false" customHeight="false" outlineLevel="0" collapsed="false">
      <c r="A126" s="14" t="s">
        <v>95</v>
      </c>
      <c r="B126" s="14" t="n">
        <v>16</v>
      </c>
      <c r="C126" s="11" t="n">
        <v>0.307313039750107</v>
      </c>
      <c r="D126" s="11" t="n">
        <v>0.316627710163617</v>
      </c>
      <c r="E126" s="12" t="n">
        <f aca="false">(D126-C126)*100</f>
        <v>0.931467041351008</v>
      </c>
      <c r="F126" s="11" t="n">
        <v>0.0269737245054205</v>
      </c>
      <c r="G126" s="11" t="n">
        <v>0.0199161763520593</v>
      </c>
      <c r="H126" s="12" t="n">
        <f aca="false">(G126-F126)*100</f>
        <v>-0.705754815336115</v>
      </c>
      <c r="I126" s="11" t="n">
        <v>0.041563055062167</v>
      </c>
      <c r="J126" s="11" t="n">
        <v>0.022052067381317</v>
      </c>
      <c r="K126" s="12" t="n">
        <f aca="false">(J126-I126)*100</f>
        <v>-1.951098768085</v>
      </c>
      <c r="L126" s="11" t="n">
        <v>0.120922398481044</v>
      </c>
      <c r="M126" s="11" t="n">
        <v>0.130756830821311</v>
      </c>
      <c r="N126" s="12" t="n">
        <f aca="false">(M126-L126)*100</f>
        <v>0.983443234026681</v>
      </c>
      <c r="O126" s="11" t="n">
        <v>0.15786121149017</v>
      </c>
      <c r="P126" s="11" t="n">
        <v>0.146522124607077</v>
      </c>
      <c r="Q126" s="12" t="n">
        <f aca="false">(P126-O126)*100</f>
        <v>-1.13390868830931</v>
      </c>
      <c r="R126" s="11" t="n">
        <v>0.0103938261774974</v>
      </c>
      <c r="S126" s="11" t="n">
        <v>0.0146288385588781</v>
      </c>
      <c r="T126" s="12" t="n">
        <f aca="false">(S126-R126)*100</f>
        <v>0.423501238138065</v>
      </c>
      <c r="U126" s="11" t="n">
        <v>0.20774790224781</v>
      </c>
      <c r="V126" s="11" t="n">
        <v>0.250189409204481</v>
      </c>
      <c r="W126" s="12" t="n">
        <f aca="false">(V126-U126)*100</f>
        <v>4.2441506956671</v>
      </c>
      <c r="X126" s="11" t="n">
        <v>0.360311141054695</v>
      </c>
      <c r="Y126" s="11" t="n">
        <v>0.358595953896994</v>
      </c>
      <c r="Z126" s="12" t="n">
        <f aca="false">(Y126-X126)*100</f>
        <v>-0.171518715770108</v>
      </c>
      <c r="AA126" s="11" t="n">
        <v>0.289177436148711</v>
      </c>
      <c r="AB126" s="11" t="n">
        <v>0.291907793987265</v>
      </c>
      <c r="AC126" s="12" t="n">
        <f aca="false">(AB126-AA126)*100</f>
        <v>0.273035783855446</v>
      </c>
      <c r="AD126" s="11" t="n">
        <v>0.549545607539549</v>
      </c>
      <c r="AE126" s="11" t="n">
        <v>0.400828341959203</v>
      </c>
      <c r="AF126" s="12" t="n">
        <f aca="false">(AE126-AD126)*100</f>
        <v>-14.8717265580346</v>
      </c>
      <c r="AG126" s="11" t="n">
        <v>0.0337294052795982</v>
      </c>
      <c r="AH126" s="11" t="n">
        <v>0.0256145724187958</v>
      </c>
      <c r="AI126" s="12" t="n">
        <f aca="false">(AH126-AG126)*100</f>
        <v>-0.811483286080237</v>
      </c>
      <c r="AJ126" s="14" t="s">
        <v>74</v>
      </c>
      <c r="AK126" s="14" t="s">
        <v>74</v>
      </c>
      <c r="AL126" s="14" t="s">
        <v>134</v>
      </c>
      <c r="AM126" s="20" t="n">
        <v>2.12470141483432</v>
      </c>
      <c r="AN126" s="20" t="n">
        <v>6.66881599097284</v>
      </c>
      <c r="AO126" s="12" t="n">
        <v>4.54411457613851</v>
      </c>
    </row>
    <row r="127" customFormat="false" ht="15" hidden="false" customHeight="false" outlineLevel="0" collapsed="false">
      <c r="A127" s="14" t="s">
        <v>95</v>
      </c>
      <c r="B127" s="14" t="n">
        <v>17</v>
      </c>
      <c r="C127" s="11" t="n">
        <v>0.236260974777402</v>
      </c>
      <c r="D127" s="11" t="n">
        <v>0.218346285671241</v>
      </c>
      <c r="E127" s="12" t="n">
        <f aca="false">(D127-C127)*100</f>
        <v>-1.79146891061612</v>
      </c>
      <c r="F127" s="11" t="n">
        <v>0.020984705115875</v>
      </c>
      <c r="G127" s="11" t="n">
        <v>0.0171937577682641</v>
      </c>
      <c r="H127" s="12" t="n">
        <f aca="false">(G127-F127)*100</f>
        <v>-0.379094734761098</v>
      </c>
      <c r="I127" s="11" t="n">
        <v>0.0872770142400645</v>
      </c>
      <c r="J127" s="11" t="n">
        <v>0.0997350943490979</v>
      </c>
      <c r="K127" s="12" t="n">
        <f aca="false">(J127-I127)*100</f>
        <v>1.24580801090334</v>
      </c>
      <c r="L127" s="11" t="n">
        <v>0.123035398504638</v>
      </c>
      <c r="M127" s="11" t="n">
        <v>0.125415876762376</v>
      </c>
      <c r="N127" s="12" t="n">
        <f aca="false">(M127-L127)*100</f>
        <v>0.238047825773779</v>
      </c>
      <c r="O127" s="11" t="n">
        <v>0.191561443241399</v>
      </c>
      <c r="P127" s="11" t="n">
        <v>0.13935167166765</v>
      </c>
      <c r="Q127" s="12" t="n">
        <f aca="false">(P127-O127)*100</f>
        <v>-5.22097715737485</v>
      </c>
      <c r="R127" s="11" t="n">
        <v>0.0181428970309931</v>
      </c>
      <c r="S127" s="11" t="n">
        <v>0.0055931501173871</v>
      </c>
      <c r="T127" s="12" t="n">
        <f aca="false">(S127-R127)*100</f>
        <v>-1.2549746913606</v>
      </c>
      <c r="U127" s="11" t="n">
        <v>0.237532963112338</v>
      </c>
      <c r="V127" s="11" t="n">
        <v>0.287064820278465</v>
      </c>
      <c r="W127" s="12" t="n">
        <f aca="false">(V127-U127)*100</f>
        <v>4.95318571661265</v>
      </c>
      <c r="X127" s="11" t="n">
        <v>0.27259020258741</v>
      </c>
      <c r="Y127" s="11" t="n">
        <v>0.335275137788603</v>
      </c>
      <c r="Z127" s="12" t="n">
        <f aca="false">(Y127-X127)*100</f>
        <v>6.26849352011924</v>
      </c>
      <c r="AA127" s="11" t="n">
        <v>0.33273973877703</v>
      </c>
      <c r="AB127" s="11" t="n">
        <v>0.270360698547413</v>
      </c>
      <c r="AC127" s="12" t="n">
        <f aca="false">(AB127-AA127)*100</f>
        <v>-6.23790402296166</v>
      </c>
      <c r="AD127" s="11" t="n">
        <v>0.619496069650785</v>
      </c>
      <c r="AE127" s="11" t="n">
        <v>0.577436403047724</v>
      </c>
      <c r="AF127" s="12" t="n">
        <f aca="false">(AE127-AD127)*100</f>
        <v>-4.2059666603061</v>
      </c>
      <c r="AG127" s="11" t="n">
        <v>0.0396798312288648</v>
      </c>
      <c r="AH127" s="11" t="n">
        <v>0.0247705615748704</v>
      </c>
      <c r="AI127" s="12" t="n">
        <f aca="false">(AH127-AG127)*100</f>
        <v>-1.49092696539945</v>
      </c>
      <c r="AJ127" s="14" t="s">
        <v>132</v>
      </c>
      <c r="AK127" s="14" t="s">
        <v>74</v>
      </c>
      <c r="AL127" s="14" t="s">
        <v>135</v>
      </c>
      <c r="AM127" s="20" t="n">
        <v>7.01517078770205</v>
      </c>
      <c r="AN127" s="20" t="n">
        <v>4.8210317510138</v>
      </c>
      <c r="AO127" s="12" t="n">
        <v>-2.19413903668825</v>
      </c>
    </row>
    <row r="128" customFormat="false" ht="15" hidden="false" customHeight="false" outlineLevel="0" collapsed="false">
      <c r="A128" s="14" t="s">
        <v>95</v>
      </c>
      <c r="B128" s="14" t="n">
        <v>18</v>
      </c>
      <c r="C128" s="11" t="n">
        <v>0.232806613994733</v>
      </c>
      <c r="D128" s="11" t="n">
        <v>0.230392446497997</v>
      </c>
      <c r="E128" s="12" t="n">
        <f aca="false">(D128-C128)*100</f>
        <v>-0.241416749673579</v>
      </c>
      <c r="F128" s="11" t="n">
        <v>0.0191352468580191</v>
      </c>
      <c r="G128" s="11" t="n">
        <v>0.00892783285867908</v>
      </c>
      <c r="H128" s="12" t="n">
        <f aca="false">(G128-F128)*100</f>
        <v>-1.02074139993401</v>
      </c>
      <c r="I128" s="11" t="n">
        <v>0.0363814159193697</v>
      </c>
      <c r="J128" s="11" t="n">
        <v>0.025566335393451</v>
      </c>
      <c r="K128" s="12" t="n">
        <f aca="false">(J128-I128)*100</f>
        <v>-1.08150805259188</v>
      </c>
      <c r="L128" s="11" t="n">
        <v>0.142430909757642</v>
      </c>
      <c r="M128" s="11" t="n">
        <v>0.114360162130863</v>
      </c>
      <c r="N128" s="12" t="n">
        <f aca="false">(M128-L128)*100</f>
        <v>-2.80707476267796</v>
      </c>
      <c r="O128" s="11" t="n">
        <v>0.213904723805714</v>
      </c>
      <c r="P128" s="11" t="n">
        <v>0.251385557118041</v>
      </c>
      <c r="Q128" s="12" t="n">
        <f aca="false">(P128-O128)*100</f>
        <v>3.74808333123273</v>
      </c>
      <c r="R128" s="11" t="n">
        <v>0.0406373970730406</v>
      </c>
      <c r="S128" s="11" t="n">
        <v>0.0128865674816539</v>
      </c>
      <c r="T128" s="12" t="n">
        <f aca="false">(S128-R128)*100</f>
        <v>-2.77508295913867</v>
      </c>
      <c r="U128" s="11" t="n">
        <v>0.231662055094398</v>
      </c>
      <c r="V128" s="11" t="n">
        <v>0.286003805112085</v>
      </c>
      <c r="W128" s="12" t="n">
        <f aca="false">(V128-U128)*100</f>
        <v>5.4341750017687</v>
      </c>
      <c r="X128" s="11" t="n">
        <v>0.262870731517596</v>
      </c>
      <c r="Y128" s="11" t="n">
        <v>0.264886614750127</v>
      </c>
      <c r="Z128" s="12" t="n">
        <f aca="false">(Y128-X128)*100</f>
        <v>0.201588323253077</v>
      </c>
      <c r="AA128" s="11" t="n">
        <v>0.396973030636397</v>
      </c>
      <c r="AB128" s="11" t="n">
        <v>0.378632286730558</v>
      </c>
      <c r="AC128" s="12" t="n">
        <f aca="false">(AB128-AA128)*100</f>
        <v>-1.83407439058391</v>
      </c>
      <c r="AD128" s="11" t="n">
        <v>0.630297214858292</v>
      </c>
      <c r="AE128" s="11" t="n">
        <v>0.571176905346072</v>
      </c>
      <c r="AF128" s="12" t="n">
        <f aca="false">(AE128-AD128)*100</f>
        <v>-5.91203095122193</v>
      </c>
      <c r="AG128" s="11" t="n">
        <v>0.0427876120945428</v>
      </c>
      <c r="AH128" s="11" t="n">
        <v>0.0300272975432211</v>
      </c>
      <c r="AI128" s="12" t="n">
        <f aca="false">(AH128-AG128)*100</f>
        <v>-1.27603145513217</v>
      </c>
      <c r="AJ128" s="14" t="s">
        <v>132</v>
      </c>
      <c r="AK128" s="14" t="s">
        <v>132</v>
      </c>
      <c r="AL128" s="14" t="s">
        <v>150</v>
      </c>
      <c r="AM128" s="20" t="n">
        <v>13.5435765798802</v>
      </c>
      <c r="AN128" s="20" t="n">
        <v>9.26284816184725</v>
      </c>
      <c r="AO128" s="12" t="n">
        <v>-4.28072841803296</v>
      </c>
    </row>
    <row r="129" customFormat="false" ht="15" hidden="false" customHeight="false" outlineLevel="0" collapsed="false">
      <c r="A129" s="14" t="s">
        <v>95</v>
      </c>
      <c r="B129" s="14" t="n">
        <v>19</v>
      </c>
      <c r="C129" s="11" t="n">
        <v>0.25481694291757</v>
      </c>
      <c r="D129" s="11" t="n">
        <v>0.240864239734401</v>
      </c>
      <c r="E129" s="12" t="n">
        <f aca="false">(D129-C129)*100</f>
        <v>-1.3952703183169</v>
      </c>
      <c r="F129" s="11" t="n">
        <v>0.022156612264586</v>
      </c>
      <c r="G129" s="11" t="n">
        <v>0.0466536493791681</v>
      </c>
      <c r="H129" s="12" t="n">
        <f aca="false">(G129-F129)*100</f>
        <v>2.44970371145821</v>
      </c>
      <c r="I129" s="11" t="n">
        <v>0.0572308475169222</v>
      </c>
      <c r="J129" s="11" t="n">
        <v>0.0381190212699388</v>
      </c>
      <c r="K129" s="12" t="n">
        <f aca="false">(J129-I129)*100</f>
        <v>-1.91118262469835</v>
      </c>
      <c r="L129" s="11" t="n">
        <v>0.0996252458164818</v>
      </c>
      <c r="M129" s="11" t="n">
        <v>0.109032336564479</v>
      </c>
      <c r="N129" s="12" t="n">
        <f aca="false">(M129-L129)*100</f>
        <v>0.940709074799724</v>
      </c>
      <c r="O129" s="11" t="n">
        <v>0.160179585173092</v>
      </c>
      <c r="P129" s="11" t="n">
        <v>0.131391555758991</v>
      </c>
      <c r="Q129" s="12" t="n">
        <f aca="false">(P129-O129)*100</f>
        <v>-2.8788029414101</v>
      </c>
      <c r="R129" s="11" t="n">
        <v>0.0427230370460677</v>
      </c>
      <c r="S129" s="11" t="n">
        <v>0.0286283757553986</v>
      </c>
      <c r="T129" s="12" t="n">
        <f aca="false">(S129-R129)*100</f>
        <v>-1.40946612906691</v>
      </c>
      <c r="U129" s="11" t="n">
        <v>0.266584330292542</v>
      </c>
      <c r="V129" s="11" t="n">
        <v>0.305856041160895</v>
      </c>
      <c r="W129" s="12" t="n">
        <f aca="false">(V129-U129)*100</f>
        <v>3.92717108683533</v>
      </c>
      <c r="X129" s="11" t="n">
        <v>0.294285396248218</v>
      </c>
      <c r="Y129" s="11" t="n">
        <v>0.325636910383508</v>
      </c>
      <c r="Z129" s="12" t="n">
        <f aca="false">(Y129-X129)*100</f>
        <v>3.13515141352902</v>
      </c>
      <c r="AA129" s="11" t="n">
        <v>0.302527868035641</v>
      </c>
      <c r="AB129" s="11" t="n">
        <v>0.269052268078869</v>
      </c>
      <c r="AC129" s="12" t="n">
        <f aca="false">(AB129-AA129)*100</f>
        <v>-3.34755999567728</v>
      </c>
      <c r="AD129" s="11" t="n">
        <v>0.634239243714995</v>
      </c>
      <c r="AE129" s="11" t="n">
        <v>0.556863719372512</v>
      </c>
      <c r="AF129" s="12" t="n">
        <f aca="false">(AE129-AD129)*100</f>
        <v>-7.73755243424831</v>
      </c>
      <c r="AG129" s="11" t="n">
        <v>0.0392882320825625</v>
      </c>
      <c r="AH129" s="11" t="n">
        <v>0.0292657206922725</v>
      </c>
      <c r="AI129" s="12" t="n">
        <f aca="false">(AH129-AG129)*100</f>
        <v>-1.00225113902901</v>
      </c>
      <c r="AJ129" s="14" t="s">
        <v>132</v>
      </c>
      <c r="AK129" s="14" t="s">
        <v>74</v>
      </c>
      <c r="AL129" s="14" t="s">
        <v>135</v>
      </c>
      <c r="AM129" s="20" t="n">
        <v>11.4647216906873</v>
      </c>
      <c r="AN129" s="20" t="n">
        <v>1.9780869222613</v>
      </c>
      <c r="AO129" s="12" t="n">
        <v>-9.48663476842603</v>
      </c>
    </row>
    <row r="130" customFormat="false" ht="15" hidden="false" customHeight="false" outlineLevel="0" collapsed="false">
      <c r="A130" s="14" t="s">
        <v>95</v>
      </c>
      <c r="B130" s="14" t="n">
        <v>20</v>
      </c>
      <c r="C130" s="11" t="n">
        <v>0.258122423348896</v>
      </c>
      <c r="D130" s="11" t="n">
        <v>0.253302175141024</v>
      </c>
      <c r="E130" s="12" t="n">
        <f aca="false">(D130-C130)*100</f>
        <v>-0.482024820787125</v>
      </c>
      <c r="F130" s="11" t="n">
        <v>0.0245379091926721</v>
      </c>
      <c r="G130" s="11" t="n">
        <v>0.0261775243165445</v>
      </c>
      <c r="H130" s="12" t="n">
        <f aca="false">(G130-F130)*100</f>
        <v>0.163961512387246</v>
      </c>
      <c r="I130" s="11" t="n">
        <v>0.0510825347421301</v>
      </c>
      <c r="J130" s="11" t="n">
        <v>0.0237942321233741</v>
      </c>
      <c r="K130" s="12" t="n">
        <f aca="false">(J130-I130)*100</f>
        <v>-2.72883026187561</v>
      </c>
      <c r="L130" s="11" t="n">
        <v>0.110915444890381</v>
      </c>
      <c r="M130" s="11" t="n">
        <v>0.114947420550479</v>
      </c>
      <c r="N130" s="12" t="n">
        <f aca="false">(M130-L130)*100</f>
        <v>0.403197566009721</v>
      </c>
      <c r="O130" s="11" t="n">
        <v>0.156762770633686</v>
      </c>
      <c r="P130" s="11" t="n">
        <v>0.204986342497659</v>
      </c>
      <c r="Q130" s="12" t="n">
        <f aca="false">(P130-O130)*100</f>
        <v>4.82235718639738</v>
      </c>
      <c r="R130" s="11" t="n">
        <v>0.012695552461299</v>
      </c>
      <c r="S130" s="11" t="n">
        <v>0.00766058204947653</v>
      </c>
      <c r="T130" s="12" t="n">
        <f aca="false">(S130-R130)*100</f>
        <v>-0.503497041182251</v>
      </c>
      <c r="U130" s="11" t="n">
        <v>0.311402790291315</v>
      </c>
      <c r="V130" s="11" t="n">
        <v>0.281832039804075</v>
      </c>
      <c r="W130" s="12" t="n">
        <f aca="false">(V130-U130)*100</f>
        <v>-2.95707504872403</v>
      </c>
      <c r="X130" s="11" t="n">
        <v>0.30108936030797</v>
      </c>
      <c r="Y130" s="11" t="n">
        <v>0.303273931580943</v>
      </c>
      <c r="Z130" s="12" t="n">
        <f aca="false">(Y130-X130)*100</f>
        <v>0.21845712729735</v>
      </c>
      <c r="AA130" s="11" t="n">
        <v>0.280373767985366</v>
      </c>
      <c r="AB130" s="11" t="n">
        <v>0.327594345097614</v>
      </c>
      <c r="AC130" s="12" t="n">
        <f aca="false">(AB130-AA130)*100</f>
        <v>4.72205771122484</v>
      </c>
      <c r="AD130" s="11" t="n">
        <v>0.529914097115472</v>
      </c>
      <c r="AE130" s="11" t="n">
        <v>0.41775388554139</v>
      </c>
      <c r="AF130" s="12" t="n">
        <f aca="false">(AE130-AD130)*100</f>
        <v>-11.2160211574082</v>
      </c>
      <c r="AG130" s="11" t="n">
        <v>0.0363393125290087</v>
      </c>
      <c r="AH130" s="11" t="n">
        <v>0.0256513429232472</v>
      </c>
      <c r="AI130" s="12" t="n">
        <f aca="false">(AH130-AG130)*100</f>
        <v>-1.06879696057615</v>
      </c>
      <c r="AJ130" s="14" t="s">
        <v>132</v>
      </c>
      <c r="AK130" s="14" t="s">
        <v>132</v>
      </c>
      <c r="AL130" s="14" t="s">
        <v>150</v>
      </c>
      <c r="AM130" s="20" t="n">
        <v>13.3924427335026</v>
      </c>
      <c r="AN130" s="20" t="n">
        <v>2.43204135166714</v>
      </c>
      <c r="AO130" s="12" t="n">
        <v>-10.9604013818355</v>
      </c>
    </row>
    <row r="131" customFormat="false" ht="15" hidden="false" customHeight="false" outlineLevel="0" collapsed="false">
      <c r="A131" s="14" t="s">
        <v>96</v>
      </c>
      <c r="B131" s="14" t="n">
        <v>1</v>
      </c>
      <c r="C131" s="11" t="n">
        <v>0.312579008279178</v>
      </c>
      <c r="D131" s="11" t="n">
        <v>0.254711053856759</v>
      </c>
      <c r="E131" s="12" t="n">
        <f aca="false">(D131-C131)*100</f>
        <v>-5.78679544224189</v>
      </c>
      <c r="F131" s="11" t="n">
        <v>0.0216371405679694</v>
      </c>
      <c r="G131" s="11" t="n">
        <v>0.0139444482111782</v>
      </c>
      <c r="H131" s="12" t="n">
        <f aca="false">(G131-F131)*100</f>
        <v>-0.769269235679122</v>
      </c>
      <c r="I131" s="11" t="n">
        <v>0.0769518383334817</v>
      </c>
      <c r="J131" s="11" t="n">
        <v>0.15088932583</v>
      </c>
      <c r="K131" s="12" t="n">
        <f aca="false">(J131-I131)*100</f>
        <v>7.39374874965181</v>
      </c>
      <c r="L131" s="11" t="n">
        <v>0.157424552657349</v>
      </c>
      <c r="M131" s="11" t="n">
        <v>0.0973580129726309</v>
      </c>
      <c r="N131" s="12" t="n">
        <f aca="false">(M131-L131)*100</f>
        <v>-6.0066539684718</v>
      </c>
      <c r="O131" s="11" t="n">
        <v>0.255630730882222</v>
      </c>
      <c r="P131" s="11" t="n">
        <v>0.342943024385834</v>
      </c>
      <c r="Q131" s="12" t="n">
        <f aca="false">(P131-O131)*100</f>
        <v>8.73122935036122</v>
      </c>
      <c r="R131" s="11" t="n">
        <v>0.0277530490519007</v>
      </c>
      <c r="S131" s="11" t="n">
        <v>0.00917124324812982</v>
      </c>
      <c r="T131" s="12" t="n">
        <f aca="false">(S131-R131)*100</f>
        <v>-1.85818058037708</v>
      </c>
      <c r="U131" s="11" t="n">
        <v>0.0352532716104336</v>
      </c>
      <c r="V131" s="11" t="n">
        <v>0.0325355391325966</v>
      </c>
      <c r="W131" s="12" t="n">
        <f aca="false">(V131-U131)*100</f>
        <v>-0.271773247783699</v>
      </c>
      <c r="X131" s="11" t="n">
        <v>0.353004540194071</v>
      </c>
      <c r="Y131" s="11" t="n">
        <v>0.419544827897937</v>
      </c>
      <c r="Z131" s="12" t="n">
        <f aca="false">(Y131-X131)*100</f>
        <v>6.65402877038656</v>
      </c>
      <c r="AA131" s="11" t="n">
        <v>0.440808332591472</v>
      </c>
      <c r="AB131" s="11" t="n">
        <v>0.449472280606595</v>
      </c>
      <c r="AC131" s="12" t="n">
        <f aca="false">(AB131-AA131)*100</f>
        <v>0.866394801512316</v>
      </c>
      <c r="AD131" s="11" t="n">
        <v>0.746396095590263</v>
      </c>
      <c r="AE131" s="11" t="n">
        <v>0.689179843744159</v>
      </c>
      <c r="AF131" s="12" t="n">
        <f aca="false">(AE131-AD131)*100</f>
        <v>-5.72162518461038</v>
      </c>
      <c r="AG131" s="11" t="n">
        <v>0.0375100151339802</v>
      </c>
      <c r="AH131" s="11" t="n">
        <v>0.0251090469410356</v>
      </c>
      <c r="AI131" s="12" t="n">
        <f aca="false">(AH131-AG131)*100</f>
        <v>-1.24009681929447</v>
      </c>
      <c r="AJ131" s="14" t="s">
        <v>153</v>
      </c>
      <c r="AK131" s="14" t="s">
        <v>132</v>
      </c>
      <c r="AL131" s="14" t="s">
        <v>154</v>
      </c>
      <c r="AM131" s="20" t="n">
        <v>3.5653876969643</v>
      </c>
      <c r="AN131" s="20" t="n">
        <v>2.99274527086582</v>
      </c>
      <c r="AO131" s="12" t="n">
        <v>-0.57264242609848</v>
      </c>
    </row>
    <row r="132" customFormat="false" ht="15" hidden="false" customHeight="false" outlineLevel="0" collapsed="false">
      <c r="A132" s="14" t="s">
        <v>96</v>
      </c>
      <c r="B132" s="14" t="n">
        <v>2</v>
      </c>
      <c r="C132" s="11" t="n">
        <v>0.474313580675993</v>
      </c>
      <c r="D132" s="11" t="n">
        <v>0.44496119647729</v>
      </c>
      <c r="E132" s="12" t="n">
        <f aca="false">(D132-C132)*100</f>
        <v>-2.93523841987023</v>
      </c>
      <c r="F132" s="11" t="n">
        <v>0.0294063341732557</v>
      </c>
      <c r="G132" s="11" t="n">
        <v>0.0219815948318514</v>
      </c>
      <c r="H132" s="12" t="n">
        <f aca="false">(G132-F132)*100</f>
        <v>-0.742473934140431</v>
      </c>
      <c r="I132" s="11" t="n">
        <v>0.03397341211226</v>
      </c>
      <c r="J132" s="11" t="n">
        <v>0.0323786771462094</v>
      </c>
      <c r="K132" s="12" t="n">
        <f aca="false">(J132-I132)*100</f>
        <v>-0.159473496605056</v>
      </c>
      <c r="L132" s="11" t="n">
        <v>0.0967177860804588</v>
      </c>
      <c r="M132" s="11" t="n">
        <v>0.0780806038930747</v>
      </c>
      <c r="N132" s="12" t="n">
        <f aca="false">(M132-L132)*100</f>
        <v>-1.8637182187384</v>
      </c>
      <c r="O132" s="11" t="n">
        <v>0.140368407333391</v>
      </c>
      <c r="P132" s="11" t="n">
        <v>0.170643615442247</v>
      </c>
      <c r="Q132" s="12" t="n">
        <f aca="false">(P132-O132)*100</f>
        <v>3.02752081088558</v>
      </c>
      <c r="R132" s="11" t="n">
        <v>0.108333695368842</v>
      </c>
      <c r="S132" s="11" t="n">
        <v>0.0904920767306088</v>
      </c>
      <c r="T132" s="12" t="n">
        <f aca="false">(S132-R132)*100</f>
        <v>-1.7841618638233</v>
      </c>
      <c r="U132" s="11" t="n">
        <v>0.0283093665826744</v>
      </c>
      <c r="V132" s="11" t="n">
        <v>0.0544309523472951</v>
      </c>
      <c r="W132" s="12" t="n">
        <f aca="false">(V132-U132)*100</f>
        <v>2.61215857646206</v>
      </c>
      <c r="X132" s="11" t="n">
        <v>0.534136328091059</v>
      </c>
      <c r="Y132" s="11" t="n">
        <v>0.499321468455351</v>
      </c>
      <c r="Z132" s="12" t="n">
        <f aca="false">(Y132-X132)*100</f>
        <v>-3.4814859635708</v>
      </c>
      <c r="AA132" s="11" t="n">
        <v>0.345419888782692</v>
      </c>
      <c r="AB132" s="11" t="n">
        <v>0.339216296065931</v>
      </c>
      <c r="AC132" s="12" t="n">
        <f aca="false">(AB132-AA132)*100</f>
        <v>-0.620359271676119</v>
      </c>
      <c r="AD132" s="11" t="n">
        <v>0.671355186355897</v>
      </c>
      <c r="AE132" s="11" t="n">
        <v>0.487000760712798</v>
      </c>
      <c r="AF132" s="12" t="n">
        <f aca="false">(AE132-AD132)*100</f>
        <v>-18.4354425643099</v>
      </c>
      <c r="AG132" s="11" t="n">
        <v>0.0262240420540447</v>
      </c>
      <c r="AH132" s="11" t="n">
        <v>0.0257064502904963</v>
      </c>
      <c r="AI132" s="12" t="n">
        <f aca="false">(AH132-AG132)*100</f>
        <v>-0.051759176354834</v>
      </c>
      <c r="AJ132" s="14" t="s">
        <v>74</v>
      </c>
      <c r="AK132" s="14" t="s">
        <v>74</v>
      </c>
      <c r="AL132" s="14" t="s">
        <v>134</v>
      </c>
      <c r="AM132" s="20" t="n">
        <v>30.0775480059084</v>
      </c>
      <c r="AN132" s="20" t="n">
        <v>16.0105172389421</v>
      </c>
      <c r="AO132" s="12" t="n">
        <v>-14.0670307669664</v>
      </c>
    </row>
    <row r="133" customFormat="false" ht="15" hidden="false" customHeight="false" outlineLevel="0" collapsed="false">
      <c r="A133" s="14" t="s">
        <v>96</v>
      </c>
      <c r="B133" s="14" t="n">
        <v>3</v>
      </c>
      <c r="C133" s="11" t="n">
        <v>0.361966363628041</v>
      </c>
      <c r="D133" s="11" t="n">
        <v>0.315774720043305</v>
      </c>
      <c r="E133" s="12" t="n">
        <f aca="false">(D133-C133)*100</f>
        <v>-4.61916435847362</v>
      </c>
      <c r="F133" s="11" t="n">
        <v>0.0671399928589085</v>
      </c>
      <c r="G133" s="11" t="n">
        <v>0.0244022676854819</v>
      </c>
      <c r="H133" s="12" t="n">
        <f aca="false">(G133-F133)*100</f>
        <v>-4.27377251734266</v>
      </c>
      <c r="I133" s="11" t="n">
        <v>0.040717954351946</v>
      </c>
      <c r="J133" s="11" t="n">
        <v>0.0420188780466586</v>
      </c>
      <c r="K133" s="12" t="n">
        <f aca="false">(J133-I133)*100</f>
        <v>0.130092369471269</v>
      </c>
      <c r="L133" s="11" t="n">
        <v>0.144218004705796</v>
      </c>
      <c r="M133" s="11" t="n">
        <v>0.0444789204811824</v>
      </c>
      <c r="N133" s="12" t="n">
        <f aca="false">(M133-L133)*100</f>
        <v>-9.97390842246138</v>
      </c>
      <c r="O133" s="11" t="n">
        <v>0.248450474699479</v>
      </c>
      <c r="P133" s="11" t="n">
        <v>0.365927687318457</v>
      </c>
      <c r="Q133" s="12" t="n">
        <f aca="false">(P133-O133)*100</f>
        <v>11.7477212618978</v>
      </c>
      <c r="R133" s="11" t="n">
        <v>0.0228240270262847</v>
      </c>
      <c r="S133" s="11" t="n">
        <v>0.00799876272914885</v>
      </c>
      <c r="T133" s="12" t="n">
        <f aca="false">(S133-R133)*100</f>
        <v>-1.48252642971359</v>
      </c>
      <c r="U133" s="11" t="n">
        <v>0.0317824347459877</v>
      </c>
      <c r="V133" s="11" t="n">
        <v>0.0791128381350075</v>
      </c>
      <c r="W133" s="12" t="n">
        <f aca="false">(V133-U133)*100</f>
        <v>4.73304033890198</v>
      </c>
      <c r="X133" s="11" t="n">
        <v>0.452227928991916</v>
      </c>
      <c r="Y133" s="11" t="n">
        <v>0.382195865775445</v>
      </c>
      <c r="Z133" s="12" t="n">
        <f aca="false">(Y133-X133)*100</f>
        <v>-7.00320632164709</v>
      </c>
      <c r="AA133" s="11" t="n">
        <v>0.41549250643156</v>
      </c>
      <c r="AB133" s="11" t="n">
        <v>0.418405370528788</v>
      </c>
      <c r="AC133" s="12" t="n">
        <f aca="false">(AB133-AA133)*100</f>
        <v>0.291286409722841</v>
      </c>
      <c r="AD133" s="11" t="n">
        <v>0.713156176547401</v>
      </c>
      <c r="AE133" s="11" t="n">
        <v>0.636026337792642</v>
      </c>
      <c r="AF133" s="12" t="n">
        <f aca="false">(AE133-AD133)*100</f>
        <v>-7.71298387547592</v>
      </c>
      <c r="AG133" s="11" t="n">
        <v>0.0344145678266363</v>
      </c>
      <c r="AH133" s="11" t="n">
        <v>0.0259681886064754</v>
      </c>
      <c r="AI133" s="12" t="n">
        <f aca="false">(AH133-AG133)*100</f>
        <v>-0.84463792201609</v>
      </c>
      <c r="AJ133" s="14" t="s">
        <v>74</v>
      </c>
      <c r="AK133" s="14" t="s">
        <v>132</v>
      </c>
      <c r="AL133" s="14" t="s">
        <v>133</v>
      </c>
      <c r="AM133" s="20" t="n">
        <v>13.7951239162478</v>
      </c>
      <c r="AN133" s="20" t="n">
        <v>3.62095047533433</v>
      </c>
      <c r="AO133" s="12" t="n">
        <v>-10.1741734409135</v>
      </c>
    </row>
    <row r="134" customFormat="false" ht="15" hidden="false" customHeight="false" outlineLevel="0" collapsed="false">
      <c r="A134" s="14" t="s">
        <v>96</v>
      </c>
      <c r="B134" s="14" t="n">
        <v>4</v>
      </c>
      <c r="C134" s="11" t="n">
        <v>0.454194692651963</v>
      </c>
      <c r="D134" s="11" t="n">
        <v>0.357713132054694</v>
      </c>
      <c r="E134" s="12" t="n">
        <f aca="false">(D134-C134)*100</f>
        <v>-9.64815605972687</v>
      </c>
      <c r="F134" s="11" t="n">
        <v>0.0342535018436215</v>
      </c>
      <c r="G134" s="11" t="n">
        <v>0.0132207641246826</v>
      </c>
      <c r="H134" s="12" t="n">
        <f aca="false">(G134-F134)*100</f>
        <v>-2.10327377189388</v>
      </c>
      <c r="I134" s="11" t="n">
        <v>0.0356381627054303</v>
      </c>
      <c r="J134" s="11" t="n">
        <v>0.0297268361322688</v>
      </c>
      <c r="K134" s="12" t="n">
        <f aca="false">(J134-I134)*100</f>
        <v>-0.591132657316144</v>
      </c>
      <c r="L134" s="11" t="n">
        <v>0.166895714811722</v>
      </c>
      <c r="M134" s="11" t="n">
        <v>0.16587439968187</v>
      </c>
      <c r="N134" s="12" t="n">
        <f aca="false">(M134-L134)*100</f>
        <v>-0.102131512985282</v>
      </c>
      <c r="O134" s="11" t="n">
        <v>0.181001623216666</v>
      </c>
      <c r="P134" s="11" t="n">
        <v>0.278926921782754</v>
      </c>
      <c r="Q134" s="12" t="n">
        <f aca="false">(P134-O134)*100</f>
        <v>9.7925298566088</v>
      </c>
      <c r="R134" s="11" t="n">
        <v>0.029160854029778</v>
      </c>
      <c r="S134" s="11" t="n">
        <v>0.0148236517696002</v>
      </c>
      <c r="T134" s="12" t="n">
        <f aca="false">(S134-R134)*100</f>
        <v>-1.43372022601778</v>
      </c>
      <c r="U134" s="11" t="n">
        <v>0.0202876153235802</v>
      </c>
      <c r="V134" s="11" t="n">
        <v>0.038402006668502</v>
      </c>
      <c r="W134" s="12" t="n">
        <f aca="false">(V134-U134)*100</f>
        <v>1.81143913449218</v>
      </c>
      <c r="X134" s="11" t="n">
        <v>0.514424847142776</v>
      </c>
      <c r="Y134" s="11" t="n">
        <v>0.400660732311645</v>
      </c>
      <c r="Z134" s="12" t="n">
        <f aca="false">(Y134-X134)*100</f>
        <v>-11.376411483113</v>
      </c>
      <c r="AA134" s="11" t="n">
        <v>0.377058192058166</v>
      </c>
      <c r="AB134" s="11" t="n">
        <v>0.459624973234224</v>
      </c>
      <c r="AC134" s="12" t="n">
        <f aca="false">(AB134-AA134)*100</f>
        <v>8.25667811760573</v>
      </c>
      <c r="AD134" s="11" t="n">
        <v>0.659607438016529</v>
      </c>
      <c r="AE134" s="11" t="n">
        <v>0.534267933137654</v>
      </c>
      <c r="AF134" s="12" t="n">
        <f aca="false">(AE134-AD134)*100</f>
        <v>-12.5339504878875</v>
      </c>
      <c r="AG134" s="11" t="n">
        <v>0.0270812697391963</v>
      </c>
      <c r="AH134" s="11" t="n">
        <v>0.0254320761065737</v>
      </c>
      <c r="AI134" s="12" t="n">
        <f aca="false">(AH134-AG134)*100</f>
        <v>-0.164919363262261</v>
      </c>
      <c r="AJ134" s="14" t="s">
        <v>74</v>
      </c>
      <c r="AK134" s="14" t="s">
        <v>132</v>
      </c>
      <c r="AL134" s="14" t="s">
        <v>133</v>
      </c>
      <c r="AM134" s="20" t="n">
        <v>27.2866351703859</v>
      </c>
      <c r="AN134" s="20" t="n">
        <v>5.89642409225781</v>
      </c>
      <c r="AO134" s="12" t="n">
        <v>-21.3902110781281</v>
      </c>
    </row>
    <row r="135" customFormat="false" ht="15" hidden="false" customHeight="false" outlineLevel="0" collapsed="false">
      <c r="A135" s="14" t="s">
        <v>96</v>
      </c>
      <c r="B135" s="14" t="n">
        <v>5</v>
      </c>
      <c r="C135" s="11" t="n">
        <v>0.435381220335165</v>
      </c>
      <c r="D135" s="11" t="n">
        <v>0.316181814177806</v>
      </c>
      <c r="E135" s="12" t="n">
        <f aca="false">(D135-C135)*100</f>
        <v>-11.9199406157358</v>
      </c>
      <c r="F135" s="11" t="n">
        <v>0.0445964558361964</v>
      </c>
      <c r="G135" s="11" t="n">
        <v>0.0255345856548261</v>
      </c>
      <c r="H135" s="12" t="n">
        <f aca="false">(G135-F135)*100</f>
        <v>-1.90618701813702</v>
      </c>
      <c r="I135" s="11" t="n">
        <v>0.0358614898595544</v>
      </c>
      <c r="J135" s="11" t="n">
        <v>0.0347618313550177</v>
      </c>
      <c r="K135" s="12" t="n">
        <f aca="false">(J135-I135)*100</f>
        <v>-0.109965850453671</v>
      </c>
      <c r="L135" s="11" t="n">
        <v>0.124629429564737</v>
      </c>
      <c r="M135" s="11" t="n">
        <v>0.187088462639565</v>
      </c>
      <c r="N135" s="12" t="n">
        <f aca="false">(M135-L135)*100</f>
        <v>6.24590330748284</v>
      </c>
      <c r="O135" s="11" t="n">
        <v>0.233703861100729</v>
      </c>
      <c r="P135" s="11" t="n">
        <v>0.309553172278623</v>
      </c>
      <c r="Q135" s="12" t="n">
        <f aca="false">(P135-O135)*100</f>
        <v>7.58493111778946</v>
      </c>
      <c r="R135" s="11" t="n">
        <v>0.0366551122079598</v>
      </c>
      <c r="S135" s="11" t="n">
        <v>0.0141271554097205</v>
      </c>
      <c r="T135" s="12" t="n">
        <f aca="false">(S135-R135)*100</f>
        <v>-2.25279567982392</v>
      </c>
      <c r="U135" s="11" t="n">
        <v>0.0185042010783024</v>
      </c>
      <c r="V135" s="11" t="n">
        <v>0.019434473342289</v>
      </c>
      <c r="W135" s="12" t="n">
        <f aca="false">(V135-U135)*100</f>
        <v>0.0930272263986599</v>
      </c>
      <c r="X135" s="11" t="n">
        <v>0.50221446235926</v>
      </c>
      <c r="Y135" s="11" t="n">
        <v>0.37647823118765</v>
      </c>
      <c r="Z135" s="12" t="n">
        <f aca="false">(Y135-X135)*100</f>
        <v>-12.573623117161</v>
      </c>
      <c r="AA135" s="11" t="n">
        <v>0.394988402873425</v>
      </c>
      <c r="AB135" s="11" t="n">
        <v>0.510768790327909</v>
      </c>
      <c r="AC135" s="12" t="n">
        <f aca="false">(AB135-AA135)*100</f>
        <v>11.5780387454484</v>
      </c>
      <c r="AD135" s="11" t="n">
        <v>0.717420610869286</v>
      </c>
      <c r="AE135" s="11" t="n">
        <v>0.62807013904017</v>
      </c>
      <c r="AF135" s="12" t="n">
        <f aca="false">(AE135-AD135)*100</f>
        <v>-8.93504718291159</v>
      </c>
      <c r="AG135" s="11" t="n">
        <v>0.0276590188779716</v>
      </c>
      <c r="AH135" s="11" t="n">
        <v>0.0231341804488097</v>
      </c>
      <c r="AI135" s="12" t="n">
        <f aca="false">(AH135-AG135)*100</f>
        <v>-0.452483842916189</v>
      </c>
      <c r="AJ135" s="14" t="s">
        <v>74</v>
      </c>
      <c r="AK135" s="14" t="s">
        <v>132</v>
      </c>
      <c r="AL135" s="14" t="s">
        <v>133</v>
      </c>
      <c r="AM135" s="20" t="n">
        <v>21.2516704470398</v>
      </c>
      <c r="AN135" s="20" t="n">
        <v>13.4290559140259</v>
      </c>
      <c r="AO135" s="12" t="n">
        <v>-7.82261453301394</v>
      </c>
    </row>
    <row r="136" customFormat="false" ht="15" hidden="false" customHeight="false" outlineLevel="0" collapsed="false">
      <c r="A136" s="14" t="s">
        <v>96</v>
      </c>
      <c r="B136" s="14" t="n">
        <v>6</v>
      </c>
      <c r="C136" s="11" t="n">
        <v>0.486491529992328</v>
      </c>
      <c r="D136" s="11" t="n">
        <v>0.381444379655776</v>
      </c>
      <c r="E136" s="12" t="n">
        <f aca="false">(D136-C136)*100</f>
        <v>-10.5047150336553</v>
      </c>
      <c r="F136" s="11" t="n">
        <v>0.0284683489187004</v>
      </c>
      <c r="G136" s="11" t="n">
        <v>0.0126709165121566</v>
      </c>
      <c r="H136" s="12" t="n">
        <f aca="false">(G136-F136)*100</f>
        <v>-1.57974324065438</v>
      </c>
      <c r="I136" s="11" t="n">
        <v>0.0366843600323457</v>
      </c>
      <c r="J136" s="11" t="n">
        <v>0.0548636271317474</v>
      </c>
      <c r="K136" s="12" t="n">
        <f aca="false">(J136-I136)*100</f>
        <v>1.81792670994017</v>
      </c>
      <c r="L136" s="11" t="n">
        <v>0.145000933048581</v>
      </c>
      <c r="M136" s="11" t="n">
        <v>0.114208591851041</v>
      </c>
      <c r="N136" s="12" t="n">
        <f aca="false">(M136-L136)*100</f>
        <v>-3.07923411975393</v>
      </c>
      <c r="O136" s="11" t="n">
        <v>0.146587115635821</v>
      </c>
      <c r="P136" s="11" t="n">
        <v>0.22679892290658</v>
      </c>
      <c r="Q136" s="12" t="n">
        <f aca="false">(P136-O136)*100</f>
        <v>8.0211807270759</v>
      </c>
      <c r="R136" s="11" t="n">
        <v>0.055205374359825</v>
      </c>
      <c r="S136" s="11" t="n">
        <v>0.0501005680291942</v>
      </c>
      <c r="T136" s="12" t="n">
        <f aca="false">(S136-R136)*100</f>
        <v>-0.510480633063079</v>
      </c>
      <c r="U136" s="11" t="n">
        <v>0.020667026063157</v>
      </c>
      <c r="V136" s="11" t="n">
        <v>0.0463006034081752</v>
      </c>
      <c r="W136" s="12" t="n">
        <f aca="false">(V136-U136)*100</f>
        <v>2.56335773450181</v>
      </c>
      <c r="X136" s="11" t="n">
        <v>0.546854589562297</v>
      </c>
      <c r="Y136" s="11" t="n">
        <v>0.44897892329968</v>
      </c>
      <c r="Z136" s="12" t="n">
        <f aca="false">(Y136-X136)*100</f>
        <v>-9.78756662626169</v>
      </c>
      <c r="AA136" s="11" t="n">
        <v>0.346793423044227</v>
      </c>
      <c r="AB136" s="11" t="n">
        <v>0.391108082786815</v>
      </c>
      <c r="AC136" s="12" t="n">
        <f aca="false">(AB136-AA136)*100</f>
        <v>4.43146597425889</v>
      </c>
      <c r="AD136" s="11" t="n">
        <v>0.677197638254105</v>
      </c>
      <c r="AE136" s="11" t="n">
        <v>0.520736242366347</v>
      </c>
      <c r="AF136" s="12" t="n">
        <f aca="false">(AE136-AD136)*100</f>
        <v>-15.6461395887758</v>
      </c>
      <c r="AG136" s="11" t="n">
        <v>0.0275819527670074</v>
      </c>
      <c r="AH136" s="11" t="n">
        <v>0.0234484023769434</v>
      </c>
      <c r="AI136" s="12" t="n">
        <f aca="false">(AH136-AG136)*100</f>
        <v>-0.413355039006401</v>
      </c>
      <c r="AJ136" s="14" t="s">
        <v>74</v>
      </c>
      <c r="AK136" s="14" t="s">
        <v>74</v>
      </c>
      <c r="AL136" s="14" t="s">
        <v>134</v>
      </c>
      <c r="AM136" s="20" t="n">
        <v>32.5981256090734</v>
      </c>
      <c r="AN136" s="20" t="n">
        <v>5.78708405128642</v>
      </c>
      <c r="AO136" s="12" t="n">
        <v>-26.811041557787</v>
      </c>
    </row>
    <row r="137" customFormat="false" ht="15" hidden="false" customHeight="false" outlineLevel="0" collapsed="false">
      <c r="A137" s="14" t="s">
        <v>96</v>
      </c>
      <c r="B137" s="14" t="n">
        <v>7</v>
      </c>
      <c r="C137" s="11" t="n">
        <v>0.454619679357393</v>
      </c>
      <c r="D137" s="11" t="n">
        <v>0.36689312628454</v>
      </c>
      <c r="E137" s="12" t="n">
        <f aca="false">(D137-C137)*100</f>
        <v>-8.77265530728535</v>
      </c>
      <c r="F137" s="11" t="n">
        <v>0.0279205425533421</v>
      </c>
      <c r="G137" s="11" t="n">
        <v>0.0158883306691025</v>
      </c>
      <c r="H137" s="12" t="n">
        <f aca="false">(G137-F137)*100</f>
        <v>-1.20322118842396</v>
      </c>
      <c r="I137" s="11" t="n">
        <v>0.0401110025626867</v>
      </c>
      <c r="J137" s="11" t="n">
        <v>0.0515699931491208</v>
      </c>
      <c r="K137" s="12" t="n">
        <f aca="false">(J137-I137)*100</f>
        <v>1.14589905864341</v>
      </c>
      <c r="L137" s="11" t="n">
        <v>0.216001925554659</v>
      </c>
      <c r="M137" s="11" t="n">
        <v>0.273058917561087</v>
      </c>
      <c r="N137" s="12" t="n">
        <f aca="false">(M137-L137)*100</f>
        <v>5.70569920064281</v>
      </c>
      <c r="O137" s="11" t="n">
        <v>0.127898360918792</v>
      </c>
      <c r="P137" s="11" t="n">
        <v>0.174012331582553</v>
      </c>
      <c r="Q137" s="12" t="n">
        <f aca="false">(P137-O137)*100</f>
        <v>4.61139706637615</v>
      </c>
      <c r="R137" s="11" t="n">
        <v>0.019576472364987</v>
      </c>
      <c r="S137" s="11" t="n">
        <v>0.0149691710436173</v>
      </c>
      <c r="T137" s="12" t="n">
        <f aca="false">(S137-R137)*100</f>
        <v>-0.460730132136974</v>
      </c>
      <c r="U137" s="11" t="n">
        <v>0.0263725476315206</v>
      </c>
      <c r="V137" s="11" t="n">
        <v>0.0379253254167618</v>
      </c>
      <c r="W137" s="12" t="n">
        <f aca="false">(V137-U137)*100</f>
        <v>1.15527777852412</v>
      </c>
      <c r="X137" s="11" t="n">
        <v>0.51176334555683</v>
      </c>
      <c r="Y137" s="11" t="n">
        <v>0.434351450102763</v>
      </c>
      <c r="Z137" s="12" t="n">
        <f aca="false">(Y137-X137)*100</f>
        <v>-7.74118954540666</v>
      </c>
      <c r="AA137" s="11" t="n">
        <v>0.363476758838437</v>
      </c>
      <c r="AB137" s="11" t="n">
        <v>0.462040420187257</v>
      </c>
      <c r="AC137" s="12" t="n">
        <f aca="false">(AB137-AA137)*100</f>
        <v>9.856366134882</v>
      </c>
      <c r="AD137" s="11" t="n">
        <v>0.703459746951432</v>
      </c>
      <c r="AE137" s="11" t="n">
        <v>0.565917645348368</v>
      </c>
      <c r="AF137" s="12" t="n">
        <f aca="false">(AE137-AD137)*100</f>
        <v>-13.7542101603064</v>
      </c>
      <c r="AG137" s="11" t="n">
        <v>0.0250982835190455</v>
      </c>
      <c r="AH137" s="11" t="n">
        <v>0.0239495318565883</v>
      </c>
      <c r="AI137" s="12" t="n">
        <f aca="false">(AH137-AG137)*100</f>
        <v>-0.114875166245727</v>
      </c>
      <c r="AJ137" s="14" t="s">
        <v>74</v>
      </c>
      <c r="AK137" s="14" t="s">
        <v>132</v>
      </c>
      <c r="AL137" s="14" t="s">
        <v>133</v>
      </c>
      <c r="AM137" s="20" t="n">
        <v>24.9812400005663</v>
      </c>
      <c r="AN137" s="20" t="n">
        <v>2.76889700844942</v>
      </c>
      <c r="AO137" s="12" t="n">
        <v>-22.2123429921169</v>
      </c>
    </row>
    <row r="138" customFormat="false" ht="15" hidden="false" customHeight="false" outlineLevel="0" collapsed="false">
      <c r="A138" s="14" t="s">
        <v>96</v>
      </c>
      <c r="B138" s="14" t="n">
        <v>8</v>
      </c>
      <c r="C138" s="11" t="n">
        <v>0.477944854416896</v>
      </c>
      <c r="D138" s="11" t="n">
        <v>0.423560504779642</v>
      </c>
      <c r="E138" s="12" t="n">
        <f aca="false">(D138-C138)*100</f>
        <v>-5.43843496372538</v>
      </c>
      <c r="F138" s="11" t="n">
        <v>0.0285237904097323</v>
      </c>
      <c r="G138" s="11" t="n">
        <v>0.0167693175583255</v>
      </c>
      <c r="H138" s="12" t="n">
        <f aca="false">(G138-F138)*100</f>
        <v>-1.17544728514068</v>
      </c>
      <c r="I138" s="11" t="n">
        <v>0.0338407385679439</v>
      </c>
      <c r="J138" s="11" t="n">
        <v>0.0488937659868782</v>
      </c>
      <c r="K138" s="12" t="n">
        <f aca="false">(J138-I138)*100</f>
        <v>1.50530274189343</v>
      </c>
      <c r="L138" s="11" t="n">
        <v>0.121443789174669</v>
      </c>
      <c r="M138" s="11" t="n">
        <v>0.12359064318447</v>
      </c>
      <c r="N138" s="12" t="n">
        <f aca="false">(M138-L138)*100</f>
        <v>0.21468540098014</v>
      </c>
      <c r="O138" s="11" t="n">
        <v>0.139864760552073</v>
      </c>
      <c r="P138" s="11" t="n">
        <v>0.255457756002566</v>
      </c>
      <c r="Q138" s="12" t="n">
        <f aca="false">(P138-O138)*100</f>
        <v>11.5592995450492</v>
      </c>
      <c r="R138" s="11" t="n">
        <v>0.0624201068329885</v>
      </c>
      <c r="S138" s="11" t="n">
        <v>0.0213750840397827</v>
      </c>
      <c r="T138" s="12" t="n">
        <f aca="false">(S138-R138)*100</f>
        <v>-4.10450227932058</v>
      </c>
      <c r="U138" s="11" t="n">
        <v>0.0288078550035508</v>
      </c>
      <c r="V138" s="11" t="n">
        <v>0.0273718538210088</v>
      </c>
      <c r="W138" s="12" t="n">
        <f aca="false">(V138-U138)*100</f>
        <v>-0.143600118254202</v>
      </c>
      <c r="X138" s="11" t="n">
        <v>0.533874702812857</v>
      </c>
      <c r="Y138" s="11" t="n">
        <v>0.489223588324846</v>
      </c>
      <c r="Z138" s="12" t="n">
        <f aca="false">(Y138-X138)*100</f>
        <v>-4.46511144880114</v>
      </c>
      <c r="AA138" s="11" t="n">
        <v>0.323728656559731</v>
      </c>
      <c r="AB138" s="11" t="n">
        <v>0.400423483226819</v>
      </c>
      <c r="AC138" s="12" t="n">
        <f aca="false">(AB138-AA138)*100</f>
        <v>7.66948266670877</v>
      </c>
      <c r="AD138" s="11" t="n">
        <v>0.654777549097702</v>
      </c>
      <c r="AE138" s="11" t="n">
        <v>0.501853790963739</v>
      </c>
      <c r="AF138" s="12" t="n">
        <f aca="false">(AE138-AD138)*100</f>
        <v>-15.2923758133964</v>
      </c>
      <c r="AG138" s="11" t="n">
        <v>0.0269429091919597</v>
      </c>
      <c r="AH138" s="11" t="n">
        <v>0.0308416342743213</v>
      </c>
      <c r="AI138" s="12" t="n">
        <f aca="false">(AH138-AG138)*100</f>
        <v>0.389872508236156</v>
      </c>
      <c r="AJ138" s="14" t="s">
        <v>74</v>
      </c>
      <c r="AK138" s="14" t="s">
        <v>74</v>
      </c>
      <c r="AL138" s="14" t="s">
        <v>134</v>
      </c>
      <c r="AM138" s="20" t="n">
        <v>30.7981597554574</v>
      </c>
      <c r="AN138" s="20" t="n">
        <v>8.88001050980271</v>
      </c>
      <c r="AO138" s="12" t="n">
        <v>-21.9181492456547</v>
      </c>
    </row>
    <row r="139" customFormat="false" ht="15" hidden="false" customHeight="false" outlineLevel="0" collapsed="false">
      <c r="A139" s="14" t="s">
        <v>96</v>
      </c>
      <c r="B139" s="14" t="n">
        <v>9</v>
      </c>
      <c r="C139" s="11" t="n">
        <v>0.266365382913254</v>
      </c>
      <c r="D139" s="11" t="n">
        <v>0.236513152552283</v>
      </c>
      <c r="E139" s="12" t="n">
        <f aca="false">(D139-C139)*100</f>
        <v>-2.98522303609715</v>
      </c>
      <c r="F139" s="11" t="n">
        <v>0.0271467769059755</v>
      </c>
      <c r="G139" s="11" t="n">
        <v>0.015234114889263</v>
      </c>
      <c r="H139" s="12" t="n">
        <f aca="false">(G139-F139)*100</f>
        <v>-1.19126620167125</v>
      </c>
      <c r="I139" s="11" t="n">
        <v>0.0450624000999651</v>
      </c>
      <c r="J139" s="11" t="n">
        <v>0.0683044874050575</v>
      </c>
      <c r="K139" s="12" t="n">
        <f aca="false">(J139-I139)*100</f>
        <v>2.32420873050924</v>
      </c>
      <c r="L139" s="11" t="n">
        <v>0.116553077832215</v>
      </c>
      <c r="M139" s="11" t="n">
        <v>0.044635848351803</v>
      </c>
      <c r="N139" s="12" t="n">
        <f aca="false">(M139-L139)*100</f>
        <v>-7.19172294804118</v>
      </c>
      <c r="O139" s="11" t="n">
        <v>0.348597104135536</v>
      </c>
      <c r="P139" s="11" t="n">
        <v>0.421211907945668</v>
      </c>
      <c r="Q139" s="12" t="n">
        <f aca="false">(P139-O139)*100</f>
        <v>7.26148038101323</v>
      </c>
      <c r="R139" s="11" t="n">
        <v>0.0851734030312339</v>
      </c>
      <c r="S139" s="11" t="n">
        <v>0.0601081654639259</v>
      </c>
      <c r="T139" s="12" t="n">
        <f aca="false">(S139-R139)*100</f>
        <v>-2.5065237567308</v>
      </c>
      <c r="U139" s="11" t="n">
        <v>0.0157653318893928</v>
      </c>
      <c r="V139" s="11" t="n">
        <v>0.0807451398626006</v>
      </c>
      <c r="W139" s="12" t="n">
        <f aca="false">(V139-U139)*100</f>
        <v>6.49798079732079</v>
      </c>
      <c r="X139" s="11" t="n">
        <v>0.307038689623933</v>
      </c>
      <c r="Y139" s="11" t="n">
        <v>0.320051754846603</v>
      </c>
      <c r="Z139" s="12" t="n">
        <f aca="false">(Y139-X139)*100</f>
        <v>1.30130652226699</v>
      </c>
      <c r="AA139" s="11" t="n">
        <v>0.550323584998985</v>
      </c>
      <c r="AB139" s="11" t="n">
        <v>0.525955921761397</v>
      </c>
      <c r="AC139" s="12" t="n">
        <f aca="false">(AB139-AA139)*100</f>
        <v>-2.43676632375875</v>
      </c>
      <c r="AD139" s="11" t="n">
        <v>0.695915098988376</v>
      </c>
      <c r="AE139" s="11" t="n">
        <v>0.622399606445135</v>
      </c>
      <c r="AF139" s="12" t="n">
        <f aca="false">(AE139-AD139)*100</f>
        <v>-7.35154925432416</v>
      </c>
      <c r="AG139" s="11" t="n">
        <v>0.04381283614572</v>
      </c>
      <c r="AH139" s="11" t="n">
        <v>0.0354000985291013</v>
      </c>
      <c r="AI139" s="12" t="n">
        <f aca="false">(AH139-AG139)*100</f>
        <v>-0.841273761661873</v>
      </c>
      <c r="AJ139" s="14" t="s">
        <v>153</v>
      </c>
      <c r="AK139" s="14" t="s">
        <v>132</v>
      </c>
      <c r="AL139" s="14" t="s">
        <v>154</v>
      </c>
      <c r="AM139" s="20" t="n">
        <v>12.4284754799107</v>
      </c>
      <c r="AN139" s="20" t="n">
        <v>20.5904166914794</v>
      </c>
      <c r="AO139" s="12" t="n">
        <v>8.16194121156874</v>
      </c>
    </row>
    <row r="140" customFormat="false" ht="15" hidden="false" customHeight="false" outlineLevel="0" collapsed="false">
      <c r="A140" s="14" t="s">
        <v>96</v>
      </c>
      <c r="B140" s="14" t="n">
        <v>10</v>
      </c>
      <c r="C140" s="11" t="n">
        <v>0.498985607561401</v>
      </c>
      <c r="D140" s="11" t="n">
        <v>0.453368999421631</v>
      </c>
      <c r="E140" s="12" t="n">
        <f aca="false">(D140-C140)*100</f>
        <v>-4.56166081397696</v>
      </c>
      <c r="F140" s="11" t="n">
        <v>0.0320965701601547</v>
      </c>
      <c r="G140" s="11" t="n">
        <v>0.0131337960285329</v>
      </c>
      <c r="H140" s="12" t="n">
        <f aca="false">(G140-F140)*100</f>
        <v>-1.89627741316218</v>
      </c>
      <c r="I140" s="11" t="n">
        <v>0.0367389073203332</v>
      </c>
      <c r="J140" s="11" t="n">
        <v>0.0243959257117152</v>
      </c>
      <c r="K140" s="12" t="n">
        <f aca="false">(J140-I140)*100</f>
        <v>-1.2342981608618</v>
      </c>
      <c r="L140" s="11" t="n">
        <v>0.110061579588037</v>
      </c>
      <c r="M140" s="11" t="n">
        <v>0.0848917164706638</v>
      </c>
      <c r="N140" s="12" t="n">
        <f aca="false">(M140-L140)*100</f>
        <v>-2.51698631173735</v>
      </c>
      <c r="O140" s="11" t="n">
        <v>0.169898799436714</v>
      </c>
      <c r="P140" s="11" t="n">
        <v>0.253422016579911</v>
      </c>
      <c r="Q140" s="12" t="n">
        <f aca="false">(P140-O140)*100</f>
        <v>8.35232171431975</v>
      </c>
      <c r="R140" s="11" t="n">
        <v>0.0548070267560923</v>
      </c>
      <c r="S140" s="11" t="n">
        <v>0.0674603174603175</v>
      </c>
      <c r="T140" s="12" t="n">
        <f aca="false">(S140-R140)*100</f>
        <v>1.26532907042251</v>
      </c>
      <c r="U140" s="11" t="n">
        <v>0.0214454495548607</v>
      </c>
      <c r="V140" s="11" t="n">
        <v>0.0249180643917486</v>
      </c>
      <c r="W140" s="12" t="n">
        <f aca="false">(V140-U140)*100</f>
        <v>0.347261483688787</v>
      </c>
      <c r="X140" s="11" t="n">
        <v>0.562098718285319</v>
      </c>
      <c r="Y140" s="11" t="n">
        <v>0.490898721161879</v>
      </c>
      <c r="Z140" s="12" t="n">
        <f aca="false">(Y140-X140)*100</f>
        <v>-7.11999971234398</v>
      </c>
      <c r="AA140" s="11" t="n">
        <v>0.334767405780844</v>
      </c>
      <c r="AB140" s="11" t="n">
        <v>0.405774050510893</v>
      </c>
      <c r="AC140" s="12" t="n">
        <f aca="false">(AB140-AA140)*100</f>
        <v>7.10066447300491</v>
      </c>
      <c r="AD140" s="11" t="n">
        <v>0.640342967185804</v>
      </c>
      <c r="AE140" s="11" t="n">
        <v>0.465231348777762</v>
      </c>
      <c r="AF140" s="12" t="n">
        <f aca="false">(AE140-AD140)*100</f>
        <v>-17.5111618408042</v>
      </c>
      <c r="AG140" s="11" t="n">
        <v>0.0241902761534239</v>
      </c>
      <c r="AH140" s="11" t="n">
        <v>0.0324047297731508</v>
      </c>
      <c r="AI140" s="12" t="n">
        <f aca="false">(AH140-AG140)*100</f>
        <v>0.821445361972696</v>
      </c>
      <c r="AJ140" s="14" t="s">
        <v>74</v>
      </c>
      <c r="AK140" s="14" t="s">
        <v>74</v>
      </c>
      <c r="AL140" s="14" t="s">
        <v>134</v>
      </c>
      <c r="AM140" s="20" t="n">
        <v>33.5578919731723</v>
      </c>
      <c r="AN140" s="20" t="n">
        <v>8.51246706509864</v>
      </c>
      <c r="AO140" s="12" t="n">
        <v>-25.0454249080737</v>
      </c>
    </row>
    <row r="141" customFormat="false" ht="15" hidden="false" customHeight="false" outlineLevel="0" collapsed="false">
      <c r="A141" s="14" t="s">
        <v>96</v>
      </c>
      <c r="B141" s="14" t="n">
        <v>11</v>
      </c>
      <c r="C141" s="11" t="n">
        <v>0.486745112654211</v>
      </c>
      <c r="D141" s="11" t="n">
        <v>0.426828995367366</v>
      </c>
      <c r="E141" s="12" t="n">
        <f aca="false">(D141-C141)*100</f>
        <v>-5.99161172868454</v>
      </c>
      <c r="F141" s="11" t="n">
        <v>0.0304339009432153</v>
      </c>
      <c r="G141" s="11" t="n">
        <v>0.0141590015591314</v>
      </c>
      <c r="H141" s="12" t="n">
        <f aca="false">(G141-F141)*100</f>
        <v>-1.62748993840839</v>
      </c>
      <c r="I141" s="11" t="n">
        <v>0.054515759532174</v>
      </c>
      <c r="J141" s="11" t="n">
        <v>0.0335250542711993</v>
      </c>
      <c r="K141" s="12" t="n">
        <f aca="false">(J141-I141)*100</f>
        <v>-2.09907052609747</v>
      </c>
      <c r="L141" s="11" t="n">
        <v>0.103276864645047</v>
      </c>
      <c r="M141" s="11" t="n">
        <v>0.0842676931569799</v>
      </c>
      <c r="N141" s="12" t="n">
        <f aca="false">(M141-L141)*100</f>
        <v>-1.90091714880675</v>
      </c>
      <c r="O141" s="11" t="n">
        <v>0.163349976159289</v>
      </c>
      <c r="P141" s="11" t="n">
        <v>0.287656006385725</v>
      </c>
      <c r="Q141" s="12" t="n">
        <f aca="false">(P141-O141)*100</f>
        <v>12.4306030226436</v>
      </c>
      <c r="R141" s="11" t="n">
        <v>0.0657400759614383</v>
      </c>
      <c r="S141" s="11" t="n">
        <v>0.046930600004476</v>
      </c>
      <c r="T141" s="12" t="n">
        <f aca="false">(S141-R141)*100</f>
        <v>-1.88094759569624</v>
      </c>
      <c r="U141" s="11" t="n">
        <v>0.0182833591836064</v>
      </c>
      <c r="V141" s="11" t="n">
        <v>0.0259009765085901</v>
      </c>
      <c r="W141" s="12" t="n">
        <f aca="false">(V141-U141)*100</f>
        <v>0.761761732498378</v>
      </c>
      <c r="X141" s="11" t="n">
        <v>0.544335501833269</v>
      </c>
      <c r="Y141" s="11" t="n">
        <v>0.474513051197696</v>
      </c>
      <c r="Z141" s="12" t="n">
        <f aca="false">(Y141-X141)*100</f>
        <v>-6.98224506355721</v>
      </c>
      <c r="AA141" s="11" t="n">
        <v>0.332366916765775</v>
      </c>
      <c r="AB141" s="11" t="n">
        <v>0.418854299547181</v>
      </c>
      <c r="AC141" s="12" t="n">
        <f aca="false">(AB141-AA141)*100</f>
        <v>8.64873827814059</v>
      </c>
      <c r="AD141" s="11" t="n">
        <v>0.652070274249691</v>
      </c>
      <c r="AE141" s="11" t="n">
        <v>0.469653599419804</v>
      </c>
      <c r="AF141" s="12" t="n">
        <f aca="false">(AE141-AD141)*100</f>
        <v>-18.2416674829887</v>
      </c>
      <c r="AG141" s="11" t="n">
        <v>0.0283293416127282</v>
      </c>
      <c r="AH141" s="11" t="n">
        <v>0.0331147565442488</v>
      </c>
      <c r="AI141" s="12" t="n">
        <f aca="false">(AH141-AG141)*100</f>
        <v>0.478541493152055</v>
      </c>
      <c r="AJ141" s="14" t="s">
        <v>74</v>
      </c>
      <c r="AK141" s="14" t="s">
        <v>74</v>
      </c>
      <c r="AL141" s="14" t="s">
        <v>134</v>
      </c>
      <c r="AM141" s="20" t="n">
        <v>30.4969281106647</v>
      </c>
      <c r="AN141" s="20" t="n">
        <v>5.56587516505159</v>
      </c>
      <c r="AO141" s="12" t="n">
        <v>-24.9310529456132</v>
      </c>
    </row>
    <row r="142" customFormat="false" ht="15" hidden="false" customHeight="false" outlineLevel="0" collapsed="false">
      <c r="A142" s="14" t="s">
        <v>96</v>
      </c>
      <c r="B142" s="14" t="n">
        <v>12</v>
      </c>
      <c r="C142" s="11" t="n">
        <v>0.436820628067893</v>
      </c>
      <c r="D142" s="11" t="n">
        <v>0.423406337021149</v>
      </c>
      <c r="E142" s="12" t="n">
        <f aca="false">(D142-C142)*100</f>
        <v>-1.34142910467443</v>
      </c>
      <c r="F142" s="11" t="n">
        <v>0.0313087704772606</v>
      </c>
      <c r="G142" s="11" t="n">
        <v>0.0136900730036878</v>
      </c>
      <c r="H142" s="12" t="n">
        <f aca="false">(G142-F142)*100</f>
        <v>-1.76186974735728</v>
      </c>
      <c r="I142" s="11" t="n">
        <v>0.0288012301141404</v>
      </c>
      <c r="J142" s="11" t="n">
        <v>0.0292692105065101</v>
      </c>
      <c r="K142" s="12" t="n">
        <f aca="false">(J142-I142)*100</f>
        <v>0.046798039236972</v>
      </c>
      <c r="L142" s="11" t="n">
        <v>0.0695665030457153</v>
      </c>
      <c r="M142" s="11" t="n">
        <v>0.0498532400090314</v>
      </c>
      <c r="N142" s="12" t="n">
        <f aca="false">(M142-L142)*100</f>
        <v>-1.97132630366839</v>
      </c>
      <c r="O142" s="11" t="n">
        <v>0.301519900644627</v>
      </c>
      <c r="P142" s="11" t="n">
        <v>0.340791751335892</v>
      </c>
      <c r="Q142" s="12" t="n">
        <f aca="false">(P142-O142)*100</f>
        <v>3.92718506912651</v>
      </c>
      <c r="R142" s="11" t="n">
        <v>0.0462948725530782</v>
      </c>
      <c r="S142" s="11" t="n">
        <v>0.015127568299842</v>
      </c>
      <c r="T142" s="12" t="n">
        <f aca="false">(S142-R142)*100</f>
        <v>-3.11673042532363</v>
      </c>
      <c r="U142" s="11" t="n">
        <v>0.0188361227748536</v>
      </c>
      <c r="V142" s="11" t="n">
        <v>0.0322495672461805</v>
      </c>
      <c r="W142" s="12" t="n">
        <f aca="false">(V142-U142)*100</f>
        <v>1.34134444713269</v>
      </c>
      <c r="X142" s="11" t="n">
        <v>0.491217694718789</v>
      </c>
      <c r="Y142" s="11" t="n">
        <v>0.466365620531346</v>
      </c>
      <c r="Z142" s="12" t="n">
        <f aca="false">(Y142-X142)*100</f>
        <v>-2.48520741874424</v>
      </c>
      <c r="AA142" s="11" t="n">
        <v>0.417381276243421</v>
      </c>
      <c r="AB142" s="11" t="n">
        <v>0.405772559644766</v>
      </c>
      <c r="AC142" s="12" t="n">
        <f aca="false">(AB142-AA142)*100</f>
        <v>-1.1608716598655</v>
      </c>
      <c r="AD142" s="11" t="n">
        <v>0.652647993114176</v>
      </c>
      <c r="AE142" s="11" t="n">
        <v>0.488158832563027</v>
      </c>
      <c r="AF142" s="12" t="n">
        <f aca="false">(AE142-AD142)*100</f>
        <v>-16.4489160551149</v>
      </c>
      <c r="AG142" s="11" t="n">
        <v>0.0274410077473535</v>
      </c>
      <c r="AH142" s="11" t="n">
        <v>0.0284037028674644</v>
      </c>
      <c r="AI142" s="12" t="n">
        <f aca="false">(AH142-AG142)*100</f>
        <v>0.0962695120110959</v>
      </c>
      <c r="AJ142" s="14" t="s">
        <v>74</v>
      </c>
      <c r="AK142" s="14" t="s">
        <v>74</v>
      </c>
      <c r="AL142" s="14" t="s">
        <v>134</v>
      </c>
      <c r="AM142" s="20" t="n">
        <v>14.5135726536164</v>
      </c>
      <c r="AN142" s="20" t="n">
        <v>6.05930608865809</v>
      </c>
      <c r="AO142" s="12" t="n">
        <v>-8.45426656495833</v>
      </c>
    </row>
    <row r="143" customFormat="false" ht="15" hidden="false" customHeight="false" outlineLevel="0" collapsed="false">
      <c r="A143" s="14" t="s">
        <v>96</v>
      </c>
      <c r="B143" s="14" t="n">
        <v>13</v>
      </c>
      <c r="C143" s="11" t="n">
        <v>0.491255315832832</v>
      </c>
      <c r="D143" s="11" t="n">
        <v>0.445347712904425</v>
      </c>
      <c r="E143" s="12" t="n">
        <f aca="false">(D143-C143)*100</f>
        <v>-4.5907602928407</v>
      </c>
      <c r="F143" s="11" t="n">
        <v>0.0296128069823882</v>
      </c>
      <c r="G143" s="11" t="n">
        <v>0.0133506879880997</v>
      </c>
      <c r="H143" s="12" t="n">
        <f aca="false">(G143-F143)*100</f>
        <v>-1.62621189942885</v>
      </c>
      <c r="I143" s="11" t="n">
        <v>0.0366374991650524</v>
      </c>
      <c r="J143" s="11" t="n">
        <v>0.0297359613239122</v>
      </c>
      <c r="K143" s="12" t="n">
        <f aca="false">(J143-I143)*100</f>
        <v>-0.690153784114019</v>
      </c>
      <c r="L143" s="11" t="n">
        <v>0.111816177944025</v>
      </c>
      <c r="M143" s="11" t="n">
        <v>0.0976348084789885</v>
      </c>
      <c r="N143" s="12" t="n">
        <f aca="false">(M143-L143)*100</f>
        <v>-1.41813694650366</v>
      </c>
      <c r="O143" s="11" t="n">
        <v>0.167568410037183</v>
      </c>
      <c r="P143" s="11" t="n">
        <v>0.270740052063964</v>
      </c>
      <c r="Q143" s="12" t="n">
        <f aca="false">(P143-O143)*100</f>
        <v>10.3171642026781</v>
      </c>
      <c r="R143" s="11" t="n">
        <v>0.0456827644557255</v>
      </c>
      <c r="S143" s="11" t="n">
        <v>0.0409222759390108</v>
      </c>
      <c r="T143" s="12" t="n">
        <f aca="false">(S143-R143)*100</f>
        <v>-0.476048851671472</v>
      </c>
      <c r="U143" s="11" t="n">
        <v>0.0189032128782313</v>
      </c>
      <c r="V143" s="11" t="n">
        <v>0.0280847898847155</v>
      </c>
      <c r="W143" s="12" t="n">
        <f aca="false">(V143-U143)*100</f>
        <v>0.918157700648426</v>
      </c>
      <c r="X143" s="11" t="n">
        <v>0.55036960345557</v>
      </c>
      <c r="Y143" s="11" t="n">
        <v>0.488434362216437</v>
      </c>
      <c r="Z143" s="12" t="n">
        <f aca="false">(Y143-X143)*100</f>
        <v>-6.19352412391323</v>
      </c>
      <c r="AA143" s="11" t="n">
        <v>0.325067352436934</v>
      </c>
      <c r="AB143" s="11" t="n">
        <v>0.409297136481964</v>
      </c>
      <c r="AC143" s="12" t="n">
        <f aca="false">(AB143-AA143)*100</f>
        <v>8.42297840450299</v>
      </c>
      <c r="AD143" s="11" t="n">
        <v>0.672108823177302</v>
      </c>
      <c r="AE143" s="11" t="n">
        <v>0.505094143988459</v>
      </c>
      <c r="AF143" s="12" t="n">
        <f aca="false">(AE143-AD143)*100</f>
        <v>-16.7014679188842</v>
      </c>
      <c r="AG143" s="11" t="n">
        <v>0.0276478970453989</v>
      </c>
      <c r="AH143" s="11" t="n">
        <v>0.0342952770546672</v>
      </c>
      <c r="AI143" s="12" t="n">
        <f aca="false">(AH143-AG143)*100</f>
        <v>0.664738000926829</v>
      </c>
      <c r="AJ143" s="14" t="s">
        <v>74</v>
      </c>
      <c r="AK143" s="14" t="s">
        <v>74</v>
      </c>
      <c r="AL143" s="14" t="s">
        <v>134</v>
      </c>
      <c r="AM143" s="20" t="n">
        <v>30.5507314140672</v>
      </c>
      <c r="AN143" s="20" t="n">
        <v>7.91372257344738</v>
      </c>
      <c r="AO143" s="12" t="n">
        <v>-22.6370088406198</v>
      </c>
    </row>
    <row r="144" customFormat="false" ht="15" hidden="false" customHeight="false" outlineLevel="0" collapsed="false">
      <c r="A144" s="14" t="s">
        <v>96</v>
      </c>
      <c r="B144" s="14" t="n">
        <v>14</v>
      </c>
      <c r="C144" s="11" t="n">
        <v>0.412538404773044</v>
      </c>
      <c r="D144" s="11" t="n">
        <v>0.335808099343605</v>
      </c>
      <c r="E144" s="12" t="n">
        <f aca="false">(D144-C144)*100</f>
        <v>-7.67303054294386</v>
      </c>
      <c r="F144" s="11" t="n">
        <v>0.0246851652671332</v>
      </c>
      <c r="G144" s="11" t="n">
        <v>0.0138257997364795</v>
      </c>
      <c r="H144" s="12" t="n">
        <f aca="false">(G144-F144)*100</f>
        <v>-1.08593655306537</v>
      </c>
      <c r="I144" s="11" t="n">
        <v>0.0490712917991039</v>
      </c>
      <c r="J144" s="11" t="n">
        <v>0.0343057920354249</v>
      </c>
      <c r="K144" s="12" t="n">
        <f aca="false">(J144-I144)*100</f>
        <v>-1.4765499763679</v>
      </c>
      <c r="L144" s="11" t="n">
        <v>0.261808412634869</v>
      </c>
      <c r="M144" s="11" t="n">
        <v>0.319984838548592</v>
      </c>
      <c r="N144" s="12" t="n">
        <f aca="false">(M144-L144)*100</f>
        <v>5.81764259137229</v>
      </c>
      <c r="O144" s="11" t="n">
        <v>0.135744292942204</v>
      </c>
      <c r="P144" s="11" t="n">
        <v>0.184392128078166</v>
      </c>
      <c r="Q144" s="12" t="n">
        <f aca="false">(P144-O144)*100</f>
        <v>4.86478351359622</v>
      </c>
      <c r="R144" s="11" t="n">
        <v>0.0227317670777645</v>
      </c>
      <c r="S144" s="11" t="n">
        <v>0.0156788660196979</v>
      </c>
      <c r="T144" s="12" t="n">
        <f aca="false">(S144-R144)*100</f>
        <v>-0.705290105806669</v>
      </c>
      <c r="U144" s="11" t="n">
        <v>0.020677081574873</v>
      </c>
      <c r="V144" s="11" t="n">
        <v>0.0330423377514124</v>
      </c>
      <c r="W144" s="12" t="n">
        <f aca="false">(V144-U144)*100</f>
        <v>1.23652561765393</v>
      </c>
      <c r="X144" s="11" t="n">
        <v>0.463100067042555</v>
      </c>
      <c r="Y144" s="11" t="n">
        <v>0.38393969111551</v>
      </c>
      <c r="Z144" s="12" t="n">
        <f aca="false">(Y144-X144)*100</f>
        <v>-7.91603759270453</v>
      </c>
      <c r="AA144" s="11" t="n">
        <v>0.420284472654837</v>
      </c>
      <c r="AB144" s="11" t="n">
        <v>0.520055832646455</v>
      </c>
      <c r="AC144" s="12" t="n">
        <f aca="false">(AB144-AA144)*100</f>
        <v>9.97713599916185</v>
      </c>
      <c r="AD144" s="11" t="n">
        <v>0.691949818611435</v>
      </c>
      <c r="AE144" s="11" t="n">
        <v>0.54581666765183</v>
      </c>
      <c r="AF144" s="12" t="n">
        <f aca="false">(AE144-AD144)*100</f>
        <v>-14.6133150959605</v>
      </c>
      <c r="AG144" s="11" t="n">
        <v>0.025075844905007</v>
      </c>
      <c r="AH144" s="11" t="n">
        <v>0.0219359729500454</v>
      </c>
      <c r="AI144" s="12" t="n">
        <f aca="false">(AH144-AG144)*100</f>
        <v>-0.313987195496154</v>
      </c>
      <c r="AJ144" s="14" t="s">
        <v>74</v>
      </c>
      <c r="AK144" s="14" t="s">
        <v>132</v>
      </c>
      <c r="AL144" s="14" t="s">
        <v>133</v>
      </c>
      <c r="AM144" s="20" t="n">
        <v>15.7882805755049</v>
      </c>
      <c r="AN144" s="20" t="n">
        <v>13.6116141530946</v>
      </c>
      <c r="AO144" s="12" t="n">
        <v>-2.17666642241031</v>
      </c>
    </row>
    <row r="145" customFormat="false" ht="15" hidden="false" customHeight="false" outlineLevel="0" collapsed="false">
      <c r="A145" s="14" t="s">
        <v>96</v>
      </c>
      <c r="B145" s="14" t="n">
        <v>15</v>
      </c>
      <c r="C145" s="11" t="n">
        <v>0.39804172411905</v>
      </c>
      <c r="D145" s="11" t="n">
        <v>0.320957812672109</v>
      </c>
      <c r="E145" s="12" t="n">
        <f aca="false">(D145-C145)*100</f>
        <v>-7.70839114469407</v>
      </c>
      <c r="F145" s="11" t="n">
        <v>0.025317211821336</v>
      </c>
      <c r="G145" s="11" t="n">
        <v>0.0143622945402475</v>
      </c>
      <c r="H145" s="12" t="n">
        <f aca="false">(G145-F145)*100</f>
        <v>-1.09549172810885</v>
      </c>
      <c r="I145" s="11" t="n">
        <v>0.078823839793719</v>
      </c>
      <c r="J145" s="11" t="n">
        <v>0.0341647594453352</v>
      </c>
      <c r="K145" s="12" t="n">
        <f aca="false">(J145-I145)*100</f>
        <v>-4.46590803483838</v>
      </c>
      <c r="L145" s="11" t="n">
        <v>0.254640576232883</v>
      </c>
      <c r="M145" s="11" t="n">
        <v>0.367569486090543</v>
      </c>
      <c r="N145" s="12" t="n">
        <f aca="false">(M145-L145)*100</f>
        <v>11.2928909857661</v>
      </c>
      <c r="O145" s="11" t="n">
        <v>0.128492565620162</v>
      </c>
      <c r="P145" s="11" t="n">
        <v>0.147312959721933</v>
      </c>
      <c r="Q145" s="12" t="n">
        <f aca="false">(P145-O145)*100</f>
        <v>1.88203941017711</v>
      </c>
      <c r="R145" s="11" t="n">
        <v>0.0216634891558109</v>
      </c>
      <c r="S145" s="11" t="n">
        <v>0.0146254298897279</v>
      </c>
      <c r="T145" s="12" t="n">
        <f aca="false">(S145-R145)*100</f>
        <v>-0.703805926608293</v>
      </c>
      <c r="U145" s="11" t="n">
        <v>0.0202099646076728</v>
      </c>
      <c r="V145" s="11" t="n">
        <v>0.0296792196507031</v>
      </c>
      <c r="W145" s="12" t="n">
        <f aca="false">(V145-U145)*100</f>
        <v>0.94692550430303</v>
      </c>
      <c r="X145" s="11" t="n">
        <v>0.449054462370141</v>
      </c>
      <c r="Y145" s="11" t="n">
        <v>0.369484866657692</v>
      </c>
      <c r="Z145" s="12" t="n">
        <f aca="false">(Y145-X145)*100</f>
        <v>-7.95695957124495</v>
      </c>
      <c r="AA145" s="11" t="n">
        <v>0.404796631008856</v>
      </c>
      <c r="AB145" s="11" t="n">
        <v>0.529507875702204</v>
      </c>
      <c r="AC145" s="12" t="n">
        <f aca="false">(AB145-AA145)*100</f>
        <v>12.4711244693349</v>
      </c>
      <c r="AD145" s="11" t="n">
        <v>0.67267941990939</v>
      </c>
      <c r="AE145" s="11" t="n">
        <v>0.52732735058456</v>
      </c>
      <c r="AF145" s="12" t="n">
        <f aca="false">(AE145-AD145)*100</f>
        <v>-14.535206932483</v>
      </c>
      <c r="AG145" s="11" t="n">
        <v>0.0261634418664848</v>
      </c>
      <c r="AH145" s="11" t="n">
        <v>0.0223481464256429</v>
      </c>
      <c r="AI145" s="12" t="n">
        <f aca="false">(AH145-AG145)*100</f>
        <v>-0.381529544084196</v>
      </c>
      <c r="AJ145" s="14" t="s">
        <v>74</v>
      </c>
      <c r="AK145" s="14" t="s">
        <v>132</v>
      </c>
      <c r="AL145" s="14" t="s">
        <v>133</v>
      </c>
      <c r="AM145" s="20" t="n">
        <v>15.2540432373775</v>
      </c>
      <c r="AN145" s="20" t="n">
        <v>16.0023009044513</v>
      </c>
      <c r="AO145" s="12" t="n">
        <v>0.748257667073789</v>
      </c>
    </row>
    <row r="146" customFormat="false" ht="15" hidden="false" customHeight="false" outlineLevel="0" collapsed="false">
      <c r="A146" s="14" t="s">
        <v>96</v>
      </c>
      <c r="B146" s="14" t="n">
        <v>16</v>
      </c>
      <c r="C146" s="11" t="n">
        <v>0.493153857606856</v>
      </c>
      <c r="D146" s="11" t="n">
        <v>0.453620693509804</v>
      </c>
      <c r="E146" s="12" t="n">
        <f aca="false">(D146-C146)*100</f>
        <v>-3.9533164097052</v>
      </c>
      <c r="F146" s="11" t="n">
        <v>0.0416007234908433</v>
      </c>
      <c r="G146" s="11" t="n">
        <v>0.0252483474554167</v>
      </c>
      <c r="H146" s="12" t="n">
        <f aca="false">(G146-F146)*100</f>
        <v>-1.63523760354266</v>
      </c>
      <c r="I146" s="11" t="n">
        <v>0.0337206288635349</v>
      </c>
      <c r="J146" s="11" t="n">
        <v>0.0213731583536408</v>
      </c>
      <c r="K146" s="12" t="n">
        <f aca="false">(J146-I146)*100</f>
        <v>-1.2347470509894</v>
      </c>
      <c r="L146" s="11" t="n">
        <v>0.107520003529224</v>
      </c>
      <c r="M146" s="11" t="n">
        <v>0.0954563407781678</v>
      </c>
      <c r="N146" s="12" t="n">
        <f aca="false">(M146-L146)*100</f>
        <v>-1.20636627510558</v>
      </c>
      <c r="O146" s="11" t="n">
        <v>0.185377985364751</v>
      </c>
      <c r="P146" s="11" t="n">
        <v>0.280459358954295</v>
      </c>
      <c r="Q146" s="12" t="n">
        <f aca="false">(P146-O146)*100</f>
        <v>9.50813735895443</v>
      </c>
      <c r="R146" s="11" t="n">
        <v>0.0412478011282487</v>
      </c>
      <c r="S146" s="11" t="n">
        <v>0.0272679171603807</v>
      </c>
      <c r="T146" s="12" t="n">
        <f aca="false">(S146-R146)*100</f>
        <v>-1.3979883967868</v>
      </c>
      <c r="U146" s="11" t="n">
        <v>0.0189254616941376</v>
      </c>
      <c r="V146" s="11" t="n">
        <v>0.023601392087162</v>
      </c>
      <c r="W146" s="12" t="n">
        <f aca="false">(V146-U146)*100</f>
        <v>0.467593039302432</v>
      </c>
      <c r="X146" s="11" t="n">
        <v>0.562944254809946</v>
      </c>
      <c r="Y146" s="11" t="n">
        <v>0.500242199318861</v>
      </c>
      <c r="Z146" s="12" t="n">
        <f aca="false">(Y146-X146)*100</f>
        <v>-6.27020554910848</v>
      </c>
      <c r="AA146" s="11" t="n">
        <v>0.334145790022223</v>
      </c>
      <c r="AB146" s="11" t="n">
        <v>0.403183616892844</v>
      </c>
      <c r="AC146" s="12" t="n">
        <f aca="false">(AB146-AA146)*100</f>
        <v>6.90378268706204</v>
      </c>
      <c r="AD146" s="11" t="n">
        <v>0.629833774425018</v>
      </c>
      <c r="AE146" s="11" t="n">
        <v>0.456475814983518</v>
      </c>
      <c r="AF146" s="12" t="n">
        <f aca="false">(AE146-AD146)*100</f>
        <v>-17.3357959441499</v>
      </c>
      <c r="AG146" s="11" t="n">
        <v>0.0276327181087773</v>
      </c>
      <c r="AH146" s="11" t="n">
        <v>0.0322385924120817</v>
      </c>
      <c r="AI146" s="12" t="n">
        <f aca="false">(AH146-AG146)*100</f>
        <v>0.460587430330436</v>
      </c>
      <c r="AJ146" s="14" t="s">
        <v>74</v>
      </c>
      <c r="AK146" s="14" t="s">
        <v>74</v>
      </c>
      <c r="AL146" s="14" t="s">
        <v>134</v>
      </c>
      <c r="AM146" s="20" t="n">
        <v>32.1677704681184</v>
      </c>
      <c r="AN146" s="20" t="n">
        <v>9.70585824260174</v>
      </c>
      <c r="AO146" s="12" t="n">
        <v>-22.4619122255167</v>
      </c>
    </row>
    <row r="147" customFormat="false" ht="15" hidden="false" customHeight="false" outlineLevel="0" collapsed="false">
      <c r="A147" s="14" t="s">
        <v>96</v>
      </c>
      <c r="B147" s="14" t="n">
        <v>17</v>
      </c>
      <c r="C147" s="11" t="n">
        <v>0.51036607531271</v>
      </c>
      <c r="D147" s="11" t="n">
        <v>0.437403138318481</v>
      </c>
      <c r="E147" s="12" t="n">
        <f aca="false">(D147-C147)*100</f>
        <v>-7.29629369942292</v>
      </c>
      <c r="F147" s="11" t="n">
        <v>0.0314706776236987</v>
      </c>
      <c r="G147" s="11" t="n">
        <v>0.0222539713289423</v>
      </c>
      <c r="H147" s="12" t="n">
        <f aca="false">(G147-F147)*100</f>
        <v>-0.921670629475638</v>
      </c>
      <c r="I147" s="11" t="n">
        <v>0.0358268725380944</v>
      </c>
      <c r="J147" s="11" t="n">
        <v>0.0265885315769082</v>
      </c>
      <c r="K147" s="12" t="n">
        <f aca="false">(J147-I147)*100</f>
        <v>-0.923834096118618</v>
      </c>
      <c r="L147" s="11" t="n">
        <v>0.100234197619885</v>
      </c>
      <c r="M147" s="11" t="n">
        <v>0.091510073614878</v>
      </c>
      <c r="N147" s="12" t="n">
        <f aca="false">(M147-L147)*100</f>
        <v>-0.872412400500684</v>
      </c>
      <c r="O147" s="11" t="n">
        <v>0.178091497970883</v>
      </c>
      <c r="P147" s="11" t="n">
        <v>0.2847087692109</v>
      </c>
      <c r="Q147" s="12" t="n">
        <f aca="false">(P147-O147)*100</f>
        <v>10.6617271240017</v>
      </c>
      <c r="R147" s="11" t="n">
        <v>0.0450994297019791</v>
      </c>
      <c r="S147" s="11" t="n">
        <v>0.0321580782642387</v>
      </c>
      <c r="T147" s="12" t="n">
        <f aca="false">(S147-R147)*100</f>
        <v>-1.29413514377404</v>
      </c>
      <c r="U147" s="11" t="n">
        <v>0.0199991657082243</v>
      </c>
      <c r="V147" s="11" t="n">
        <v>0.0279930259589307</v>
      </c>
      <c r="W147" s="12" t="n">
        <f aca="false">(V147-U147)*100</f>
        <v>0.799386025070632</v>
      </c>
      <c r="X147" s="11" t="n">
        <v>0.572055992896602</v>
      </c>
      <c r="Y147" s="11" t="n">
        <v>0.486245641224332</v>
      </c>
      <c r="Z147" s="12" t="n">
        <f aca="false">(Y147-X147)*100</f>
        <v>-8.58103516722698</v>
      </c>
      <c r="AA147" s="11" t="n">
        <v>0.323425125292747</v>
      </c>
      <c r="AB147" s="11" t="n">
        <v>0.408376921090017</v>
      </c>
      <c r="AC147" s="12" t="n">
        <f aca="false">(AB147-AA147)*100</f>
        <v>8.49517957972698</v>
      </c>
      <c r="AD147" s="11" t="n">
        <v>0.665069456829757</v>
      </c>
      <c r="AE147" s="11" t="n">
        <v>0.489144210838022</v>
      </c>
      <c r="AF147" s="12" t="n">
        <f aca="false">(AE147-AD147)*100</f>
        <v>-17.5925245991735</v>
      </c>
      <c r="AG147" s="11" t="n">
        <v>0.0274005256038187</v>
      </c>
      <c r="AH147" s="11" t="n">
        <v>0.0334818545783288</v>
      </c>
      <c r="AI147" s="12" t="n">
        <f aca="false">(AH147-AG147)*100</f>
        <v>0.608132897451014</v>
      </c>
      <c r="AJ147" s="14" t="s">
        <v>74</v>
      </c>
      <c r="AK147" s="14" t="s">
        <v>74</v>
      </c>
      <c r="AL147" s="14" t="s">
        <v>134</v>
      </c>
      <c r="AM147" s="20" t="n">
        <v>33.755445243643</v>
      </c>
      <c r="AN147" s="20" t="n">
        <v>7.78687201343149</v>
      </c>
      <c r="AO147" s="12" t="n">
        <v>-25.9685732302115</v>
      </c>
    </row>
    <row r="148" customFormat="false" ht="15" hidden="false" customHeight="false" outlineLevel="0" collapsed="false">
      <c r="A148" s="14" t="s">
        <v>96</v>
      </c>
      <c r="B148" s="14" t="n">
        <v>18</v>
      </c>
      <c r="C148" s="11" t="n">
        <v>0.303780667466374</v>
      </c>
      <c r="D148" s="11" t="n">
        <v>0.237339206118444</v>
      </c>
      <c r="E148" s="12" t="n">
        <f aca="false">(D148-C148)*100</f>
        <v>-6.64414613479295</v>
      </c>
      <c r="F148" s="11" t="n">
        <v>0.026025441625199</v>
      </c>
      <c r="G148" s="11" t="n">
        <v>0.0139142784487019</v>
      </c>
      <c r="H148" s="12" t="n">
        <f aca="false">(G148-F148)*100</f>
        <v>-1.21111631764971</v>
      </c>
      <c r="I148" s="11" t="n">
        <v>0.041419038800987</v>
      </c>
      <c r="J148" s="11" t="n">
        <v>0.0222916336802307</v>
      </c>
      <c r="K148" s="12" t="n">
        <f aca="false">(J148-I148)*100</f>
        <v>-1.91274051207563</v>
      </c>
      <c r="L148" s="11" t="n">
        <v>0.28624336935055</v>
      </c>
      <c r="M148" s="11" t="n">
        <v>0.367466497776115</v>
      </c>
      <c r="N148" s="12" t="n">
        <f aca="false">(M148-L148)*100</f>
        <v>8.12231284255647</v>
      </c>
      <c r="O148" s="11" t="n">
        <v>0.204673268049278</v>
      </c>
      <c r="P148" s="11" t="n">
        <v>0.228222954721019</v>
      </c>
      <c r="Q148" s="12" t="n">
        <f aca="false">(P148-O148)*100</f>
        <v>2.35496866717409</v>
      </c>
      <c r="R148" s="11" t="n">
        <v>0.0404429707133963</v>
      </c>
      <c r="S148" s="11" t="n">
        <v>0.0346129671479088</v>
      </c>
      <c r="T148" s="12" t="n">
        <f aca="false">(S148-R148)*100</f>
        <v>-0.583000356548753</v>
      </c>
      <c r="U148" s="11" t="n">
        <v>0.027092731029387</v>
      </c>
      <c r="V148" s="11" t="n">
        <v>0.028960891281505</v>
      </c>
      <c r="W148" s="12" t="n">
        <f aca="false">(V148-U148)*100</f>
        <v>0.186816025211809</v>
      </c>
      <c r="X148" s="11" t="n">
        <v>0.348109666266813</v>
      </c>
      <c r="Y148" s="11" t="n">
        <v>0.273545118247377</v>
      </c>
      <c r="Z148" s="12" t="n">
        <f aca="false">(Y148-X148)*100</f>
        <v>-7.45645480194365</v>
      </c>
      <c r="AA148" s="11" t="n">
        <v>0.531359608113224</v>
      </c>
      <c r="AB148" s="11" t="n">
        <v>0.630302419645042</v>
      </c>
      <c r="AC148" s="12" t="n">
        <f aca="false">(AB148-AA148)*100</f>
        <v>9.8942811531818</v>
      </c>
      <c r="AD148" s="11" t="n">
        <v>0.725877686694654</v>
      </c>
      <c r="AE148" s="11" t="n">
        <v>0.639451545404898</v>
      </c>
      <c r="AF148" s="12" t="n">
        <f aca="false">(AE148-AD148)*100</f>
        <v>-8.64261412897559</v>
      </c>
      <c r="AG148" s="11" t="n">
        <v>0.0275716429415226</v>
      </c>
      <c r="AH148" s="11" t="n">
        <v>0.0252999966413811</v>
      </c>
      <c r="AI148" s="12" t="n">
        <f aca="false">(AH148-AG148)*100</f>
        <v>-0.227164630014152</v>
      </c>
      <c r="AJ148" s="14" t="s">
        <v>132</v>
      </c>
      <c r="AK148" s="14" t="s">
        <v>132</v>
      </c>
      <c r="AL148" s="14" t="s">
        <v>150</v>
      </c>
      <c r="AM148" s="20" t="n">
        <v>0.566940482651986</v>
      </c>
      <c r="AN148" s="20" t="n">
        <v>35.6757301397665</v>
      </c>
      <c r="AO148" s="12" t="n">
        <v>35.1087896571145</v>
      </c>
    </row>
    <row r="149" customFormat="false" ht="15" hidden="false" customHeight="false" outlineLevel="0" collapsed="false">
      <c r="A149" s="14" t="s">
        <v>96</v>
      </c>
      <c r="B149" s="14" t="n">
        <v>19</v>
      </c>
      <c r="C149" s="11" t="n">
        <v>0.42725571496716</v>
      </c>
      <c r="D149" s="11" t="n">
        <v>0.359849000136036</v>
      </c>
      <c r="E149" s="12" t="n">
        <f aca="false">(D149-C149)*100</f>
        <v>-6.74067148311237</v>
      </c>
      <c r="F149" s="11" t="n">
        <v>0.0263136168495212</v>
      </c>
      <c r="G149" s="11" t="n">
        <v>0.0123169183331066</v>
      </c>
      <c r="H149" s="12" t="n">
        <f aca="false">(G149-F149)*100</f>
        <v>-1.39966985164145</v>
      </c>
      <c r="I149" s="11" t="n">
        <v>0.0368353942685209</v>
      </c>
      <c r="J149" s="11" t="n">
        <v>0.0261585725298145</v>
      </c>
      <c r="K149" s="12" t="n">
        <f aca="false">(J149-I149)*100</f>
        <v>-1.06768217387063</v>
      </c>
      <c r="L149" s="11" t="n">
        <v>0.217453124426669</v>
      </c>
      <c r="M149" s="11" t="n">
        <v>0.257561329524328</v>
      </c>
      <c r="N149" s="12" t="n">
        <f aca="false">(M149-L149)*100</f>
        <v>4.01082050976592</v>
      </c>
      <c r="O149" s="11" t="n">
        <v>0.172765383627491</v>
      </c>
      <c r="P149" s="11" t="n">
        <v>0.236861198022945</v>
      </c>
      <c r="Q149" s="12" t="n">
        <f aca="false">(P149-O149)*100</f>
        <v>6.40958143954541</v>
      </c>
      <c r="R149" s="11" t="n">
        <v>0.0244009833779767</v>
      </c>
      <c r="S149" s="11" t="n">
        <v>0.0139153403165102</v>
      </c>
      <c r="T149" s="12" t="n">
        <f aca="false">(S149-R149)*100</f>
        <v>-1.04856430614665</v>
      </c>
      <c r="U149" s="11" t="n">
        <v>0.021066488093054</v>
      </c>
      <c r="V149" s="11" t="n">
        <v>0.028873622636376</v>
      </c>
      <c r="W149" s="12" t="n">
        <f aca="false">(V149-U149)*100</f>
        <v>0.780713454332202</v>
      </c>
      <c r="X149" s="11" t="n">
        <v>0.47880049902763</v>
      </c>
      <c r="Y149" s="11" t="n">
        <v>0.398324490998957</v>
      </c>
      <c r="Z149" s="12" t="n">
        <f aca="false">(Y149-X149)*100</f>
        <v>-8.04760080286729</v>
      </c>
      <c r="AA149" s="11" t="n">
        <v>0.414619491432136</v>
      </c>
      <c r="AB149" s="11" t="n">
        <v>0.508337867863783</v>
      </c>
      <c r="AC149" s="12" t="n">
        <f aca="false">(AB149-AA149)*100</f>
        <v>9.37183764316468</v>
      </c>
      <c r="AD149" s="11" t="n">
        <v>0.68848959484637</v>
      </c>
      <c r="AE149" s="11" t="n">
        <v>0.559245311727338</v>
      </c>
      <c r="AF149" s="12" t="n">
        <f aca="false">(AE149-AD149)*100</f>
        <v>-12.9244283119032</v>
      </c>
      <c r="AG149" s="11" t="n">
        <v>0.0268273217627417</v>
      </c>
      <c r="AH149" s="11" t="n">
        <v>0.0259205096812225</v>
      </c>
      <c r="AI149" s="12" t="n">
        <f aca="false">(AH149-AG149)*100</f>
        <v>-0.0906812081519211</v>
      </c>
      <c r="AJ149" s="14" t="s">
        <v>74</v>
      </c>
      <c r="AK149" s="14" t="s">
        <v>132</v>
      </c>
      <c r="AL149" s="14" t="s">
        <v>133</v>
      </c>
      <c r="AM149" s="20" t="n">
        <v>21.5879903129931</v>
      </c>
      <c r="AN149" s="20" t="n">
        <v>11.0013376864826</v>
      </c>
      <c r="AO149" s="12" t="n">
        <v>-10.5866526265105</v>
      </c>
    </row>
    <row r="150" customFormat="false" ht="15" hidden="false" customHeight="false" outlineLevel="0" collapsed="false">
      <c r="A150" s="14" t="s">
        <v>96</v>
      </c>
      <c r="B150" s="14" t="n">
        <v>20</v>
      </c>
      <c r="C150" s="11" t="n">
        <v>0.452755319940081</v>
      </c>
      <c r="D150" s="11" t="n">
        <v>0.401403461872619</v>
      </c>
      <c r="E150" s="12" t="n">
        <f aca="false">(D150-C150)*100</f>
        <v>-5.13518580674618</v>
      </c>
      <c r="F150" s="11" t="n">
        <v>0.0263420697568179</v>
      </c>
      <c r="G150" s="11" t="n">
        <v>0.0123370981754996</v>
      </c>
      <c r="H150" s="12" t="n">
        <f aca="false">(G150-F150)*100</f>
        <v>-1.40049715813184</v>
      </c>
      <c r="I150" s="11" t="n">
        <v>0.0301135699639848</v>
      </c>
      <c r="J150" s="11" t="n">
        <v>0.0197286640379603</v>
      </c>
      <c r="K150" s="12" t="n">
        <f aca="false">(J150-I150)*100</f>
        <v>-1.03849059260245</v>
      </c>
      <c r="L150" s="11" t="n">
        <v>0.0909409627418275</v>
      </c>
      <c r="M150" s="11" t="n">
        <v>0.0957495154714964</v>
      </c>
      <c r="N150" s="12" t="n">
        <f aca="false">(M150-L150)*100</f>
        <v>0.480855272966883</v>
      </c>
      <c r="O150" s="11" t="n">
        <v>0.134823164448033</v>
      </c>
      <c r="P150" s="11" t="n">
        <v>0.165528303147765</v>
      </c>
      <c r="Q150" s="12" t="n">
        <f aca="false">(P150-O150)*100</f>
        <v>3.07051386997315</v>
      </c>
      <c r="R150" s="11" t="n">
        <v>0.178407895715363</v>
      </c>
      <c r="S150" s="11" t="n">
        <v>0.0540600147029339</v>
      </c>
      <c r="T150" s="12" t="n">
        <f aca="false">(S150-R150)*100</f>
        <v>-12.4347881012429</v>
      </c>
      <c r="U150" s="11" t="n">
        <v>0.0183103679071892</v>
      </c>
      <c r="V150" s="11" t="n">
        <v>0.193590857448373</v>
      </c>
      <c r="W150" s="12" t="n">
        <f aca="false">(V150-U150)*100</f>
        <v>17.5280489541183</v>
      </c>
      <c r="X150" s="11" t="n">
        <v>0.50254974661893</v>
      </c>
      <c r="Y150" s="11" t="n">
        <v>0.433469224086079</v>
      </c>
      <c r="Z150" s="12" t="n">
        <f aca="false">(Y150-X150)*100</f>
        <v>-6.90805225328507</v>
      </c>
      <c r="AA150" s="11" t="n">
        <v>0.404172022905224</v>
      </c>
      <c r="AB150" s="11" t="n">
        <v>0.315337833322195</v>
      </c>
      <c r="AC150" s="12" t="n">
        <f aca="false">(AB150-AA150)*100</f>
        <v>-8.88341895830291</v>
      </c>
      <c r="AD150" s="11" t="n">
        <v>0.674755193622848</v>
      </c>
      <c r="AE150" s="11" t="n">
        <v>0.528037548082013</v>
      </c>
      <c r="AF150" s="12" t="n">
        <f aca="false">(AE150-AD150)*100</f>
        <v>-14.6717645540835</v>
      </c>
      <c r="AG150" s="11" t="n">
        <v>0.0276913106760016</v>
      </c>
      <c r="AH150" s="11" t="n">
        <v>0.0283098309162601</v>
      </c>
      <c r="AI150" s="12" t="n">
        <f aca="false">(AH150-AG150)*100</f>
        <v>0.061852024025854</v>
      </c>
      <c r="AJ150" s="14" t="s">
        <v>74</v>
      </c>
      <c r="AK150" s="14" t="s">
        <v>74</v>
      </c>
      <c r="AL150" s="14" t="s">
        <v>134</v>
      </c>
      <c r="AM150" s="20" t="n">
        <v>21.489052025455</v>
      </c>
      <c r="AN150" s="20" t="n">
        <v>11.8131390763884</v>
      </c>
      <c r="AO150" s="12" t="n">
        <v>-9.67591294906655</v>
      </c>
    </row>
    <row r="151" customFormat="false" ht="15" hidden="false" customHeight="false" outlineLevel="0" collapsed="false">
      <c r="A151" s="14" t="s">
        <v>96</v>
      </c>
      <c r="B151" s="14" t="n">
        <v>21</v>
      </c>
      <c r="C151" s="11" t="n">
        <v>0.46857966575071</v>
      </c>
      <c r="D151" s="11" t="n">
        <v>0.353143256053202</v>
      </c>
      <c r="E151" s="12" t="n">
        <f aca="false">(D151-C151)*100</f>
        <v>-11.5436409697507</v>
      </c>
      <c r="F151" s="11" t="n">
        <v>0.026459525203838</v>
      </c>
      <c r="G151" s="11" t="n">
        <v>0.0121370222042596</v>
      </c>
      <c r="H151" s="12" t="n">
        <f aca="false">(G151-F151)*100</f>
        <v>-1.43225029995784</v>
      </c>
      <c r="I151" s="11" t="n">
        <v>0.0517084102887518</v>
      </c>
      <c r="J151" s="11" t="n">
        <v>0.0813707119324932</v>
      </c>
      <c r="K151" s="12" t="n">
        <f aca="false">(J151-I151)*100</f>
        <v>2.96623016437414</v>
      </c>
      <c r="L151" s="11" t="n">
        <v>0.0725989909455381</v>
      </c>
      <c r="M151" s="11" t="n">
        <v>0.051928329108033</v>
      </c>
      <c r="N151" s="12" t="n">
        <f aca="false">(M151-L151)*100</f>
        <v>-2.06706618375051</v>
      </c>
      <c r="O151" s="11" t="n">
        <v>0.216980494616875</v>
      </c>
      <c r="P151" s="11" t="n">
        <v>0.262225814748135</v>
      </c>
      <c r="Q151" s="12" t="n">
        <f aca="false">(P151-O151)*100</f>
        <v>4.52453201312607</v>
      </c>
      <c r="R151" s="11" t="n">
        <v>0.043419748637326</v>
      </c>
      <c r="S151" s="11" t="n">
        <v>0.04260205018922</v>
      </c>
      <c r="T151" s="12" t="n">
        <f aca="false">(S151-R151)*100</f>
        <v>-0.081769844810603</v>
      </c>
      <c r="U151" s="11" t="n">
        <v>0.0368090904995721</v>
      </c>
      <c r="V151" s="11" t="n">
        <v>0.0678191326499369</v>
      </c>
      <c r="W151" s="12" t="n">
        <f aca="false">(V151-U151)*100</f>
        <v>3.10100421503649</v>
      </c>
      <c r="X151" s="11" t="n">
        <v>0.520884949772512</v>
      </c>
      <c r="Y151" s="11" t="n">
        <v>0.446650990189955</v>
      </c>
      <c r="Z151" s="12" t="n">
        <f aca="false">(Y151-X151)*100</f>
        <v>-7.42339595825575</v>
      </c>
      <c r="AA151" s="11" t="n">
        <v>0.332999234199739</v>
      </c>
      <c r="AB151" s="11" t="n">
        <v>0.356756194045388</v>
      </c>
      <c r="AC151" s="12" t="n">
        <f aca="false">(AB151-AA151)*100</f>
        <v>2.37569598456496</v>
      </c>
      <c r="AD151" s="11" t="n">
        <v>0.693995263737896</v>
      </c>
      <c r="AE151" s="11" t="n">
        <v>0.599599048290448</v>
      </c>
      <c r="AF151" s="12" t="n">
        <f aca="false">(AE151-AD151)*100</f>
        <v>-9.43962154474479</v>
      </c>
      <c r="AG151" s="11" t="n">
        <v>0.0338472453714131</v>
      </c>
      <c r="AH151" s="11" t="n">
        <v>0.0313468298000025</v>
      </c>
      <c r="AI151" s="12" t="n">
        <f aca="false">(AH151-AG151)*100</f>
        <v>-0.250041557141067</v>
      </c>
      <c r="AJ151" s="14" t="s">
        <v>74</v>
      </c>
      <c r="AK151" s="14" t="s">
        <v>74</v>
      </c>
      <c r="AL151" s="14" t="s">
        <v>134</v>
      </c>
      <c r="AM151" s="20" t="n">
        <v>22.8810982476688</v>
      </c>
      <c r="AN151" s="20" t="n">
        <v>8.98947961445665</v>
      </c>
      <c r="AO151" s="12" t="n">
        <v>-13.8916186332122</v>
      </c>
    </row>
    <row r="152" customFormat="false" ht="15" hidden="false" customHeight="false" outlineLevel="0" collapsed="false">
      <c r="A152" s="14" t="s">
        <v>96</v>
      </c>
      <c r="B152" s="14" t="n">
        <v>22</v>
      </c>
      <c r="C152" s="11" t="n">
        <v>0.348275278998986</v>
      </c>
      <c r="D152" s="11" t="n">
        <v>0.259679970420886</v>
      </c>
      <c r="E152" s="12" t="n">
        <f aca="false">(D152-C152)*100</f>
        <v>-8.85953085780994</v>
      </c>
      <c r="F152" s="11" t="n">
        <v>0.0237064592492391</v>
      </c>
      <c r="G152" s="11" t="n">
        <v>0.0194215639956453</v>
      </c>
      <c r="H152" s="12" t="n">
        <f aca="false">(G152-F152)*100</f>
        <v>-0.428489525359379</v>
      </c>
      <c r="I152" s="11" t="n">
        <v>0.0327062901589449</v>
      </c>
      <c r="J152" s="11" t="n">
        <v>0.0198221144958199</v>
      </c>
      <c r="K152" s="12" t="n">
        <f aca="false">(J152-I152)*100</f>
        <v>-1.2884175663125</v>
      </c>
      <c r="L152" s="11" t="n">
        <v>0.325076090632398</v>
      </c>
      <c r="M152" s="11" t="n">
        <v>0.392046504940123</v>
      </c>
      <c r="N152" s="12" t="n">
        <f aca="false">(M152-L152)*100</f>
        <v>6.69704143077251</v>
      </c>
      <c r="O152" s="11" t="n">
        <v>0.166477849171458</v>
      </c>
      <c r="P152" s="11" t="n">
        <v>0.18101287923916</v>
      </c>
      <c r="Q152" s="12" t="n">
        <f aca="false">(P152-O152)*100</f>
        <v>1.45350300677019</v>
      </c>
      <c r="R152" s="11" t="n">
        <v>0.021343422387555</v>
      </c>
      <c r="S152" s="11" t="n">
        <v>0.0127508575888914</v>
      </c>
      <c r="T152" s="12" t="n">
        <f aca="false">(S152-R152)*100</f>
        <v>-0.859256479866355</v>
      </c>
      <c r="U152" s="11" t="n">
        <v>0.0172049374365911</v>
      </c>
      <c r="V152" s="11" t="n">
        <v>0.0393566542735657</v>
      </c>
      <c r="W152" s="12" t="n">
        <f aca="false">(V152-U152)*100</f>
        <v>2.21517168369746</v>
      </c>
      <c r="X152" s="11" t="n">
        <v>0.395282380791343</v>
      </c>
      <c r="Y152" s="11" t="n">
        <v>0.298923648912351</v>
      </c>
      <c r="Z152" s="12" t="n">
        <f aca="false">(Y152-X152)*100</f>
        <v>-9.63587318789913</v>
      </c>
      <c r="AA152" s="11" t="n">
        <v>0.51289736219141</v>
      </c>
      <c r="AB152" s="11" t="n">
        <v>0.585810241768174</v>
      </c>
      <c r="AC152" s="12" t="n">
        <f aca="false">(AB152-AA152)*100</f>
        <v>7.29128795767634</v>
      </c>
      <c r="AD152" s="11" t="n">
        <v>0.676262489101071</v>
      </c>
      <c r="AE152" s="11" t="n">
        <v>0.543722392543823</v>
      </c>
      <c r="AF152" s="12" t="n">
        <f aca="false">(AE152-AD152)*100</f>
        <v>-13.2540096557248</v>
      </c>
      <c r="AG152" s="11" t="n">
        <v>0.0257862698681096</v>
      </c>
      <c r="AH152" s="11" t="n">
        <v>0.0326140541872933</v>
      </c>
      <c r="AI152" s="12" t="n">
        <f aca="false">(AH152-AG152)*100</f>
        <v>0.682778431918373</v>
      </c>
      <c r="AJ152" s="14" t="s">
        <v>74</v>
      </c>
      <c r="AK152" s="14" t="s">
        <v>132</v>
      </c>
      <c r="AL152" s="14" t="s">
        <v>133</v>
      </c>
      <c r="AM152" s="20" t="n">
        <v>3.16579303347988</v>
      </c>
      <c r="AN152" s="20" t="n">
        <v>28.6886592855822</v>
      </c>
      <c r="AO152" s="12" t="n">
        <v>25.5228662521024</v>
      </c>
    </row>
    <row r="153" customFormat="false" ht="15" hidden="false" customHeight="false" outlineLevel="0" collapsed="false">
      <c r="A153" s="14" t="s">
        <v>96</v>
      </c>
      <c r="B153" s="14" t="n">
        <v>23</v>
      </c>
      <c r="C153" s="11" t="n">
        <v>0.405875141456054</v>
      </c>
      <c r="D153" s="11" t="n">
        <v>0.329716927468481</v>
      </c>
      <c r="E153" s="12" t="n">
        <f aca="false">(D153-C153)*100</f>
        <v>-7.61582139875729</v>
      </c>
      <c r="F153" s="11" t="n">
        <v>0.0317615993964542</v>
      </c>
      <c r="G153" s="11" t="n">
        <v>0.0293518394026208</v>
      </c>
      <c r="H153" s="12" t="n">
        <f aca="false">(G153-F153)*100</f>
        <v>-0.24097599938334</v>
      </c>
      <c r="I153" s="11" t="n">
        <v>0.0823509996227839</v>
      </c>
      <c r="J153" s="11" t="n">
        <v>0.0853302857615654</v>
      </c>
      <c r="K153" s="12" t="n">
        <f aca="false">(J153-I153)*100</f>
        <v>0.297928613878157</v>
      </c>
      <c r="L153" s="11" t="n">
        <v>0.130582798943795</v>
      </c>
      <c r="M153" s="11" t="n">
        <v>0.0855629906194086</v>
      </c>
      <c r="N153" s="12" t="n">
        <f aca="false">(M153-L153)*100</f>
        <v>-4.50198083243862</v>
      </c>
      <c r="O153" s="11" t="n">
        <v>0.208114862316107</v>
      </c>
      <c r="P153" s="11" t="n">
        <v>0.323904477241465</v>
      </c>
      <c r="Q153" s="12" t="n">
        <f aca="false">(P153-O153)*100</f>
        <v>11.5789614925358</v>
      </c>
      <c r="R153" s="11" t="n">
        <v>0.0434647302904564</v>
      </c>
      <c r="S153" s="11" t="n">
        <v>0.0247080846838834</v>
      </c>
      <c r="T153" s="12" t="n">
        <f aca="false">(S153-R153)*100</f>
        <v>-1.87566456065731</v>
      </c>
      <c r="U153" s="11" t="n">
        <v>0.0227980007544323</v>
      </c>
      <c r="V153" s="11" t="n">
        <v>0.0156636225423781</v>
      </c>
      <c r="W153" s="12" t="n">
        <f aca="false">(V153-U153)*100</f>
        <v>-0.713437821205415</v>
      </c>
      <c r="X153" s="11" t="n">
        <v>0.458416635231988</v>
      </c>
      <c r="Y153" s="11" t="n">
        <v>0.444399052632668</v>
      </c>
      <c r="Z153" s="12" t="n">
        <f aca="false">(Y153-X153)*100</f>
        <v>-1.40175825993203</v>
      </c>
      <c r="AA153" s="11" t="n">
        <v>0.382162391550358</v>
      </c>
      <c r="AB153" s="11" t="n">
        <v>0.434175552544757</v>
      </c>
      <c r="AC153" s="12" t="n">
        <f aca="false">(AB153-AA153)*100</f>
        <v>5.20131609943985</v>
      </c>
      <c r="AD153" s="11" t="n">
        <v>0.726585036623887</v>
      </c>
      <c r="AE153" s="11" t="n">
        <v>0.618542389687655</v>
      </c>
      <c r="AF153" s="12" t="n">
        <f aca="false">(AE153-AD153)*100</f>
        <v>-10.8042646936232</v>
      </c>
      <c r="AG153" s="11" t="n">
        <v>0.0318653338362882</v>
      </c>
      <c r="AH153" s="11" t="n">
        <v>0.0301068373858453</v>
      </c>
      <c r="AI153" s="12" t="n">
        <f aca="false">(AH153-AG153)*100</f>
        <v>-0.175849645044285</v>
      </c>
      <c r="AJ153" s="14" t="s">
        <v>74</v>
      </c>
      <c r="AK153" s="14" t="s">
        <v>74</v>
      </c>
      <c r="AL153" s="14" t="s">
        <v>134</v>
      </c>
      <c r="AM153" s="20" t="n">
        <v>14.5949641644662</v>
      </c>
      <c r="AN153" s="20" t="n">
        <v>1.02235000879107</v>
      </c>
      <c r="AO153" s="12" t="n">
        <v>-13.5726141556752</v>
      </c>
    </row>
    <row r="154" customFormat="false" ht="15" hidden="false" customHeight="false" outlineLevel="0" collapsed="false">
      <c r="A154" s="14" t="s">
        <v>96</v>
      </c>
      <c r="B154" s="14" t="n">
        <v>24</v>
      </c>
      <c r="C154" s="11" t="n">
        <v>0.430371727976556</v>
      </c>
      <c r="D154" s="11" t="n">
        <v>0.379730337078652</v>
      </c>
      <c r="E154" s="12" t="n">
        <f aca="false">(D154-C154)*100</f>
        <v>-5.06413908979043</v>
      </c>
      <c r="F154" s="11" t="n">
        <v>0.0314568815857557</v>
      </c>
      <c r="G154" s="11" t="n">
        <v>0.0180288924558588</v>
      </c>
      <c r="H154" s="12" t="n">
        <f aca="false">(G154-F154)*100</f>
        <v>-1.34279891298969</v>
      </c>
      <c r="I154" s="11" t="n">
        <v>0.0338602743833146</v>
      </c>
      <c r="J154" s="11" t="n">
        <v>0.0252455858747994</v>
      </c>
      <c r="K154" s="12" t="n">
        <f aca="false">(J154-I154)*100</f>
        <v>-0.861468850851521</v>
      </c>
      <c r="L154" s="11" t="n">
        <v>0.221160495379393</v>
      </c>
      <c r="M154" s="11" t="n">
        <v>0.206979133226324</v>
      </c>
      <c r="N154" s="12" t="n">
        <f aca="false">(M154-L154)*100</f>
        <v>-1.41813621530685</v>
      </c>
      <c r="O154" s="11" t="n">
        <v>0.156781484687438</v>
      </c>
      <c r="P154" s="11" t="n">
        <v>0.208398073836276</v>
      </c>
      <c r="Q154" s="12" t="n">
        <f aca="false">(P154-O154)*100</f>
        <v>5.16165891488381</v>
      </c>
      <c r="R154" s="11" t="n">
        <v>0.026035949340155</v>
      </c>
      <c r="S154" s="11" t="n">
        <v>0.0143178170144462</v>
      </c>
      <c r="T154" s="12" t="n">
        <f aca="false">(S154-R154)*100</f>
        <v>-1.17181323257088</v>
      </c>
      <c r="U154" s="11" t="n">
        <v>0.0188789647518509</v>
      </c>
      <c r="V154" s="11" t="n">
        <v>0.0551011235955056</v>
      </c>
      <c r="W154" s="12" t="n">
        <f aca="false">(V154-U154)*100</f>
        <v>3.62221588436547</v>
      </c>
      <c r="X154" s="11" t="n">
        <v>0.491177082174756</v>
      </c>
      <c r="Y154" s="11" t="n">
        <v>0.42300481540931</v>
      </c>
      <c r="Z154" s="12" t="n">
        <f aca="false">(Y154-X154)*100</f>
        <v>-6.81722667654463</v>
      </c>
      <c r="AA154" s="11" t="n">
        <v>0.403977929406986</v>
      </c>
      <c r="AB154" s="11" t="n">
        <v>0.429695024077047</v>
      </c>
      <c r="AC154" s="12" t="n">
        <f aca="false">(AB154-AA154)*100</f>
        <v>2.57170946700608</v>
      </c>
      <c r="AD154" s="11" t="n">
        <v>0.614220962836232</v>
      </c>
      <c r="AE154" s="11" t="n">
        <v>0.457540532362731</v>
      </c>
      <c r="AF154" s="12" t="n">
        <f aca="false">(AE154-AD154)*100</f>
        <v>-15.6680430473502</v>
      </c>
      <c r="AG154" s="11" t="n">
        <v>0.0270176168208481</v>
      </c>
      <c r="AH154" s="11" t="n">
        <v>0.0289823434991974</v>
      </c>
      <c r="AI154" s="12" t="n">
        <f aca="false">(AH154-AG154)*100</f>
        <v>0.196472667834933</v>
      </c>
      <c r="AJ154" s="14" t="s">
        <v>74</v>
      </c>
      <c r="AK154" s="14" t="s">
        <v>132</v>
      </c>
      <c r="AL154" s="14" t="s">
        <v>133</v>
      </c>
      <c r="AM154" s="20" t="n">
        <v>22.5101672703358</v>
      </c>
      <c r="AN154" s="20" t="n">
        <v>0.669020866773676</v>
      </c>
      <c r="AO154" s="12" t="n">
        <v>-21.8411464035621</v>
      </c>
    </row>
    <row r="155" customFormat="false" ht="15" hidden="false" customHeight="false" outlineLevel="0" collapsed="false">
      <c r="A155" s="14" t="s">
        <v>96</v>
      </c>
      <c r="B155" s="14" t="n">
        <v>25</v>
      </c>
      <c r="C155" s="11" t="n">
        <v>0.44175955906784</v>
      </c>
      <c r="D155" s="11" t="n">
        <v>0.476200336268087</v>
      </c>
      <c r="E155" s="12" t="n">
        <f aca="false">(D155-C155)*100</f>
        <v>3.44407772002466</v>
      </c>
      <c r="F155" s="11" t="n">
        <v>0.0293433576775488</v>
      </c>
      <c r="G155" s="11" t="n">
        <v>0.0164655408035648</v>
      </c>
      <c r="H155" s="12" t="n">
        <f aca="false">(G155-F155)*100</f>
        <v>-1.2877816873984</v>
      </c>
      <c r="I155" s="11" t="n">
        <v>0.0265419269934134</v>
      </c>
      <c r="J155" s="11" t="n">
        <v>0.0179729494686799</v>
      </c>
      <c r="K155" s="12" t="n">
        <f aca="false">(J155-I155)*100</f>
        <v>-0.856897752473352</v>
      </c>
      <c r="L155" s="11" t="n">
        <v>0.0569472223489019</v>
      </c>
      <c r="M155" s="11" t="n">
        <v>0.0266032781997234</v>
      </c>
      <c r="N155" s="12" t="n">
        <f aca="false">(M155-L155)*100</f>
        <v>-3.03439441491785</v>
      </c>
      <c r="O155" s="11" t="n">
        <v>0.306450457024099</v>
      </c>
      <c r="P155" s="11" t="n">
        <v>0.371659060602798</v>
      </c>
      <c r="Q155" s="12" t="n">
        <f aca="false">(P155-O155)*100</f>
        <v>6.5208603578699</v>
      </c>
      <c r="R155" s="11" t="n">
        <v>0.0561263380088994</v>
      </c>
      <c r="S155" s="11" t="n">
        <v>0.0135169831948781</v>
      </c>
      <c r="T155" s="12" t="n">
        <f aca="false">(S155-R155)*100</f>
        <v>-4.26093548140213</v>
      </c>
      <c r="U155" s="11" t="n">
        <v>0.0163069325637</v>
      </c>
      <c r="V155" s="11" t="n">
        <v>0.0167968394112824</v>
      </c>
      <c r="W155" s="12" t="n">
        <f aca="false">(V155-U155)*100</f>
        <v>0.0489906847582402</v>
      </c>
      <c r="X155" s="11" t="n">
        <v>0.494771748548794</v>
      </c>
      <c r="Y155" s="11" t="n">
        <v>0.510638826540331</v>
      </c>
      <c r="Z155" s="12" t="n">
        <f aca="false">(Y155-X155)*100</f>
        <v>1.58670779915377</v>
      </c>
      <c r="AA155" s="11" t="n">
        <v>0.4195240173819</v>
      </c>
      <c r="AB155" s="11" t="n">
        <v>0.411779321997399</v>
      </c>
      <c r="AC155" s="12" t="n">
        <f aca="false">(AB155-AA155)*100</f>
        <v>-0.774469538450079</v>
      </c>
      <c r="AD155" s="11" t="n">
        <v>0.609568477319841</v>
      </c>
      <c r="AE155" s="11" t="n">
        <v>0.456973619469362</v>
      </c>
      <c r="AF155" s="12" t="n">
        <f aca="false">(AE155-AD155)*100</f>
        <v>-15.259485785048</v>
      </c>
      <c r="AG155" s="11" t="n">
        <v>0.0254278696748386</v>
      </c>
      <c r="AH155" s="11" t="n">
        <v>0.0294607286912877</v>
      </c>
      <c r="AI155" s="12" t="n">
        <f aca="false">(AH155-AG155)*100</f>
        <v>0.403285901644908</v>
      </c>
      <c r="AJ155" s="14" t="s">
        <v>74</v>
      </c>
      <c r="AK155" s="14" t="s">
        <v>74</v>
      </c>
      <c r="AL155" s="14" t="s">
        <v>134</v>
      </c>
      <c r="AM155" s="20" t="n">
        <v>14.474927195377</v>
      </c>
      <c r="AN155" s="20" t="n">
        <v>9.88595045429322</v>
      </c>
      <c r="AO155" s="12" t="n">
        <v>-4.58897674108377</v>
      </c>
    </row>
    <row r="156" customFormat="false" ht="15" hidden="false" customHeight="false" outlineLevel="0" collapsed="false">
      <c r="A156" s="14" t="s">
        <v>96</v>
      </c>
      <c r="B156" s="14" t="n">
        <v>26</v>
      </c>
      <c r="C156" s="11" t="n">
        <v>0.38398202230835</v>
      </c>
      <c r="D156" s="11" t="n">
        <v>0.377800762298782</v>
      </c>
      <c r="E156" s="12" t="n">
        <f aca="false">(D156-C156)*100</f>
        <v>-0.618126000956792</v>
      </c>
      <c r="F156" s="11" t="n">
        <v>0.0368606364976254</v>
      </c>
      <c r="G156" s="11" t="n">
        <v>0.0149373989268388</v>
      </c>
      <c r="H156" s="12" t="n">
        <f aca="false">(G156-F156)*100</f>
        <v>-2.19232375707867</v>
      </c>
      <c r="I156" s="11" t="n">
        <v>0.0338582892079262</v>
      </c>
      <c r="J156" s="11" t="n">
        <v>0.0358577575615582</v>
      </c>
      <c r="K156" s="12" t="n">
        <f aca="false">(J156-I156)*100</f>
        <v>0.1999468353632</v>
      </c>
      <c r="L156" s="11" t="n">
        <v>0.197968411667304</v>
      </c>
      <c r="M156" s="11" t="n">
        <v>0.124596421652943</v>
      </c>
      <c r="N156" s="12" t="n">
        <f aca="false">(M156-L156)*100</f>
        <v>-7.33719900143609</v>
      </c>
      <c r="O156" s="11" t="n">
        <v>0.211756464144695</v>
      </c>
      <c r="P156" s="11" t="n">
        <v>0.317651159734167</v>
      </c>
      <c r="Q156" s="12" t="n">
        <f aca="false">(P156-O156)*100</f>
        <v>10.5894695589472</v>
      </c>
      <c r="R156" s="11" t="n">
        <v>0.0359690303328057</v>
      </c>
      <c r="S156" s="11" t="n">
        <v>0.0133773721835232</v>
      </c>
      <c r="T156" s="12" t="n">
        <f aca="false">(S156-R156)*100</f>
        <v>-2.25916581492825</v>
      </c>
      <c r="U156" s="11" t="n">
        <v>0.0218898411485343</v>
      </c>
      <c r="V156" s="11" t="n">
        <v>0.0259261587341497</v>
      </c>
      <c r="W156" s="12" t="n">
        <f aca="false">(V156-U156)*100</f>
        <v>0.403631758561542</v>
      </c>
      <c r="X156" s="11" t="n">
        <v>0.450097348836363</v>
      </c>
      <c r="Y156" s="11" t="n">
        <v>0.428595918787179</v>
      </c>
      <c r="Z156" s="12" t="n">
        <f aca="false">(Y156-X156)*100</f>
        <v>-2.15014300491838</v>
      </c>
      <c r="AA156" s="11" t="n">
        <v>0.445693906144804</v>
      </c>
      <c r="AB156" s="11" t="n">
        <v>0.455624953570633</v>
      </c>
      <c r="AC156" s="12" t="n">
        <f aca="false">(AB156-AA156)*100</f>
        <v>0.993104742582862</v>
      </c>
      <c r="AD156" s="11" t="n">
        <v>0.708192792043994</v>
      </c>
      <c r="AE156" s="11" t="n">
        <v>0.525584384770406</v>
      </c>
      <c r="AF156" s="12" t="n">
        <f aca="false">(AE156-AD156)*100</f>
        <v>-18.2608407273588</v>
      </c>
      <c r="AG156" s="11" t="n">
        <v>0.0285814363957276</v>
      </c>
      <c r="AH156" s="11" t="n">
        <v>0.0262347354526078</v>
      </c>
      <c r="AI156" s="12" t="n">
        <f aca="false">(AH156-AG156)*100</f>
        <v>-0.234670094311981</v>
      </c>
      <c r="AJ156" s="14" t="s">
        <v>74</v>
      </c>
      <c r="AK156" s="14" t="s">
        <v>132</v>
      </c>
      <c r="AL156" s="14" t="s">
        <v>133</v>
      </c>
      <c r="AM156" s="20" t="n">
        <v>18.5217533708172</v>
      </c>
      <c r="AN156" s="20" t="n">
        <v>2.70290347834534</v>
      </c>
      <c r="AO156" s="12" t="n">
        <v>-15.8188498924718</v>
      </c>
    </row>
    <row r="157" customFormat="false" ht="15" hidden="false" customHeight="false" outlineLevel="0" collapsed="false">
      <c r="A157" s="14" t="s">
        <v>96</v>
      </c>
      <c r="B157" s="14" t="n">
        <v>27</v>
      </c>
      <c r="C157" s="11" t="n">
        <v>0.360236450136763</v>
      </c>
      <c r="D157" s="11" t="n">
        <v>0.258659962382919</v>
      </c>
      <c r="E157" s="12" t="n">
        <f aca="false">(D157-C157)*100</f>
        <v>-10.1576487753843</v>
      </c>
      <c r="F157" s="11" t="n">
        <v>0.0597434135760058</v>
      </c>
      <c r="G157" s="11" t="n">
        <v>0.0488313185826489</v>
      </c>
      <c r="H157" s="12" t="n">
        <f aca="false">(G157-F157)*100</f>
        <v>-1.09120949933569</v>
      </c>
      <c r="I157" s="11" t="n">
        <v>0.0431763480725771</v>
      </c>
      <c r="J157" s="11" t="n">
        <v>0.0297864899861063</v>
      </c>
      <c r="K157" s="12" t="n">
        <f aca="false">(J157-I157)*100</f>
        <v>-1.33898580864708</v>
      </c>
      <c r="L157" s="11" t="n">
        <v>0.213133526054022</v>
      </c>
      <c r="M157" s="11" t="n">
        <v>0.184777369261741</v>
      </c>
      <c r="N157" s="12" t="n">
        <f aca="false">(M157-L157)*100</f>
        <v>-2.83561567922811</v>
      </c>
      <c r="O157" s="11" t="n">
        <v>0.207196346084875</v>
      </c>
      <c r="P157" s="11" t="n">
        <v>0.304651096849806</v>
      </c>
      <c r="Q157" s="12" t="n">
        <f aca="false">(P157-O157)*100</f>
        <v>9.74547507649309</v>
      </c>
      <c r="R157" s="11" t="n">
        <v>0.0220073199293069</v>
      </c>
      <c r="S157" s="11" t="n">
        <v>0.0144702891222366</v>
      </c>
      <c r="T157" s="12" t="n">
        <f aca="false">(S157-R157)*100</f>
        <v>-0.753703080707033</v>
      </c>
      <c r="U157" s="11" t="n">
        <v>0.0215708896695661</v>
      </c>
      <c r="V157" s="11" t="n">
        <v>0.0607496951882272</v>
      </c>
      <c r="W157" s="12" t="n">
        <f aca="false">(V157-U157)*100</f>
        <v>3.91788055186611</v>
      </c>
      <c r="X157" s="11" t="n">
        <v>0.438612411039525</v>
      </c>
      <c r="Y157" s="11" t="n">
        <v>0.337277770951674</v>
      </c>
      <c r="Z157" s="12" t="n">
        <f aca="false">(Y157-X157)*100</f>
        <v>-10.1334640087851</v>
      </c>
      <c r="AA157" s="11" t="n">
        <v>0.442337192068204</v>
      </c>
      <c r="AB157" s="11" t="n">
        <v>0.503898755233784</v>
      </c>
      <c r="AC157" s="12" t="n">
        <f aca="false">(AB157-AA157)*100</f>
        <v>6.15615631655795</v>
      </c>
      <c r="AD157" s="11" t="n">
        <v>0.73449897802435</v>
      </c>
      <c r="AE157" s="11" t="n">
        <v>0.633054310690417</v>
      </c>
      <c r="AF157" s="12" t="n">
        <f aca="false">(AE157-AD157)*100</f>
        <v>-10.1444667333933</v>
      </c>
      <c r="AG157" s="11" t="n">
        <v>0.0267518785946081</v>
      </c>
      <c r="AH157" s="11" t="n">
        <v>0.0211572450686654</v>
      </c>
      <c r="AI157" s="12" t="n">
        <f aca="false">(AH157-AG157)*100</f>
        <v>-0.559463352594279</v>
      </c>
      <c r="AJ157" s="14" t="s">
        <v>74</v>
      </c>
      <c r="AK157" s="14" t="s">
        <v>132</v>
      </c>
      <c r="AL157" s="14" t="s">
        <v>133</v>
      </c>
      <c r="AM157" s="20" t="n">
        <v>16.1202646236545</v>
      </c>
      <c r="AN157" s="20" t="n">
        <v>16.6620984282109</v>
      </c>
      <c r="AO157" s="12" t="n">
        <v>0.541833804556401</v>
      </c>
    </row>
    <row r="158" customFormat="false" ht="15" hidden="false" customHeight="false" outlineLevel="0" collapsed="false">
      <c r="A158" s="14" t="s">
        <v>96</v>
      </c>
      <c r="B158" s="14" t="n">
        <v>28</v>
      </c>
      <c r="C158" s="11" t="n">
        <v>0.425858209333185</v>
      </c>
      <c r="D158" s="11" t="n">
        <v>0.332264395314771</v>
      </c>
      <c r="E158" s="12" t="n">
        <f aca="false">(D158-C158)*100</f>
        <v>-9.35938140184136</v>
      </c>
      <c r="F158" s="11" t="n">
        <v>0.025282862149651</v>
      </c>
      <c r="G158" s="11" t="n">
        <v>0.0162885793304715</v>
      </c>
      <c r="H158" s="12" t="n">
        <f aca="false">(G158-F158)*100</f>
        <v>-0.899428281917952</v>
      </c>
      <c r="I158" s="11" t="n">
        <v>0.0390283925731592</v>
      </c>
      <c r="J158" s="11" t="n">
        <v>0.0716301587570909</v>
      </c>
      <c r="K158" s="12" t="n">
        <f aca="false">(J158-I158)*100</f>
        <v>3.26017661839317</v>
      </c>
      <c r="L158" s="11" t="n">
        <v>0.140119323764472</v>
      </c>
      <c r="M158" s="11" t="n">
        <v>0.187284727760151</v>
      </c>
      <c r="N158" s="12" t="n">
        <f aca="false">(M158-L158)*100</f>
        <v>4.71654039956784</v>
      </c>
      <c r="O158" s="11" t="n">
        <v>0.196641106935567</v>
      </c>
      <c r="P158" s="11" t="n">
        <v>0.182635695742912</v>
      </c>
      <c r="Q158" s="12" t="n">
        <f aca="false">(P158-O158)*100</f>
        <v>-1.40054111926553</v>
      </c>
      <c r="R158" s="11" t="n">
        <v>0.0288686526949141</v>
      </c>
      <c r="S158" s="11" t="n">
        <v>0.0634915248485671</v>
      </c>
      <c r="T158" s="12" t="n">
        <f aca="false">(S158-R158)*100</f>
        <v>3.46228721536531</v>
      </c>
      <c r="U158" s="11" t="n">
        <v>0.0313351498637602</v>
      </c>
      <c r="V158" s="11" t="n">
        <v>0.0210563822386616</v>
      </c>
      <c r="W158" s="12" t="n">
        <f aca="false">(V158-U158)*100</f>
        <v>-1.02787676250986</v>
      </c>
      <c r="X158" s="11" t="n">
        <v>0.475400869098386</v>
      </c>
      <c r="Y158" s="11" t="n">
        <v>0.420183133402334</v>
      </c>
      <c r="Z158" s="12" t="n">
        <f aca="false">(Y158-X158)*100</f>
        <v>-5.52177356960529</v>
      </c>
      <c r="AA158" s="11" t="n">
        <v>0.365629083394954</v>
      </c>
      <c r="AB158" s="11" t="n">
        <v>0.43341194835163</v>
      </c>
      <c r="AC158" s="12" t="n">
        <f aca="false">(AB158-AA158)*100</f>
        <v>6.77828649566762</v>
      </c>
      <c r="AD158" s="11" t="n">
        <v>0.628766865910242</v>
      </c>
      <c r="AE158" s="11" t="n">
        <v>0.508905288486446</v>
      </c>
      <c r="AF158" s="12" t="n">
        <f aca="false">(AE158-AD158)*100</f>
        <v>-11.9861577423795</v>
      </c>
      <c r="AG158" s="11" t="n">
        <v>0.0314060553265197</v>
      </c>
      <c r="AH158" s="11" t="n">
        <v>0.0308069068100967</v>
      </c>
      <c r="AI158" s="12" t="n">
        <f aca="false">(AH158-AG158)*100</f>
        <v>-0.0599148516422988</v>
      </c>
      <c r="AJ158" s="14" t="s">
        <v>74</v>
      </c>
      <c r="AK158" s="14" t="s">
        <v>132</v>
      </c>
      <c r="AL158" s="14" t="s">
        <v>133</v>
      </c>
      <c r="AM158" s="20" t="n">
        <v>18.3032322761667</v>
      </c>
      <c r="AN158" s="20" t="n">
        <v>1.32288149492961</v>
      </c>
      <c r="AO158" s="12" t="n">
        <v>-16.980350781237</v>
      </c>
    </row>
    <row r="159" customFormat="false" ht="15" hidden="false" customHeight="false" outlineLevel="0" collapsed="false">
      <c r="A159" s="14" t="s">
        <v>96</v>
      </c>
      <c r="B159" s="14" t="n">
        <v>29</v>
      </c>
      <c r="C159" s="11" t="n">
        <v>0.445213344152365</v>
      </c>
      <c r="D159" s="11" t="n">
        <v>0.405434109213205</v>
      </c>
      <c r="E159" s="12" t="n">
        <f aca="false">(D159-C159)*100</f>
        <v>-3.97792349391599</v>
      </c>
      <c r="F159" s="11" t="n">
        <v>0.0251848676454828</v>
      </c>
      <c r="G159" s="11" t="n">
        <v>0.0151404043341383</v>
      </c>
      <c r="H159" s="12" t="n">
        <f aca="false">(G159-F159)*100</f>
        <v>-1.00444633113445</v>
      </c>
      <c r="I159" s="11" t="n">
        <v>0.0304259738403989</v>
      </c>
      <c r="J159" s="11" t="n">
        <v>0.0169673675293642</v>
      </c>
      <c r="K159" s="12" t="n">
        <f aca="false">(J159-I159)*100</f>
        <v>-1.34586063110347</v>
      </c>
      <c r="L159" s="11" t="n">
        <v>0.0683027899832101</v>
      </c>
      <c r="M159" s="11" t="n">
        <v>0.0582984587763772</v>
      </c>
      <c r="N159" s="12" t="n">
        <f aca="false">(M159-L159)*100</f>
        <v>-1.00043312068329</v>
      </c>
      <c r="O159" s="11" t="n">
        <v>0.133242494297044</v>
      </c>
      <c r="P159" s="11" t="n">
        <v>0.172783937895895</v>
      </c>
      <c r="Q159" s="12" t="n">
        <f aca="false">(P159-O159)*100</f>
        <v>3.9541443598851</v>
      </c>
      <c r="R159" s="11" t="n">
        <v>0.212711341100581</v>
      </c>
      <c r="S159" s="11" t="n">
        <v>0.0614719380981882</v>
      </c>
      <c r="T159" s="12" t="n">
        <f aca="false">(S159-R159)*100</f>
        <v>-15.1239403002393</v>
      </c>
      <c r="U159" s="11" t="n">
        <v>0.016861358196692</v>
      </c>
      <c r="V159" s="11" t="n">
        <v>0.195807467158914</v>
      </c>
      <c r="W159" s="12" t="n">
        <f aca="false">(V159-U159)*100</f>
        <v>17.8946108962222</v>
      </c>
      <c r="X159" s="11" t="n">
        <v>0.491107470745237</v>
      </c>
      <c r="Y159" s="11" t="n">
        <v>0.437541881076707</v>
      </c>
      <c r="Z159" s="12" t="n">
        <f aca="false">(Y159-X159)*100</f>
        <v>-5.35655896685301</v>
      </c>
      <c r="AA159" s="11" t="n">
        <v>0.414256625380835</v>
      </c>
      <c r="AB159" s="11" t="n">
        <v>0.29255433477046</v>
      </c>
      <c r="AC159" s="12" t="n">
        <f aca="false">(AB159-AA159)*100</f>
        <v>-12.1702290610375</v>
      </c>
      <c r="AD159" s="11" t="n">
        <v>0.661612171305863</v>
      </c>
      <c r="AE159" s="11" t="n">
        <v>0.532134411152264</v>
      </c>
      <c r="AF159" s="12" t="n">
        <f aca="false">(AE159-AD159)*100</f>
        <v>-12.9477760153599</v>
      </c>
      <c r="AG159" s="11" t="n">
        <v>0.027215987670387</v>
      </c>
      <c r="AH159" s="11" t="n">
        <v>0.0300279417900446</v>
      </c>
      <c r="AI159" s="12" t="n">
        <f aca="false">(AH159-AG159)*100</f>
        <v>0.281195411965764</v>
      </c>
      <c r="AJ159" s="14" t="s">
        <v>74</v>
      </c>
      <c r="AK159" s="14" t="s">
        <v>74</v>
      </c>
      <c r="AL159" s="14" t="s">
        <v>134</v>
      </c>
      <c r="AM159" s="20" t="n">
        <v>19.3231981464754</v>
      </c>
      <c r="AN159" s="20" t="n">
        <v>14.4987546306247</v>
      </c>
      <c r="AO159" s="12" t="n">
        <v>-4.82444351585069</v>
      </c>
    </row>
    <row r="160" customFormat="false" ht="15" hidden="false" customHeight="false" outlineLevel="0" collapsed="false">
      <c r="A160" s="14" t="s">
        <v>96</v>
      </c>
      <c r="B160" s="14" t="n">
        <v>30</v>
      </c>
      <c r="C160" s="11" t="n">
        <v>0.430509199021956</v>
      </c>
      <c r="D160" s="11" t="n">
        <v>0.412887431429737</v>
      </c>
      <c r="E160" s="12" t="n">
        <f aca="false">(D160-C160)*100</f>
        <v>-1.76217675922185</v>
      </c>
      <c r="F160" s="11" t="n">
        <v>0.0261419421344748</v>
      </c>
      <c r="G160" s="11" t="n">
        <v>0.0147038822480468</v>
      </c>
      <c r="H160" s="12" t="n">
        <f aca="false">(G160-F160)*100</f>
        <v>-1.1438059886428</v>
      </c>
      <c r="I160" s="11" t="n">
        <v>0.0282853425354981</v>
      </c>
      <c r="J160" s="11" t="n">
        <v>0.025478669548003</v>
      </c>
      <c r="K160" s="12" t="n">
        <f aca="false">(J160-I160)*100</f>
        <v>-0.280667298749515</v>
      </c>
      <c r="L160" s="11" t="n">
        <v>0.0521267434770857</v>
      </c>
      <c r="M160" s="11" t="n">
        <v>0.0315687667175434</v>
      </c>
      <c r="N160" s="12" t="n">
        <f aca="false">(M160-L160)*100</f>
        <v>-2.05579767595423</v>
      </c>
      <c r="O160" s="11" t="n">
        <v>0.334527603351499</v>
      </c>
      <c r="P160" s="11" t="n">
        <v>0.395010049415925</v>
      </c>
      <c r="Q160" s="12" t="n">
        <f aca="false">(P160-O160)*100</f>
        <v>6.04824460644261</v>
      </c>
      <c r="R160" s="11" t="n">
        <v>0.0454954020604301</v>
      </c>
      <c r="S160" s="11" t="n">
        <v>0.0221011590830097</v>
      </c>
      <c r="T160" s="12" t="n">
        <f aca="false">(S160-R160)*100</f>
        <v>-2.33942429774204</v>
      </c>
      <c r="U160" s="11" t="n">
        <v>0.014073529319329</v>
      </c>
      <c r="V160" s="11" t="n">
        <v>0.0147718858144561</v>
      </c>
      <c r="W160" s="12" t="n">
        <f aca="false">(V160-U160)*100</f>
        <v>0.06983564951271</v>
      </c>
      <c r="X160" s="11" t="n">
        <v>0.481982236804888</v>
      </c>
      <c r="Y160" s="11" t="n">
        <v>0.453069983225787</v>
      </c>
      <c r="Z160" s="12" t="n">
        <f aca="false">(Y160-X160)*100</f>
        <v>-2.89122535791007</v>
      </c>
      <c r="AA160" s="11" t="n">
        <v>0.432149748889015</v>
      </c>
      <c r="AB160" s="11" t="n">
        <v>0.448679975216478</v>
      </c>
      <c r="AC160" s="12" t="n">
        <f aca="false">(AB160-AA160)*100</f>
        <v>1.65302263274634</v>
      </c>
      <c r="AD160" s="11" t="n">
        <v>0.604500324871476</v>
      </c>
      <c r="AE160" s="11" t="n">
        <v>0.46420579301443</v>
      </c>
      <c r="AF160" s="12" t="n">
        <f aca="false">(AE160-AD160)*100</f>
        <v>-14.0294531857046</v>
      </c>
      <c r="AG160" s="11" t="n">
        <v>0.0262487978729422</v>
      </c>
      <c r="AH160" s="11" t="n">
        <v>0.0270049718162997</v>
      </c>
      <c r="AI160" s="12" t="n">
        <f aca="false">(AH160-AG160)*100</f>
        <v>0.0756173943357461</v>
      </c>
      <c r="AJ160" s="14" t="s">
        <v>74</v>
      </c>
      <c r="AK160" s="14" t="s">
        <v>74</v>
      </c>
      <c r="AL160" s="14" t="s">
        <v>134</v>
      </c>
      <c r="AM160" s="20" t="n">
        <v>10.2336369293432</v>
      </c>
      <c r="AN160" s="20" t="n">
        <v>0.439000800930893</v>
      </c>
      <c r="AO160" s="12" t="n">
        <v>-9.79463612841232</v>
      </c>
    </row>
    <row r="161" customFormat="false" ht="15" hidden="false" customHeight="false" outlineLevel="0" collapsed="false">
      <c r="A161" s="14" t="s">
        <v>96</v>
      </c>
      <c r="B161" s="14" t="n">
        <v>31</v>
      </c>
      <c r="C161" s="11" t="n">
        <v>0.435222467487567</v>
      </c>
      <c r="D161" s="11" t="n">
        <v>0.42668072623055</v>
      </c>
      <c r="E161" s="12" t="n">
        <f aca="false">(D161-C161)*100</f>
        <v>-0.854174125701701</v>
      </c>
      <c r="F161" s="11" t="n">
        <v>0.0261961118055371</v>
      </c>
      <c r="G161" s="11" t="n">
        <v>0.0158710846142407</v>
      </c>
      <c r="H161" s="12" t="n">
        <f aca="false">(G161-F161)*100</f>
        <v>-1.03250271912964</v>
      </c>
      <c r="I161" s="11" t="n">
        <v>0.0289300816467647</v>
      </c>
      <c r="J161" s="11" t="n">
        <v>0.0193927349907396</v>
      </c>
      <c r="K161" s="12" t="n">
        <f aca="false">(J161-I161)*100</f>
        <v>-0.95373466560251</v>
      </c>
      <c r="L161" s="11" t="n">
        <v>0.0585463152575729</v>
      </c>
      <c r="M161" s="11" t="n">
        <v>0.0460450717172946</v>
      </c>
      <c r="N161" s="12" t="n">
        <f aca="false">(M161-L161)*100</f>
        <v>-1.25012435402783</v>
      </c>
      <c r="O161" s="11" t="n">
        <v>0.134661312199144</v>
      </c>
      <c r="P161" s="11" t="n">
        <v>0.156081437320031</v>
      </c>
      <c r="Q161" s="12" t="n">
        <f aca="false">(P161-O161)*100</f>
        <v>2.14201251208871</v>
      </c>
      <c r="R161" s="11" t="n">
        <v>0.231110874710779</v>
      </c>
      <c r="S161" s="11" t="n">
        <v>0.0525070635789701</v>
      </c>
      <c r="T161" s="12" t="n">
        <f aca="false">(S161-R161)*100</f>
        <v>-17.8603811131809</v>
      </c>
      <c r="U161" s="11" t="n">
        <v>0.0177388899231403</v>
      </c>
      <c r="V161" s="11" t="n">
        <v>0.215408741263468</v>
      </c>
      <c r="W161" s="12" t="n">
        <f aca="false">(V161-U161)*100</f>
        <v>19.7669851340328</v>
      </c>
      <c r="X161" s="11" t="n">
        <v>0.482348873700168</v>
      </c>
      <c r="Y161" s="11" t="n">
        <v>0.46194454583553</v>
      </c>
      <c r="Z161" s="12" t="n">
        <f aca="false">(Y161-X161)*100</f>
        <v>-2.04043278646374</v>
      </c>
      <c r="AA161" s="11" t="n">
        <v>0.424318502167496</v>
      </c>
      <c r="AB161" s="11" t="n">
        <v>0.254633572616296</v>
      </c>
      <c r="AC161" s="12" t="n">
        <f aca="false">(AB161-AA161)*100</f>
        <v>-16.96849295512</v>
      </c>
      <c r="AD161" s="11" t="n">
        <v>0.648076333088588</v>
      </c>
      <c r="AE161" s="11" t="n">
        <v>0.509189658020816</v>
      </c>
      <c r="AF161" s="12" t="n">
        <f aca="false">(AE161-AD161)*100</f>
        <v>-13.8886675067771</v>
      </c>
      <c r="AG161" s="11" t="n">
        <v>0.0292917741549427</v>
      </c>
      <c r="AH161" s="11" t="n">
        <v>0.0312149355828636</v>
      </c>
      <c r="AI161" s="12" t="n">
        <f aca="false">(AH161-AG161)*100</f>
        <v>0.192316142792087</v>
      </c>
      <c r="AJ161" s="14" t="s">
        <v>74</v>
      </c>
      <c r="AK161" s="14" t="s">
        <v>74</v>
      </c>
      <c r="AL161" s="14" t="s">
        <v>134</v>
      </c>
      <c r="AM161" s="20" t="n">
        <v>17.4952793808675</v>
      </c>
      <c r="AN161" s="20" t="n">
        <v>20.7310973219235</v>
      </c>
      <c r="AO161" s="12" t="n">
        <v>3.23581794105593</v>
      </c>
    </row>
    <row r="162" customFormat="false" ht="15" hidden="false" customHeight="false" outlineLevel="0" collapsed="false">
      <c r="A162" s="14" t="s">
        <v>96</v>
      </c>
      <c r="B162" s="14" t="n">
        <v>32</v>
      </c>
      <c r="C162" s="11" t="n">
        <v>0.475971065295822</v>
      </c>
      <c r="D162" s="11" t="n">
        <v>0.450417169466304</v>
      </c>
      <c r="E162" s="12" t="n">
        <f aca="false">(D162-C162)*100</f>
        <v>-2.55538958295174</v>
      </c>
      <c r="F162" s="11" t="n">
        <v>0.0360840576043944</v>
      </c>
      <c r="G162" s="11" t="n">
        <v>0.0213433819229032</v>
      </c>
      <c r="H162" s="12" t="n">
        <f aca="false">(G162-F162)*100</f>
        <v>-1.47406756814912</v>
      </c>
      <c r="I162" s="11" t="n">
        <v>0.0416433273705196</v>
      </c>
      <c r="J162" s="11" t="n">
        <v>0.0813832110573969</v>
      </c>
      <c r="K162" s="12" t="n">
        <f aca="false">(J162-I162)*100</f>
        <v>3.97398836868773</v>
      </c>
      <c r="L162" s="11" t="n">
        <v>0.0522077468394076</v>
      </c>
      <c r="M162" s="11" t="n">
        <v>0.0288280018063771</v>
      </c>
      <c r="N162" s="12" t="n">
        <f aca="false">(M162-L162)*100</f>
        <v>-2.33797450330305</v>
      </c>
      <c r="O162" s="11" t="n">
        <v>0.125719000897434</v>
      </c>
      <c r="P162" s="11" t="n">
        <v>0.11298000399772</v>
      </c>
      <c r="Q162" s="12" t="n">
        <f aca="false">(P162-O162)*100</f>
        <v>-1.27389968997138</v>
      </c>
      <c r="R162" s="11" t="n">
        <v>0.164109884417782</v>
      </c>
      <c r="S162" s="11" t="n">
        <v>0.184139416777098</v>
      </c>
      <c r="T162" s="12" t="n">
        <f aca="false">(S162-R162)*100</f>
        <v>2.00295323593151</v>
      </c>
      <c r="U162" s="11" t="n">
        <v>0.0257123755488499</v>
      </c>
      <c r="V162" s="11" t="n">
        <v>0.0333439445649518</v>
      </c>
      <c r="W162" s="12" t="n">
        <f aca="false">(V162-U162)*100</f>
        <v>0.763156901610194</v>
      </c>
      <c r="X162" s="11" t="n">
        <v>0.538213203717423</v>
      </c>
      <c r="Y162" s="11" t="n">
        <v>0.553143762446605</v>
      </c>
      <c r="Z162" s="12" t="n">
        <f aca="false">(Y162-X162)*100</f>
        <v>1.49305587291817</v>
      </c>
      <c r="AA162" s="11" t="n">
        <v>0.342036632154624</v>
      </c>
      <c r="AB162" s="11" t="n">
        <v>0.325947422581194</v>
      </c>
      <c r="AC162" s="12" t="n">
        <f aca="false">(AB162-AA162)*100</f>
        <v>-1.60892095734292</v>
      </c>
      <c r="AD162" s="11" t="n">
        <v>0.632898894907579</v>
      </c>
      <c r="AE162" s="11" t="n">
        <v>0.496983009190784</v>
      </c>
      <c r="AF162" s="12" t="n">
        <f aca="false">(AE162-AD162)*100</f>
        <v>-13.5915885716794</v>
      </c>
      <c r="AG162" s="11" t="n">
        <v>0.035162531846846</v>
      </c>
      <c r="AH162" s="11" t="n">
        <v>0.0353428044744849</v>
      </c>
      <c r="AI162" s="12" t="n">
        <f aca="false">(AH162-AG162)*100</f>
        <v>0.0180272627638894</v>
      </c>
      <c r="AJ162" s="14" t="s">
        <v>74</v>
      </c>
      <c r="AK162" s="14" t="s">
        <v>74</v>
      </c>
      <c r="AL162" s="14" t="s">
        <v>134</v>
      </c>
      <c r="AM162" s="20" t="n">
        <v>29.6183196911383</v>
      </c>
      <c r="AN162" s="20" t="n">
        <v>22.719633986541</v>
      </c>
      <c r="AO162" s="12" t="n">
        <v>-6.89868570459729</v>
      </c>
    </row>
    <row r="163" customFormat="false" ht="15" hidden="false" customHeight="false" outlineLevel="0" collapsed="false">
      <c r="A163" s="14" t="s">
        <v>96</v>
      </c>
      <c r="B163" s="14" t="n">
        <v>33</v>
      </c>
      <c r="C163" s="11" t="n">
        <v>0.484836618632223</v>
      </c>
      <c r="D163" s="11" t="n">
        <v>0.438029799469734</v>
      </c>
      <c r="E163" s="12" t="n">
        <f aca="false">(D163-C163)*100</f>
        <v>-4.68068191624895</v>
      </c>
      <c r="F163" s="11" t="n">
        <v>0.0346643211721047</v>
      </c>
      <c r="G163" s="11" t="n">
        <v>0.0218454759326338</v>
      </c>
      <c r="H163" s="12" t="n">
        <f aca="false">(G163-F163)*100</f>
        <v>-1.28188452394709</v>
      </c>
      <c r="I163" s="11" t="n">
        <v>0.027712178900188</v>
      </c>
      <c r="J163" s="11" t="n">
        <v>0.0556555509914485</v>
      </c>
      <c r="K163" s="12" t="n">
        <f aca="false">(J163-I163)*100</f>
        <v>2.79433720912606</v>
      </c>
      <c r="L163" s="11" t="n">
        <v>0.0827088052436262</v>
      </c>
      <c r="M163" s="11" t="n">
        <v>0.0529444714141678</v>
      </c>
      <c r="N163" s="12" t="n">
        <f aca="false">(M163-L163)*100</f>
        <v>-2.97643338294584</v>
      </c>
      <c r="O163" s="11" t="n">
        <v>0.16537543978023</v>
      </c>
      <c r="P163" s="11" t="n">
        <v>0.259113484446768</v>
      </c>
      <c r="Q163" s="12" t="n">
        <f aca="false">(P163-O163)*100</f>
        <v>9.37380446665376</v>
      </c>
      <c r="R163" s="11" t="n">
        <v>0.0572557713624753</v>
      </c>
      <c r="S163" s="11" t="n">
        <v>0.0333694312707719</v>
      </c>
      <c r="T163" s="12" t="n">
        <f aca="false">(S163-R163)*100</f>
        <v>-2.38863400917034</v>
      </c>
      <c r="U163" s="11" t="n">
        <v>0.0525206034025736</v>
      </c>
      <c r="V163" s="11" t="n">
        <v>0.0492027334851936</v>
      </c>
      <c r="W163" s="12" t="n">
        <f aca="false">(V163-U163)*100</f>
        <v>-0.331786991738</v>
      </c>
      <c r="X163" s="11" t="n">
        <v>0.561527061545135</v>
      </c>
      <c r="Y163" s="11" t="n">
        <v>0.515530826393816</v>
      </c>
      <c r="Z163" s="12" t="n">
        <f aca="false">(Y163-X163)*100</f>
        <v>-4.59962351513186</v>
      </c>
      <c r="AA163" s="11" t="n">
        <v>0.305340016386332</v>
      </c>
      <c r="AB163" s="11" t="n">
        <v>0.345427387131708</v>
      </c>
      <c r="AC163" s="12" t="n">
        <f aca="false">(AB163-AA163)*100</f>
        <v>4.00873707453759</v>
      </c>
      <c r="AD163" s="11" t="n">
        <v>0.637320361063224</v>
      </c>
      <c r="AE163" s="11" t="n">
        <v>0.472329422389039</v>
      </c>
      <c r="AF163" s="12" t="n">
        <f aca="false">(AE163-AD163)*100</f>
        <v>-16.4990938674185</v>
      </c>
      <c r="AG163" s="11" t="n">
        <v>0.031393079184539</v>
      </c>
      <c r="AH163" s="11" t="n">
        <v>0.0345419918592927</v>
      </c>
      <c r="AI163" s="12" t="n">
        <f aca="false">(AH163-AG163)*100</f>
        <v>0.314891267475372</v>
      </c>
      <c r="AJ163" s="14" t="s">
        <v>74</v>
      </c>
      <c r="AK163" s="14" t="s">
        <v>74</v>
      </c>
      <c r="AL163" s="14" t="s">
        <v>134</v>
      </c>
      <c r="AM163" s="20" t="n">
        <v>34.7450479541183</v>
      </c>
      <c r="AN163" s="20" t="n">
        <v>17.0103439262108</v>
      </c>
      <c r="AO163" s="12" t="n">
        <v>-17.7347040279074</v>
      </c>
    </row>
    <row r="164" customFormat="false" ht="15" hidden="false" customHeight="false" outlineLevel="0" collapsed="false">
      <c r="A164" s="14" t="s">
        <v>96</v>
      </c>
      <c r="B164" s="14" t="n">
        <v>34</v>
      </c>
      <c r="C164" s="11" t="n">
        <v>0.399850675354646</v>
      </c>
      <c r="D164" s="11" t="n">
        <v>0.337487159799537</v>
      </c>
      <c r="E164" s="12" t="n">
        <f aca="false">(D164-C164)*100</f>
        <v>-6.23635155551087</v>
      </c>
      <c r="F164" s="11" t="n">
        <v>0.0301873345550804</v>
      </c>
      <c r="G164" s="11" t="n">
        <v>0.0156987663031636</v>
      </c>
      <c r="H164" s="12" t="n">
        <f aca="false">(G164-F164)*100</f>
        <v>-1.44885682519168</v>
      </c>
      <c r="I164" s="11" t="n">
        <v>0.0389940948890246</v>
      </c>
      <c r="J164" s="11" t="n">
        <v>0.0323261774074727</v>
      </c>
      <c r="K164" s="12" t="n">
        <f aca="false">(J164-I164)*100</f>
        <v>-0.66679174815519</v>
      </c>
      <c r="L164" s="11" t="n">
        <v>0.220355664155298</v>
      </c>
      <c r="M164" s="11" t="n">
        <v>0.176587775091568</v>
      </c>
      <c r="N164" s="12" t="n">
        <f aca="false">(M164-L164)*100</f>
        <v>-4.37678890637301</v>
      </c>
      <c r="O164" s="11" t="n">
        <v>0.185484965723206</v>
      </c>
      <c r="P164" s="11" t="n">
        <v>0.312424126088175</v>
      </c>
      <c r="Q164" s="12" t="n">
        <f aca="false">(P164-O164)*100</f>
        <v>12.6939160364968</v>
      </c>
      <c r="R164" s="11" t="n">
        <v>0.0341495282698704</v>
      </c>
      <c r="S164" s="11" t="n">
        <v>0.0159685402118763</v>
      </c>
      <c r="T164" s="12" t="n">
        <f aca="false">(S164-R164)*100</f>
        <v>-1.81809880579941</v>
      </c>
      <c r="U164" s="11" t="n">
        <v>0.0218429715604425</v>
      </c>
      <c r="V164" s="11" t="n">
        <v>0.0274961868495595</v>
      </c>
      <c r="W164" s="12" t="n">
        <f aca="false">(V164-U164)*100</f>
        <v>0.5653215289117</v>
      </c>
      <c r="X164" s="11" t="n">
        <v>0.455957713975429</v>
      </c>
      <c r="Y164" s="11" t="n">
        <v>0.385512103510174</v>
      </c>
      <c r="Z164" s="12" t="n">
        <f aca="false">(Y164-X164)*100</f>
        <v>-7.04456104652557</v>
      </c>
      <c r="AA164" s="11" t="n">
        <v>0.439990158148374</v>
      </c>
      <c r="AB164" s="11" t="n">
        <v>0.504980441391618</v>
      </c>
      <c r="AC164" s="12" t="n">
        <f aca="false">(AB164-AA164)*100</f>
        <v>6.4990283243244</v>
      </c>
      <c r="AD164" s="11" t="n">
        <v>0.718856065942712</v>
      </c>
      <c r="AE164" s="11" t="n">
        <v>0.567217147699986</v>
      </c>
      <c r="AF164" s="12" t="n">
        <f aca="false">(AE164-AD164)*100</f>
        <v>-15.1638918242726</v>
      </c>
      <c r="AG164" s="11" t="n">
        <v>0.0241973800312224</v>
      </c>
      <c r="AH164" s="11" t="n">
        <v>0.0237037882482335</v>
      </c>
      <c r="AI164" s="12" t="n">
        <f aca="false">(AH164-AG164)*100</f>
        <v>-0.0493591782988922</v>
      </c>
      <c r="AJ164" s="14" t="s">
        <v>74</v>
      </c>
      <c r="AK164" s="14" t="s">
        <v>132</v>
      </c>
      <c r="AL164" s="14" t="s">
        <v>133</v>
      </c>
      <c r="AM164" s="20" t="n">
        <v>17.9609549989819</v>
      </c>
      <c r="AN164" s="20" t="n">
        <v>11.9468337881445</v>
      </c>
      <c r="AO164" s="12" t="n">
        <v>-6.0141212108374</v>
      </c>
    </row>
    <row r="165" customFormat="false" ht="15" hidden="false" customHeight="false" outlineLevel="0" collapsed="false">
      <c r="A165" s="14" t="s">
        <v>96</v>
      </c>
      <c r="B165" s="14" t="n">
        <v>35</v>
      </c>
      <c r="C165" s="11" t="n">
        <v>0.349460893203096</v>
      </c>
      <c r="D165" s="11" t="n">
        <v>0.271661615763325</v>
      </c>
      <c r="E165" s="12" t="n">
        <f aca="false">(D165-C165)*100</f>
        <v>-7.77992774397709</v>
      </c>
      <c r="F165" s="11" t="n">
        <v>0.0730913185040927</v>
      </c>
      <c r="G165" s="11" t="n">
        <v>0.0548990007097552</v>
      </c>
      <c r="H165" s="12" t="n">
        <f aca="false">(G165-F165)*100</f>
        <v>-1.81923177943376</v>
      </c>
      <c r="I165" s="11" t="n">
        <v>0.0476219456531662</v>
      </c>
      <c r="J165" s="11" t="n">
        <v>0.103922805673535</v>
      </c>
      <c r="K165" s="12" t="n">
        <f aca="false">(J165-I165)*100</f>
        <v>5.63008600203689</v>
      </c>
      <c r="L165" s="11" t="n">
        <v>0.148829991175486</v>
      </c>
      <c r="M165" s="11" t="n">
        <v>0.0432894336604216</v>
      </c>
      <c r="N165" s="12" t="n">
        <f aca="false">(M165-L165)*100</f>
        <v>-10.5540557515065</v>
      </c>
      <c r="O165" s="11" t="n">
        <v>0.207168142490542</v>
      </c>
      <c r="P165" s="11" t="n">
        <v>0.28567083131485</v>
      </c>
      <c r="Q165" s="12" t="n">
        <f aca="false">(P165-O165)*100</f>
        <v>7.85026888243081</v>
      </c>
      <c r="R165" s="11" t="n">
        <v>0.0662092119810527</v>
      </c>
      <c r="S165" s="11" t="n">
        <v>0.0436499442335207</v>
      </c>
      <c r="T165" s="12" t="n">
        <f aca="false">(S165-R165)*100</f>
        <v>-2.25592677475319</v>
      </c>
      <c r="U165" s="11" t="n">
        <v>0.0238769031027802</v>
      </c>
      <c r="V165" s="11" t="n">
        <v>0.0746989173416852</v>
      </c>
      <c r="W165" s="12" t="n">
        <f aca="false">(V165-U165)*100</f>
        <v>5.08220142389049</v>
      </c>
      <c r="X165" s="11" t="n">
        <v>0.441073547758878</v>
      </c>
      <c r="Y165" s="11" t="n">
        <v>0.430483422146615</v>
      </c>
      <c r="Z165" s="12" t="n">
        <f aca="false">(Y165-X165)*100</f>
        <v>-1.05901256122625</v>
      </c>
      <c r="AA165" s="11" t="n">
        <v>0.42220734564708</v>
      </c>
      <c r="AB165" s="11" t="n">
        <v>0.372610209208792</v>
      </c>
      <c r="AC165" s="12" t="n">
        <f aca="false">(AB165-AA165)*100</f>
        <v>-4.95971364382883</v>
      </c>
      <c r="AD165" s="11" t="n">
        <v>0.693041745310375</v>
      </c>
      <c r="AE165" s="11" t="n">
        <v>0.589959855372999</v>
      </c>
      <c r="AF165" s="12" t="n">
        <f aca="false">(AE165-AD165)*100</f>
        <v>-10.3081889937375</v>
      </c>
      <c r="AG165" s="11" t="n">
        <v>0.0398117437036586</v>
      </c>
      <c r="AH165" s="11" t="n">
        <v>0.0309025156878429</v>
      </c>
      <c r="AI165" s="12" t="n">
        <f aca="false">(AH165-AG165)*100</f>
        <v>-0.890922801581571</v>
      </c>
      <c r="AJ165" s="14" t="s">
        <v>74</v>
      </c>
      <c r="AK165" s="14" t="s">
        <v>74</v>
      </c>
      <c r="AL165" s="14" t="s">
        <v>134</v>
      </c>
      <c r="AM165" s="20" t="n">
        <v>16.1229954660256</v>
      </c>
      <c r="AN165" s="20" t="n">
        <v>5.78732129378232</v>
      </c>
      <c r="AO165" s="12" t="n">
        <v>-10.3356741722433</v>
      </c>
    </row>
    <row r="166" customFormat="false" ht="15" hidden="false" customHeight="false" outlineLevel="0" collapsed="false">
      <c r="A166" s="14" t="s">
        <v>96</v>
      </c>
      <c r="B166" s="14" t="n">
        <v>36</v>
      </c>
      <c r="C166" s="11" t="n">
        <v>0.323006868734371</v>
      </c>
      <c r="D166" s="11" t="n">
        <v>0.331482460779129</v>
      </c>
      <c r="E166" s="12" t="n">
        <f aca="false">(D166-C166)*100</f>
        <v>0.847559204475801</v>
      </c>
      <c r="F166" s="11" t="n">
        <v>0.0274025874192279</v>
      </c>
      <c r="G166" s="11" t="n">
        <v>0.0159674481461896</v>
      </c>
      <c r="H166" s="12" t="n">
        <f aca="false">(G166-F166)*100</f>
        <v>-1.14351392730384</v>
      </c>
      <c r="I166" s="11" t="n">
        <v>0.0325756171234518</v>
      </c>
      <c r="J166" s="11" t="n">
        <v>0.0668811328515189</v>
      </c>
      <c r="K166" s="12" t="n">
        <f aca="false">(J166-I166)*100</f>
        <v>3.43055157280671</v>
      </c>
      <c r="L166" s="11" t="n">
        <v>0.0834422352552827</v>
      </c>
      <c r="M166" s="11" t="n">
        <v>0.0465509136847053</v>
      </c>
      <c r="N166" s="12" t="n">
        <f aca="false">(M166-L166)*100</f>
        <v>-3.68913215705774</v>
      </c>
      <c r="O166" s="11" t="n">
        <v>0.303318607080358</v>
      </c>
      <c r="P166" s="11" t="n">
        <v>0.351474822257477</v>
      </c>
      <c r="Q166" s="12" t="n">
        <f aca="false">(P166-O166)*100</f>
        <v>4.81562151771186</v>
      </c>
      <c r="R166" s="11" t="n">
        <v>0.143515399259316</v>
      </c>
      <c r="S166" s="11" t="n">
        <v>0.078289950447539</v>
      </c>
      <c r="T166" s="12" t="n">
        <f aca="false">(S166-R166)*100</f>
        <v>-6.52254488117772</v>
      </c>
      <c r="U166" s="11" t="n">
        <v>0.0136922499513898</v>
      </c>
      <c r="V166" s="11" t="n">
        <v>0.0201441526137454</v>
      </c>
      <c r="W166" s="12" t="n">
        <f aca="false">(V166-U166)*100</f>
        <v>0.645190266235562</v>
      </c>
      <c r="X166" s="11" t="n">
        <v>0.360873084418961</v>
      </c>
      <c r="Y166" s="11" t="n">
        <v>0.414331041776838</v>
      </c>
      <c r="Z166" s="12" t="n">
        <f aca="false">(Y166-X166)*100</f>
        <v>5.34579573578765</v>
      </c>
      <c r="AA166" s="11" t="n">
        <v>0.530276241594957</v>
      </c>
      <c r="AB166" s="11" t="n">
        <v>0.476315686389721</v>
      </c>
      <c r="AC166" s="12" t="n">
        <f aca="false">(AB166-AA166)*100</f>
        <v>-5.39605552052359</v>
      </c>
      <c r="AD166" s="11" t="n">
        <v>0.74600427739659</v>
      </c>
      <c r="AE166" s="11" t="n">
        <v>0.65733054816169</v>
      </c>
      <c r="AF166" s="12" t="n">
        <f aca="false">(AE166-AD166)*100</f>
        <v>-8.86737292349001</v>
      </c>
      <c r="AG166" s="11" t="n">
        <v>0.0371110618728719</v>
      </c>
      <c r="AH166" s="11" t="n">
        <v>0.032527371369254</v>
      </c>
      <c r="AI166" s="12" t="n">
        <f aca="false">(AH166-AG166)*100</f>
        <v>-0.458369050361792</v>
      </c>
      <c r="AJ166" s="14" t="s">
        <v>153</v>
      </c>
      <c r="AK166" s="14" t="s">
        <v>132</v>
      </c>
      <c r="AL166" s="14" t="s">
        <v>154</v>
      </c>
      <c r="AM166" s="20" t="n">
        <v>0.018991892270752</v>
      </c>
      <c r="AN166" s="20" t="n">
        <v>6.19846446128836</v>
      </c>
      <c r="AO166" s="12" t="n">
        <v>6.17947256901761</v>
      </c>
    </row>
    <row r="167" customFormat="false" ht="15" hidden="false" customHeight="false" outlineLevel="0" collapsed="false">
      <c r="A167" s="14" t="s">
        <v>96</v>
      </c>
      <c r="B167" s="14" t="n">
        <v>37</v>
      </c>
      <c r="C167" s="11" t="n">
        <v>0.461427387495488</v>
      </c>
      <c r="D167" s="11" t="n">
        <v>0.377466401459035</v>
      </c>
      <c r="E167" s="12" t="n">
        <f aca="false">(D167-C167)*100</f>
        <v>-8.39609860364522</v>
      </c>
      <c r="F167" s="11" t="n">
        <v>0.0273030948591882</v>
      </c>
      <c r="G167" s="11" t="n">
        <v>0.0158357286619016</v>
      </c>
      <c r="H167" s="12" t="n">
        <f aca="false">(G167-F167)*100</f>
        <v>-1.14673661972866</v>
      </c>
      <c r="I167" s="11" t="n">
        <v>0.0397394766144162</v>
      </c>
      <c r="J167" s="11" t="n">
        <v>0.06650061678481</v>
      </c>
      <c r="K167" s="12" t="n">
        <f aca="false">(J167-I167)*100</f>
        <v>2.67611401703937</v>
      </c>
      <c r="L167" s="11" t="n">
        <v>0.141218521362002</v>
      </c>
      <c r="M167" s="11" t="n">
        <v>0.125292899006652</v>
      </c>
      <c r="N167" s="12" t="n">
        <f aca="false">(M167-L167)*100</f>
        <v>-1.59256223553506</v>
      </c>
      <c r="O167" s="11" t="n">
        <v>0.174699132097152</v>
      </c>
      <c r="P167" s="11" t="n">
        <v>0.178938421857201</v>
      </c>
      <c r="Q167" s="12" t="n">
        <f aca="false">(P167-O167)*100</f>
        <v>0.423928976004878</v>
      </c>
      <c r="R167" s="11" t="n">
        <v>0.0263268948195301</v>
      </c>
      <c r="S167" s="11" t="n">
        <v>0.0166089230169926</v>
      </c>
      <c r="T167" s="12" t="n">
        <f aca="false">(S167-R167)*100</f>
        <v>-0.971797180253753</v>
      </c>
      <c r="U167" s="11" t="n">
        <v>0.0497811176473579</v>
      </c>
      <c r="V167" s="11" t="n">
        <v>0.0842781847049172</v>
      </c>
      <c r="W167" s="12" t="n">
        <f aca="false">(V167-U167)*100</f>
        <v>3.44970670575593</v>
      </c>
      <c r="X167" s="11" t="n">
        <v>0.514477758400659</v>
      </c>
      <c r="Y167" s="11" t="n">
        <v>0.459802746905747</v>
      </c>
      <c r="Z167" s="12" t="n">
        <f aca="false">(Y167-X167)*100</f>
        <v>-5.46750114949119</v>
      </c>
      <c r="AA167" s="11" t="n">
        <v>0.342244548278685</v>
      </c>
      <c r="AB167" s="11" t="n">
        <v>0.320840243880845</v>
      </c>
      <c r="AC167" s="12" t="n">
        <f aca="false">(AB167-AA167)*100</f>
        <v>-2.14043043978394</v>
      </c>
      <c r="AD167" s="11" t="n">
        <v>0.684989377633824</v>
      </c>
      <c r="AE167" s="11" t="n">
        <v>0.549816324411329</v>
      </c>
      <c r="AF167" s="12" t="n">
        <f aca="false">(AE167-AD167)*100</f>
        <v>-13.5173053222495</v>
      </c>
      <c r="AG167" s="11" t="n">
        <v>0.027043791723654</v>
      </c>
      <c r="AH167" s="11" t="n">
        <v>0.0337903639915716</v>
      </c>
      <c r="AI167" s="12" t="n">
        <f aca="false">(AH167-AG167)*100</f>
        <v>0.674657226791755</v>
      </c>
      <c r="AJ167" s="14" t="s">
        <v>74</v>
      </c>
      <c r="AK167" s="14" t="s">
        <v>74</v>
      </c>
      <c r="AL167" s="14" t="s">
        <v>134</v>
      </c>
      <c r="AM167" s="20" t="n">
        <v>27.3880039251377</v>
      </c>
      <c r="AN167" s="20" t="n">
        <v>13.8962503024902</v>
      </c>
      <c r="AO167" s="12" t="n">
        <v>-13.4917536226475</v>
      </c>
    </row>
    <row r="168" customFormat="false" ht="15" hidden="false" customHeight="false" outlineLevel="0" collapsed="false">
      <c r="A168" s="14" t="s">
        <v>96</v>
      </c>
      <c r="B168" s="14" t="n">
        <v>38</v>
      </c>
      <c r="C168" s="11" t="n">
        <v>0.526139993434388</v>
      </c>
      <c r="D168" s="11" t="n">
        <v>0.402742233762352</v>
      </c>
      <c r="E168" s="12" t="n">
        <f aca="false">(D168-C168)*100</f>
        <v>-12.3397759672036</v>
      </c>
      <c r="F168" s="11" t="n">
        <v>0.0277527369742951</v>
      </c>
      <c r="G168" s="11" t="n">
        <v>0.011189359834121</v>
      </c>
      <c r="H168" s="12" t="n">
        <f aca="false">(G168-F168)*100</f>
        <v>-1.65633771401741</v>
      </c>
      <c r="I168" s="11" t="n">
        <v>0.0760933567472083</v>
      </c>
      <c r="J168" s="11" t="n">
        <v>0.127952228843268</v>
      </c>
      <c r="K168" s="12" t="n">
        <f aca="false">(J168-I168)*100</f>
        <v>5.18588720960597</v>
      </c>
      <c r="L168" s="11" t="n">
        <v>0.0760151947016555</v>
      </c>
      <c r="M168" s="11" t="n">
        <v>0.0867315487643136</v>
      </c>
      <c r="N168" s="12" t="n">
        <f aca="false">(M168-L168)*100</f>
        <v>1.07163540626581</v>
      </c>
      <c r="O168" s="11" t="n">
        <v>0.167339728725594</v>
      </c>
      <c r="P168" s="11" t="n">
        <v>0.227940398134484</v>
      </c>
      <c r="Q168" s="12" t="n">
        <f aca="false">(P168-O168)*100</f>
        <v>6.06006694088901</v>
      </c>
      <c r="R168" s="11" t="n">
        <v>0.0288730596272192</v>
      </c>
      <c r="S168" s="11" t="n">
        <v>0.031164577612563</v>
      </c>
      <c r="T168" s="12" t="n">
        <f aca="false">(S168-R168)*100</f>
        <v>0.229151798534382</v>
      </c>
      <c r="U168" s="11" t="n">
        <v>0.0196343058428735</v>
      </c>
      <c r="V168" s="11" t="n">
        <v>0.0224534399342462</v>
      </c>
      <c r="W168" s="12" t="n">
        <f aca="false">(V168-U168)*100</f>
        <v>0.281913409137272</v>
      </c>
      <c r="X168" s="11" t="n">
        <v>0.577372608892756</v>
      </c>
      <c r="Y168" s="11" t="n">
        <v>0.541883822439741</v>
      </c>
      <c r="Z168" s="12" t="n">
        <f aca="false">(Y168-X168)*100</f>
        <v>-3.54887864530152</v>
      </c>
      <c r="AA168" s="11" t="n">
        <v>0.272227983054469</v>
      </c>
      <c r="AB168" s="11" t="n">
        <v>0.345836524511361</v>
      </c>
      <c r="AC168" s="12" t="n">
        <f aca="false">(AB168-AA168)*100</f>
        <v>7.36085414568921</v>
      </c>
      <c r="AD168" s="11" t="n">
        <v>0.666920355581504</v>
      </c>
      <c r="AE168" s="11" t="n">
        <v>0.522426075924661</v>
      </c>
      <c r="AF168" s="12" t="n">
        <f aca="false">(AE168-AD168)*100</f>
        <v>-14.4494279656843</v>
      </c>
      <c r="AG168" s="11" t="n">
        <v>0.0281748120202804</v>
      </c>
      <c r="AH168" s="11" t="n">
        <v>0.0290848635421142</v>
      </c>
      <c r="AI168" s="12" t="n">
        <f aca="false">(AH168-AG168)*100</f>
        <v>0.0910051521833769</v>
      </c>
      <c r="AJ168" s="14" t="s">
        <v>74</v>
      </c>
      <c r="AK168" s="14" t="s">
        <v>74</v>
      </c>
      <c r="AL168" s="14" t="s">
        <v>134</v>
      </c>
      <c r="AM168" s="20" t="n">
        <v>30.8036621523743</v>
      </c>
      <c r="AN168" s="20" t="n">
        <v>19.6047297928381</v>
      </c>
      <c r="AO168" s="12" t="n">
        <v>-11.1989323595362</v>
      </c>
    </row>
    <row r="169" customFormat="false" ht="15" hidden="false" customHeight="false" outlineLevel="0" collapsed="false">
      <c r="A169" s="14" t="s">
        <v>96</v>
      </c>
      <c r="B169" s="14" t="n">
        <v>39</v>
      </c>
      <c r="C169" s="11" t="n">
        <v>0.416416004454424</v>
      </c>
      <c r="D169" s="11" t="n">
        <v>0.349351035371049</v>
      </c>
      <c r="E169" s="12" t="n">
        <f aca="false">(D169-C169)*100</f>
        <v>-6.70649690833746</v>
      </c>
      <c r="F169" s="11" t="n">
        <v>0.0348243952332823</v>
      </c>
      <c r="G169" s="11" t="n">
        <v>0.0216296138222226</v>
      </c>
      <c r="H169" s="12" t="n">
        <f aca="false">(G169-F169)*100</f>
        <v>-1.31947814110597</v>
      </c>
      <c r="I169" s="11" t="n">
        <v>0.0405013647725278</v>
      </c>
      <c r="J169" s="11" t="n">
        <v>0.032520635017415</v>
      </c>
      <c r="K169" s="12" t="n">
        <f aca="false">(J169-I169)*100</f>
        <v>-0.798072975511286</v>
      </c>
      <c r="L169" s="11" t="n">
        <v>0.0543306562407326</v>
      </c>
      <c r="M169" s="11" t="n">
        <v>0.036666692071428</v>
      </c>
      <c r="N169" s="12" t="n">
        <f aca="false">(M169-L169)*100</f>
        <v>-1.76639641693045</v>
      </c>
      <c r="O169" s="11" t="n">
        <v>0.289247045010259</v>
      </c>
      <c r="P169" s="11" t="n">
        <v>0.399202798588511</v>
      </c>
      <c r="Q169" s="12" t="n">
        <f aca="false">(P169-O169)*100</f>
        <v>10.9955753578253</v>
      </c>
      <c r="R169" s="11" t="n">
        <v>0.0785031683300147</v>
      </c>
      <c r="S169" s="11" t="n">
        <v>0.0228185566538881</v>
      </c>
      <c r="T169" s="12" t="n">
        <f aca="false">(S169-R169)*100</f>
        <v>-5.56846116761266</v>
      </c>
      <c r="U169" s="11" t="n">
        <v>0.0166133063808411</v>
      </c>
      <c r="V169" s="11" t="n">
        <v>0.0240684709128185</v>
      </c>
      <c r="W169" s="12" t="n">
        <f aca="false">(V169-U169)*100</f>
        <v>0.745516453197735</v>
      </c>
      <c r="X169" s="11" t="n">
        <v>0.475642895617597</v>
      </c>
      <c r="Y169" s="11" t="n">
        <v>0.403501284210687</v>
      </c>
      <c r="Z169" s="12" t="n">
        <f aca="false">(Y169-X169)*100</f>
        <v>-7.21416114069106</v>
      </c>
      <c r="AA169" s="11" t="n">
        <v>0.422080869581006</v>
      </c>
      <c r="AB169" s="11" t="n">
        <v>0.458688047313828</v>
      </c>
      <c r="AC169" s="12" t="n">
        <f aca="false">(AB169-AA169)*100</f>
        <v>3.66071777328218</v>
      </c>
      <c r="AD169" s="11" t="n">
        <v>0.635466824608095</v>
      </c>
      <c r="AE169" s="11" t="n">
        <v>0.479095768764514</v>
      </c>
      <c r="AF169" s="12" t="n">
        <f aca="false">(AE169-AD169)*100</f>
        <v>-15.6371055843581</v>
      </c>
      <c r="AG169" s="11" t="n">
        <v>0.028639040362164</v>
      </c>
      <c r="AH169" s="11" t="n">
        <v>0.0294568207973538</v>
      </c>
      <c r="AI169" s="12" t="n">
        <f aca="false">(AH169-AG169)*100</f>
        <v>0.0817780435189812</v>
      </c>
      <c r="AJ169" s="14" t="s">
        <v>74</v>
      </c>
      <c r="AK169" s="14" t="s">
        <v>132</v>
      </c>
      <c r="AL169" s="14" t="s">
        <v>133</v>
      </c>
      <c r="AM169" s="20" t="n">
        <v>12.9801669198506</v>
      </c>
      <c r="AN169" s="20" t="n">
        <v>5.51867631031408</v>
      </c>
      <c r="AO169" s="12" t="n">
        <v>-7.46149060953655</v>
      </c>
    </row>
    <row r="170" customFormat="false" ht="15" hidden="false" customHeight="false" outlineLevel="0" collapsed="false">
      <c r="A170" s="14" t="s">
        <v>96</v>
      </c>
      <c r="B170" s="14" t="n">
        <v>40</v>
      </c>
      <c r="C170" s="11" t="n">
        <v>0.371382980239069</v>
      </c>
      <c r="D170" s="11" t="n">
        <v>0.293860030428168</v>
      </c>
      <c r="E170" s="12" t="n">
        <f aca="false">(D170-C170)*100</f>
        <v>-7.7522949810901</v>
      </c>
      <c r="F170" s="11" t="n">
        <v>0.0589741032545461</v>
      </c>
      <c r="G170" s="11" t="n">
        <v>0.0317594001304064</v>
      </c>
      <c r="H170" s="12" t="n">
        <f aca="false">(G170-F170)*100</f>
        <v>-2.72147031241396</v>
      </c>
      <c r="I170" s="11" t="n">
        <v>0.0479229888823985</v>
      </c>
      <c r="J170" s="11" t="n">
        <v>0.123272114757661</v>
      </c>
      <c r="K170" s="12" t="n">
        <f aca="false">(J170-I170)*100</f>
        <v>7.53491258752629</v>
      </c>
      <c r="L170" s="11" t="n">
        <v>0.161696752102656</v>
      </c>
      <c r="M170" s="11" t="n">
        <v>0.0885785698761139</v>
      </c>
      <c r="N170" s="12" t="n">
        <f aca="false">(M170-L170)*100</f>
        <v>-7.31181822265423</v>
      </c>
      <c r="O170" s="11" t="n">
        <v>0.20480417159384</v>
      </c>
      <c r="P170" s="11" t="n">
        <v>0.300152140838948</v>
      </c>
      <c r="Q170" s="12" t="n">
        <f aca="false">(P170-O170)*100</f>
        <v>9.53479692451085</v>
      </c>
      <c r="R170" s="11" t="n">
        <v>0.0347965255714333</v>
      </c>
      <c r="S170" s="11" t="n">
        <v>0.0210660725929146</v>
      </c>
      <c r="T170" s="12" t="n">
        <f aca="false">(S170-R170)*100</f>
        <v>-1.37304529785187</v>
      </c>
      <c r="U170" s="11" t="n">
        <v>0.0322652647375895</v>
      </c>
      <c r="V170" s="11" t="n">
        <v>0.0370082590741143</v>
      </c>
      <c r="W170" s="12" t="n">
        <f aca="false">(V170-U170)*100</f>
        <v>0.474299433652486</v>
      </c>
      <c r="X170" s="11" t="n">
        <v>0.457018431188173</v>
      </c>
      <c r="Y170" s="11" t="n">
        <v>0.448891545316236</v>
      </c>
      <c r="Z170" s="12" t="n">
        <f aca="false">(Y170-X170)*100</f>
        <v>-0.812688587193733</v>
      </c>
      <c r="AA170" s="11" t="n">
        <v>0.401297449267929</v>
      </c>
      <c r="AB170" s="11" t="n">
        <v>0.409796783307977</v>
      </c>
      <c r="AC170" s="12" t="n">
        <f aca="false">(AB170-AA170)*100</f>
        <v>0.849933404004749</v>
      </c>
      <c r="AD170" s="11" t="n">
        <v>0.683242047062183</v>
      </c>
      <c r="AE170" s="11" t="n">
        <v>0.554728332619979</v>
      </c>
      <c r="AF170" s="12" t="n">
        <f aca="false">(AE170-AD170)*100</f>
        <v>-12.8513714442204</v>
      </c>
      <c r="AG170" s="11" t="n">
        <v>0.0380401487412558</v>
      </c>
      <c r="AH170" s="11" t="n">
        <v>0.0350630297761356</v>
      </c>
      <c r="AI170" s="12" t="n">
        <f aca="false">(AH170-AG170)*100</f>
        <v>-0.297711896512013</v>
      </c>
      <c r="AJ170" s="14" t="s">
        <v>74</v>
      </c>
      <c r="AK170" s="14" t="s">
        <v>74</v>
      </c>
      <c r="AL170" s="14" t="s">
        <v>134</v>
      </c>
      <c r="AM170" s="20" t="n">
        <v>18.1400694315824</v>
      </c>
      <c r="AN170" s="20" t="n">
        <v>3.90947620082591</v>
      </c>
      <c r="AO170" s="12" t="n">
        <v>-14.2305932307564</v>
      </c>
    </row>
    <row r="171" customFormat="false" ht="15" hidden="false" customHeight="false" outlineLevel="0" collapsed="false">
      <c r="A171" s="14" t="s">
        <v>96</v>
      </c>
      <c r="B171" s="14" t="n">
        <v>41</v>
      </c>
      <c r="C171" s="11" t="n">
        <v>0.480033846306997</v>
      </c>
      <c r="D171" s="11" t="n">
        <v>0.389711024843147</v>
      </c>
      <c r="E171" s="12" t="n">
        <f aca="false">(D171-C171)*100</f>
        <v>-9.03228214638503</v>
      </c>
      <c r="F171" s="11" t="n">
        <v>0.0326834058072661</v>
      </c>
      <c r="G171" s="11" t="n">
        <v>0.0134909131452782</v>
      </c>
      <c r="H171" s="12" t="n">
        <f aca="false">(G171-F171)*100</f>
        <v>-1.91924926619879</v>
      </c>
      <c r="I171" s="11" t="n">
        <v>0.0244164000742085</v>
      </c>
      <c r="J171" s="11" t="n">
        <v>0.0405690307017099</v>
      </c>
      <c r="K171" s="12" t="n">
        <f aca="false">(J171-I171)*100</f>
        <v>1.61526306275015</v>
      </c>
      <c r="L171" s="11" t="n">
        <v>0.108385105814958</v>
      </c>
      <c r="M171" s="11" t="n">
        <v>0.175432550502235</v>
      </c>
      <c r="N171" s="12" t="n">
        <f aca="false">(M171-L171)*100</f>
        <v>6.70474446872766</v>
      </c>
      <c r="O171" s="11" t="n">
        <v>0.245820116833108</v>
      </c>
      <c r="P171" s="11" t="n">
        <v>0.291210127813986</v>
      </c>
      <c r="Q171" s="12" t="n">
        <f aca="false">(P171-O171)*100</f>
        <v>4.53900109808777</v>
      </c>
      <c r="R171" s="11" t="n">
        <v>0.0205928533613274</v>
      </c>
      <c r="S171" s="11" t="n">
        <v>0.00918821394905685</v>
      </c>
      <c r="T171" s="12" t="n">
        <f aca="false">(S171-R171)*100</f>
        <v>-1.14046394122706</v>
      </c>
      <c r="U171" s="11" t="n">
        <v>0.0157376277720714</v>
      </c>
      <c r="V171" s="11" t="n">
        <v>0.0246759038709089</v>
      </c>
      <c r="W171" s="12" t="n">
        <f aca="false">(V171-U171)*100</f>
        <v>0.893827609883752</v>
      </c>
      <c r="X171" s="11" t="n">
        <v>0.539527328177956</v>
      </c>
      <c r="Y171" s="11" t="n">
        <v>0.443770968690135</v>
      </c>
      <c r="Z171" s="12" t="n">
        <f aca="false">(Y171-X171)*100</f>
        <v>-9.57563594878209</v>
      </c>
      <c r="AA171" s="11" t="n">
        <v>0.374798076009394</v>
      </c>
      <c r="AB171" s="11" t="n">
        <v>0.475830892265277</v>
      </c>
      <c r="AC171" s="12" t="n">
        <f aca="false">(AB171-AA171)*100</f>
        <v>10.1032816255884</v>
      </c>
      <c r="AD171" s="11" t="n">
        <v>0.684784090627401</v>
      </c>
      <c r="AE171" s="11" t="n">
        <v>0.569738198428671</v>
      </c>
      <c r="AF171" s="12" t="n">
        <f aca="false">(AE171-AD171)*100</f>
        <v>-11.5045892198731</v>
      </c>
      <c r="AG171" s="11" t="n">
        <v>0.0231222765713872</v>
      </c>
      <c r="AH171" s="11" t="n">
        <v>0.0214020008311457</v>
      </c>
      <c r="AI171" s="12" t="n">
        <f aca="false">(AH171-AG171)*100</f>
        <v>-0.172027574024154</v>
      </c>
      <c r="AJ171" s="14" t="s">
        <v>74</v>
      </c>
      <c r="AK171" s="14" t="s">
        <v>132</v>
      </c>
      <c r="AL171" s="14" t="s">
        <v>133</v>
      </c>
      <c r="AM171" s="20" t="n">
        <v>24.7584830700591</v>
      </c>
      <c r="AN171" s="20" t="n">
        <v>3.20599235751427</v>
      </c>
      <c r="AO171" s="12" t="n">
        <v>-21.5524907125449</v>
      </c>
    </row>
    <row r="172" customFormat="false" ht="15" hidden="false" customHeight="false" outlineLevel="0" collapsed="false">
      <c r="A172" s="14" t="s">
        <v>97</v>
      </c>
      <c r="B172" s="14" t="n">
        <v>1</v>
      </c>
      <c r="C172" s="11" t="n">
        <v>0.447303741746148</v>
      </c>
      <c r="D172" s="11" t="n">
        <v>0.519056881322374</v>
      </c>
      <c r="E172" s="12" t="n">
        <f aca="false">(D172-C172)*100</f>
        <v>7.17531395762258</v>
      </c>
      <c r="F172" s="11" t="n">
        <v>0.0693751528491074</v>
      </c>
      <c r="G172" s="11" t="n">
        <v>0.0784166091509283</v>
      </c>
      <c r="H172" s="12" t="n">
        <f aca="false">(G172-F172)*100</f>
        <v>0.904145630182091</v>
      </c>
      <c r="I172" s="11" t="n">
        <v>0.029634384935192</v>
      </c>
      <c r="J172" s="11" t="n">
        <v>0.0353669504109761</v>
      </c>
      <c r="K172" s="12" t="n">
        <f aca="false">(J172-I172)*100</f>
        <v>0.573256547578411</v>
      </c>
      <c r="L172" s="11" t="n">
        <v>0.0311078503301541</v>
      </c>
      <c r="M172" s="11" t="n">
        <v>0.0462426536715956</v>
      </c>
      <c r="N172" s="12" t="n">
        <f aca="false">(M172-L172)*100</f>
        <v>1.51348033414415</v>
      </c>
      <c r="O172" s="11" t="n">
        <v>0.193195157740279</v>
      </c>
      <c r="P172" s="11" t="n">
        <v>0.110297757234783</v>
      </c>
      <c r="Q172" s="12" t="n">
        <f aca="false">(P172-O172)*100</f>
        <v>-8.28974005054961</v>
      </c>
      <c r="R172" s="11" t="n">
        <v>0.136677671802397</v>
      </c>
      <c r="S172" s="11" t="n">
        <v>0.109217158513375</v>
      </c>
      <c r="T172" s="12" t="n">
        <f aca="false">(S172-R172)*100</f>
        <v>-2.74605132890217</v>
      </c>
      <c r="U172" s="11" t="n">
        <v>0.0170763022743947</v>
      </c>
      <c r="V172" s="11" t="n">
        <v>0.0146124833552939</v>
      </c>
      <c r="W172" s="12" t="n">
        <f aca="false">(V172-U172)*100</f>
        <v>-0.246381891910083</v>
      </c>
      <c r="X172" s="11" t="n">
        <v>0.529732208363903</v>
      </c>
      <c r="Y172" s="11" t="n">
        <v>0.632840440884278</v>
      </c>
      <c r="Z172" s="12" t="n">
        <f aca="false">(Y172-X172)*100</f>
        <v>10.3108232520375</v>
      </c>
      <c r="AA172" s="11" t="n">
        <v>0.36098067987283</v>
      </c>
      <c r="AB172" s="11" t="n">
        <v>0.265757569419753</v>
      </c>
      <c r="AC172" s="12" t="n">
        <f aca="false">(AB172-AA172)*100</f>
        <v>-9.52231104530762</v>
      </c>
      <c r="AD172" s="11" t="n">
        <v>0.615780794687027</v>
      </c>
      <c r="AE172" s="11" t="n">
        <v>0.525257888627267</v>
      </c>
      <c r="AF172" s="12" t="n">
        <f aca="false">(AE172-AD172)*100</f>
        <v>-9.05229060597599</v>
      </c>
      <c r="AG172" s="11" t="n">
        <v>0.0468574223526535</v>
      </c>
      <c r="AH172" s="11" t="n">
        <v>0.0450644524850285</v>
      </c>
      <c r="AI172" s="12" t="n">
        <f aca="false">(AH172-AG172)*100</f>
        <v>-0.179296986762498</v>
      </c>
      <c r="AJ172" s="14" t="s">
        <v>74</v>
      </c>
      <c r="AK172" s="14" t="s">
        <v>74</v>
      </c>
      <c r="AL172" s="14" t="s">
        <v>134</v>
      </c>
      <c r="AM172" s="20" t="n">
        <v>29.1483247737833</v>
      </c>
      <c r="AN172" s="20" t="n">
        <v>36.7082871464525</v>
      </c>
      <c r="AO172" s="12" t="n">
        <v>7.55996237266918</v>
      </c>
    </row>
    <row r="173" customFormat="false" ht="15" hidden="false" customHeight="false" outlineLevel="0" collapsed="false">
      <c r="A173" s="14" t="s">
        <v>97</v>
      </c>
      <c r="B173" s="14" t="n">
        <v>2</v>
      </c>
      <c r="C173" s="11" t="n">
        <v>0.200337373416508</v>
      </c>
      <c r="D173" s="11" t="n">
        <v>0.224352218735465</v>
      </c>
      <c r="E173" s="12" t="n">
        <f aca="false">(D173-C173)*100</f>
        <v>2.40148453189567</v>
      </c>
      <c r="F173" s="11" t="n">
        <v>0.0870653441920838</v>
      </c>
      <c r="G173" s="11" t="n">
        <v>0.0821612137840082</v>
      </c>
      <c r="H173" s="12" t="n">
        <f aca="false">(G173-F173)*100</f>
        <v>-0.490413040807562</v>
      </c>
      <c r="I173" s="11" t="n">
        <v>0.0959597342636661</v>
      </c>
      <c r="J173" s="11" t="n">
        <v>0.0987700840158023</v>
      </c>
      <c r="K173" s="12" t="n">
        <f aca="false">(J173-I173)*100</f>
        <v>0.281034975213618</v>
      </c>
      <c r="L173" s="11" t="n">
        <v>0.0784283656558244</v>
      </c>
      <c r="M173" s="11" t="n">
        <v>0.0515575599503088</v>
      </c>
      <c r="N173" s="12" t="n">
        <f aca="false">(M173-L173)*100</f>
        <v>-2.68708057055156</v>
      </c>
      <c r="O173" s="11" t="n">
        <v>0.183742544649948</v>
      </c>
      <c r="P173" s="11" t="n">
        <v>0.154931733480915</v>
      </c>
      <c r="Q173" s="12" t="n">
        <f aca="false">(P173-O173)*100</f>
        <v>-2.88108111690323</v>
      </c>
      <c r="R173" s="11" t="n">
        <v>0.20044691024005</v>
      </c>
      <c r="S173" s="11" t="n">
        <v>0.143156568481416</v>
      </c>
      <c r="T173" s="12" t="n">
        <f aca="false">(S173-R173)*100</f>
        <v>-5.72903417586342</v>
      </c>
      <c r="U173" s="11" t="n">
        <v>0.0288848603679342</v>
      </c>
      <c r="V173" s="11" t="n">
        <v>0.0464824638355245</v>
      </c>
      <c r="W173" s="12" t="n">
        <f aca="false">(V173-U173)*100</f>
        <v>1.75976034675903</v>
      </c>
      <c r="X173" s="11" t="n">
        <v>0.315082672917568</v>
      </c>
      <c r="Y173" s="11" t="n">
        <v>0.405283516535275</v>
      </c>
      <c r="Z173" s="12" t="n">
        <f aca="false">(Y173-X173)*100</f>
        <v>9.02008436177073</v>
      </c>
      <c r="AA173" s="11" t="n">
        <v>0.462617820545822</v>
      </c>
      <c r="AB173" s="11" t="n">
        <v>0.34964586191264</v>
      </c>
      <c r="AC173" s="12" t="n">
        <f aca="false">(AB173-AA173)*100</f>
        <v>-11.2971958633182</v>
      </c>
      <c r="AD173" s="11" t="n">
        <v>0.58524288026668</v>
      </c>
      <c r="AE173" s="11" t="n">
        <v>0.51792232186691</v>
      </c>
      <c r="AF173" s="12" t="n">
        <f aca="false">(AE173-AD173)*100</f>
        <v>-6.73205583997697</v>
      </c>
      <c r="AG173" s="11" t="n">
        <v>0.0625893409717012</v>
      </c>
      <c r="AH173" s="11" t="n">
        <v>0.0533768229427315</v>
      </c>
      <c r="AI173" s="12" t="n">
        <f aca="false">(AH173-AG173)*100</f>
        <v>-0.921251802896967</v>
      </c>
      <c r="AJ173" s="14" t="s">
        <v>74</v>
      </c>
      <c r="AK173" s="14" t="s">
        <v>74</v>
      </c>
      <c r="AL173" s="14" t="s">
        <v>134</v>
      </c>
      <c r="AM173" s="20" t="n">
        <v>0.0859864064801985</v>
      </c>
      <c r="AN173" s="20" t="n">
        <v>5.56376546226354</v>
      </c>
      <c r="AO173" s="12" t="n">
        <v>5.47777905578334</v>
      </c>
    </row>
    <row r="174" customFormat="false" ht="15" hidden="false" customHeight="false" outlineLevel="0" collapsed="false">
      <c r="A174" s="14" t="s">
        <v>97</v>
      </c>
      <c r="B174" s="14" t="n">
        <v>3</v>
      </c>
      <c r="C174" s="11" t="n">
        <v>0.26985041901888</v>
      </c>
      <c r="D174" s="11" t="n">
        <v>0.310800125509884</v>
      </c>
      <c r="E174" s="12" t="n">
        <f aca="false">(D174-C174)*100</f>
        <v>4.0949706491004</v>
      </c>
      <c r="F174" s="11" t="n">
        <v>0.0915229909415069</v>
      </c>
      <c r="G174" s="11" t="n">
        <v>0.0768308754314402</v>
      </c>
      <c r="H174" s="12" t="n">
        <f aca="false">(G174-F174)*100</f>
        <v>-1.46921155100667</v>
      </c>
      <c r="I174" s="11" t="n">
        <v>0.0642231904204881</v>
      </c>
      <c r="J174" s="11" t="n">
        <v>0.0796234703482899</v>
      </c>
      <c r="K174" s="12" t="n">
        <f aca="false">(J174-I174)*100</f>
        <v>1.54002799278018</v>
      </c>
      <c r="L174" s="11" t="n">
        <v>0.0525991602669515</v>
      </c>
      <c r="M174" s="11" t="n">
        <v>0.0586507687480389</v>
      </c>
      <c r="N174" s="12" t="n">
        <f aca="false">(M174-L174)*100</f>
        <v>0.605160848108744</v>
      </c>
      <c r="O174" s="11" t="n">
        <v>0.146772452687315</v>
      </c>
      <c r="P174" s="11" t="n">
        <v>0.134728584876059</v>
      </c>
      <c r="Q174" s="12" t="n">
        <f aca="false">(P174-O174)*100</f>
        <v>-1.20438678112563</v>
      </c>
      <c r="R174" s="11" t="n">
        <v>0.261373975056651</v>
      </c>
      <c r="S174" s="11" t="n">
        <v>0.213642924380295</v>
      </c>
      <c r="T174" s="12" t="n">
        <f aca="false">(S174-R174)*100</f>
        <v>-4.7731050676356</v>
      </c>
      <c r="U174" s="11" t="n">
        <v>0.0172523889444567</v>
      </c>
      <c r="V174" s="11" t="n">
        <v>0.0236962660809539</v>
      </c>
      <c r="W174" s="12" t="n">
        <f aca="false">(V174-U174)*100</f>
        <v>0.644387713649719</v>
      </c>
      <c r="X174" s="11" t="n">
        <v>0.380106351116913</v>
      </c>
      <c r="Y174" s="11" t="n">
        <v>0.467254471289614</v>
      </c>
      <c r="Z174" s="12" t="n">
        <f aca="false">(Y174-X174)*100</f>
        <v>8.71481201727013</v>
      </c>
      <c r="AA174" s="11" t="n">
        <v>0.460745588010918</v>
      </c>
      <c r="AB174" s="11" t="n">
        <v>0.407022278004393</v>
      </c>
      <c r="AC174" s="12" t="n">
        <f aca="false">(AB174-AA174)*100</f>
        <v>-5.37233100065248</v>
      </c>
      <c r="AD174" s="11" t="n">
        <v>0.648772010866576</v>
      </c>
      <c r="AE174" s="11" t="n">
        <v>0.580317636047795</v>
      </c>
      <c r="AF174" s="12" t="n">
        <f aca="false">(AE174-AD174)*100</f>
        <v>-6.84543748187817</v>
      </c>
      <c r="AG174" s="11" t="n">
        <v>0.0620362678782331</v>
      </c>
      <c r="AH174" s="11" t="n">
        <v>0.0410668340131785</v>
      </c>
      <c r="AI174" s="12" t="n">
        <f aca="false">(AH174-AG174)*100</f>
        <v>-2.09694338650545</v>
      </c>
      <c r="AJ174" s="14" t="s">
        <v>74</v>
      </c>
      <c r="AK174" s="14" t="s">
        <v>74</v>
      </c>
      <c r="AL174" s="14" t="s">
        <v>134</v>
      </c>
      <c r="AM174" s="20" t="n">
        <v>4.88808268488537</v>
      </c>
      <c r="AN174" s="20" t="n">
        <v>6.02321932852212</v>
      </c>
      <c r="AO174" s="12" t="n">
        <v>1.13513664363675</v>
      </c>
    </row>
    <row r="175" customFormat="false" ht="15" hidden="false" customHeight="false" outlineLevel="0" collapsed="false">
      <c r="A175" s="14" t="s">
        <v>97</v>
      </c>
      <c r="B175" s="14" t="n">
        <v>4</v>
      </c>
      <c r="C175" s="11" t="n">
        <v>0.265570384029597</v>
      </c>
      <c r="D175" s="11" t="n">
        <v>0.273974645786726</v>
      </c>
      <c r="E175" s="12" t="n">
        <f aca="false">(D175-C175)*100</f>
        <v>0.8404261757129</v>
      </c>
      <c r="F175" s="11" t="n">
        <v>0.0287803369376835</v>
      </c>
      <c r="G175" s="11" t="n">
        <v>0.0378821774794929</v>
      </c>
      <c r="H175" s="12" t="n">
        <f aca="false">(G175-F175)*100</f>
        <v>0.910184054180946</v>
      </c>
      <c r="I175" s="11" t="n">
        <v>0.0633610905250136</v>
      </c>
      <c r="J175" s="11" t="n">
        <v>0.067366987647116</v>
      </c>
      <c r="K175" s="12" t="n">
        <f aca="false">(J175-I175)*100</f>
        <v>0.400589712210248</v>
      </c>
      <c r="L175" s="11" t="n">
        <v>0.239421825672387</v>
      </c>
      <c r="M175" s="11" t="n">
        <v>0.213539538955355</v>
      </c>
      <c r="N175" s="12" t="n">
        <f aca="false">(M175-L175)*100</f>
        <v>-2.58822867170328</v>
      </c>
      <c r="O175" s="11" t="n">
        <v>0.174508510973525</v>
      </c>
      <c r="P175" s="11" t="n">
        <v>0.15346107706773</v>
      </c>
      <c r="Q175" s="12" t="n">
        <f aca="false">(P175-O175)*100</f>
        <v>-2.10474339057946</v>
      </c>
      <c r="R175" s="11" t="n">
        <v>0.0954209386871451</v>
      </c>
      <c r="S175" s="11" t="n">
        <v>0.0696949064617579</v>
      </c>
      <c r="T175" s="12" t="n">
        <f aca="false">(S175-R175)*100</f>
        <v>-2.57260322253872</v>
      </c>
      <c r="U175" s="11" t="n">
        <v>0.0429896071005503</v>
      </c>
      <c r="V175" s="11" t="n">
        <v>0.0700645203125507</v>
      </c>
      <c r="W175" s="12" t="n">
        <f aca="false">(V175-U175)*100</f>
        <v>2.70749132120004</v>
      </c>
      <c r="X175" s="11" t="n">
        <v>0.306465072038374</v>
      </c>
      <c r="Y175" s="11" t="n">
        <v>0.379223810913335</v>
      </c>
      <c r="Z175" s="12" t="n">
        <f aca="false">(Y175-X175)*100</f>
        <v>7.27587388749615</v>
      </c>
      <c r="AA175" s="11" t="n">
        <v>0.509351275333057</v>
      </c>
      <c r="AB175" s="11" t="n">
        <v>0.436695522484843</v>
      </c>
      <c r="AC175" s="12" t="n">
        <f aca="false">(AB175-AA175)*100</f>
        <v>-7.26557528482145</v>
      </c>
      <c r="AD175" s="11" t="n">
        <v>0.582288760750122</v>
      </c>
      <c r="AE175" s="11" t="n">
        <v>0.50223737689542</v>
      </c>
      <c r="AF175" s="12" t="n">
        <f aca="false">(AE175-AD175)*100</f>
        <v>-8.00513838547018</v>
      </c>
      <c r="AG175" s="11" t="n">
        <v>0.0530790642305695</v>
      </c>
      <c r="AH175" s="11" t="n">
        <v>0.037901630840061</v>
      </c>
      <c r="AI175" s="12" t="n">
        <f aca="false">(AH175-AG175)*100</f>
        <v>-1.51774333905085</v>
      </c>
      <c r="AJ175" s="14" t="s">
        <v>132</v>
      </c>
      <c r="AK175" s="14" t="s">
        <v>132</v>
      </c>
      <c r="AL175" s="14" t="s">
        <v>150</v>
      </c>
      <c r="AM175" s="20" t="n">
        <v>7.1367299421709</v>
      </c>
      <c r="AN175" s="20" t="n">
        <v>5.74717115715073</v>
      </c>
      <c r="AO175" s="12" t="n">
        <v>-1.38955878502017</v>
      </c>
    </row>
    <row r="176" customFormat="false" ht="15" hidden="false" customHeight="false" outlineLevel="0" collapsed="false">
      <c r="A176" s="14" t="s">
        <v>97</v>
      </c>
      <c r="B176" s="14" t="n">
        <v>5</v>
      </c>
      <c r="C176" s="11" t="n">
        <v>0.28123340946972</v>
      </c>
      <c r="D176" s="11" t="n">
        <v>0.266089887640449</v>
      </c>
      <c r="E176" s="12" t="n">
        <f aca="false">(D176-C176)*100</f>
        <v>-1.5143521829271</v>
      </c>
      <c r="F176" s="11" t="n">
        <v>0.0608370887091796</v>
      </c>
      <c r="G176" s="11" t="n">
        <v>0.0516029962546817</v>
      </c>
      <c r="H176" s="12" t="n">
        <f aca="false">(G176-F176)*100</f>
        <v>-0.923409245449793</v>
      </c>
      <c r="I176" s="11" t="n">
        <v>0.0577504784245941</v>
      </c>
      <c r="J176" s="11" t="n">
        <v>0.0417303370786517</v>
      </c>
      <c r="K176" s="12" t="n">
        <f aca="false">(J176-I176)*100</f>
        <v>-1.60201413459424</v>
      </c>
      <c r="L176" s="11" t="n">
        <v>0.20491388357306</v>
      </c>
      <c r="M176" s="11" t="n">
        <v>0.249415730337079</v>
      </c>
      <c r="N176" s="12" t="n">
        <f aca="false">(M176-L176)*100</f>
        <v>4.45018467640185</v>
      </c>
      <c r="O176" s="11" t="n">
        <v>0.162763133526761</v>
      </c>
      <c r="P176" s="11" t="n">
        <v>0.159835205992509</v>
      </c>
      <c r="Q176" s="12" t="n">
        <f aca="false">(P176-O176)*100</f>
        <v>-0.29279275342515</v>
      </c>
      <c r="R176" s="11" t="n">
        <v>0.078801160565467</v>
      </c>
      <c r="S176" s="11" t="n">
        <v>0.0600374531835206</v>
      </c>
      <c r="T176" s="12" t="n">
        <f aca="false">(S176-R176)*100</f>
        <v>-1.87637073819464</v>
      </c>
      <c r="U176" s="11" t="n">
        <v>0.057528242484104</v>
      </c>
      <c r="V176" s="11" t="n">
        <v>0.0768014981273408</v>
      </c>
      <c r="W176" s="12" t="n">
        <f aca="false">(V176-U176)*100</f>
        <v>1.92732556432369</v>
      </c>
      <c r="X176" s="11" t="n">
        <v>0.362726094203346</v>
      </c>
      <c r="Y176" s="11" t="n">
        <v>0.359423220973783</v>
      </c>
      <c r="Z176" s="12" t="n">
        <f aca="false">(Y176-X176)*100</f>
        <v>-0.330287322956307</v>
      </c>
      <c r="AA176" s="11" t="n">
        <v>0.446478177665288</v>
      </c>
      <c r="AB176" s="11" t="n">
        <v>0.469288389513109</v>
      </c>
      <c r="AC176" s="12" t="n">
        <f aca="false">(AB176-AA176)*100</f>
        <v>2.28102118478206</v>
      </c>
      <c r="AD176" s="11" t="n">
        <v>0.544240770853772</v>
      </c>
      <c r="AE176" s="11" t="n">
        <v>0.431326936124843</v>
      </c>
      <c r="AF176" s="12" t="n">
        <f aca="false">(AE176-AD176)*100</f>
        <v>-11.2913834728929</v>
      </c>
      <c r="AG176" s="11" t="n">
        <v>0.0488857336872647</v>
      </c>
      <c r="AH176" s="11" t="n">
        <v>0.0357827715355805</v>
      </c>
      <c r="AI176" s="12" t="n">
        <f aca="false">(AH176-AG176)*100</f>
        <v>-1.31029621516841</v>
      </c>
      <c r="AJ176" s="14" t="s">
        <v>74</v>
      </c>
      <c r="AK176" s="14" t="s">
        <v>132</v>
      </c>
      <c r="AL176" s="14" t="s">
        <v>133</v>
      </c>
      <c r="AM176" s="20" t="n">
        <v>2.14828075807149</v>
      </c>
      <c r="AN176" s="20" t="n">
        <v>10.9865168539326</v>
      </c>
      <c r="AO176" s="12" t="n">
        <v>8.8382360958611</v>
      </c>
    </row>
    <row r="177" customFormat="false" ht="15" hidden="false" customHeight="false" outlineLevel="0" collapsed="false">
      <c r="A177" s="14" t="s">
        <v>97</v>
      </c>
      <c r="B177" s="14" t="n">
        <v>6</v>
      </c>
      <c r="C177" s="11" t="n">
        <v>0.251116592626298</v>
      </c>
      <c r="D177" s="11" t="n">
        <v>0.264779142596134</v>
      </c>
      <c r="E177" s="12" t="n">
        <f aca="false">(D177-C177)*100</f>
        <v>1.36625499698366</v>
      </c>
      <c r="F177" s="11" t="n">
        <v>0.0659178810484595</v>
      </c>
      <c r="G177" s="11" t="n">
        <v>0.0778275071143621</v>
      </c>
      <c r="H177" s="12" t="n">
        <f aca="false">(G177-F177)*100</f>
        <v>1.19096260659026</v>
      </c>
      <c r="I177" s="11" t="n">
        <v>0.102750469986709</v>
      </c>
      <c r="J177" s="11" t="n">
        <v>0.117930821454156</v>
      </c>
      <c r="K177" s="12" t="n">
        <f aca="false">(J177-I177)*100</f>
        <v>1.51803514674472</v>
      </c>
      <c r="L177" s="11" t="n">
        <v>0.109473974111815</v>
      </c>
      <c r="M177" s="11" t="n">
        <v>0.0842485064768627</v>
      </c>
      <c r="N177" s="12" t="n">
        <f aca="false">(M177-L177)*100</f>
        <v>-2.52254676349522</v>
      </c>
      <c r="O177" s="11" t="n">
        <v>0.172889250775328</v>
      </c>
      <c r="P177" s="11" t="n">
        <v>0.13836366384721</v>
      </c>
      <c r="Q177" s="12" t="n">
        <f aca="false">(P177-O177)*100</f>
        <v>-3.4525586928118</v>
      </c>
      <c r="R177" s="11" t="n">
        <v>0.141750386167423</v>
      </c>
      <c r="S177" s="11" t="n">
        <v>0.147709273973593</v>
      </c>
      <c r="T177" s="12" t="n">
        <f aca="false">(S177-R177)*100</f>
        <v>0.59588878061701</v>
      </c>
      <c r="U177" s="11" t="n">
        <v>0.0284506603762289</v>
      </c>
      <c r="V177" s="11" t="n">
        <v>0.0616797124023213</v>
      </c>
      <c r="W177" s="12" t="n">
        <f aca="false">(V177-U177)*100</f>
        <v>3.32290520260924</v>
      </c>
      <c r="X177" s="11" t="n">
        <v>0.343150168237281</v>
      </c>
      <c r="Y177" s="11" t="n">
        <v>0.460537471164652</v>
      </c>
      <c r="Z177" s="12" t="n">
        <f aca="false">(Y177-X177)*100</f>
        <v>11.7387302927372</v>
      </c>
      <c r="AA177" s="11" t="n">
        <v>0.424113611054566</v>
      </c>
      <c r="AB177" s="11" t="n">
        <v>0.370321444297666</v>
      </c>
      <c r="AC177" s="12" t="n">
        <f aca="false">(AB177-AA177)*100</f>
        <v>-5.37921667569002</v>
      </c>
      <c r="AD177" s="11" t="n">
        <v>0.594705452991757</v>
      </c>
      <c r="AE177" s="11" t="n">
        <v>0.516749872643912</v>
      </c>
      <c r="AF177" s="12" t="n">
        <f aca="false">(AE177-AD177)*100</f>
        <v>-7.7955580347845</v>
      </c>
      <c r="AG177" s="11" t="n">
        <v>0.0696777747177086</v>
      </c>
      <c r="AH177" s="11" t="n">
        <v>0.0522420920496592</v>
      </c>
      <c r="AI177" s="12" t="n">
        <f aca="false">(AH177-AG177)*100</f>
        <v>-1.74356826680494</v>
      </c>
      <c r="AJ177" s="14" t="s">
        <v>74</v>
      </c>
      <c r="AK177" s="14" t="s">
        <v>74</v>
      </c>
      <c r="AL177" s="14" t="s">
        <v>134</v>
      </c>
      <c r="AM177" s="20" t="n">
        <v>3.61201250104774</v>
      </c>
      <c r="AN177" s="20" t="n">
        <v>9.02160268669861</v>
      </c>
      <c r="AO177" s="12" t="n">
        <v>5.40959018565087</v>
      </c>
    </row>
    <row r="178" customFormat="false" ht="15" hidden="false" customHeight="false" outlineLevel="0" collapsed="false">
      <c r="A178" s="14" t="s">
        <v>97</v>
      </c>
      <c r="B178" s="14" t="n">
        <v>7</v>
      </c>
      <c r="C178" s="11" t="n">
        <v>0.28763665326362</v>
      </c>
      <c r="D178" s="11" t="n">
        <v>0.305676943565171</v>
      </c>
      <c r="E178" s="12" t="n">
        <f aca="false">(D178-C178)*100</f>
        <v>1.8040290301551</v>
      </c>
      <c r="F178" s="11" t="n">
        <v>0.0455082666392611</v>
      </c>
      <c r="G178" s="11" t="n">
        <v>0.0431843885724993</v>
      </c>
      <c r="H178" s="12" t="n">
        <f aca="false">(G178-F178)*100</f>
        <v>-0.232387806676176</v>
      </c>
      <c r="I178" s="11" t="n">
        <v>0.116805621571625</v>
      </c>
      <c r="J178" s="11" t="n">
        <v>0.0551231688628044</v>
      </c>
      <c r="K178" s="12" t="n">
        <f aca="false">(J178-I178)*100</f>
        <v>-6.16824527088205</v>
      </c>
      <c r="L178" s="11" t="n">
        <v>0.0948832907262053</v>
      </c>
      <c r="M178" s="11" t="n">
        <v>0.0824806429809475</v>
      </c>
      <c r="N178" s="12" t="n">
        <f aca="false">(M178-L178)*100</f>
        <v>-1.24026477452578</v>
      </c>
      <c r="O178" s="11" t="n">
        <v>0.170940225839189</v>
      </c>
      <c r="P178" s="11" t="n">
        <v>0.152681206459255</v>
      </c>
      <c r="Q178" s="12" t="n">
        <f aca="false">(P178-O178)*100</f>
        <v>-1.82590193799342</v>
      </c>
      <c r="R178" s="11" t="n">
        <v>0.126478938375962</v>
      </c>
      <c r="S178" s="11" t="n">
        <v>0.143419282736283</v>
      </c>
      <c r="T178" s="12" t="n">
        <f aca="false">(S178-R178)*100</f>
        <v>1.69403443603209</v>
      </c>
      <c r="U178" s="11" t="n">
        <v>0.0406009532006732</v>
      </c>
      <c r="V178" s="11" t="n">
        <v>0.0558659965602393</v>
      </c>
      <c r="W178" s="12" t="n">
        <f aca="false">(V178-U178)*100</f>
        <v>1.52650433595662</v>
      </c>
      <c r="X178" s="11" t="n">
        <v>0.360963734696761</v>
      </c>
      <c r="Y178" s="11" t="n">
        <v>0.403984501000475</v>
      </c>
      <c r="Z178" s="12" t="n">
        <f aca="false">(Y178-X178)*100</f>
        <v>4.30207663037137</v>
      </c>
      <c r="AA178" s="11" t="n">
        <v>0.392302454941356</v>
      </c>
      <c r="AB178" s="11" t="n">
        <v>0.378581132176485</v>
      </c>
      <c r="AC178" s="12" t="n">
        <f aca="false">(AB178-AA178)*100</f>
        <v>-1.37213227648712</v>
      </c>
      <c r="AD178" s="11" t="n">
        <v>0.581108722267013</v>
      </c>
      <c r="AE178" s="11" t="n">
        <v>0.519812708937026</v>
      </c>
      <c r="AF178" s="12" t="n">
        <f aca="false">(AE178-AD178)*100</f>
        <v>-6.12960133299873</v>
      </c>
      <c r="AG178" s="11" t="n">
        <v>0.0666276993435505</v>
      </c>
      <c r="AH178" s="11" t="n">
        <v>0.0487656345153886</v>
      </c>
      <c r="AI178" s="12" t="n">
        <f aca="false">(AH178-AG178)*100</f>
        <v>-1.78620648281619</v>
      </c>
      <c r="AJ178" s="14" t="s">
        <v>74</v>
      </c>
      <c r="AK178" s="14" t="s">
        <v>74</v>
      </c>
      <c r="AL178" s="14" t="s">
        <v>134</v>
      </c>
      <c r="AM178" s="20" t="n">
        <v>5.11927854784631</v>
      </c>
      <c r="AN178" s="20" t="n">
        <v>2.540336882399</v>
      </c>
      <c r="AO178" s="12" t="n">
        <v>-2.57894166544731</v>
      </c>
    </row>
    <row r="179" customFormat="false" ht="15" hidden="false" customHeight="false" outlineLevel="0" collapsed="false">
      <c r="A179" s="14" t="s">
        <v>97</v>
      </c>
      <c r="B179" s="14" t="n">
        <v>8</v>
      </c>
      <c r="C179" s="11" t="n">
        <v>0.35619560056971</v>
      </c>
      <c r="D179" s="11" t="n">
        <v>0.371651777314498</v>
      </c>
      <c r="E179" s="12" t="n">
        <f aca="false">(D179-C179)*100</f>
        <v>1.54561767447873</v>
      </c>
      <c r="F179" s="11" t="n">
        <v>0.0464693780661497</v>
      </c>
      <c r="G179" s="11" t="n">
        <v>0.0245580233161987</v>
      </c>
      <c r="H179" s="12" t="n">
        <f aca="false">(G179-F179)*100</f>
        <v>-2.19113547499511</v>
      </c>
      <c r="I179" s="11" t="n">
        <v>0.0890647254312391</v>
      </c>
      <c r="J179" s="11" t="n">
        <v>0.0557014804055122</v>
      </c>
      <c r="K179" s="12" t="n">
        <f aca="false">(J179-I179)*100</f>
        <v>-3.33632450257269</v>
      </c>
      <c r="L179" s="11" t="n">
        <v>0.118563063775914</v>
      </c>
      <c r="M179" s="11" t="n">
        <v>0.175277905305225</v>
      </c>
      <c r="N179" s="12" t="n">
        <f aca="false">(M179-L179)*100</f>
        <v>5.67148415293115</v>
      </c>
      <c r="O179" s="11" t="n">
        <v>0.151777179933534</v>
      </c>
      <c r="P179" s="11" t="n">
        <v>0.161316785706222</v>
      </c>
      <c r="Q179" s="12" t="n">
        <f aca="false">(P179-O179)*100</f>
        <v>0.953960577268811</v>
      </c>
      <c r="R179" s="11" t="n">
        <v>0.0589207153030543</v>
      </c>
      <c r="S179" s="11" t="n">
        <v>0.0719580940625729</v>
      </c>
      <c r="T179" s="12" t="n">
        <f aca="false">(S179-R179)*100</f>
        <v>1.30373787595186</v>
      </c>
      <c r="U179" s="11" t="n">
        <v>0.0386770058553569</v>
      </c>
      <c r="V179" s="11" t="n">
        <v>0.0270416726249163</v>
      </c>
      <c r="W179" s="12" t="n">
        <f aca="false">(V179-U179)*100</f>
        <v>-1.16353332304406</v>
      </c>
      <c r="X179" s="11" t="n">
        <v>0.453236271561956</v>
      </c>
      <c r="Y179" s="11" t="n">
        <v>0.451911281036209</v>
      </c>
      <c r="Z179" s="12" t="n">
        <f aca="false">(Y179-X179)*100</f>
        <v>-0.132499052574742</v>
      </c>
      <c r="AA179" s="11" t="n">
        <v>0.329260959012502</v>
      </c>
      <c r="AB179" s="11" t="n">
        <v>0.40855278507402</v>
      </c>
      <c r="AC179" s="12" t="n">
        <f aca="false">(AB179-AA179)*100</f>
        <v>7.92918260615183</v>
      </c>
      <c r="AD179" s="11" t="n">
        <v>0.541611239868896</v>
      </c>
      <c r="AE179" s="11" t="n">
        <v>0.426884238866774</v>
      </c>
      <c r="AF179" s="12" t="n">
        <f aca="false">(AE179-AD179)*100</f>
        <v>-11.4727001002122</v>
      </c>
      <c r="AG179" s="11" t="n">
        <v>0.0691755024529198</v>
      </c>
      <c r="AH179" s="11" t="n">
        <v>0.0525705770345227</v>
      </c>
      <c r="AI179" s="12" t="n">
        <f aca="false">(AH179-AG179)*100</f>
        <v>-1.6604925418397</v>
      </c>
      <c r="AJ179" s="14" t="s">
        <v>74</v>
      </c>
      <c r="AK179" s="14" t="s">
        <v>74</v>
      </c>
      <c r="AL179" s="14" t="s">
        <v>134</v>
      </c>
      <c r="AM179" s="20" t="n">
        <v>19.3587592973572</v>
      </c>
      <c r="AN179" s="20" t="n">
        <v>4.33584959621883</v>
      </c>
      <c r="AO179" s="12" t="n">
        <v>-15.0229097011384</v>
      </c>
    </row>
    <row r="180" customFormat="false" ht="15" hidden="false" customHeight="false" outlineLevel="0" collapsed="false">
      <c r="A180" s="14" t="s">
        <v>97</v>
      </c>
      <c r="B180" s="14" t="n">
        <v>9</v>
      </c>
      <c r="C180" s="11" t="n">
        <v>0.331092642385725</v>
      </c>
      <c r="D180" s="11" t="n">
        <v>0.416420264143505</v>
      </c>
      <c r="E180" s="12" t="n">
        <f aca="false">(D180-C180)*100</f>
        <v>8.532762175778</v>
      </c>
      <c r="F180" s="11" t="n">
        <v>0.0521342581275972</v>
      </c>
      <c r="G180" s="11" t="n">
        <v>0.0305449527803165</v>
      </c>
      <c r="H180" s="12" t="n">
        <f aca="false">(G180-F180)*100</f>
        <v>-2.15893053472807</v>
      </c>
      <c r="I180" s="11" t="n">
        <v>0.0380866536299193</v>
      </c>
      <c r="J180" s="11" t="n">
        <v>0.0283855706682436</v>
      </c>
      <c r="K180" s="12" t="n">
        <f aca="false">(J180-I180)*100</f>
        <v>-0.97010829616757</v>
      </c>
      <c r="L180" s="11" t="n">
        <v>0.123082681495967</v>
      </c>
      <c r="M180" s="11" t="n">
        <v>0.126131211583607</v>
      </c>
      <c r="N180" s="12" t="n">
        <f aca="false">(M180-L180)*100</f>
        <v>0.304853008763981</v>
      </c>
      <c r="O180" s="11" t="n">
        <v>0.0715671596186751</v>
      </c>
      <c r="P180" s="11" t="n">
        <v>0.0648800243714496</v>
      </c>
      <c r="Q180" s="12" t="n">
        <f aca="false">(P180-O180)*100</f>
        <v>-0.668713524722558</v>
      </c>
      <c r="R180" s="11" t="n">
        <v>0.192205450989978</v>
      </c>
      <c r="S180" s="11" t="n">
        <v>0.16849452538394</v>
      </c>
      <c r="T180" s="12" t="n">
        <f aca="false">(S180-R180)*100</f>
        <v>-2.37109256060381</v>
      </c>
      <c r="U180" s="11" t="n">
        <v>0.0167440723539477</v>
      </c>
      <c r="V180" s="11" t="n">
        <v>0.0179381036861818</v>
      </c>
      <c r="W180" s="12" t="n">
        <f aca="false">(V180-U180)*100</f>
        <v>0.119403133223406</v>
      </c>
      <c r="X180" s="11" t="n">
        <v>0.400459850892202</v>
      </c>
      <c r="Y180" s="11" t="n">
        <v>0.475350787592065</v>
      </c>
      <c r="Z180" s="12" t="n">
        <f aca="false">(Y180-X180)*100</f>
        <v>7.48909366998625</v>
      </c>
      <c r="AA180" s="11" t="n">
        <v>0.38685529210462</v>
      </c>
      <c r="AB180" s="11" t="n">
        <v>0.359505761338996</v>
      </c>
      <c r="AC180" s="12" t="n">
        <f aca="false">(AB180-AA180)*100</f>
        <v>-2.73495307656238</v>
      </c>
      <c r="AD180" s="11" t="n">
        <v>0.545816899176972</v>
      </c>
      <c r="AE180" s="11" t="n">
        <v>0.443556848531095</v>
      </c>
      <c r="AF180" s="12" t="n">
        <f aca="false">(AE180-AD180)*100</f>
        <v>-10.2260050645877</v>
      </c>
      <c r="AG180" s="11" t="n">
        <v>0.0485669762894158</v>
      </c>
      <c r="AH180" s="11" t="n">
        <v>0.0392093615038618</v>
      </c>
      <c r="AI180" s="12" t="n">
        <f aca="false">(AH180-AG180)*100</f>
        <v>-0.935761478555399</v>
      </c>
      <c r="AJ180" s="14" t="s">
        <v>74</v>
      </c>
      <c r="AK180" s="14" t="s">
        <v>74</v>
      </c>
      <c r="AL180" s="14" t="s">
        <v>134</v>
      </c>
      <c r="AM180" s="20" t="n">
        <v>6.84276460523099</v>
      </c>
      <c r="AN180" s="20" t="n">
        <v>11.5845026253069</v>
      </c>
      <c r="AO180" s="12" t="n">
        <v>4.74173802007589</v>
      </c>
    </row>
    <row r="181" customFormat="false" ht="15" hidden="false" customHeight="false" outlineLevel="0" collapsed="false">
      <c r="A181" s="14" t="s">
        <v>97</v>
      </c>
      <c r="B181" s="14" t="n">
        <v>10</v>
      </c>
      <c r="C181" s="11" t="n">
        <v>0.279787904354048</v>
      </c>
      <c r="D181" s="11" t="n">
        <v>0.294303238498974</v>
      </c>
      <c r="E181" s="12" t="n">
        <f aca="false">(D181-C181)*100</f>
        <v>1.45153341449256</v>
      </c>
      <c r="F181" s="11" t="n">
        <v>0.0341424864102865</v>
      </c>
      <c r="G181" s="11" t="n">
        <v>0.0240344497840798</v>
      </c>
      <c r="H181" s="12" t="n">
        <f aca="false">(G181-F181)*100</f>
        <v>-1.01080366262068</v>
      </c>
      <c r="I181" s="11" t="n">
        <v>0.0579525187692899</v>
      </c>
      <c r="J181" s="11" t="n">
        <v>0.0549028206674341</v>
      </c>
      <c r="K181" s="12" t="n">
        <f aca="false">(J181-I181)*100</f>
        <v>-0.304969810185581</v>
      </c>
      <c r="L181" s="11" t="n">
        <v>0.174594444503775</v>
      </c>
      <c r="M181" s="11" t="n">
        <v>0.302775595227219</v>
      </c>
      <c r="N181" s="12" t="n">
        <f aca="false">(M181-L181)*100</f>
        <v>12.8181150723444</v>
      </c>
      <c r="O181" s="11" t="n">
        <v>0.105513846022406</v>
      </c>
      <c r="P181" s="11" t="n">
        <v>0.150821349608055</v>
      </c>
      <c r="Q181" s="12" t="n">
        <f aca="false">(P181-O181)*100</f>
        <v>4.53075035856488</v>
      </c>
      <c r="R181" s="11" t="n">
        <v>0.0489283082542158</v>
      </c>
      <c r="S181" s="11" t="n">
        <v>0.0619255577685603</v>
      </c>
      <c r="T181" s="12" t="n">
        <f aca="false">(S181-R181)*100</f>
        <v>1.29972495143446</v>
      </c>
      <c r="U181" s="11" t="n">
        <v>0.0225391672095432</v>
      </c>
      <c r="V181" s="11" t="n">
        <v>0.0250028931484155</v>
      </c>
      <c r="W181" s="12" t="n">
        <f aca="false">(V181-U181)*100</f>
        <v>0.246372593887223</v>
      </c>
      <c r="X181" s="11" t="n">
        <v>0.349183549238015</v>
      </c>
      <c r="Y181" s="11" t="n">
        <v>0.373240508950488</v>
      </c>
      <c r="Z181" s="12" t="n">
        <f aca="false">(Y181-X181)*100</f>
        <v>2.40569597124726</v>
      </c>
      <c r="AA181" s="11" t="n">
        <v>0.329036598780397</v>
      </c>
      <c r="AB181" s="11" t="n">
        <v>0.515522502603834</v>
      </c>
      <c r="AC181" s="12" t="n">
        <f aca="false">(AB181-AA181)*100</f>
        <v>18.6485903823437</v>
      </c>
      <c r="AD181" s="11" t="n">
        <v>0.604441145144111</v>
      </c>
      <c r="AE181" s="11" t="n">
        <v>0.505271807371298</v>
      </c>
      <c r="AF181" s="12" t="n">
        <f aca="false">(AE181-AD181)*100</f>
        <v>-9.91693377728136</v>
      </c>
      <c r="AG181" s="11" t="n">
        <v>0.0553627305445497</v>
      </c>
      <c r="AH181" s="11" t="n">
        <v>0.0411862517587297</v>
      </c>
      <c r="AI181" s="12" t="n">
        <f aca="false">(AH181-AG181)*100</f>
        <v>-1.417647878582</v>
      </c>
      <c r="AJ181" s="14" t="s">
        <v>74</v>
      </c>
      <c r="AK181" s="14" t="s">
        <v>132</v>
      </c>
      <c r="AL181" s="14" t="s">
        <v>133</v>
      </c>
      <c r="AM181" s="20" t="n">
        <v>10.3121629270481</v>
      </c>
      <c r="AN181" s="20" t="n">
        <v>14.2281993653346</v>
      </c>
      <c r="AO181" s="12" t="n">
        <v>3.91603643828653</v>
      </c>
    </row>
    <row r="182" customFormat="false" ht="15" hidden="false" customHeight="false" outlineLevel="0" collapsed="false">
      <c r="A182" s="14" t="s">
        <v>97</v>
      </c>
      <c r="B182" s="14" t="n">
        <v>11</v>
      </c>
      <c r="C182" s="11" t="n">
        <v>0.230938820503399</v>
      </c>
      <c r="D182" s="11" t="n">
        <v>0.250339676039847</v>
      </c>
      <c r="E182" s="12" t="n">
        <f aca="false">(D182-C182)*100</f>
        <v>1.94008555364481</v>
      </c>
      <c r="F182" s="11" t="n">
        <v>0.0531703564210913</v>
      </c>
      <c r="G182" s="11" t="n">
        <v>0.0929554006925008</v>
      </c>
      <c r="H182" s="12" t="n">
        <f aca="false">(G182-F182)*100</f>
        <v>3.97850442714095</v>
      </c>
      <c r="I182" s="11" t="n">
        <v>0.0915395921366893</v>
      </c>
      <c r="J182" s="11" t="n">
        <v>0.0833818584818829</v>
      </c>
      <c r="K182" s="12" t="n">
        <f aca="false">(J182-I182)*100</f>
        <v>-0.815773365480643</v>
      </c>
      <c r="L182" s="11" t="n">
        <v>0.104790556678302</v>
      </c>
      <c r="M182" s="11" t="n">
        <v>0.0941200042576905</v>
      </c>
      <c r="N182" s="12" t="n">
        <f aca="false">(M182-L182)*100</f>
        <v>-1.06705524206119</v>
      </c>
      <c r="O182" s="11" t="n">
        <v>0.153413788352012</v>
      </c>
      <c r="P182" s="11" t="n">
        <v>0.170050904446156</v>
      </c>
      <c r="Q182" s="12" t="n">
        <f aca="false">(P182-O182)*100</f>
        <v>1.66371160941442</v>
      </c>
      <c r="R182" s="11" t="n">
        <v>0.201824591218078</v>
      </c>
      <c r="S182" s="11" t="n">
        <v>0.118351271985023</v>
      </c>
      <c r="T182" s="12" t="n">
        <f aca="false">(S182-R182)*100</f>
        <v>-8.34733192330554</v>
      </c>
      <c r="U182" s="11" t="n">
        <v>0.0226954345030314</v>
      </c>
      <c r="V182" s="11" t="n">
        <v>0.0202803814389742</v>
      </c>
      <c r="W182" s="12" t="n">
        <f aca="false">(V182-U182)*100</f>
        <v>-0.241505306405727</v>
      </c>
      <c r="X182" s="11" t="n">
        <v>0.314067380121257</v>
      </c>
      <c r="Y182" s="11" t="n">
        <v>0.426676935214231</v>
      </c>
      <c r="Z182" s="12" t="n">
        <f aca="false">(Y182-X182)*100</f>
        <v>11.2609555092974</v>
      </c>
      <c r="AA182" s="11" t="n">
        <v>0.460028936248392</v>
      </c>
      <c r="AB182" s="11" t="n">
        <v>0.382522180688869</v>
      </c>
      <c r="AC182" s="12" t="n">
        <f aca="false">(AB182-AA182)*100</f>
        <v>-7.75067555595231</v>
      </c>
      <c r="AD182" s="11" t="n">
        <v>0.614110985357323</v>
      </c>
      <c r="AE182" s="11" t="n">
        <v>0.535201214424305</v>
      </c>
      <c r="AF182" s="12" t="n">
        <f aca="false">(AE182-AD182)*100</f>
        <v>-7.89097709330183</v>
      </c>
      <c r="AG182" s="11" t="n">
        <v>0.0762963898585339</v>
      </c>
      <c r="AH182" s="11" t="n">
        <v>0.0602713651533082</v>
      </c>
      <c r="AI182" s="12" t="n">
        <f aca="false">(AH182-AG182)*100</f>
        <v>-1.60250247052257</v>
      </c>
      <c r="AJ182" s="14" t="s">
        <v>132</v>
      </c>
      <c r="AK182" s="14" t="s">
        <v>74</v>
      </c>
      <c r="AL182" s="14" t="s">
        <v>135</v>
      </c>
      <c r="AM182" s="20" t="n">
        <v>1.52432022781554</v>
      </c>
      <c r="AN182" s="20" t="n">
        <v>4.41547545253614</v>
      </c>
      <c r="AO182" s="12" t="n">
        <v>2.8911552247206</v>
      </c>
    </row>
    <row r="183" customFormat="false" ht="15" hidden="false" customHeight="false" outlineLevel="0" collapsed="false">
      <c r="A183" s="14" t="s">
        <v>97</v>
      </c>
      <c r="B183" s="14" t="n">
        <v>12</v>
      </c>
      <c r="C183" s="11" t="n">
        <v>0.334102426477251</v>
      </c>
      <c r="D183" s="11" t="n">
        <v>0.272458856884028</v>
      </c>
      <c r="E183" s="12" t="n">
        <f aca="false">(D183-C183)*100</f>
        <v>-6.16435695932238</v>
      </c>
      <c r="F183" s="11" t="n">
        <v>0.0540572567771977</v>
      </c>
      <c r="G183" s="11" t="n">
        <v>0.0477947960878391</v>
      </c>
      <c r="H183" s="12" t="n">
        <f aca="false">(G183-F183)*100</f>
        <v>-0.62624606893586</v>
      </c>
      <c r="I183" s="11" t="n">
        <v>0.0911758760342676</v>
      </c>
      <c r="J183" s="11" t="n">
        <v>0.152518914928954</v>
      </c>
      <c r="K183" s="12" t="n">
        <f aca="false">(J183-I183)*100</f>
        <v>6.13430388946861</v>
      </c>
      <c r="L183" s="11" t="n">
        <v>0.0945217797419472</v>
      </c>
      <c r="M183" s="11" t="n">
        <v>0.0705514267979668</v>
      </c>
      <c r="N183" s="12" t="n">
        <f aca="false">(M183-L183)*100</f>
        <v>-2.39703529439804</v>
      </c>
      <c r="O183" s="11" t="n">
        <v>0.167518245631156</v>
      </c>
      <c r="P183" s="11" t="n">
        <v>0.165864215135298</v>
      </c>
      <c r="Q183" s="12" t="n">
        <f aca="false">(P183-O183)*100</f>
        <v>-0.165403049585749</v>
      </c>
      <c r="R183" s="11" t="n">
        <v>0.143678681713939</v>
      </c>
      <c r="S183" s="11" t="n">
        <v>0.120803905450519</v>
      </c>
      <c r="T183" s="12" t="n">
        <f aca="false">(S183-R183)*100</f>
        <v>-2.287477626342</v>
      </c>
      <c r="U183" s="11" t="n">
        <v>0.0198663032643473</v>
      </c>
      <c r="V183" s="11" t="n">
        <v>0.0279823516583066</v>
      </c>
      <c r="W183" s="12" t="n">
        <f aca="false">(V183-U183)*100</f>
        <v>0.811604839395932</v>
      </c>
      <c r="X183" s="11" t="n">
        <v>0.39832983639925</v>
      </c>
      <c r="Y183" s="11" t="n">
        <v>0.47277256790082</v>
      </c>
      <c r="Z183" s="12" t="n">
        <f aca="false">(Y183-X183)*100</f>
        <v>7.44427315015703</v>
      </c>
      <c r="AA183" s="11" t="n">
        <v>0.405718707087042</v>
      </c>
      <c r="AB183" s="11" t="n">
        <v>0.357219547383784</v>
      </c>
      <c r="AC183" s="12" t="n">
        <f aca="false">(AB183-AA183)*100</f>
        <v>-4.8499159703258</v>
      </c>
      <c r="AD183" s="11" t="n">
        <v>0.569340487510616</v>
      </c>
      <c r="AE183" s="11" t="n">
        <v>0.458257577213584</v>
      </c>
      <c r="AF183" s="12" t="n">
        <f aca="false">(AE183-AD183)*100</f>
        <v>-11.1082910297032</v>
      </c>
      <c r="AG183" s="11" t="n">
        <v>0.0570755407468336</v>
      </c>
      <c r="AH183" s="11" t="n">
        <v>0.0420238554580684</v>
      </c>
      <c r="AI183" s="12" t="n">
        <f aca="false">(AH183-AG183)*100</f>
        <v>-1.50516852887652</v>
      </c>
      <c r="AJ183" s="14" t="s">
        <v>74</v>
      </c>
      <c r="AK183" s="14" t="s">
        <v>74</v>
      </c>
      <c r="AL183" s="14" t="s">
        <v>134</v>
      </c>
      <c r="AM183" s="20" t="n">
        <v>11.2171421799957</v>
      </c>
      <c r="AN183" s="20" t="n">
        <v>11.5553020517036</v>
      </c>
      <c r="AO183" s="12" t="n">
        <v>0.338159871707923</v>
      </c>
    </row>
    <row r="184" customFormat="false" ht="15" hidden="false" customHeight="false" outlineLevel="0" collapsed="false">
      <c r="A184" s="14" t="s">
        <v>98</v>
      </c>
      <c r="B184" s="14" t="n">
        <v>1</v>
      </c>
      <c r="C184" s="11" t="n">
        <v>0.369945253508574</v>
      </c>
      <c r="D184" s="11" t="n">
        <v>0.302762310993053</v>
      </c>
      <c r="E184" s="12" t="n">
        <f aca="false">(D184-C184)*100</f>
        <v>-6.71829425155217</v>
      </c>
      <c r="F184" s="11" t="n">
        <v>0.0442281136454895</v>
      </c>
      <c r="G184" s="11" t="n">
        <v>0.0302921945239068</v>
      </c>
      <c r="H184" s="12" t="n">
        <f aca="false">(G184-F184)*100</f>
        <v>-1.39359191215827</v>
      </c>
      <c r="I184" s="11" t="n">
        <v>0.0411235272802061</v>
      </c>
      <c r="J184" s="11" t="n">
        <v>0.0359943297915815</v>
      </c>
      <c r="K184" s="12" t="n">
        <f aca="false">(J184-I184)*100</f>
        <v>-0.512919748862453</v>
      </c>
      <c r="L184" s="11" t="n">
        <v>0.202699129344707</v>
      </c>
      <c r="M184" s="11" t="n">
        <v>0.280911575398447</v>
      </c>
      <c r="N184" s="12" t="n">
        <f aca="false">(M184-L184)*100</f>
        <v>7.82124460537401</v>
      </c>
      <c r="O184" s="11" t="n">
        <v>0.0624442986279099</v>
      </c>
      <c r="P184" s="11" t="n">
        <v>0.100154525950143</v>
      </c>
      <c r="Q184" s="12" t="n">
        <f aca="false">(P184-O184)*100</f>
        <v>3.77102273222331</v>
      </c>
      <c r="R184" s="11" t="n">
        <v>0.0458244782434113</v>
      </c>
      <c r="S184" s="11" t="n">
        <v>0.0310775950143032</v>
      </c>
      <c r="T184" s="12" t="n">
        <f aca="false">(S184-R184)*100</f>
        <v>-1.47468832291081</v>
      </c>
      <c r="U184" s="11" t="n">
        <v>0.0389052660444436</v>
      </c>
      <c r="V184" s="11" t="n">
        <v>0.0323865958316306</v>
      </c>
      <c r="W184" s="12" t="n">
        <f aca="false">(V184-U184)*100</f>
        <v>-0.6518670212813</v>
      </c>
      <c r="X184" s="11" t="n">
        <v>0.4645812725866</v>
      </c>
      <c r="Y184" s="11" t="n">
        <v>0.369048835308541</v>
      </c>
      <c r="Z184" s="12" t="n">
        <f aca="false">(Y184-X184)*100</f>
        <v>-9.55324372780593</v>
      </c>
      <c r="AA184" s="11" t="n">
        <v>0.310967906216028</v>
      </c>
      <c r="AB184" s="11" t="n">
        <v>0.412143696362893</v>
      </c>
      <c r="AC184" s="12" t="n">
        <f aca="false">(AB184-AA184)*100</f>
        <v>10.1175790146865</v>
      </c>
      <c r="AD184" s="11" t="n">
        <v>0.668414506415292</v>
      </c>
      <c r="AE184" s="11" t="n">
        <v>0.501623948597383</v>
      </c>
      <c r="AF184" s="12" t="n">
        <f aca="false">(AE184-AD184)*100</f>
        <v>-16.679055781791</v>
      </c>
      <c r="AG184" s="11" t="n">
        <v>0.0442623914129296</v>
      </c>
      <c r="AH184" s="11" t="n">
        <v>0.0419838067020842</v>
      </c>
      <c r="AI184" s="12" t="n">
        <f aca="false">(AH184-AG184)*100</f>
        <v>-0.227858471084538</v>
      </c>
      <c r="AJ184" s="14" t="s">
        <v>74</v>
      </c>
      <c r="AK184" s="14" t="s">
        <v>132</v>
      </c>
      <c r="AL184" s="14" t="s">
        <v>133</v>
      </c>
      <c r="AM184" s="20" t="n">
        <v>17.7152398954038</v>
      </c>
      <c r="AN184" s="20" t="n">
        <v>4.30948610543523</v>
      </c>
      <c r="AO184" s="12" t="n">
        <v>-13.4057537899686</v>
      </c>
    </row>
    <row r="185" customFormat="false" ht="15" hidden="false" customHeight="false" outlineLevel="0" collapsed="false">
      <c r="A185" s="14" t="s">
        <v>98</v>
      </c>
      <c r="B185" s="14" t="n">
        <v>2</v>
      </c>
      <c r="C185" s="11" t="n">
        <v>0.406164576734499</v>
      </c>
      <c r="D185" s="11" t="n">
        <v>0.332247760572183</v>
      </c>
      <c r="E185" s="12" t="n">
        <f aca="false">(D185-C185)*100</f>
        <v>-7.39168161623166</v>
      </c>
      <c r="F185" s="11" t="n">
        <v>0.0444363691586758</v>
      </c>
      <c r="G185" s="11" t="n">
        <v>0.0369210471495035</v>
      </c>
      <c r="H185" s="12" t="n">
        <f aca="false">(G185-F185)*100</f>
        <v>-0.751532200917224</v>
      </c>
      <c r="I185" s="11" t="n">
        <v>0.0815778626285417</v>
      </c>
      <c r="J185" s="11" t="n">
        <v>0.0465453787931394</v>
      </c>
      <c r="K185" s="12" t="n">
        <f aca="false">(J185-I185)*100</f>
        <v>-3.50324838354023</v>
      </c>
      <c r="L185" s="11" t="n">
        <v>0.0994869180370547</v>
      </c>
      <c r="M185" s="11" t="n">
        <v>0.133553225470454</v>
      </c>
      <c r="N185" s="12" t="n">
        <f aca="false">(M185-L185)*100</f>
        <v>3.40663074333988</v>
      </c>
      <c r="O185" s="11" t="n">
        <v>0.0720809649845967</v>
      </c>
      <c r="P185" s="11" t="n">
        <v>0.096271092285258</v>
      </c>
      <c r="Q185" s="12" t="n">
        <f aca="false">(P185-O185)*100</f>
        <v>2.41901273006613</v>
      </c>
      <c r="R185" s="11" t="n">
        <v>0.124484748557296</v>
      </c>
      <c r="S185" s="11" t="n">
        <v>0.0702173460176377</v>
      </c>
      <c r="T185" s="12" t="n">
        <f aca="false">(S185-R185)*100</f>
        <v>-5.42674025396583</v>
      </c>
      <c r="U185" s="11" t="n">
        <v>0.0305733935002386</v>
      </c>
      <c r="V185" s="11" t="n">
        <v>0.068675786403722</v>
      </c>
      <c r="W185" s="12" t="n">
        <f aca="false">(V185-U185)*100</f>
        <v>3.81023929034833</v>
      </c>
      <c r="X185" s="11" t="n">
        <v>0.503557946804356</v>
      </c>
      <c r="Y185" s="11" t="n">
        <v>0.415714186514825</v>
      </c>
      <c r="Z185" s="12" t="n">
        <f aca="false">(Y185-X185)*100</f>
        <v>-8.7843760289531</v>
      </c>
      <c r="AA185" s="11" t="n">
        <v>0.296052631578947</v>
      </c>
      <c r="AB185" s="11" t="n">
        <v>0.300041663773349</v>
      </c>
      <c r="AC185" s="12" t="n">
        <f aca="false">(AB185-AA185)*100</f>
        <v>0.398903219440183</v>
      </c>
      <c r="AD185" s="11" t="n">
        <v>0.651123369331064</v>
      </c>
      <c r="AE185" s="11" t="n">
        <v>0.481837009873627</v>
      </c>
      <c r="AF185" s="12" t="n">
        <f aca="false">(AE185-AD185)*100</f>
        <v>-16.9286359457437</v>
      </c>
      <c r="AG185" s="11" t="n">
        <v>0.0536729292315703</v>
      </c>
      <c r="AH185" s="11" t="n">
        <v>0.0468231372821332</v>
      </c>
      <c r="AI185" s="12" t="n">
        <f aca="false">(AH185-AG185)*100</f>
        <v>-0.684979194943708</v>
      </c>
      <c r="AJ185" s="14" t="s">
        <v>74</v>
      </c>
      <c r="AK185" s="14" t="s">
        <v>74</v>
      </c>
      <c r="AL185" s="14" t="s">
        <v>134</v>
      </c>
      <c r="AM185" s="20" t="n">
        <v>24.9012886709767</v>
      </c>
      <c r="AN185" s="20" t="n">
        <v>11.5672522741476</v>
      </c>
      <c r="AO185" s="12" t="n">
        <v>-13.3340363968291</v>
      </c>
    </row>
    <row r="186" customFormat="false" ht="15" hidden="false" customHeight="false" outlineLevel="0" collapsed="false">
      <c r="A186" s="14" t="s">
        <v>98</v>
      </c>
      <c r="B186" s="14" t="n">
        <v>3</v>
      </c>
      <c r="C186" s="11" t="n">
        <v>0.377606984490697</v>
      </c>
      <c r="D186" s="11" t="n">
        <v>0.354301227451687</v>
      </c>
      <c r="E186" s="12" t="n">
        <f aca="false">(D186-C186)*100</f>
        <v>-2.33057570390097</v>
      </c>
      <c r="F186" s="11" t="n">
        <v>0.0612628094965311</v>
      </c>
      <c r="G186" s="11" t="n">
        <v>0.0584004528962199</v>
      </c>
      <c r="H186" s="12" t="n">
        <f aca="false">(G186-F186)*100</f>
        <v>-0.286235660031124</v>
      </c>
      <c r="I186" s="11" t="n">
        <v>0.050850783951796</v>
      </c>
      <c r="J186" s="11" t="n">
        <v>0.0364825918015491</v>
      </c>
      <c r="K186" s="12" t="n">
        <f aca="false">(J186-I186)*100</f>
        <v>-1.43681921502469</v>
      </c>
      <c r="L186" s="11" t="n">
        <v>0.0576453864595931</v>
      </c>
      <c r="M186" s="11" t="n">
        <v>0.110470651810298</v>
      </c>
      <c r="N186" s="12" t="n">
        <f aca="false">(M186-L186)*100</f>
        <v>5.28252653507052</v>
      </c>
      <c r="O186" s="11" t="n">
        <v>0.135685188721278</v>
      </c>
      <c r="P186" s="11" t="n">
        <v>0.0875363474949178</v>
      </c>
      <c r="Q186" s="12" t="n">
        <f aca="false">(P186-O186)*100</f>
        <v>-4.81488412263603</v>
      </c>
      <c r="R186" s="11" t="n">
        <v>0.1025873591751</v>
      </c>
      <c r="S186" s="11" t="n">
        <v>0.0246326651398574</v>
      </c>
      <c r="T186" s="12" t="n">
        <f aca="false">(S186-R186)*100</f>
        <v>-7.79546940352428</v>
      </c>
      <c r="U186" s="11" t="n">
        <v>0.0672989200772283</v>
      </c>
      <c r="V186" s="11" t="n">
        <v>0.0862754432464424</v>
      </c>
      <c r="W186" s="12" t="n">
        <f aca="false">(V186-U186)*100</f>
        <v>1.89765231692142</v>
      </c>
      <c r="X186" s="11" t="n">
        <v>0.478794050877305</v>
      </c>
      <c r="Y186" s="11" t="n">
        <v>0.449184272149456</v>
      </c>
      <c r="Z186" s="12" t="n">
        <f aca="false">(Y186-X186)*100</f>
        <v>-2.96097787278488</v>
      </c>
      <c r="AA186" s="11" t="n">
        <v>0.295917934355971</v>
      </c>
      <c r="AB186" s="11" t="n">
        <v>0.222639664445074</v>
      </c>
      <c r="AC186" s="12" t="n">
        <f aca="false">(AB186-AA186)*100</f>
        <v>-7.32782699108979</v>
      </c>
      <c r="AD186" s="11" t="n">
        <v>0.655032120658326</v>
      </c>
      <c r="AE186" s="11" t="n">
        <v>0.520413936717633</v>
      </c>
      <c r="AF186" s="12" t="n">
        <f aca="false">(AE186-AD186)*100</f>
        <v>-13.4618183940693</v>
      </c>
      <c r="AG186" s="11" t="n">
        <v>0.0571521015000106</v>
      </c>
      <c r="AH186" s="11" t="n">
        <v>0.0484933480867708</v>
      </c>
      <c r="AI186" s="12" t="n">
        <f aca="false">(AH186-AG186)*100</f>
        <v>-0.865875341323982</v>
      </c>
      <c r="AJ186" s="14" t="s">
        <v>74</v>
      </c>
      <c r="AK186" s="14" t="s">
        <v>74</v>
      </c>
      <c r="AL186" s="14" t="s">
        <v>134</v>
      </c>
      <c r="AM186" s="20" t="n">
        <v>24.3099314705196</v>
      </c>
      <c r="AN186" s="20" t="n">
        <v>22.6544607704382</v>
      </c>
      <c r="AO186" s="12" t="n">
        <v>-1.65547070008137</v>
      </c>
    </row>
    <row r="187" customFormat="false" ht="15" hidden="false" customHeight="false" outlineLevel="0" collapsed="false">
      <c r="A187" s="14" t="s">
        <v>98</v>
      </c>
      <c r="B187" s="14" t="n">
        <v>4</v>
      </c>
      <c r="C187" s="11" t="n">
        <v>0.335809132095956</v>
      </c>
      <c r="D187" s="11" t="n">
        <v>0.286495435238389</v>
      </c>
      <c r="E187" s="12" t="n">
        <f aca="false">(D187-C187)*100</f>
        <v>-4.93136968575672</v>
      </c>
      <c r="F187" s="11" t="n">
        <v>0.0503110842015158</v>
      </c>
      <c r="G187" s="11" t="n">
        <v>0.063912704598597</v>
      </c>
      <c r="H187" s="12" t="n">
        <f aca="false">(G187-F187)*100</f>
        <v>1.36016203970813</v>
      </c>
      <c r="I187" s="11" t="n">
        <v>0.0302106603753889</v>
      </c>
      <c r="J187" s="11" t="n">
        <v>0.0262526660503785</v>
      </c>
      <c r="K187" s="12" t="n">
        <f aca="false">(J187-I187)*100</f>
        <v>-0.395799432501032</v>
      </c>
      <c r="L187" s="11" t="n">
        <v>0.0383165960289789</v>
      </c>
      <c r="M187" s="11" t="n">
        <v>0.0507773085126309</v>
      </c>
      <c r="N187" s="12" t="n">
        <f aca="false">(M187-L187)*100</f>
        <v>1.2460712483652</v>
      </c>
      <c r="O187" s="11" t="n">
        <v>0.0945883875816857</v>
      </c>
      <c r="P187" s="11" t="n">
        <v>0.0672358268834551</v>
      </c>
      <c r="Q187" s="12" t="n">
        <f aca="false">(P187-O187)*100</f>
        <v>-2.73525606982306</v>
      </c>
      <c r="R187" s="11" t="n">
        <v>0.13521201745412</v>
      </c>
      <c r="S187" s="11" t="n">
        <v>0.0188451243754041</v>
      </c>
      <c r="T187" s="12" t="n">
        <f aca="false">(S187-R187)*100</f>
        <v>-11.6366893078716</v>
      </c>
      <c r="U187" s="11" t="n">
        <v>0.0214314048896591</v>
      </c>
      <c r="V187" s="11" t="n">
        <v>0.0714229609623762</v>
      </c>
      <c r="W187" s="12" t="n">
        <f aca="false">(V187-U187)*100</f>
        <v>4.99915560727172</v>
      </c>
      <c r="X187" s="11" t="n">
        <v>0.432568845647953</v>
      </c>
      <c r="Y187" s="11" t="n">
        <v>0.376660805887364</v>
      </c>
      <c r="Z187" s="12" t="n">
        <f aca="false">(Y187-X187)*100</f>
        <v>-5.59080397605886</v>
      </c>
      <c r="AA187" s="11" t="n">
        <v>0.268117001064785</v>
      </c>
      <c r="AB187" s="11" t="n">
        <v>0.13685825977149</v>
      </c>
      <c r="AC187" s="12" t="n">
        <f aca="false">(AB187-AA187)*100</f>
        <v>-13.1258741293295</v>
      </c>
      <c r="AD187" s="11" t="n">
        <v>0.655826818013775</v>
      </c>
      <c r="AE187" s="11" t="n">
        <v>0.549264083630631</v>
      </c>
      <c r="AF187" s="12" t="n">
        <f aca="false">(AE187-AD187)*100</f>
        <v>-10.6562734383143</v>
      </c>
      <c r="AG187" s="11" t="n">
        <v>0.0443190596488298</v>
      </c>
      <c r="AH187" s="11" t="n">
        <v>0.0449527814533524</v>
      </c>
      <c r="AI187" s="12" t="n">
        <f aca="false">(AH187-AG187)*100</f>
        <v>0.0633721804522647</v>
      </c>
      <c r="AJ187" s="14" t="s">
        <v>74</v>
      </c>
      <c r="AK187" s="14" t="s">
        <v>74</v>
      </c>
      <c r="AL187" s="14" t="s">
        <v>134</v>
      </c>
      <c r="AM187" s="20" t="n">
        <v>23.7608827275195</v>
      </c>
      <c r="AN187" s="20" t="n">
        <v>23.9802546115874</v>
      </c>
      <c r="AO187" s="12" t="n">
        <v>0.219371884067957</v>
      </c>
    </row>
    <row r="188" customFormat="false" ht="15" hidden="false" customHeight="false" outlineLevel="0" collapsed="false">
      <c r="A188" s="14" t="s">
        <v>98</v>
      </c>
      <c r="B188" s="14" t="n">
        <v>5</v>
      </c>
      <c r="C188" s="11" t="n">
        <v>0.348832637520111</v>
      </c>
      <c r="D188" s="11" t="n">
        <v>0.310220484538565</v>
      </c>
      <c r="E188" s="12" t="n">
        <f aca="false">(D188-C188)*100</f>
        <v>-3.86121529815466</v>
      </c>
      <c r="F188" s="11" t="n">
        <v>0.0580085773852943</v>
      </c>
      <c r="G188" s="11" t="n">
        <v>0.0638579634704243</v>
      </c>
      <c r="H188" s="12" t="n">
        <f aca="false">(G188-F188)*100</f>
        <v>0.584938608513005</v>
      </c>
      <c r="I188" s="11" t="n">
        <v>0.069927935478197</v>
      </c>
      <c r="J188" s="11" t="n">
        <v>0.0522891179471892</v>
      </c>
      <c r="K188" s="12" t="n">
        <f aca="false">(J188-I188)*100</f>
        <v>-1.76388175310078</v>
      </c>
      <c r="L188" s="11" t="n">
        <v>0.0649667096053265</v>
      </c>
      <c r="M188" s="11" t="n">
        <v>0.119317334923237</v>
      </c>
      <c r="N188" s="12" t="n">
        <f aca="false">(M188-L188)*100</f>
        <v>5.43506253179109</v>
      </c>
      <c r="O188" s="11" t="n">
        <v>0.0884432925157399</v>
      </c>
      <c r="P188" s="11" t="n">
        <v>0.104022151644748</v>
      </c>
      <c r="Q188" s="12" t="n">
        <f aca="false">(P188-O188)*100</f>
        <v>1.55788591290083</v>
      </c>
      <c r="R188" s="11" t="n">
        <v>0.139136777738116</v>
      </c>
      <c r="S188" s="11" t="n">
        <v>0.0166080007338019</v>
      </c>
      <c r="T188" s="12" t="n">
        <f aca="false">(S188-R188)*100</f>
        <v>-12.2528777004314</v>
      </c>
      <c r="U188" s="11" t="n">
        <v>0.0505693252422413</v>
      </c>
      <c r="V188" s="11" t="n">
        <v>0.0765619088021831</v>
      </c>
      <c r="W188" s="12" t="n">
        <f aca="false">(V188-U188)*100</f>
        <v>2.59925835599418</v>
      </c>
      <c r="X188" s="11" t="n">
        <v>0.445041102126757</v>
      </c>
      <c r="Y188" s="11" t="n">
        <v>0.426367565956178</v>
      </c>
      <c r="Z188" s="12" t="n">
        <f aca="false">(Y188-X188)*100</f>
        <v>-1.86735361705787</v>
      </c>
      <c r="AA188" s="11" t="n">
        <v>0.292546779859182</v>
      </c>
      <c r="AB188" s="11" t="n">
        <v>0.239947487301788</v>
      </c>
      <c r="AC188" s="12" t="n">
        <f aca="false">(AB188-AA188)*100</f>
        <v>-5.25992925573944</v>
      </c>
      <c r="AD188" s="11" t="n">
        <v>0.714002349238714</v>
      </c>
      <c r="AE188" s="11" t="n">
        <v>0.61207918985494</v>
      </c>
      <c r="AF188" s="12" t="n">
        <f aca="false">(AE188-AD188)*100</f>
        <v>-10.1923159383773</v>
      </c>
      <c r="AG188" s="11" t="n">
        <v>0.0632491632134672</v>
      </c>
      <c r="AH188" s="11" t="n">
        <v>0.05891053349691</v>
      </c>
      <c r="AI188" s="12" t="n">
        <f aca="false">(AH188-AG188)*100</f>
        <v>-0.433862971655721</v>
      </c>
      <c r="AJ188" s="14" t="s">
        <v>74</v>
      </c>
      <c r="AK188" s="14" t="s">
        <v>74</v>
      </c>
      <c r="AL188" s="14" t="s">
        <v>134</v>
      </c>
      <c r="AM188" s="20" t="n">
        <v>19.0368289541074</v>
      </c>
      <c r="AN188" s="20" t="n">
        <v>18.6420078654391</v>
      </c>
      <c r="AO188" s="12" t="n">
        <v>-0.394821088668291</v>
      </c>
    </row>
    <row r="189" customFormat="false" ht="15" hidden="false" customHeight="false" outlineLevel="0" collapsed="false">
      <c r="A189" s="14" t="s">
        <v>99</v>
      </c>
      <c r="B189" s="14" t="n">
        <v>1</v>
      </c>
      <c r="C189" s="11" t="n">
        <v>0.435130947688879</v>
      </c>
      <c r="D189" s="11" t="n">
        <v>0.350725396024493</v>
      </c>
      <c r="E189" s="12" t="n">
        <f aca="false">(D189-C189)*100</f>
        <v>-8.44055516643852</v>
      </c>
      <c r="F189" s="11" t="n">
        <v>0.0581483847293385</v>
      </c>
      <c r="G189" s="11" t="n">
        <v>0.0629901640161213</v>
      </c>
      <c r="H189" s="12" t="n">
        <f aca="false">(G189-F189)*100</f>
        <v>0.484177928678277</v>
      </c>
      <c r="I189" s="11" t="n">
        <v>0.0169613612579676</v>
      </c>
      <c r="J189" s="11" t="n">
        <v>0.0490677929148524</v>
      </c>
      <c r="K189" s="12" t="n">
        <f aca="false">(J189-I189)*100</f>
        <v>3.21064316568848</v>
      </c>
      <c r="L189" s="11" t="n">
        <v>0.128487747862841</v>
      </c>
      <c r="M189" s="11" t="n">
        <v>0.0479527573769879</v>
      </c>
      <c r="N189" s="12" t="n">
        <f aca="false">(M189-L189)*100</f>
        <v>-8.05349904858534</v>
      </c>
      <c r="O189" s="11" t="n">
        <v>0.18149200179399</v>
      </c>
      <c r="P189" s="11" t="n">
        <v>0.140731189225891</v>
      </c>
      <c r="Q189" s="12" t="n">
        <f aca="false">(P189-O189)*100</f>
        <v>-4.07608125680988</v>
      </c>
      <c r="R189" s="11" t="n">
        <v>0.0598540344391742</v>
      </c>
      <c r="S189" s="11" t="n">
        <v>0.0307039674085702</v>
      </c>
      <c r="T189" s="12" t="n">
        <f aca="false">(S189-R189)*100</f>
        <v>-2.9150067030604</v>
      </c>
      <c r="U189" s="11" t="n">
        <v>0.0245926147406189</v>
      </c>
      <c r="V189" s="11" t="n">
        <v>0.190222571060156</v>
      </c>
      <c r="W189" s="12" t="n">
        <f aca="false">(V189-U189)*100</f>
        <v>16.5629956319537</v>
      </c>
      <c r="X189" s="11" t="n">
        <v>0.520066866904959</v>
      </c>
      <c r="Y189" s="11" t="n">
        <v>0.462783352955467</v>
      </c>
      <c r="Z189" s="12" t="n">
        <f aca="false">(Y189-X189)*100</f>
        <v>-5.72835139494922</v>
      </c>
      <c r="AA189" s="11" t="n">
        <v>0.369833784096006</v>
      </c>
      <c r="AB189" s="11" t="n">
        <v>0.219387914011449</v>
      </c>
      <c r="AC189" s="12" t="n">
        <f aca="false">(AB189-AA189)*100</f>
        <v>-15.0445870084556</v>
      </c>
      <c r="AD189" s="11" t="n">
        <v>0.573112123690462</v>
      </c>
      <c r="AE189" s="11" t="n">
        <v>0.609791118252367</v>
      </c>
      <c r="AF189" s="12" t="n">
        <f aca="false">(AE189-AD189)*100</f>
        <v>3.66789945619052</v>
      </c>
      <c r="AG189" s="11" t="n">
        <v>0.0374223623588252</v>
      </c>
      <c r="AH189" s="11" t="n">
        <v>0.0489992711778887</v>
      </c>
      <c r="AI189" s="12" t="n">
        <f aca="false">(AH189-AG189)*100</f>
        <v>1.15769088190634</v>
      </c>
      <c r="AJ189" s="14" t="s">
        <v>74</v>
      </c>
      <c r="AK189" s="14" t="s">
        <v>74</v>
      </c>
      <c r="AL189" s="14" t="s">
        <v>134</v>
      </c>
      <c r="AM189" s="20" t="n">
        <v>29.0680764892157</v>
      </c>
      <c r="AN189" s="20" t="n">
        <v>24.3395438944018</v>
      </c>
      <c r="AO189" s="12" t="n">
        <v>-4.7285325948139</v>
      </c>
    </row>
    <row r="190" customFormat="false" ht="15" hidden="false" customHeight="false" outlineLevel="0" collapsed="false">
      <c r="A190" s="14" t="s">
        <v>99</v>
      </c>
      <c r="B190" s="14" t="n">
        <v>2</v>
      </c>
      <c r="C190" s="11" t="n">
        <v>0.461464604382446</v>
      </c>
      <c r="D190" s="11" t="n">
        <v>0.422377226302537</v>
      </c>
      <c r="E190" s="12" t="n">
        <f aca="false">(D190-C190)*100</f>
        <v>-3.9087378079909</v>
      </c>
      <c r="F190" s="11" t="n">
        <v>0.058938434966864</v>
      </c>
      <c r="G190" s="11" t="n">
        <v>0.0428730615084373</v>
      </c>
      <c r="H190" s="12" t="n">
        <f aca="false">(G190-F190)*100</f>
        <v>-1.60653734584267</v>
      </c>
      <c r="I190" s="11" t="n">
        <v>0.022166060599372</v>
      </c>
      <c r="J190" s="11" t="n">
        <v>0.0489986640645682</v>
      </c>
      <c r="K190" s="12" t="n">
        <f aca="false">(J190-I190)*100</f>
        <v>2.68326034651961</v>
      </c>
      <c r="L190" s="11" t="n">
        <v>0.140743724582421</v>
      </c>
      <c r="M190" s="11" t="n">
        <v>0.0983359292754551</v>
      </c>
      <c r="N190" s="12" t="n">
        <f aca="false">(M190-L190)*100</f>
        <v>-4.24077953069654</v>
      </c>
      <c r="O190" s="11" t="n">
        <v>0.0973441560949769</v>
      </c>
      <c r="P190" s="11" t="n">
        <v>0.0711616481872526</v>
      </c>
      <c r="Q190" s="12" t="n">
        <f aca="false">(P190-O190)*100</f>
        <v>-2.61825079077243</v>
      </c>
      <c r="R190" s="11" t="n">
        <v>0.040099766585919</v>
      </c>
      <c r="S190" s="11" t="n">
        <v>0.0272481577019448</v>
      </c>
      <c r="T190" s="12" t="n">
        <f aca="false">(S190-R190)*100</f>
        <v>-1.28516088839742</v>
      </c>
      <c r="U190" s="11" t="n">
        <v>0.0978959624330245</v>
      </c>
      <c r="V190" s="11" t="n">
        <v>0.155799621997993</v>
      </c>
      <c r="W190" s="12" t="n">
        <f aca="false">(V190-U190)*100</f>
        <v>5.79036595649685</v>
      </c>
      <c r="X190" s="11" t="n">
        <v>0.547662272448861</v>
      </c>
      <c r="Y190" s="11" t="n">
        <v>0.514248951875543</v>
      </c>
      <c r="Z190" s="12" t="n">
        <f aca="false">(Y190-X190)*100</f>
        <v>-3.34133205733188</v>
      </c>
      <c r="AA190" s="11" t="n">
        <v>0.278187647263317</v>
      </c>
      <c r="AB190" s="11" t="n">
        <v>0.196745735164653</v>
      </c>
      <c r="AC190" s="12" t="n">
        <f aca="false">(AB190-AA190)*100</f>
        <v>-8.1441912098664</v>
      </c>
      <c r="AD190" s="11" t="n">
        <v>0.599895395758232</v>
      </c>
      <c r="AE190" s="11" t="n">
        <v>0.5122970466903</v>
      </c>
      <c r="AF190" s="12" t="n">
        <f aca="false">(AE190-AD190)*100</f>
        <v>-8.7598349067932</v>
      </c>
      <c r="AG190" s="11" t="n">
        <v>0.0304873001771298</v>
      </c>
      <c r="AH190" s="11" t="n">
        <v>0.032942813344579</v>
      </c>
      <c r="AI190" s="12" t="n">
        <f aca="false">(AH190-AG190)*100</f>
        <v>0.245551316744917</v>
      </c>
      <c r="AJ190" s="14" t="s">
        <v>74</v>
      </c>
      <c r="AK190" s="14" t="s">
        <v>74</v>
      </c>
      <c r="AL190" s="14" t="s">
        <v>134</v>
      </c>
      <c r="AM190" s="20" t="n">
        <v>26.8922818847497</v>
      </c>
      <c r="AN190" s="20" t="n">
        <v>31.750321671089</v>
      </c>
      <c r="AO190" s="12" t="n">
        <v>4.85803978633927</v>
      </c>
    </row>
    <row r="191" customFormat="false" ht="15" hidden="false" customHeight="false" outlineLevel="0" collapsed="false">
      <c r="A191" s="14" t="s">
        <v>99</v>
      </c>
      <c r="B191" s="14" t="n">
        <v>3</v>
      </c>
      <c r="C191" s="11" t="n">
        <v>0.454827162819705</v>
      </c>
      <c r="D191" s="11" t="n">
        <v>0.355104402319474</v>
      </c>
      <c r="E191" s="12" t="n">
        <f aca="false">(D191-C191)*100</f>
        <v>-9.97227605002312</v>
      </c>
      <c r="F191" s="11" t="n">
        <v>0.0387446323352671</v>
      </c>
      <c r="G191" s="11" t="n">
        <v>0.0603271185999948</v>
      </c>
      <c r="H191" s="12" t="n">
        <f aca="false">(G191-F191)*100</f>
        <v>2.15824862647277</v>
      </c>
      <c r="I191" s="11" t="n">
        <v>0.0186836959416882</v>
      </c>
      <c r="J191" s="11" t="n">
        <v>0.0521101489975817</v>
      </c>
      <c r="K191" s="12" t="n">
        <f aca="false">(J191-I191)*100</f>
        <v>3.34264530558936</v>
      </c>
      <c r="L191" s="11" t="n">
        <v>0.206605557035295</v>
      </c>
      <c r="M191" s="11" t="n">
        <v>0.180903346594898</v>
      </c>
      <c r="N191" s="12" t="n">
        <f aca="false">(M191-L191)*100</f>
        <v>-2.57022104403968</v>
      </c>
      <c r="O191" s="11" t="n">
        <v>0.119956344076242</v>
      </c>
      <c r="P191" s="11" t="n">
        <v>0.0754934082221702</v>
      </c>
      <c r="Q191" s="12" t="n">
        <f aca="false">(P191-O191)*100</f>
        <v>-4.44629358540717</v>
      </c>
      <c r="R191" s="11" t="n">
        <v>0.0298250514841065</v>
      </c>
      <c r="S191" s="11" t="n">
        <v>0.0195478066411837</v>
      </c>
      <c r="T191" s="12" t="n">
        <f aca="false">(S191-R191)*100</f>
        <v>-1.02772448429229</v>
      </c>
      <c r="U191" s="11" t="n">
        <v>0.0393228134683722</v>
      </c>
      <c r="V191" s="11" t="n">
        <v>0.126602439087812</v>
      </c>
      <c r="W191" s="12" t="n">
        <f aca="false">(V191-U191)*100</f>
        <v>8.72796256194402</v>
      </c>
      <c r="X191" s="11" t="n">
        <v>0.513392364111193</v>
      </c>
      <c r="Y191" s="11" t="n">
        <v>0.46754166991705</v>
      </c>
      <c r="Z191" s="12" t="n">
        <f aca="false">(Y191-X191)*100</f>
        <v>-4.58506941941425</v>
      </c>
      <c r="AA191" s="11" t="n">
        <v>0.356386952595644</v>
      </c>
      <c r="AB191" s="11" t="n">
        <v>0.275944561458252</v>
      </c>
      <c r="AC191" s="12" t="n">
        <f aca="false">(AB191-AA191)*100</f>
        <v>-8.04423911373914</v>
      </c>
      <c r="AD191" s="11" t="n">
        <v>0.534575447126237</v>
      </c>
      <c r="AE191" s="11" t="n">
        <v>0.494336093784646</v>
      </c>
      <c r="AF191" s="12" t="n">
        <f aca="false">(AE191-AD191)*100</f>
        <v>-4.0239353341591</v>
      </c>
      <c r="AG191" s="11" t="n">
        <v>0.0507695006204079</v>
      </c>
      <c r="AH191" s="11" t="n">
        <v>0.0464609823959227</v>
      </c>
      <c r="AI191" s="12" t="n">
        <f aca="false">(AH191-AG191)*100</f>
        <v>-0.430851822448513</v>
      </c>
      <c r="AJ191" s="14" t="s">
        <v>74</v>
      </c>
      <c r="AK191" s="14" t="s">
        <v>74</v>
      </c>
      <c r="AL191" s="14" t="s">
        <v>134</v>
      </c>
      <c r="AM191" s="20" t="n">
        <v>23.7638942123419</v>
      </c>
      <c r="AN191" s="20" t="n">
        <v>19.1597108458798</v>
      </c>
      <c r="AO191" s="12" t="n">
        <v>-4.60418336646208</v>
      </c>
    </row>
    <row r="192" customFormat="false" ht="15" hidden="false" customHeight="false" outlineLevel="0" collapsed="false">
      <c r="A192" s="14" t="s">
        <v>100</v>
      </c>
      <c r="B192" s="14" t="n">
        <v>1</v>
      </c>
      <c r="C192" s="11" t="n">
        <v>0.152857256926885</v>
      </c>
      <c r="D192" s="11" t="n">
        <v>0.10321780664246</v>
      </c>
      <c r="E192" s="12" t="n">
        <f aca="false">(D192-C192)*100</f>
        <v>-4.96394502844247</v>
      </c>
      <c r="F192" s="11" t="n">
        <v>0.0222831439141891</v>
      </c>
      <c r="G192" s="11" t="n">
        <v>0.00641670790634053</v>
      </c>
      <c r="H192" s="12" t="n">
        <f aca="false">(G192-F192)*100</f>
        <v>-1.58664360078486</v>
      </c>
      <c r="I192" s="11" t="n">
        <v>0.0360384338984855</v>
      </c>
      <c r="J192" s="11" t="n">
        <v>0.0126832848651324</v>
      </c>
      <c r="K192" s="12" t="n">
        <f aca="false">(J192-I192)*100</f>
        <v>-2.33551490333532</v>
      </c>
      <c r="L192" s="11" t="n">
        <v>0.456229538739986</v>
      </c>
      <c r="M192" s="11" t="n">
        <v>0.580828834038578</v>
      </c>
      <c r="N192" s="12" t="n">
        <f aca="false">(M192-L192)*100</f>
        <v>12.4599295298592</v>
      </c>
      <c r="O192" s="11" t="n">
        <v>0.106560911341194</v>
      </c>
      <c r="P192" s="11" t="n">
        <v>0.107132332089656</v>
      </c>
      <c r="Q192" s="12" t="n">
        <f aca="false">(P192-O192)*100</f>
        <v>0.0571420748462004</v>
      </c>
      <c r="R192" s="11" t="n">
        <v>0.00720236352505922</v>
      </c>
      <c r="S192" s="11" t="n">
        <v>0.00317499152038167</v>
      </c>
      <c r="T192" s="12" t="n">
        <f aca="false">(S192-R192)*100</f>
        <v>-0.402737200467756</v>
      </c>
      <c r="U192" s="11" t="n">
        <v>0.126933006840382</v>
      </c>
      <c r="V192" s="11" t="n">
        <v>0.1425076316565</v>
      </c>
      <c r="W192" s="12" t="n">
        <f aca="false">(V192-U192)*100</f>
        <v>1.55746248161182</v>
      </c>
      <c r="X192" s="11" t="n">
        <v>0.1951664847888</v>
      </c>
      <c r="Y192" s="11" t="n">
        <v>0.122317799413933</v>
      </c>
      <c r="Z192" s="12" t="n">
        <f aca="false">(Y192-X192)*100</f>
        <v>-7.28486853748666</v>
      </c>
      <c r="AA192" s="11" t="n">
        <v>0.569992813606239</v>
      </c>
      <c r="AB192" s="11" t="n">
        <v>0.691136157648616</v>
      </c>
      <c r="AC192" s="12" t="n">
        <f aca="false">(AB192-AA192)*100</f>
        <v>12.1143344042377</v>
      </c>
      <c r="AD192" s="11" t="n">
        <v>0.593345609485697</v>
      </c>
      <c r="AE192" s="11" t="n">
        <v>0.539110650135495</v>
      </c>
      <c r="AF192" s="12" t="n">
        <f aca="false">(AE192-AD192)*100</f>
        <v>-5.42349593502017</v>
      </c>
      <c r="AG192" s="11" t="n">
        <v>0.0331904926672167</v>
      </c>
      <c r="AH192" s="11" t="n">
        <v>0.0210850575223945</v>
      </c>
      <c r="AI192" s="12" t="n">
        <f aca="false">(AH192-AG192)*100</f>
        <v>-1.21054351448222</v>
      </c>
      <c r="AJ192" s="14" t="s">
        <v>132</v>
      </c>
      <c r="AK192" s="14" t="s">
        <v>132</v>
      </c>
      <c r="AL192" s="14" t="s">
        <v>150</v>
      </c>
      <c r="AM192" s="20" t="n">
        <v>39.5198424316627</v>
      </c>
      <c r="AN192" s="20" t="n">
        <v>54.8628525992115</v>
      </c>
      <c r="AO192" s="12" t="n">
        <v>15.3430101675488</v>
      </c>
    </row>
    <row r="193" customFormat="false" ht="15" hidden="false" customHeight="false" outlineLevel="0" collapsed="false">
      <c r="A193" s="14" t="s">
        <v>100</v>
      </c>
      <c r="B193" s="14" t="n">
        <v>2</v>
      </c>
      <c r="C193" s="11" t="n">
        <v>0.243601980887357</v>
      </c>
      <c r="D193" s="11" t="n">
        <v>0.168352411071619</v>
      </c>
      <c r="E193" s="12" t="n">
        <f aca="false">(D193-C193)*100</f>
        <v>-7.52495698157382</v>
      </c>
      <c r="F193" s="11" t="n">
        <v>0.0337054047680543</v>
      </c>
      <c r="G193" s="11" t="n">
        <v>0.0131986230444152</v>
      </c>
      <c r="H193" s="12" t="n">
        <f aca="false">(G193-F193)*100</f>
        <v>-2.05067817236391</v>
      </c>
      <c r="I193" s="11" t="n">
        <v>0.0474110341265118</v>
      </c>
      <c r="J193" s="11" t="n">
        <v>0.0163891298872128</v>
      </c>
      <c r="K193" s="12" t="n">
        <f aca="false">(J193-I193)*100</f>
        <v>-3.1021904239299</v>
      </c>
      <c r="L193" s="11" t="n">
        <v>0.265729750367767</v>
      </c>
      <c r="M193" s="11" t="n">
        <v>0.187002882650919</v>
      </c>
      <c r="N193" s="12" t="n">
        <f aca="false">(M193-L193)*100</f>
        <v>-7.87268677168474</v>
      </c>
      <c r="O193" s="11" t="n">
        <v>0.212136865391742</v>
      </c>
      <c r="P193" s="11" t="n">
        <v>0.368906551733789</v>
      </c>
      <c r="Q193" s="12" t="n">
        <f aca="false">(P193-O193)*100</f>
        <v>15.6769686342047</v>
      </c>
      <c r="R193" s="11" t="n">
        <v>0.00768660655130206</v>
      </c>
      <c r="S193" s="11" t="n">
        <v>0.00504883714421651</v>
      </c>
      <c r="T193" s="12" t="n">
        <f aca="false">(S193-R193)*100</f>
        <v>-0.263776940708556</v>
      </c>
      <c r="U193" s="11" t="n">
        <v>0.10748896699644</v>
      </c>
      <c r="V193" s="11" t="n">
        <v>0.19711734908063</v>
      </c>
      <c r="W193" s="12" t="n">
        <f aca="false">(V193-U193)*100</f>
        <v>8.96283820841901</v>
      </c>
      <c r="X193" s="11" t="n">
        <v>0.301108353640049</v>
      </c>
      <c r="Y193" s="11" t="n">
        <v>0.197940164003247</v>
      </c>
      <c r="Z193" s="12" t="n">
        <f aca="false">(Y193-X193)*100</f>
        <v>-10.3168189636803</v>
      </c>
      <c r="AA193" s="11" t="n">
        <v>0.485553222310811</v>
      </c>
      <c r="AB193" s="11" t="n">
        <v>0.560958271528924</v>
      </c>
      <c r="AC193" s="12" t="n">
        <f aca="false">(AB193-AA193)*100</f>
        <v>7.54050492181137</v>
      </c>
      <c r="AD193" s="11" t="n">
        <v>0.545084500921216</v>
      </c>
      <c r="AE193" s="11" t="n">
        <v>0.491845477020323</v>
      </c>
      <c r="AF193" s="12" t="n">
        <f aca="false">(AE193-AD193)*100</f>
        <v>-5.32390239008931</v>
      </c>
      <c r="AG193" s="11" t="n">
        <v>0.026832938428541</v>
      </c>
      <c r="AH193" s="11" t="n">
        <v>0.0198035319470488</v>
      </c>
      <c r="AI193" s="12" t="n">
        <f aca="false">(AH193-AG193)*100</f>
        <v>-0.702940648149217</v>
      </c>
      <c r="AJ193" s="14" t="s">
        <v>132</v>
      </c>
      <c r="AK193" s="14" t="s">
        <v>132</v>
      </c>
      <c r="AL193" s="14" t="s">
        <v>150</v>
      </c>
      <c r="AM193" s="20" t="n">
        <v>7.97969702754601</v>
      </c>
      <c r="AN193" s="20" t="n">
        <v>36.3018107525678</v>
      </c>
      <c r="AO193" s="12" t="n">
        <v>28.3221137250218</v>
      </c>
    </row>
    <row r="194" customFormat="false" ht="15" hidden="false" customHeight="false" outlineLevel="0" collapsed="false">
      <c r="A194" s="14" t="s">
        <v>100</v>
      </c>
      <c r="B194" s="14" t="n">
        <v>3</v>
      </c>
      <c r="C194" s="11" t="n">
        <v>0.210161531749466</v>
      </c>
      <c r="D194" s="11" t="n">
        <v>0.202120023491368</v>
      </c>
      <c r="E194" s="12" t="n">
        <f aca="false">(D194-C194)*100</f>
        <v>-0.80415082580978</v>
      </c>
      <c r="F194" s="11" t="n">
        <v>0.051098515213212</v>
      </c>
      <c r="G194" s="11" t="n">
        <v>0.0236363768189497</v>
      </c>
      <c r="H194" s="12" t="n">
        <f aca="false">(G194-F194)*100</f>
        <v>-2.74621383942623</v>
      </c>
      <c r="I194" s="11" t="n">
        <v>0.0869589892383108</v>
      </c>
      <c r="J194" s="11" t="n">
        <v>0.0311478143601865</v>
      </c>
      <c r="K194" s="12" t="n">
        <f aca="false">(J194-I194)*100</f>
        <v>-5.58111748781243</v>
      </c>
      <c r="L194" s="11" t="n">
        <v>0.220873562566063</v>
      </c>
      <c r="M194" s="11" t="n">
        <v>0.254424570231216</v>
      </c>
      <c r="N194" s="12" t="n">
        <f aca="false">(M194-L194)*100</f>
        <v>3.35510076651526</v>
      </c>
      <c r="O194" s="11" t="n">
        <v>0.186311301547215</v>
      </c>
      <c r="P194" s="11" t="n">
        <v>0.162083191345896</v>
      </c>
      <c r="Q194" s="12" t="n">
        <f aca="false">(P194-O194)*100</f>
        <v>-2.42281102013186</v>
      </c>
      <c r="R194" s="11" t="n">
        <v>0.00840646126997865</v>
      </c>
      <c r="S194" s="11" t="n">
        <v>0.0153998970440028</v>
      </c>
      <c r="T194" s="12" t="n">
        <f aca="false">(S194-R194)*100</f>
        <v>0.699343577402416</v>
      </c>
      <c r="U194" s="11" t="n">
        <v>0.09627349020665</v>
      </c>
      <c r="V194" s="11" t="n">
        <v>0.256135669902772</v>
      </c>
      <c r="W194" s="12" t="n">
        <f aca="false">(V194-U194)*100</f>
        <v>15.9862179696122</v>
      </c>
      <c r="X194" s="11" t="n">
        <v>0.275483637550279</v>
      </c>
      <c r="Y194" s="11" t="n">
        <v>0.256904214670505</v>
      </c>
      <c r="Z194" s="12" t="n">
        <f aca="false">(Y194-X194)*100</f>
        <v>-1.85794228797746</v>
      </c>
      <c r="AA194" s="11" t="n">
        <v>0.415591325383257</v>
      </c>
      <c r="AB194" s="11" t="n">
        <v>0.431907658621115</v>
      </c>
      <c r="AC194" s="12" t="n">
        <f aca="false">(AB194-AA194)*100</f>
        <v>1.63163332378581</v>
      </c>
      <c r="AD194" s="11" t="n">
        <v>0.482513700482298</v>
      </c>
      <c r="AE194" s="11" t="n">
        <v>0.428619819506253</v>
      </c>
      <c r="AF194" s="12" t="n">
        <f aca="false">(AE194-AD194)*100</f>
        <v>-5.38938809760454</v>
      </c>
      <c r="AG194" s="11" t="n">
        <v>0.0283478643331938</v>
      </c>
      <c r="AH194" s="11" t="n">
        <v>0.0240569013145016</v>
      </c>
      <c r="AI194" s="12" t="n">
        <f aca="false">(AH194-AG194)*100</f>
        <v>-0.429096301869225</v>
      </c>
      <c r="AJ194" s="14" t="s">
        <v>132</v>
      </c>
      <c r="AK194" s="14" t="s">
        <v>132</v>
      </c>
      <c r="AL194" s="14" t="s">
        <v>150</v>
      </c>
      <c r="AM194" s="20" t="n">
        <v>2.98659932038904</v>
      </c>
      <c r="AN194" s="20" t="n">
        <v>17.500344395061</v>
      </c>
      <c r="AO194" s="12" t="n">
        <v>14.513745074672</v>
      </c>
    </row>
    <row r="195" customFormat="false" ht="15" hidden="false" customHeight="false" outlineLevel="0" collapsed="false">
      <c r="A195" s="14" t="s">
        <v>100</v>
      </c>
      <c r="B195" s="14" t="n">
        <v>4</v>
      </c>
      <c r="C195" s="11" t="n">
        <v>0.18165872429917</v>
      </c>
      <c r="D195" s="11" t="n">
        <v>0.141680656907972</v>
      </c>
      <c r="E195" s="12" t="n">
        <f aca="false">(D195-C195)*100</f>
        <v>-3.99780673911977</v>
      </c>
      <c r="F195" s="11" t="n">
        <v>0.0298140814819787</v>
      </c>
      <c r="G195" s="11" t="n">
        <v>0.0111889861123805</v>
      </c>
      <c r="H195" s="12" t="n">
        <f aca="false">(G195-F195)*100</f>
        <v>-1.86250953695981</v>
      </c>
      <c r="I195" s="11" t="n">
        <v>0.0346779425912254</v>
      </c>
      <c r="J195" s="11" t="n">
        <v>0.0168556351409206</v>
      </c>
      <c r="K195" s="12" t="n">
        <f aca="false">(J195-I195)*100</f>
        <v>-1.78223074503047</v>
      </c>
      <c r="L195" s="11" t="n">
        <v>0.413768261852026</v>
      </c>
      <c r="M195" s="11" t="n">
        <v>0.494326135374225</v>
      </c>
      <c r="N195" s="12" t="n">
        <f aca="false">(M195-L195)*100</f>
        <v>8.0557873522199</v>
      </c>
      <c r="O195" s="11" t="n">
        <v>0.0869678054455556</v>
      </c>
      <c r="P195" s="11" t="n">
        <v>0.115257139833464</v>
      </c>
      <c r="Q195" s="12" t="n">
        <f aca="false">(P195-O195)*100</f>
        <v>2.82893343879084</v>
      </c>
      <c r="R195" s="11" t="n">
        <v>0.00741436785466586</v>
      </c>
      <c r="S195" s="11" t="n">
        <v>0.00378097295113117</v>
      </c>
      <c r="T195" s="12" t="n">
        <f aca="false">(S195-R195)*100</f>
        <v>-0.36333949035347</v>
      </c>
      <c r="U195" s="11" t="n">
        <v>0.111712195449359</v>
      </c>
      <c r="V195" s="11" t="n">
        <v>0.178994915409148</v>
      </c>
      <c r="W195" s="12" t="n">
        <f aca="false">(V195-U195)*100</f>
        <v>6.72827199597894</v>
      </c>
      <c r="X195" s="11" t="n">
        <v>0.226547643018547</v>
      </c>
      <c r="Y195" s="11" t="n">
        <v>0.169725278161273</v>
      </c>
      <c r="Z195" s="12" t="n">
        <f aca="false">(Y195-X195)*100</f>
        <v>-5.68223648572737</v>
      </c>
      <c r="AA195" s="11" t="n">
        <v>0.508150435152247</v>
      </c>
      <c r="AB195" s="11" t="n">
        <v>0.61336424815882</v>
      </c>
      <c r="AC195" s="12" t="n">
        <f aca="false">(AB195-AA195)*100</f>
        <v>10.5213813006573</v>
      </c>
      <c r="AD195" s="11" t="n">
        <v>0.611655906091516</v>
      </c>
      <c r="AE195" s="11" t="n">
        <v>0.565926736576176</v>
      </c>
      <c r="AF195" s="12" t="n">
        <f aca="false">(AE195-AD195)*100</f>
        <v>-4.57291695153401</v>
      </c>
      <c r="AG195" s="11" t="n">
        <v>0.0242074412152941</v>
      </c>
      <c r="AH195" s="11" t="n">
        <v>0.0203239322118692</v>
      </c>
      <c r="AI195" s="12" t="n">
        <f aca="false">(AH195-AG195)*100</f>
        <v>-0.388350900342491</v>
      </c>
      <c r="AJ195" s="14" t="s">
        <v>132</v>
      </c>
      <c r="AK195" s="14" t="s">
        <v>132</v>
      </c>
      <c r="AL195" s="14" t="s">
        <v>150</v>
      </c>
      <c r="AM195" s="20" t="n">
        <v>30.6347182137504</v>
      </c>
      <c r="AN195" s="20" t="n">
        <v>43.4369332749672</v>
      </c>
      <c r="AO195" s="12" t="n">
        <v>12.8022150612168</v>
      </c>
    </row>
    <row r="196" customFormat="false" ht="15" hidden="false" customHeight="false" outlineLevel="0" collapsed="false">
      <c r="A196" s="14" t="s">
        <v>100</v>
      </c>
      <c r="B196" s="14" t="n">
        <v>5</v>
      </c>
      <c r="C196" s="11" t="n">
        <v>0.164989267428944</v>
      </c>
      <c r="D196" s="11" t="n">
        <v>0.121998466776026</v>
      </c>
      <c r="E196" s="12" t="n">
        <f aca="false">(D196-C196)*100</f>
        <v>-4.29908006529181</v>
      </c>
      <c r="F196" s="11" t="n">
        <v>0.147650109831369</v>
      </c>
      <c r="G196" s="11" t="n">
        <v>0.0671898312629314</v>
      </c>
      <c r="H196" s="12" t="n">
        <f aca="false">(G196-F196)*100</f>
        <v>-8.04602785684378</v>
      </c>
      <c r="I196" s="11" t="n">
        <v>0.0469810989818674</v>
      </c>
      <c r="J196" s="11" t="n">
        <v>0.0145738708959469</v>
      </c>
      <c r="K196" s="12" t="n">
        <f aca="false">(J196-I196)*100</f>
        <v>-3.24072280859205</v>
      </c>
      <c r="L196" s="11" t="n">
        <v>0.138412581747112</v>
      </c>
      <c r="M196" s="11" t="n">
        <v>0.0956121767658866</v>
      </c>
      <c r="N196" s="12" t="n">
        <f aca="false">(M196-L196)*100</f>
        <v>-4.28004049812256</v>
      </c>
      <c r="O196" s="11" t="n">
        <v>0.292109681029659</v>
      </c>
      <c r="P196" s="11" t="n">
        <v>0.453966186641168</v>
      </c>
      <c r="Q196" s="12" t="n">
        <f aca="false">(P196-O196)*100</f>
        <v>16.1856505611509</v>
      </c>
      <c r="R196" s="11" t="n">
        <v>0.00789282462895372</v>
      </c>
      <c r="S196" s="11" t="n">
        <v>0.00400616586845598</v>
      </c>
      <c r="T196" s="12" t="n">
        <f aca="false">(S196-R196)*100</f>
        <v>-0.388665876049774</v>
      </c>
      <c r="U196" s="11" t="n">
        <v>0.0802395409633422</v>
      </c>
      <c r="V196" s="11" t="n">
        <v>0.188001285929785</v>
      </c>
      <c r="W196" s="12" t="n">
        <f aca="false">(V196-U196)*100</f>
        <v>10.7761744966443</v>
      </c>
      <c r="X196" s="11" t="n">
        <v>0.32580243717061</v>
      </c>
      <c r="Y196" s="11" t="n">
        <v>0.203762168934904</v>
      </c>
      <c r="Z196" s="12" t="n">
        <f aca="false">(Y196-X196)*100</f>
        <v>-12.2040268235706</v>
      </c>
      <c r="AA196" s="11" t="n">
        <v>0.438415087405725</v>
      </c>
      <c r="AB196" s="11" t="n">
        <v>0.553584529275511</v>
      </c>
      <c r="AC196" s="12" t="n">
        <f aca="false">(AB196-AA196)*100</f>
        <v>11.5169441869786</v>
      </c>
      <c r="AD196" s="11" t="n">
        <v>0.471663698964719</v>
      </c>
      <c r="AE196" s="11" t="n">
        <v>0.464336429853671</v>
      </c>
      <c r="AF196" s="12" t="n">
        <f aca="false">(AE196-AD196)*100</f>
        <v>-0.732726911104731</v>
      </c>
      <c r="AG196" s="11" t="n">
        <v>0.0378437972421051</v>
      </c>
      <c r="AH196" s="11" t="n">
        <v>0.0316536562445904</v>
      </c>
      <c r="AI196" s="12" t="n">
        <f aca="false">(AH196-AG196)*100</f>
        <v>-0.619014099751464</v>
      </c>
      <c r="AJ196" s="14" t="s">
        <v>153</v>
      </c>
      <c r="AK196" s="14" t="s">
        <v>132</v>
      </c>
      <c r="AL196" s="14" t="s">
        <v>154</v>
      </c>
      <c r="AM196" s="20" t="n">
        <v>2.94748974768018</v>
      </c>
      <c r="AN196" s="20" t="n">
        <v>34.9822360340607</v>
      </c>
      <c r="AO196" s="12" t="n">
        <v>32.0347462863805</v>
      </c>
    </row>
    <row r="197" customFormat="false" ht="15" hidden="false" customHeight="false" outlineLevel="0" collapsed="false">
      <c r="A197" s="14" t="s">
        <v>100</v>
      </c>
      <c r="B197" s="14" t="n">
        <v>6</v>
      </c>
      <c r="C197" s="11" t="n">
        <v>0.150597864200052</v>
      </c>
      <c r="D197" s="11" t="n">
        <v>0.110537918477727</v>
      </c>
      <c r="E197" s="12" t="n">
        <f aca="false">(D197-C197)*100</f>
        <v>-4.00599457223242</v>
      </c>
      <c r="F197" s="11" t="n">
        <v>0.0623918118791666</v>
      </c>
      <c r="G197" s="11" t="n">
        <v>0.0161009612380961</v>
      </c>
      <c r="H197" s="12" t="n">
        <f aca="false">(G197-F197)*100</f>
        <v>-4.62908506410705</v>
      </c>
      <c r="I197" s="11" t="n">
        <v>0.0478424514651446</v>
      </c>
      <c r="J197" s="11" t="n">
        <v>0.0117008648465321</v>
      </c>
      <c r="K197" s="12" t="n">
        <f aca="false">(J197-I197)*100</f>
        <v>-3.61415866186124</v>
      </c>
      <c r="L197" s="11" t="n">
        <v>0.32007261364746</v>
      </c>
      <c r="M197" s="11" t="n">
        <v>0.311148398382764</v>
      </c>
      <c r="N197" s="12" t="n">
        <f aca="false">(M197-L197)*100</f>
        <v>-0.892421526469611</v>
      </c>
      <c r="O197" s="11" t="n">
        <v>0.141157202332869</v>
      </c>
      <c r="P197" s="11" t="n">
        <v>0.282137215176316</v>
      </c>
      <c r="Q197" s="12" t="n">
        <f aca="false">(P197-O197)*100</f>
        <v>14.0980012843447</v>
      </c>
      <c r="R197" s="11" t="n">
        <v>0.00840205590718236</v>
      </c>
      <c r="S197" s="11" t="n">
        <v>0.00520335942450666</v>
      </c>
      <c r="T197" s="12" t="n">
        <f aca="false">(S197-R197)*100</f>
        <v>-0.31986964826757</v>
      </c>
      <c r="U197" s="11" t="n">
        <v>0.202545916148103</v>
      </c>
      <c r="V197" s="11" t="n">
        <v>0.223012593379328</v>
      </c>
      <c r="W197" s="12" t="n">
        <f aca="false">(V197-U197)*100</f>
        <v>2.04666772312242</v>
      </c>
      <c r="X197" s="11" t="n">
        <v>0.229438708932899</v>
      </c>
      <c r="Y197" s="11" t="n">
        <v>0.138339744562356</v>
      </c>
      <c r="Z197" s="12" t="n">
        <f aca="false">(Y197-X197)*100</f>
        <v>-9.10989643705434</v>
      </c>
      <c r="AA197" s="11" t="n">
        <v>0.469631871887511</v>
      </c>
      <c r="AB197" s="11" t="n">
        <v>0.598488972983587</v>
      </c>
      <c r="AC197" s="12" t="n">
        <f aca="false">(AB197-AA197)*100</f>
        <v>12.8857101096076</v>
      </c>
      <c r="AD197" s="11" t="n">
        <v>0.633894633185623</v>
      </c>
      <c r="AE197" s="11" t="n">
        <v>0.614784839298207</v>
      </c>
      <c r="AF197" s="12" t="n">
        <f aca="false">(AE197-AD197)*100</f>
        <v>-1.91097938874157</v>
      </c>
      <c r="AG197" s="11" t="n">
        <v>0.030408074495566</v>
      </c>
      <c r="AH197" s="11" t="n">
        <v>0.021402497255518</v>
      </c>
      <c r="AI197" s="12" t="n">
        <f aca="false">(AH197-AG197)*100</f>
        <v>-0.900557724004798</v>
      </c>
      <c r="AJ197" s="14" t="s">
        <v>132</v>
      </c>
      <c r="AK197" s="14" t="s">
        <v>132</v>
      </c>
      <c r="AL197" s="14" t="s">
        <v>150</v>
      </c>
      <c r="AM197" s="20" t="n">
        <v>30.1581876769847</v>
      </c>
      <c r="AN197" s="20" t="n">
        <v>37.5476379604259</v>
      </c>
      <c r="AO197" s="12" t="n">
        <v>7.38945028344123</v>
      </c>
    </row>
    <row r="198" customFormat="false" ht="15" hidden="false" customHeight="false" outlineLevel="0" collapsed="false">
      <c r="A198" s="14" t="s">
        <v>100</v>
      </c>
      <c r="B198" s="14" t="n">
        <v>7</v>
      </c>
      <c r="C198" s="11" t="n">
        <v>0.196265245949183</v>
      </c>
      <c r="D198" s="11" t="n">
        <v>0.162209615052825</v>
      </c>
      <c r="E198" s="12" t="n">
        <f aca="false">(D198-C198)*100</f>
        <v>-3.40556308963579</v>
      </c>
      <c r="F198" s="11" t="n">
        <v>0.051832199229848</v>
      </c>
      <c r="G198" s="11" t="n">
        <v>0.0251540093166756</v>
      </c>
      <c r="H198" s="12" t="n">
        <f aca="false">(G198-F198)*100</f>
        <v>-2.66781899131723</v>
      </c>
      <c r="I198" s="11" t="n">
        <v>0.0568430211013067</v>
      </c>
      <c r="J198" s="11" t="n">
        <v>0.0624410096109933</v>
      </c>
      <c r="K198" s="12" t="n">
        <f aca="false">(J198-I198)*100</f>
        <v>0.559798850968659</v>
      </c>
      <c r="L198" s="11" t="n">
        <v>0.207242866426419</v>
      </c>
      <c r="M198" s="11" t="n">
        <v>0.244841829640831</v>
      </c>
      <c r="N198" s="12" t="n">
        <f aca="false">(M198-L198)*100</f>
        <v>3.75989632144117</v>
      </c>
      <c r="O198" s="11" t="n">
        <v>0.186555100243291</v>
      </c>
      <c r="P198" s="11" t="n">
        <v>0.164543858402769</v>
      </c>
      <c r="Q198" s="12" t="n">
        <f aca="false">(P198-O198)*100</f>
        <v>-2.20112418405221</v>
      </c>
      <c r="R198" s="11" t="n">
        <v>0.0195545578070538</v>
      </c>
      <c r="S198" s="11" t="n">
        <v>0.0107781149462617</v>
      </c>
      <c r="T198" s="12" t="n">
        <f aca="false">(S198-R198)*100</f>
        <v>-0.877644286079216</v>
      </c>
      <c r="U198" s="11" t="n">
        <v>0.0760484862806597</v>
      </c>
      <c r="V198" s="11" t="n">
        <v>0.240137821846488</v>
      </c>
      <c r="W198" s="12" t="n">
        <f aca="false">(V198-U198)*100</f>
        <v>16.4089335565828</v>
      </c>
      <c r="X198" s="11" t="n">
        <v>0.268849659231889</v>
      </c>
      <c r="Y198" s="11" t="n">
        <v>0.249804633980494</v>
      </c>
      <c r="Z198" s="12" t="n">
        <f aca="false">(Y198-X198)*100</f>
        <v>-1.90450252513949</v>
      </c>
      <c r="AA198" s="11" t="n">
        <v>0.413352524476764</v>
      </c>
      <c r="AB198" s="11" t="n">
        <v>0.420163802989861</v>
      </c>
      <c r="AC198" s="12" t="n">
        <f aca="false">(AB198-AA198)*100</f>
        <v>0.681127851309749</v>
      </c>
      <c r="AD198" s="11" t="n">
        <v>0.505238336865355</v>
      </c>
      <c r="AE198" s="11" t="n">
        <v>0.441326582029019</v>
      </c>
      <c r="AF198" s="12" t="n">
        <f aca="false">(AE198-AD198)*100</f>
        <v>-6.39117548363361</v>
      </c>
      <c r="AG198" s="11" t="n">
        <v>0.034415162435485</v>
      </c>
      <c r="AH198" s="11" t="n">
        <v>0.0295738483553733</v>
      </c>
      <c r="AI198" s="12" t="n">
        <f aca="false">(AH198-AG198)*100</f>
        <v>-0.484131408011166</v>
      </c>
      <c r="AJ198" s="14" t="s">
        <v>132</v>
      </c>
      <c r="AK198" s="14" t="s">
        <v>132</v>
      </c>
      <c r="AL198" s="14" t="s">
        <v>150</v>
      </c>
      <c r="AM198" s="20" t="n">
        <v>2.30347427724399</v>
      </c>
      <c r="AN198" s="20" t="n">
        <v>17.0359169009367</v>
      </c>
      <c r="AO198" s="12" t="n">
        <v>14.7324426236928</v>
      </c>
    </row>
    <row r="199" customFormat="false" ht="15" hidden="false" customHeight="false" outlineLevel="0" collapsed="false">
      <c r="A199" s="14" t="s">
        <v>100</v>
      </c>
      <c r="B199" s="14" t="n">
        <v>8</v>
      </c>
      <c r="C199" s="11" t="n">
        <v>0.214377991774376</v>
      </c>
      <c r="D199" s="11" t="n">
        <v>0.17021370456966</v>
      </c>
      <c r="E199" s="12" t="n">
        <f aca="false">(D199-C199)*100</f>
        <v>-4.41642872047153</v>
      </c>
      <c r="F199" s="11" t="n">
        <v>0.0406600470570614</v>
      </c>
      <c r="G199" s="11" t="n">
        <v>0.0125979190430875</v>
      </c>
      <c r="H199" s="12" t="n">
        <f aca="false">(G199-F199)*100</f>
        <v>-2.80621280139738</v>
      </c>
      <c r="I199" s="11" t="n">
        <v>0.0398112724753637</v>
      </c>
      <c r="J199" s="11" t="n">
        <v>0.0372580777302319</v>
      </c>
      <c r="K199" s="12" t="n">
        <f aca="false">(J199-I199)*100</f>
        <v>-0.255319474513184</v>
      </c>
      <c r="L199" s="11" t="n">
        <v>0.210209010740743</v>
      </c>
      <c r="M199" s="11" t="n">
        <v>0.238244988246564</v>
      </c>
      <c r="N199" s="12" t="n">
        <f aca="false">(M199-L199)*100</f>
        <v>2.80359775058207</v>
      </c>
      <c r="O199" s="11" t="n">
        <v>0.18855277692831</v>
      </c>
      <c r="P199" s="11" t="n">
        <v>0.27364394335663</v>
      </c>
      <c r="Q199" s="12" t="n">
        <f aca="false">(P199-O199)*100</f>
        <v>8.50911664283204</v>
      </c>
      <c r="R199" s="11" t="n">
        <v>0.00946134019010054</v>
      </c>
      <c r="S199" s="11" t="n">
        <v>0.0054639298701135</v>
      </c>
      <c r="T199" s="12" t="n">
        <f aca="false">(S199-R199)*100</f>
        <v>-0.399741031998704</v>
      </c>
      <c r="U199" s="11" t="n">
        <v>0.0863503317085957</v>
      </c>
      <c r="V199" s="11" t="n">
        <v>0.211404299299836</v>
      </c>
      <c r="W199" s="12" t="n">
        <f aca="false">(V199-U199)*100</f>
        <v>12.505396759124</v>
      </c>
      <c r="X199" s="11" t="n">
        <v>0.28199287278991</v>
      </c>
      <c r="Y199" s="11" t="n">
        <v>0.22006970134298</v>
      </c>
      <c r="Z199" s="12" t="n">
        <f aca="false">(Y199-X199)*100</f>
        <v>-6.19231714469298</v>
      </c>
      <c r="AA199" s="11" t="n">
        <v>0.408223127859153</v>
      </c>
      <c r="AB199" s="11" t="n">
        <v>0.517352861473307</v>
      </c>
      <c r="AC199" s="12" t="n">
        <f aca="false">(AB199-AA199)*100</f>
        <v>10.9129733614154</v>
      </c>
      <c r="AD199" s="11" t="n">
        <v>0.534645107041802</v>
      </c>
      <c r="AE199" s="11" t="n">
        <v>0.497490241570127</v>
      </c>
      <c r="AF199" s="12" t="n">
        <f aca="false">(AE199-AD199)*100</f>
        <v>-3.7154865471675</v>
      </c>
      <c r="AG199" s="11" t="n">
        <v>0.0272668834370378</v>
      </c>
      <c r="AH199" s="11" t="n">
        <v>0.0239102075285013</v>
      </c>
      <c r="AI199" s="12" t="n">
        <f aca="false">(AH199-AG199)*100</f>
        <v>-0.335667590853649</v>
      </c>
      <c r="AJ199" s="14" t="s">
        <v>132</v>
      </c>
      <c r="AK199" s="14" t="s">
        <v>132</v>
      </c>
      <c r="AL199" s="14" t="s">
        <v>150</v>
      </c>
      <c r="AM199" s="20" t="n">
        <v>2.40278098495297</v>
      </c>
      <c r="AN199" s="20" t="n">
        <v>29.7283160130328</v>
      </c>
      <c r="AO199" s="12" t="n">
        <v>27.3255350280798</v>
      </c>
    </row>
    <row r="200" customFormat="false" ht="15" hidden="false" customHeight="false" outlineLevel="0" collapsed="false">
      <c r="A200" s="14" t="s">
        <v>100</v>
      </c>
      <c r="B200" s="14" t="n">
        <v>9</v>
      </c>
      <c r="C200" s="11" t="n">
        <v>0.130217539424701</v>
      </c>
      <c r="D200" s="11" t="n">
        <v>0.143132513403962</v>
      </c>
      <c r="E200" s="12" t="n">
        <f aca="false">(D200-C200)*100</f>
        <v>1.29149739792617</v>
      </c>
      <c r="F200" s="11" t="n">
        <v>0.0464702919945887</v>
      </c>
      <c r="G200" s="11" t="n">
        <v>0.0310644876762832</v>
      </c>
      <c r="H200" s="12" t="n">
        <f aca="false">(G200-F200)*100</f>
        <v>-1.54058043183055</v>
      </c>
      <c r="I200" s="11" t="n">
        <v>0.0335196358214261</v>
      </c>
      <c r="J200" s="11" t="n">
        <v>0.040856069690693</v>
      </c>
      <c r="K200" s="12" t="n">
        <f aca="false">(J200-I200)*100</f>
        <v>0.733643386926694</v>
      </c>
      <c r="L200" s="11" t="n">
        <v>0.245356426942105</v>
      </c>
      <c r="M200" s="11" t="n">
        <v>0.25683577297008</v>
      </c>
      <c r="N200" s="12" t="n">
        <f aca="false">(M200-L200)*100</f>
        <v>1.14793460279755</v>
      </c>
      <c r="O200" s="11" t="n">
        <v>0.300457198155408</v>
      </c>
      <c r="P200" s="11" t="n">
        <v>0.354934937514246</v>
      </c>
      <c r="Q200" s="12" t="n">
        <f aca="false">(P200-O200)*100</f>
        <v>5.44777393588385</v>
      </c>
      <c r="R200" s="11" t="n">
        <v>0.00616674401840642</v>
      </c>
      <c r="S200" s="11" t="n">
        <v>0.00422187645560588</v>
      </c>
      <c r="T200" s="12" t="n">
        <f aca="false">(S200-R200)*100</f>
        <v>-0.194486756280054</v>
      </c>
      <c r="U200" s="11" t="n">
        <v>0.0483859818898182</v>
      </c>
      <c r="V200" s="11" t="n">
        <v>0.109089918040098</v>
      </c>
      <c r="W200" s="12" t="n">
        <f aca="false">(V200-U200)*100</f>
        <v>6.07039361502797</v>
      </c>
      <c r="X200" s="11" t="n">
        <v>0.187135253631417</v>
      </c>
      <c r="Y200" s="11" t="n">
        <v>0.215053070770938</v>
      </c>
      <c r="Z200" s="12" t="n">
        <f aca="false">(Y200-X200)*100</f>
        <v>2.79178171395211</v>
      </c>
      <c r="AA200" s="11" t="n">
        <v>0.551980369115919</v>
      </c>
      <c r="AB200" s="11" t="n">
        <v>0.615992586939932</v>
      </c>
      <c r="AC200" s="12" t="n">
        <f aca="false">(AB200-AA200)*100</f>
        <v>6.40122178240135</v>
      </c>
      <c r="AD200" s="11" t="n">
        <v>0.617646430978382</v>
      </c>
      <c r="AE200" s="11" t="n">
        <v>0.58423199515953</v>
      </c>
      <c r="AF200" s="12" t="n">
        <f aca="false">(AE200-AD200)*100</f>
        <v>-3.3414435818852</v>
      </c>
      <c r="AG200" s="11" t="n">
        <v>0.0456704420898794</v>
      </c>
      <c r="AH200" s="11" t="n">
        <v>0.0379275145436707</v>
      </c>
      <c r="AI200" s="12" t="n">
        <f aca="false">(AH200-AG200)*100</f>
        <v>-0.774292754620878</v>
      </c>
      <c r="AJ200" s="14" t="s">
        <v>153</v>
      </c>
      <c r="AK200" s="14" t="s">
        <v>132</v>
      </c>
      <c r="AL200" s="14" t="s">
        <v>154</v>
      </c>
      <c r="AM200" s="20" t="n">
        <v>9.35133160197099</v>
      </c>
      <c r="AN200" s="20" t="n">
        <v>40.0939516168994</v>
      </c>
      <c r="AO200" s="12" t="n">
        <v>30.7426200149284</v>
      </c>
    </row>
    <row r="201" customFormat="false" ht="15" hidden="false" customHeight="false" outlineLevel="0" collapsed="false">
      <c r="A201" s="14" t="s">
        <v>100</v>
      </c>
      <c r="B201" s="14" t="n">
        <v>10</v>
      </c>
      <c r="C201" s="11" t="n">
        <v>0.160352568744698</v>
      </c>
      <c r="D201" s="11" t="n">
        <v>0.104481338796143</v>
      </c>
      <c r="E201" s="12" t="n">
        <f aca="false">(D201-C201)*100</f>
        <v>-5.58712299485546</v>
      </c>
      <c r="F201" s="11" t="n">
        <v>0.0288117357389667</v>
      </c>
      <c r="G201" s="11" t="n">
        <v>0.00809229703010661</v>
      </c>
      <c r="H201" s="12" t="n">
        <f aca="false">(G201-F201)*100</f>
        <v>-2.07194387088601</v>
      </c>
      <c r="I201" s="11" t="n">
        <v>0.0473402164242412</v>
      </c>
      <c r="J201" s="11" t="n">
        <v>0.0105485232067511</v>
      </c>
      <c r="K201" s="12" t="n">
        <f aca="false">(J201-I201)*100</f>
        <v>-3.67916932174901</v>
      </c>
      <c r="L201" s="11" t="n">
        <v>0.34817198071631</v>
      </c>
      <c r="M201" s="11" t="n">
        <v>0.25383212050796</v>
      </c>
      <c r="N201" s="12" t="n">
        <f aca="false">(M201-L201)*100</f>
        <v>-9.43398602083506</v>
      </c>
      <c r="O201" s="11" t="n">
        <v>0.153566034222342</v>
      </c>
      <c r="P201" s="11" t="n">
        <v>0.367292443792169</v>
      </c>
      <c r="Q201" s="12" t="n">
        <f aca="false">(P201-O201)*100</f>
        <v>21.3726409569827</v>
      </c>
      <c r="R201" s="11" t="n">
        <v>0.0069830957356562</v>
      </c>
      <c r="S201" s="11" t="n">
        <v>0.00481563015960374</v>
      </c>
      <c r="T201" s="12" t="n">
        <f aca="false">(S201-R201)*100</f>
        <v>-0.216746557605246</v>
      </c>
      <c r="U201" s="11" t="n">
        <v>0.128369990275393</v>
      </c>
      <c r="V201" s="11" t="n">
        <v>0.214206363766078</v>
      </c>
      <c r="W201" s="12" t="n">
        <f aca="false">(V201-U201)*100</f>
        <v>8.5836373490685</v>
      </c>
      <c r="X201" s="11" t="n">
        <v>0.202008027973764</v>
      </c>
      <c r="Y201" s="11" t="n">
        <v>0.123122159033001</v>
      </c>
      <c r="Z201" s="12" t="n">
        <f aca="false">(Y201-X201)*100</f>
        <v>-7.88858689407631</v>
      </c>
      <c r="AA201" s="11" t="n">
        <v>0.508721110674308</v>
      </c>
      <c r="AB201" s="11" t="n">
        <v>0.625940194459732</v>
      </c>
      <c r="AC201" s="12" t="n">
        <f aca="false">(AB201-AA201)*100</f>
        <v>11.7219083785424</v>
      </c>
      <c r="AD201" s="11" t="n">
        <v>0.587157635138829</v>
      </c>
      <c r="AE201" s="11" t="n">
        <v>0.583962718945846</v>
      </c>
      <c r="AF201" s="12" t="n">
        <f aca="false">(AE201-AD201)*100</f>
        <v>-0.319491619298296</v>
      </c>
      <c r="AG201" s="11" t="n">
        <v>0.0325981254267447</v>
      </c>
      <c r="AH201" s="11" t="n">
        <v>0.0206027436352147</v>
      </c>
      <c r="AI201" s="12" t="n">
        <f aca="false">(AH201-AG201)*100</f>
        <v>-1.199538179153</v>
      </c>
      <c r="AJ201" s="14" t="s">
        <v>132</v>
      </c>
      <c r="AK201" s="14" t="s">
        <v>132</v>
      </c>
      <c r="AL201" s="14" t="s">
        <v>150</v>
      </c>
      <c r="AM201" s="20" t="n">
        <v>25.775899526184</v>
      </c>
      <c r="AN201" s="20" t="n">
        <v>41.1733830693655</v>
      </c>
      <c r="AO201" s="12" t="n">
        <v>15.3974835431814</v>
      </c>
    </row>
    <row r="202" customFormat="false" ht="15" hidden="false" customHeight="false" outlineLevel="0" collapsed="false">
      <c r="A202" s="14" t="s">
        <v>100</v>
      </c>
      <c r="B202" s="14" t="n">
        <v>11</v>
      </c>
      <c r="C202" s="11" t="n">
        <v>0.188573627501283</v>
      </c>
      <c r="D202" s="11" t="n">
        <v>0.156132707774799</v>
      </c>
      <c r="E202" s="12" t="n">
        <f aca="false">(D202-C202)*100</f>
        <v>-3.24409197264838</v>
      </c>
      <c r="F202" s="11" t="n">
        <v>0.031118522319138</v>
      </c>
      <c r="G202" s="11" t="n">
        <v>0.0153820375335121</v>
      </c>
      <c r="H202" s="12" t="n">
        <f aca="false">(G202-F202)*100</f>
        <v>-1.5736484785626</v>
      </c>
      <c r="I202" s="11" t="n">
        <v>0.0297178040020523</v>
      </c>
      <c r="J202" s="11" t="n">
        <v>0.0171134941912422</v>
      </c>
      <c r="K202" s="12" t="n">
        <f aca="false">(J202-I202)*100</f>
        <v>-1.26043098108102</v>
      </c>
      <c r="L202" s="11" t="n">
        <v>0.297850179579271</v>
      </c>
      <c r="M202" s="11" t="n">
        <v>0.339750893655049</v>
      </c>
      <c r="N202" s="12" t="n">
        <f aca="false">(M202-L202)*100</f>
        <v>4.19007140757777</v>
      </c>
      <c r="O202" s="11" t="n">
        <v>0.193160595177014</v>
      </c>
      <c r="P202" s="11" t="n">
        <v>0.241415326184093</v>
      </c>
      <c r="Q202" s="12" t="n">
        <f aca="false">(P202-O202)*100</f>
        <v>4.8254731007079</v>
      </c>
      <c r="R202" s="11" t="n">
        <v>0.0148948178553104</v>
      </c>
      <c r="S202" s="11" t="n">
        <v>0.00527256478999106</v>
      </c>
      <c r="T202" s="12" t="n">
        <f aca="false">(S202-R202)*100</f>
        <v>-0.962225306531936</v>
      </c>
      <c r="U202" s="11" t="n">
        <v>0.0888045151359672</v>
      </c>
      <c r="V202" s="11" t="n">
        <v>0.174782171581769</v>
      </c>
      <c r="W202" s="12" t="n">
        <f aca="false">(V202-U202)*100</f>
        <v>8.59776564458022</v>
      </c>
      <c r="X202" s="11" t="n">
        <v>0.236793227296049</v>
      </c>
      <c r="Y202" s="11" t="n">
        <v>0.188628239499553</v>
      </c>
      <c r="Z202" s="12" t="n">
        <f aca="false">(Y202-X202)*100</f>
        <v>-4.81649877964961</v>
      </c>
      <c r="AA202" s="11" t="n">
        <v>0.505905592611596</v>
      </c>
      <c r="AB202" s="11" t="n">
        <v>0.586438784629133</v>
      </c>
      <c r="AC202" s="12" t="n">
        <f aca="false">(AB202-AA202)*100</f>
        <v>8.05331920175374</v>
      </c>
      <c r="AD202" s="11" t="n">
        <v>0.588896476290043</v>
      </c>
      <c r="AE202" s="11" t="n">
        <v>0.537001322707682</v>
      </c>
      <c r="AF202" s="12" t="n">
        <f aca="false">(AE202-AD202)*100</f>
        <v>-5.18951535823612</v>
      </c>
      <c r="AG202" s="11" t="n">
        <v>0.0307131862493586</v>
      </c>
      <c r="AH202" s="11" t="n">
        <v>0.0234975424486148</v>
      </c>
      <c r="AI202" s="12" t="n">
        <f aca="false">(AH202-AG202)*100</f>
        <v>-0.72156438007438</v>
      </c>
      <c r="AJ202" s="14" t="s">
        <v>132</v>
      </c>
      <c r="AK202" s="14" t="s">
        <v>132</v>
      </c>
      <c r="AL202" s="14" t="s">
        <v>150</v>
      </c>
      <c r="AM202" s="20" t="n">
        <v>15.0667008722422</v>
      </c>
      <c r="AN202" s="20" t="n">
        <v>39.781054512958</v>
      </c>
      <c r="AO202" s="12" t="n">
        <v>24.7143536407158</v>
      </c>
    </row>
    <row r="203" customFormat="false" ht="15" hidden="false" customHeight="false" outlineLevel="0" collapsed="false">
      <c r="A203" s="14" t="s">
        <v>100</v>
      </c>
      <c r="B203" s="14" t="n">
        <v>12</v>
      </c>
      <c r="C203" s="11" t="n">
        <v>0.240005874202673</v>
      </c>
      <c r="D203" s="11" t="n">
        <v>0.179792563673316</v>
      </c>
      <c r="E203" s="12" t="n">
        <f aca="false">(D203-C203)*100</f>
        <v>-6.02133105293572</v>
      </c>
      <c r="F203" s="11" t="n">
        <v>0.036720151707669</v>
      </c>
      <c r="G203" s="11" t="n">
        <v>0.0145044816871653</v>
      </c>
      <c r="H203" s="12" t="n">
        <f aca="false">(G203-F203)*100</f>
        <v>-2.22156700205038</v>
      </c>
      <c r="I203" s="11" t="n">
        <v>0.0965476289291712</v>
      </c>
      <c r="J203" s="11" t="n">
        <v>0.0507039121329866</v>
      </c>
      <c r="K203" s="12" t="n">
        <f aca="false">(J203-I203)*100</f>
        <v>-4.58437167961846</v>
      </c>
      <c r="L203" s="11" t="n">
        <v>0.121340595209971</v>
      </c>
      <c r="M203" s="11" t="n">
        <v>0.229860205953756</v>
      </c>
      <c r="N203" s="12" t="n">
        <f aca="false">(M203-L203)*100</f>
        <v>10.8519610743785</v>
      </c>
      <c r="O203" s="11" t="n">
        <v>0.209970820536723</v>
      </c>
      <c r="P203" s="11" t="n">
        <v>0.258609719485301</v>
      </c>
      <c r="Q203" s="12" t="n">
        <f aca="false">(P203-O203)*100</f>
        <v>4.86388989485776</v>
      </c>
      <c r="R203" s="11" t="n">
        <v>0.0110779800404809</v>
      </c>
      <c r="S203" s="11" t="n">
        <v>0.0061464903231386</v>
      </c>
      <c r="T203" s="12" t="n">
        <f aca="false">(S203-R203)*100</f>
        <v>-0.493148971734232</v>
      </c>
      <c r="U203" s="11" t="n">
        <v>0.0829220327295249</v>
      </c>
      <c r="V203" s="11" t="n">
        <v>0.198905368758533</v>
      </c>
      <c r="W203" s="12" t="n">
        <f aca="false">(V203-U203)*100</f>
        <v>11.5983336029008</v>
      </c>
      <c r="X203" s="11" t="n">
        <v>0.310898561458846</v>
      </c>
      <c r="Y203" s="11" t="n">
        <v>0.245000957493467</v>
      </c>
      <c r="Z203" s="12" t="n">
        <f aca="false">(Y203-X203)*100</f>
        <v>-6.58976039653781</v>
      </c>
      <c r="AA203" s="11" t="n">
        <v>0.342389395787175</v>
      </c>
      <c r="AB203" s="11" t="n">
        <v>0.494616415762196</v>
      </c>
      <c r="AC203" s="12" t="n">
        <f aca="false">(AB203-AA203)*100</f>
        <v>15.2227019975021</v>
      </c>
      <c r="AD203" s="11" t="n">
        <v>0.470567203283397</v>
      </c>
      <c r="AE203" s="11" t="n">
        <v>0.407103392255829</v>
      </c>
      <c r="AF203" s="12" t="n">
        <f aca="false">(AE203-AD203)*100</f>
        <v>-6.34638110275686</v>
      </c>
      <c r="AG203" s="11" t="n">
        <v>0.0325571298134941</v>
      </c>
      <c r="AH203" s="11" t="n">
        <v>0.0268654134827435</v>
      </c>
      <c r="AI203" s="12" t="n">
        <f aca="false">(AH203-AG203)*100</f>
        <v>-0.569171633075057</v>
      </c>
      <c r="AJ203" s="14" t="s">
        <v>153</v>
      </c>
      <c r="AK203" s="14" t="s">
        <v>132</v>
      </c>
      <c r="AL203" s="14" t="s">
        <v>154</v>
      </c>
      <c r="AM203" s="20" t="n">
        <v>2.83430278960777</v>
      </c>
      <c r="AN203" s="20" t="n">
        <v>24.9615458268728</v>
      </c>
      <c r="AO203" s="12" t="n">
        <v>22.1272430372651</v>
      </c>
    </row>
    <row r="204" customFormat="false" ht="15" hidden="false" customHeight="false" outlineLevel="0" collapsed="false">
      <c r="A204" s="14" t="s">
        <v>101</v>
      </c>
      <c r="B204" s="14" t="n">
        <v>1</v>
      </c>
      <c r="C204" s="11" t="n">
        <v>0.418592709264261</v>
      </c>
      <c r="D204" s="11" t="n">
        <v>0.485813879792965</v>
      </c>
      <c r="E204" s="12" t="n">
        <f aca="false">(D204-C204)*100</f>
        <v>6.72211705287042</v>
      </c>
      <c r="F204" s="11" t="n">
        <v>0.0470347749233451</v>
      </c>
      <c r="G204" s="11" t="n">
        <v>0.0227104679412697</v>
      </c>
      <c r="H204" s="12" t="n">
        <f aca="false">(G204-F204)*100</f>
        <v>-2.43243069820754</v>
      </c>
      <c r="I204" s="11" t="n">
        <v>0.0406505670736825</v>
      </c>
      <c r="J204" s="11" t="n">
        <v>0.0236347311714376</v>
      </c>
      <c r="K204" s="12" t="n">
        <f aca="false">(J204-I204)*100</f>
        <v>-1.70158359022449</v>
      </c>
      <c r="L204" s="11" t="n">
        <v>0.0964938700742109</v>
      </c>
      <c r="M204" s="11" t="n">
        <v>0.0441428118728214</v>
      </c>
      <c r="N204" s="12" t="n">
        <f aca="false">(M204-L204)*100</f>
        <v>-5.23510582013895</v>
      </c>
      <c r="O204" s="11" t="n">
        <v>0.185087714967091</v>
      </c>
      <c r="P204" s="11" t="n">
        <v>0.217862047111017</v>
      </c>
      <c r="Q204" s="12" t="n">
        <f aca="false">(P204-O204)*100</f>
        <v>3.27743321439258</v>
      </c>
      <c r="R204" s="11" t="n">
        <v>0.0441957033738045</v>
      </c>
      <c r="S204" s="11" t="n">
        <v>0.0460969684166051</v>
      </c>
      <c r="T204" s="12" t="n">
        <f aca="false">(S204-R204)*100</f>
        <v>0.190126504280055</v>
      </c>
      <c r="U204" s="11" t="n">
        <v>0.0175824935441982</v>
      </c>
      <c r="V204" s="11" t="n">
        <v>0.0464613922044998</v>
      </c>
      <c r="W204" s="12" t="n">
        <f aca="false">(V204-U204)*100</f>
        <v>2.88788986603017</v>
      </c>
      <c r="X204" s="11" t="n">
        <v>0.493776261411833</v>
      </c>
      <c r="Y204" s="11" t="n">
        <v>0.532159078905672</v>
      </c>
      <c r="Z204" s="12" t="n">
        <f aca="false">(Y204-X204)*100</f>
        <v>3.83828174938392</v>
      </c>
      <c r="AA204" s="11" t="n">
        <v>0.325777288415107</v>
      </c>
      <c r="AB204" s="11" t="n">
        <v>0.308101827400444</v>
      </c>
      <c r="AC204" s="12" t="n">
        <f aca="false">(AB204-AA204)*100</f>
        <v>-1.76754610146631</v>
      </c>
      <c r="AD204" s="11" t="n">
        <v>0.745998010976463</v>
      </c>
      <c r="AE204" s="11" t="n">
        <v>0.676081483994215</v>
      </c>
      <c r="AF204" s="12" t="n">
        <f aca="false">(AE204-AD204)*100</f>
        <v>-6.99165269822478</v>
      </c>
      <c r="AG204" s="11" t="n">
        <v>0.037767057882497</v>
      </c>
      <c r="AH204" s="11" t="n">
        <v>0.0341290799619732</v>
      </c>
      <c r="AI204" s="12" t="n">
        <f aca="false">(AH204-AG204)*100</f>
        <v>-0.363797792052383</v>
      </c>
      <c r="AJ204" s="14" t="s">
        <v>74</v>
      </c>
      <c r="AK204" s="14" t="s">
        <v>74</v>
      </c>
      <c r="AL204" s="14" t="s">
        <v>134</v>
      </c>
      <c r="AM204" s="20" t="n">
        <v>18.3685460497405</v>
      </c>
      <c r="AN204" s="20" t="n">
        <v>22.4057251505229</v>
      </c>
      <c r="AO204" s="12" t="n">
        <v>4.03717910078234</v>
      </c>
    </row>
    <row r="205" customFormat="false" ht="15" hidden="false" customHeight="false" outlineLevel="0" collapsed="false">
      <c r="A205" s="14" t="s">
        <v>101</v>
      </c>
      <c r="B205" s="14" t="n">
        <v>2</v>
      </c>
      <c r="C205" s="11" t="n">
        <v>0.442463184431395</v>
      </c>
      <c r="D205" s="11" t="n">
        <v>0.413369683020302</v>
      </c>
      <c r="E205" s="12" t="n">
        <f aca="false">(D205-C205)*100</f>
        <v>-2.90935014110938</v>
      </c>
      <c r="F205" s="11" t="n">
        <v>0.0639315030589971</v>
      </c>
      <c r="G205" s="11" t="n">
        <v>0.0564127775108658</v>
      </c>
      <c r="H205" s="12" t="n">
        <f aca="false">(G205-F205)*100</f>
        <v>-0.751872554813134</v>
      </c>
      <c r="I205" s="11" t="n">
        <v>0.0245129687131716</v>
      </c>
      <c r="J205" s="11" t="n">
        <v>0.0493681634842069</v>
      </c>
      <c r="K205" s="12" t="n">
        <f aca="false">(J205-I205)*100</f>
        <v>2.48551947710353</v>
      </c>
      <c r="L205" s="11" t="n">
        <v>0.0435740564249188</v>
      </c>
      <c r="M205" s="11" t="n">
        <v>0.0455972558965822</v>
      </c>
      <c r="N205" s="12" t="n">
        <f aca="false">(M205-L205)*100</f>
        <v>0.202319947166337</v>
      </c>
      <c r="O205" s="11" t="n">
        <v>0.223178692573349</v>
      </c>
      <c r="P205" s="11" t="n">
        <v>0.258025049999441</v>
      </c>
      <c r="Q205" s="12" t="n">
        <f aca="false">(P205-O205)*100</f>
        <v>3.48463574260921</v>
      </c>
      <c r="R205" s="11" t="n">
        <v>0.0674414076510796</v>
      </c>
      <c r="S205" s="11" t="n">
        <v>0.0470274075149998</v>
      </c>
      <c r="T205" s="12" t="n">
        <f aca="false">(S205-R205)*100</f>
        <v>-2.04140001360798</v>
      </c>
      <c r="U205" s="11" t="n">
        <v>0.02558387390988</v>
      </c>
      <c r="V205" s="11" t="n">
        <v>0.0237092322990805</v>
      </c>
      <c r="W205" s="12" t="n">
        <f aca="false">(V205-U205)*100</f>
        <v>-0.187464161079954</v>
      </c>
      <c r="X205" s="11" t="n">
        <v>0.521986862196534</v>
      </c>
      <c r="Y205" s="11" t="n">
        <v>0.519150624015374</v>
      </c>
      <c r="Z205" s="12" t="n">
        <f aca="false">(Y205-X205)*100</f>
        <v>-0.283623818115997</v>
      </c>
      <c r="AA205" s="11" t="n">
        <v>0.334194156649348</v>
      </c>
      <c r="AB205" s="11" t="n">
        <v>0.350649713411023</v>
      </c>
      <c r="AC205" s="12" t="n">
        <f aca="false">(AB205-AA205)*100</f>
        <v>1.64555567616757</v>
      </c>
      <c r="AD205" s="11" t="n">
        <v>0.719255248969002</v>
      </c>
      <c r="AE205" s="11" t="n">
        <v>0.630981923803615</v>
      </c>
      <c r="AF205" s="12" t="n">
        <f aca="false">(AE205-AD205)*100</f>
        <v>-8.82733251653866</v>
      </c>
      <c r="AG205" s="11" t="n">
        <v>0.0517621258236747</v>
      </c>
      <c r="AH205" s="11" t="n">
        <v>0.0414408777555558</v>
      </c>
      <c r="AI205" s="12" t="n">
        <f aca="false">(AH205-AG205)*100</f>
        <v>-1.03212480681189</v>
      </c>
      <c r="AJ205" s="14" t="s">
        <v>74</v>
      </c>
      <c r="AK205" s="14" t="s">
        <v>74</v>
      </c>
      <c r="AL205" s="14" t="s">
        <v>134</v>
      </c>
      <c r="AM205" s="20" t="n">
        <v>23.2524774290077</v>
      </c>
      <c r="AN205" s="20" t="n">
        <v>16.8500910604351</v>
      </c>
      <c r="AO205" s="12" t="n">
        <v>-6.40238636857261</v>
      </c>
    </row>
    <row r="206" customFormat="false" ht="15" hidden="false" customHeight="false" outlineLevel="0" collapsed="false">
      <c r="A206" s="14" t="s">
        <v>101</v>
      </c>
      <c r="B206" s="14" t="n">
        <v>3</v>
      </c>
      <c r="C206" s="11" t="n">
        <v>0.485517093213739</v>
      </c>
      <c r="D206" s="11" t="n">
        <v>0.446508710128842</v>
      </c>
      <c r="E206" s="12" t="n">
        <f aca="false">(D206-C206)*100</f>
        <v>-3.90083830848966</v>
      </c>
      <c r="F206" s="11" t="n">
        <v>0.0684641619894191</v>
      </c>
      <c r="G206" s="11" t="n">
        <v>0.0770641316411717</v>
      </c>
      <c r="H206" s="12" t="n">
        <f aca="false">(G206-F206)*100</f>
        <v>0.859996965175253</v>
      </c>
      <c r="I206" s="11" t="n">
        <v>0.0337030373016086</v>
      </c>
      <c r="J206" s="11" t="n">
        <v>0.0445338512763596</v>
      </c>
      <c r="K206" s="12" t="n">
        <f aca="false">(J206-I206)*100</f>
        <v>1.0830813974751</v>
      </c>
      <c r="L206" s="11" t="n">
        <v>0.0689582941697774</v>
      </c>
      <c r="M206" s="11" t="n">
        <v>0.0725582685904551</v>
      </c>
      <c r="N206" s="12" t="n">
        <f aca="false">(M206-L206)*100</f>
        <v>0.359997442067768</v>
      </c>
      <c r="O206" s="11" t="n">
        <v>0.159803421328249</v>
      </c>
      <c r="P206" s="11" t="n">
        <v>0.16014211262848</v>
      </c>
      <c r="Q206" s="12" t="n">
        <f aca="false">(P206-O206)*100</f>
        <v>0.0338691300231619</v>
      </c>
      <c r="R206" s="11" t="n">
        <v>0.0830410613099874</v>
      </c>
      <c r="S206" s="11" t="n">
        <v>0.0268119963325773</v>
      </c>
      <c r="T206" s="12" t="n">
        <f aca="false">(S206-R206)*100</f>
        <v>-5.62290649774101</v>
      </c>
      <c r="U206" s="11" t="n">
        <v>0.0181969546418884</v>
      </c>
      <c r="V206" s="11" t="n">
        <v>0.0285853882159919</v>
      </c>
      <c r="W206" s="12" t="n">
        <f aca="false">(V206-U206)*100</f>
        <v>1.03884335741035</v>
      </c>
      <c r="X206" s="11" t="n">
        <v>0.574890565835057</v>
      </c>
      <c r="Y206" s="11" t="n">
        <v>0.568106693046374</v>
      </c>
      <c r="Z206" s="12" t="n">
        <f aca="false">(Y206-X206)*100</f>
        <v>-0.678387278868287</v>
      </c>
      <c r="AA206" s="11" t="n">
        <v>0.311802776808014</v>
      </c>
      <c r="AB206" s="11" t="n">
        <v>0.259512377551513</v>
      </c>
      <c r="AC206" s="12" t="n">
        <f aca="false">(AB206-AA206)*100</f>
        <v>-5.22903992565007</v>
      </c>
      <c r="AD206" s="11" t="n">
        <v>0.647870415477765</v>
      </c>
      <c r="AE206" s="11" t="n">
        <v>0.538376854705407</v>
      </c>
      <c r="AF206" s="12" t="n">
        <f aca="false">(AE206-AD206)*100</f>
        <v>-10.9493560772358</v>
      </c>
      <c r="AG206" s="11" t="n">
        <v>0.0429035636598007</v>
      </c>
      <c r="AH206" s="11" t="n">
        <v>0.0371748781547073</v>
      </c>
      <c r="AI206" s="12" t="n">
        <f aca="false">(AH206-AG206)*100</f>
        <v>-0.57286855050934</v>
      </c>
      <c r="AJ206" s="14" t="s">
        <v>74</v>
      </c>
      <c r="AK206" s="14" t="s">
        <v>74</v>
      </c>
      <c r="AL206" s="14" t="s">
        <v>134</v>
      </c>
      <c r="AM206" s="20" t="n">
        <v>36.3289201600559</v>
      </c>
      <c r="AN206" s="20" t="n">
        <v>30.8594315494861</v>
      </c>
      <c r="AO206" s="12" t="n">
        <v>-5.46948861056978</v>
      </c>
    </row>
    <row r="207" customFormat="false" ht="15" hidden="false" customHeight="false" outlineLevel="0" collapsed="false">
      <c r="A207" s="14" t="s">
        <v>101</v>
      </c>
      <c r="B207" s="14" t="n">
        <v>4</v>
      </c>
      <c r="C207" s="11" t="n">
        <v>0.501862666948643</v>
      </c>
      <c r="D207" s="11" t="n">
        <v>0.458762603745113</v>
      </c>
      <c r="E207" s="12" t="n">
        <f aca="false">(D207-C207)*100</f>
        <v>-4.31000632035295</v>
      </c>
      <c r="F207" s="11" t="n">
        <v>0.0863388155932608</v>
      </c>
      <c r="G207" s="11" t="n">
        <v>0.104568214555182</v>
      </c>
      <c r="H207" s="12" t="n">
        <f aca="false">(G207-F207)*100</f>
        <v>1.82293989619213</v>
      </c>
      <c r="I207" s="11" t="n">
        <v>0.0329315178431022</v>
      </c>
      <c r="J207" s="11" t="n">
        <v>0.05544276013444</v>
      </c>
      <c r="K207" s="12" t="n">
        <f aca="false">(J207-I207)*100</f>
        <v>2.25112422913378</v>
      </c>
      <c r="L207" s="11" t="n">
        <v>0.0743548448319804</v>
      </c>
      <c r="M207" s="11" t="n">
        <v>0.0554016050483572</v>
      </c>
      <c r="N207" s="12" t="n">
        <f aca="false">(M207-L207)*100</f>
        <v>-1.89532397836232</v>
      </c>
      <c r="O207" s="11" t="n">
        <v>0.149246528173177</v>
      </c>
      <c r="P207" s="11" t="n">
        <v>0.172961108443652</v>
      </c>
      <c r="Q207" s="12" t="n">
        <f aca="false">(P207-O207)*100</f>
        <v>2.37145802704753</v>
      </c>
      <c r="R207" s="11" t="n">
        <v>0.0432995504655312</v>
      </c>
      <c r="S207" s="11" t="n">
        <v>0.0186844090815557</v>
      </c>
      <c r="T207" s="12" t="n">
        <f aca="false">(S207-R207)*100</f>
        <v>-2.46151413839755</v>
      </c>
      <c r="U207" s="11" t="n">
        <v>0.0221839024363792</v>
      </c>
      <c r="V207" s="11" t="n">
        <v>0.0252760820358049</v>
      </c>
      <c r="W207" s="12" t="n">
        <f aca="false">(V207-U207)*100</f>
        <v>0.309217959942571</v>
      </c>
      <c r="X207" s="11" t="n">
        <v>0.609946153470742</v>
      </c>
      <c r="Y207" s="11" t="n">
        <v>0.618773578434735</v>
      </c>
      <c r="Z207" s="12" t="n">
        <f aca="false">(Y207-X207)*100</f>
        <v>0.882742496399258</v>
      </c>
      <c r="AA207" s="11" t="n">
        <v>0.266900923470688</v>
      </c>
      <c r="AB207" s="11" t="n">
        <v>0.247047122573565</v>
      </c>
      <c r="AC207" s="12" t="n">
        <f aca="false">(AB207-AA207)*100</f>
        <v>-1.98538008971234</v>
      </c>
      <c r="AD207" s="11" t="n">
        <v>0.596238530330365</v>
      </c>
      <c r="AE207" s="11" t="n">
        <v>0.445542587685923</v>
      </c>
      <c r="AF207" s="12" t="n">
        <f aca="false">(AE207-AD207)*100</f>
        <v>-15.0695942644442</v>
      </c>
      <c r="AG207" s="11" t="n">
        <v>0.0455553567264781</v>
      </c>
      <c r="AH207" s="11" t="n">
        <v>0.0442417175389259</v>
      </c>
      <c r="AI207" s="12" t="n">
        <f aca="false">(AH207-AG207)*100</f>
        <v>-0.131363918755221</v>
      </c>
      <c r="AJ207" s="14" t="s">
        <v>74</v>
      </c>
      <c r="AK207" s="14" t="s">
        <v>74</v>
      </c>
      <c r="AL207" s="14" t="s">
        <v>134</v>
      </c>
      <c r="AM207" s="20" t="n">
        <v>40.5790264243844</v>
      </c>
      <c r="AN207" s="20" t="n">
        <v>37.172645586117</v>
      </c>
      <c r="AO207" s="12" t="n">
        <v>-3.40638083826737</v>
      </c>
    </row>
    <row r="208" customFormat="false" ht="15" hidden="false" customHeight="false" outlineLevel="0" collapsed="false">
      <c r="A208" s="14" t="s">
        <v>101</v>
      </c>
      <c r="B208" s="14" t="n">
        <v>5</v>
      </c>
      <c r="C208" s="11" t="n">
        <v>0.556217329145576</v>
      </c>
      <c r="D208" s="11" t="n">
        <v>0.578179681873887</v>
      </c>
      <c r="E208" s="12" t="n">
        <f aca="false">(D208-C208)*100</f>
        <v>2.19623527283105</v>
      </c>
      <c r="F208" s="11" t="n">
        <v>0.0855307099131721</v>
      </c>
      <c r="G208" s="11" t="n">
        <v>0.0668658639815037</v>
      </c>
      <c r="H208" s="12" t="n">
        <f aca="false">(G208-F208)*100</f>
        <v>-1.86648459316684</v>
      </c>
      <c r="I208" s="11" t="n">
        <v>0.0273731391067713</v>
      </c>
      <c r="J208" s="11" t="n">
        <v>0.0298985483443039</v>
      </c>
      <c r="K208" s="12" t="n">
        <f aca="false">(J208-I208)*100</f>
        <v>0.252540923753268</v>
      </c>
      <c r="L208" s="11" t="n">
        <v>0.0428509132659539</v>
      </c>
      <c r="M208" s="11" t="n">
        <v>0.0199113087642607</v>
      </c>
      <c r="N208" s="12" t="n">
        <f aca="false">(M208-L208)*100</f>
        <v>-2.29396045016932</v>
      </c>
      <c r="O208" s="11" t="n">
        <v>0.15339224896916</v>
      </c>
      <c r="P208" s="11" t="n">
        <v>0.17569582191002</v>
      </c>
      <c r="Q208" s="12" t="n">
        <f aca="false">(P208-O208)*100</f>
        <v>2.23035729408597</v>
      </c>
      <c r="R208" s="11" t="n">
        <v>0.0431710669397173</v>
      </c>
      <c r="S208" s="11" t="n">
        <v>0.0140111937941403</v>
      </c>
      <c r="T208" s="12" t="n">
        <f aca="false">(S208-R208)*100</f>
        <v>-2.9159873145577</v>
      </c>
      <c r="U208" s="11" t="n">
        <v>0.0191761010802427</v>
      </c>
      <c r="V208" s="11" t="n">
        <v>0.0193175070434991</v>
      </c>
      <c r="W208" s="12" t="n">
        <f aca="false">(V208-U208)*100</f>
        <v>0.0141405963256489</v>
      </c>
      <c r="X208" s="11" t="n">
        <v>0.658964578859922</v>
      </c>
      <c r="Y208" s="11" t="n">
        <v>0.674944094199694</v>
      </c>
      <c r="Z208" s="12" t="n">
        <f aca="false">(Y208-X208)*100</f>
        <v>1.59795153397725</v>
      </c>
      <c r="AA208" s="11" t="n">
        <v>0.239414229174832</v>
      </c>
      <c r="AB208" s="11" t="n">
        <v>0.209618324468421</v>
      </c>
      <c r="AC208" s="12" t="n">
        <f aca="false">(AB208-AA208)*100</f>
        <v>-2.97959047064104</v>
      </c>
      <c r="AD208" s="11" t="n">
        <v>0.671727902053045</v>
      </c>
      <c r="AE208" s="11" t="n">
        <v>0.562417619116984</v>
      </c>
      <c r="AF208" s="12" t="n">
        <f aca="false">(AE208-AD208)*100</f>
        <v>-10.9310282936061</v>
      </c>
      <c r="AG208" s="11" t="n">
        <v>0.0400909678024762</v>
      </c>
      <c r="AH208" s="11" t="n">
        <v>0.0324190471377494</v>
      </c>
      <c r="AI208" s="12" t="n">
        <f aca="false">(AH208-AG208)*100</f>
        <v>-0.767192066472686</v>
      </c>
      <c r="AJ208" s="14" t="s">
        <v>74</v>
      </c>
      <c r="AK208" s="14" t="s">
        <v>74</v>
      </c>
      <c r="AL208" s="14" t="s">
        <v>134</v>
      </c>
      <c r="AM208" s="20" t="n">
        <v>46.3411402990677</v>
      </c>
      <c r="AN208" s="20" t="n">
        <v>46.5325769731273</v>
      </c>
      <c r="AO208" s="12" t="n">
        <v>0.191436674059624</v>
      </c>
    </row>
    <row r="209" customFormat="false" ht="15" hidden="false" customHeight="false" outlineLevel="0" collapsed="false">
      <c r="A209" s="14" t="s">
        <v>101</v>
      </c>
      <c r="B209" s="14" t="n">
        <v>6</v>
      </c>
      <c r="C209" s="11" t="n">
        <v>0.436768649261274</v>
      </c>
      <c r="D209" s="11" t="n">
        <v>0.430154640873421</v>
      </c>
      <c r="E209" s="12" t="n">
        <f aca="false">(D209-C209)*100</f>
        <v>-0.661400838785259</v>
      </c>
      <c r="F209" s="11" t="n">
        <v>0.0583035875985115</v>
      </c>
      <c r="G209" s="11" t="n">
        <v>0.121255048724723</v>
      </c>
      <c r="H209" s="12" t="n">
        <f aca="false">(G209-F209)*100</f>
        <v>6.29514611262119</v>
      </c>
      <c r="I209" s="11" t="n">
        <v>0.027183025360308</v>
      </c>
      <c r="J209" s="11" t="n">
        <v>0.04069947486674</v>
      </c>
      <c r="K209" s="12" t="n">
        <f aca="false">(J209-I209)*100</f>
        <v>1.3516449506432</v>
      </c>
      <c r="L209" s="11" t="n">
        <v>0.037137866369112</v>
      </c>
      <c r="M209" s="11" t="n">
        <v>0.0299727879502672</v>
      </c>
      <c r="N209" s="12" t="n">
        <f aca="false">(M209-L209)*100</f>
        <v>-0.716507841884477</v>
      </c>
      <c r="O209" s="11" t="n">
        <v>0.148977934604172</v>
      </c>
      <c r="P209" s="11" t="n">
        <v>0.179171251424844</v>
      </c>
      <c r="Q209" s="12" t="n">
        <f aca="false">(P209-O209)*100</f>
        <v>3.01933168206716</v>
      </c>
      <c r="R209" s="11" t="n">
        <v>0.158529674656634</v>
      </c>
      <c r="S209" s="11" t="n">
        <v>0.0387821125247906</v>
      </c>
      <c r="T209" s="12" t="n">
        <f aca="false">(S209-R209)*100</f>
        <v>-11.9747562131843</v>
      </c>
      <c r="U209" s="11" t="n">
        <v>0.0143305311001151</v>
      </c>
      <c r="V209" s="11" t="n">
        <v>0.0207944864302139</v>
      </c>
      <c r="W209" s="12" t="n">
        <f aca="false">(V209-U209)*100</f>
        <v>0.646395533009885</v>
      </c>
      <c r="X209" s="11" t="n">
        <v>0.512440630239582</v>
      </c>
      <c r="Y209" s="11" t="n">
        <v>0.592109164464885</v>
      </c>
      <c r="Z209" s="12" t="n">
        <f aca="false">(Y209-X209)*100</f>
        <v>7.96685342253024</v>
      </c>
      <c r="AA209" s="11" t="n">
        <v>0.344645475629918</v>
      </c>
      <c r="AB209" s="11" t="n">
        <v>0.247926151899902</v>
      </c>
      <c r="AC209" s="12" t="n">
        <f aca="false">(AB209-AA209)*100</f>
        <v>-9.67193237300165</v>
      </c>
      <c r="AD209" s="11" t="n">
        <v>0.62422461043626</v>
      </c>
      <c r="AE209" s="11" t="n">
        <v>0.526049266752394</v>
      </c>
      <c r="AF209" s="12" t="n">
        <f aca="false">(AE209-AD209)*100</f>
        <v>-9.81753436838662</v>
      </c>
      <c r="AG209" s="11" t="n">
        <v>0.0532210103228897</v>
      </c>
      <c r="AH209" s="11" t="n">
        <v>0.0523749596431466</v>
      </c>
      <c r="AI209" s="12" t="n">
        <f aca="false">(AH209-AG209)*100</f>
        <v>-0.0846050679743124</v>
      </c>
      <c r="AJ209" s="14" t="s">
        <v>74</v>
      </c>
      <c r="AK209" s="14" t="s">
        <v>74</v>
      </c>
      <c r="AL209" s="14" t="s">
        <v>134</v>
      </c>
      <c r="AM209" s="20" t="n">
        <v>30.2442558113721</v>
      </c>
      <c r="AN209" s="20" t="n">
        <v>34.4183012564983</v>
      </c>
      <c r="AO209" s="12" t="n">
        <v>4.17404544512616</v>
      </c>
    </row>
    <row r="210" customFormat="false" ht="15" hidden="false" customHeight="false" outlineLevel="0" collapsed="false">
      <c r="A210" s="14" t="s">
        <v>101</v>
      </c>
      <c r="B210" s="14" t="n">
        <v>7</v>
      </c>
      <c r="C210" s="11" t="n">
        <v>0.44111455169131</v>
      </c>
      <c r="D210" s="11" t="n">
        <v>0.458743018956973</v>
      </c>
      <c r="E210" s="12" t="n">
        <f aca="false">(D210-C210)*100</f>
        <v>1.76284672656636</v>
      </c>
      <c r="F210" s="11" t="n">
        <v>0.0497210185644111</v>
      </c>
      <c r="G210" s="11" t="n">
        <v>0.0919006790948898</v>
      </c>
      <c r="H210" s="12" t="n">
        <f aca="false">(G210-F210)*100</f>
        <v>4.21796605304787</v>
      </c>
      <c r="I210" s="11" t="n">
        <v>0.0497749991412181</v>
      </c>
      <c r="J210" s="11" t="n">
        <v>0.0174257321901466</v>
      </c>
      <c r="K210" s="12" t="n">
        <f aca="false">(J210-I210)*100</f>
        <v>-3.23492669510715</v>
      </c>
      <c r="L210" s="11" t="n">
        <v>0.0340715586155454</v>
      </c>
      <c r="M210" s="11" t="n">
        <v>0.0295498046618947</v>
      </c>
      <c r="N210" s="12" t="n">
        <f aca="false">(M210-L210)*100</f>
        <v>-0.452175395365077</v>
      </c>
      <c r="O210" s="11" t="n">
        <v>0.230094662302419</v>
      </c>
      <c r="P210" s="11" t="n">
        <v>0.226634154015575</v>
      </c>
      <c r="Q210" s="12" t="n">
        <f aca="false">(P210-O210)*100</f>
        <v>-0.346050828684419</v>
      </c>
      <c r="R210" s="11" t="n">
        <v>0.0824725067107672</v>
      </c>
      <c r="S210" s="11" t="n">
        <v>0.0568027478434149</v>
      </c>
      <c r="T210" s="12" t="n">
        <f aca="false">(S210-R210)*100</f>
        <v>-2.56697588673523</v>
      </c>
      <c r="U210" s="11" t="n">
        <v>0.026632053666508</v>
      </c>
      <c r="V210" s="11" t="n">
        <v>0.0217782322556963</v>
      </c>
      <c r="W210" s="12" t="n">
        <f aca="false">(V210-U210)*100</f>
        <v>-0.485382141081173</v>
      </c>
      <c r="X210" s="11" t="n">
        <v>0.505174774385726</v>
      </c>
      <c r="Y210" s="11" t="n">
        <v>0.56806943024201</v>
      </c>
      <c r="Z210" s="12" t="n">
        <f aca="false">(Y210-X210)*100</f>
        <v>6.2894655856284</v>
      </c>
      <c r="AA210" s="11" t="n">
        <v>0.346638727628731</v>
      </c>
      <c r="AB210" s="11" t="n">
        <v>0.312986706520884</v>
      </c>
      <c r="AC210" s="12" t="n">
        <f aca="false">(AB210-AA210)*100</f>
        <v>-3.36520211078473</v>
      </c>
      <c r="AD210" s="11" t="n">
        <v>0.714460517919626</v>
      </c>
      <c r="AE210" s="11" t="n">
        <v>0.660106962978348</v>
      </c>
      <c r="AF210" s="12" t="n">
        <f aca="false">(AE210-AD210)*100</f>
        <v>-5.43535549412786</v>
      </c>
      <c r="AG210" s="11" t="n">
        <v>0.0467471795148618</v>
      </c>
      <c r="AH210" s="11" t="n">
        <v>0.0263667112404625</v>
      </c>
      <c r="AI210" s="12" t="n">
        <f aca="false">(AH210-AG210)*100</f>
        <v>-2.03804682743993</v>
      </c>
      <c r="AJ210" s="14" t="s">
        <v>74</v>
      </c>
      <c r="AK210" s="14" t="s">
        <v>74</v>
      </c>
      <c r="AL210" s="14" t="s">
        <v>134</v>
      </c>
      <c r="AM210" s="20" t="n">
        <v>20.0508398887019</v>
      </c>
      <c r="AN210" s="20" t="n">
        <v>25.5082723721125</v>
      </c>
      <c r="AO210" s="12" t="n">
        <v>5.45743248341067</v>
      </c>
    </row>
    <row r="211" customFormat="false" ht="15" hidden="false" customHeight="false" outlineLevel="0" collapsed="false">
      <c r="A211" s="14" t="s">
        <v>101</v>
      </c>
      <c r="B211" s="14" t="n">
        <v>8</v>
      </c>
      <c r="C211" s="11" t="n">
        <v>0.531674100787701</v>
      </c>
      <c r="D211" s="11" t="n">
        <v>0.454511594377028</v>
      </c>
      <c r="E211" s="12" t="n">
        <f aca="false">(D211-C211)*100</f>
        <v>-7.7162506410673</v>
      </c>
      <c r="F211" s="11" t="n">
        <v>0.0726724874252634</v>
      </c>
      <c r="G211" s="11" t="n">
        <v>0.0569325964195603</v>
      </c>
      <c r="H211" s="12" t="n">
        <f aca="false">(G211-F211)*100</f>
        <v>-1.57398910057031</v>
      </c>
      <c r="I211" s="11" t="n">
        <v>0.0273844547783999</v>
      </c>
      <c r="J211" s="11" t="n">
        <v>0.0164063438663943</v>
      </c>
      <c r="K211" s="12" t="n">
        <f aca="false">(J211-I211)*100</f>
        <v>-1.09781109120056</v>
      </c>
      <c r="L211" s="11" t="n">
        <v>0.105456961184398</v>
      </c>
      <c r="M211" s="11" t="n">
        <v>0.0723056590171813</v>
      </c>
      <c r="N211" s="12" t="n">
        <f aca="false">(M211-L211)*100</f>
        <v>-3.31513021672165</v>
      </c>
      <c r="O211" s="11" t="n">
        <v>0.139603302647813</v>
      </c>
      <c r="P211" s="11" t="n">
        <v>0.218118466898955</v>
      </c>
      <c r="Q211" s="12" t="n">
        <f aca="false">(P211-O211)*100</f>
        <v>7.85151642511422</v>
      </c>
      <c r="R211" s="11" t="n">
        <v>0.0250023725918193</v>
      </c>
      <c r="S211" s="11" t="n">
        <v>0.0131983659738075</v>
      </c>
      <c r="T211" s="12" t="n">
        <f aca="false">(S211-R211)*100</f>
        <v>-1.18040066180118</v>
      </c>
      <c r="U211" s="11" t="n">
        <v>0.0205703710733605</v>
      </c>
      <c r="V211" s="11" t="n">
        <v>0.0380211462213144</v>
      </c>
      <c r="W211" s="12" t="n">
        <f aca="false">(V211-U211)*100</f>
        <v>1.74507751479539</v>
      </c>
      <c r="X211" s="11" t="n">
        <v>0.629965834677802</v>
      </c>
      <c r="Y211" s="11" t="n">
        <v>0.527850534662982</v>
      </c>
      <c r="Z211" s="12" t="n">
        <f aca="false">(Y211-X211)*100</f>
        <v>-10.211530001482</v>
      </c>
      <c r="AA211" s="11" t="n">
        <v>0.27006263642403</v>
      </c>
      <c r="AB211" s="11" t="n">
        <v>0.303622491889944</v>
      </c>
      <c r="AC211" s="12" t="n">
        <f aca="false">(AB211-AA211)*100</f>
        <v>3.3559855465914</v>
      </c>
      <c r="AD211" s="11" t="n">
        <v>0.673667385918645</v>
      </c>
      <c r="AE211" s="11" t="n">
        <v>0.514530876179996</v>
      </c>
      <c r="AF211" s="12" t="n">
        <f aca="false">(AE211-AD211)*100</f>
        <v>-15.9136509738648</v>
      </c>
      <c r="AG211" s="11" t="n">
        <v>0.0362104963462086</v>
      </c>
      <c r="AH211" s="11" t="n">
        <v>0.0292743001321639</v>
      </c>
      <c r="AI211" s="12" t="n">
        <f aca="false">(AH211-AG211)*100</f>
        <v>-0.693619621404472</v>
      </c>
      <c r="AJ211" s="14" t="s">
        <v>74</v>
      </c>
      <c r="AK211" s="14" t="s">
        <v>74</v>
      </c>
      <c r="AL211" s="14" t="s">
        <v>134</v>
      </c>
      <c r="AM211" s="20" t="n">
        <v>44.7978551769954</v>
      </c>
      <c r="AN211" s="20" t="n">
        <v>22.4228042773039</v>
      </c>
      <c r="AO211" s="12" t="n">
        <v>-22.3750508996915</v>
      </c>
    </row>
    <row r="212" customFormat="false" ht="15" hidden="false" customHeight="false" outlineLevel="0" collapsed="false">
      <c r="A212" s="14" t="s">
        <v>101</v>
      </c>
      <c r="B212" s="14" t="n">
        <v>9</v>
      </c>
      <c r="C212" s="11" t="n">
        <v>0.427296486511144</v>
      </c>
      <c r="D212" s="11" t="n">
        <v>0.386795791460462</v>
      </c>
      <c r="E212" s="12" t="n">
        <f aca="false">(D212-C212)*100</f>
        <v>-4.05006950506816</v>
      </c>
      <c r="F212" s="11" t="n">
        <v>0.0461685422804673</v>
      </c>
      <c r="G212" s="11" t="n">
        <v>0.0459950904116976</v>
      </c>
      <c r="H212" s="12" t="n">
        <f aca="false">(G212-F212)*100</f>
        <v>-0.0173451868769693</v>
      </c>
      <c r="I212" s="11" t="n">
        <v>0.0198401837511203</v>
      </c>
      <c r="J212" s="11" t="n">
        <v>0.0251152966818149</v>
      </c>
      <c r="K212" s="12" t="n">
        <f aca="false">(J212-I212)*100</f>
        <v>0.527511293069459</v>
      </c>
      <c r="L212" s="11" t="n">
        <v>0.0353441845239054</v>
      </c>
      <c r="M212" s="11" t="n">
        <v>0.0299799459608244</v>
      </c>
      <c r="N212" s="12" t="n">
        <f aca="false">(M212-L212)*100</f>
        <v>-0.536423856308095</v>
      </c>
      <c r="O212" s="11" t="n">
        <v>0.239305781398419</v>
      </c>
      <c r="P212" s="11" t="n">
        <v>0.292817058853269</v>
      </c>
      <c r="Q212" s="12" t="n">
        <f aca="false">(P212-O212)*100</f>
        <v>5.35112774548495</v>
      </c>
      <c r="R212" s="11" t="n">
        <v>0.13782943989181</v>
      </c>
      <c r="S212" s="11" t="n">
        <v>0.0921306152714036</v>
      </c>
      <c r="T212" s="12" t="n">
        <f aca="false">(S212-R212)*100</f>
        <v>-4.56988246204065</v>
      </c>
      <c r="U212" s="11" t="n">
        <v>0.015976258324881</v>
      </c>
      <c r="V212" s="11" t="n">
        <v>0.0171610895466214</v>
      </c>
      <c r="W212" s="12" t="n">
        <f aca="false">(V212-U212)*100</f>
        <v>0.118483122174043</v>
      </c>
      <c r="X212" s="11" t="n">
        <v>0.484284019985081</v>
      </c>
      <c r="Y212" s="11" t="n">
        <v>0.457906178553975</v>
      </c>
      <c r="Z212" s="12" t="n">
        <f aca="false">(Y212-X212)*100</f>
        <v>-2.63778414311064</v>
      </c>
      <c r="AA212" s="11" t="n">
        <v>0.412479405814134</v>
      </c>
      <c r="AB212" s="11" t="n">
        <v>0.414927620085497</v>
      </c>
      <c r="AC212" s="12" t="n">
        <f aca="false">(AB212-AA212)*100</f>
        <v>0.24482142713621</v>
      </c>
      <c r="AD212" s="11" t="n">
        <v>0.686721013023962</v>
      </c>
      <c r="AE212" s="11" t="n">
        <v>0.615952860415066</v>
      </c>
      <c r="AF212" s="12" t="n">
        <f aca="false">(AE212-AD212)*100</f>
        <v>-7.07681526088957</v>
      </c>
      <c r="AG212" s="11" t="n">
        <v>0.0387358523980487</v>
      </c>
      <c r="AH212" s="11" t="n">
        <v>0.0428325066425494</v>
      </c>
      <c r="AI212" s="12" t="n">
        <f aca="false">(AH212-AG212)*100</f>
        <v>0.409665424450067</v>
      </c>
      <c r="AJ212" s="14" t="s">
        <v>74</v>
      </c>
      <c r="AK212" s="14" t="s">
        <v>74</v>
      </c>
      <c r="AL212" s="14" t="s">
        <v>134</v>
      </c>
      <c r="AM212" s="20" t="n">
        <v>19.6598672312291</v>
      </c>
      <c r="AN212" s="20" t="n">
        <v>4.29785584684781</v>
      </c>
      <c r="AO212" s="12" t="n">
        <v>-15.3620113843813</v>
      </c>
    </row>
    <row r="213" customFormat="false" ht="15" hidden="false" customHeight="false" outlineLevel="0" collapsed="false">
      <c r="A213" s="14" t="s">
        <v>101</v>
      </c>
      <c r="B213" s="14" t="n">
        <v>10</v>
      </c>
      <c r="C213" s="11" t="n">
        <v>0.448032739374194</v>
      </c>
      <c r="D213" s="11" t="n">
        <v>0.405111435793966</v>
      </c>
      <c r="E213" s="12" t="n">
        <f aca="false">(D213-C213)*100</f>
        <v>-4.29213035802287</v>
      </c>
      <c r="F213" s="11" t="n">
        <v>0.0623757033069166</v>
      </c>
      <c r="G213" s="11" t="n">
        <v>0.0549641689278508</v>
      </c>
      <c r="H213" s="12" t="n">
        <f aca="false">(G213-F213)*100</f>
        <v>-0.741153437906581</v>
      </c>
      <c r="I213" s="11" t="n">
        <v>0.0277525159149736</v>
      </c>
      <c r="J213" s="11" t="n">
        <v>0.0808402328439899</v>
      </c>
      <c r="K213" s="12" t="n">
        <f aca="false">(J213-I213)*100</f>
        <v>5.30877169290163</v>
      </c>
      <c r="L213" s="11" t="n">
        <v>0.115862006935631</v>
      </c>
      <c r="M213" s="11" t="n">
        <v>0.0911141260233308</v>
      </c>
      <c r="N213" s="12" t="n">
        <f aca="false">(M213-L213)*100</f>
        <v>-2.47478809122997</v>
      </c>
      <c r="O213" s="11" t="n">
        <v>0.159989206799716</v>
      </c>
      <c r="P213" s="11" t="n">
        <v>0.184906885595677</v>
      </c>
      <c r="Q213" s="12" t="n">
        <f aca="false">(P213-O213)*100</f>
        <v>2.49176787959609</v>
      </c>
      <c r="R213" s="11" t="n">
        <v>0.0374763898743791</v>
      </c>
      <c r="S213" s="11" t="n">
        <v>0.0357962847004801</v>
      </c>
      <c r="T213" s="12" t="n">
        <f aca="false">(S213-R213)*100</f>
        <v>-0.168010517389907</v>
      </c>
      <c r="U213" s="11" t="n">
        <v>0.0275776260955598</v>
      </c>
      <c r="V213" s="11" t="n">
        <v>0.0212029499756488</v>
      </c>
      <c r="W213" s="12" t="n">
        <f aca="false">(V213-U213)*100</f>
        <v>-0.637467611991101</v>
      </c>
      <c r="X213" s="11" t="n">
        <v>0.541898603879556</v>
      </c>
      <c r="Y213" s="11" t="n">
        <v>0.540915837565806</v>
      </c>
      <c r="Z213" s="12" t="n">
        <f aca="false">(Y213-X213)*100</f>
        <v>-0.0982766313749606</v>
      </c>
      <c r="AA213" s="11" t="n">
        <v>0.313327603609726</v>
      </c>
      <c r="AB213" s="11" t="n">
        <v>0.311817296319488</v>
      </c>
      <c r="AC213" s="12" t="n">
        <f aca="false">(AB213-AA213)*100</f>
        <v>-0.151030729023799</v>
      </c>
      <c r="AD213" s="11" t="n">
        <v>0.652328814454328</v>
      </c>
      <c r="AE213" s="11" t="n">
        <v>0.526623370675363</v>
      </c>
      <c r="AF213" s="12" t="n">
        <f aca="false">(AE213-AD213)*100</f>
        <v>-12.5705443778966</v>
      </c>
      <c r="AG213" s="11" t="n">
        <v>0.0546305827328783</v>
      </c>
      <c r="AH213" s="11" t="n">
        <v>0.0551960852524409</v>
      </c>
      <c r="AI213" s="12" t="n">
        <f aca="false">(AH213-AG213)*100</f>
        <v>0.0565502519562632</v>
      </c>
      <c r="AJ213" s="14" t="s">
        <v>74</v>
      </c>
      <c r="AK213" s="14" t="s">
        <v>74</v>
      </c>
      <c r="AL213" s="14" t="s">
        <v>134</v>
      </c>
      <c r="AM213" s="20" t="n">
        <v>31.9508709513007</v>
      </c>
      <c r="AN213" s="20" t="n">
        <v>22.9098541246318</v>
      </c>
      <c r="AO213" s="12" t="n">
        <v>-9.04101682666885</v>
      </c>
    </row>
    <row r="214" customFormat="false" ht="15" hidden="false" customHeight="false" outlineLevel="0" collapsed="false">
      <c r="A214" s="14" t="s">
        <v>102</v>
      </c>
      <c r="B214" s="14" t="n">
        <v>1</v>
      </c>
      <c r="C214" s="11" t="n">
        <v>0.310110733430451</v>
      </c>
      <c r="D214" s="11" t="n">
        <v>0.289040736654082</v>
      </c>
      <c r="E214" s="12" t="n">
        <f aca="false">(D214-C214)*100</f>
        <v>-2.10699967763689</v>
      </c>
      <c r="F214" s="11" t="n">
        <v>0.029401963304674</v>
      </c>
      <c r="G214" s="11" t="n">
        <v>0.0431957962029262</v>
      </c>
      <c r="H214" s="12" t="n">
        <f aca="false">(G214-F214)*100</f>
        <v>1.37938328982522</v>
      </c>
      <c r="I214" s="11" t="n">
        <v>0.035947899111657</v>
      </c>
      <c r="J214" s="11" t="n">
        <v>0.0665007446697971</v>
      </c>
      <c r="K214" s="12" t="n">
        <f aca="false">(J214-I214)*100</f>
        <v>3.05528455581401</v>
      </c>
      <c r="L214" s="11" t="n">
        <v>0.262522970283832</v>
      </c>
      <c r="M214" s="11" t="n">
        <v>0.137904929664577</v>
      </c>
      <c r="N214" s="12" t="n">
        <f aca="false">(M214-L214)*100</f>
        <v>-12.4618040619255</v>
      </c>
      <c r="O214" s="11" t="n">
        <v>0.193059879840422</v>
      </c>
      <c r="P214" s="11" t="n">
        <v>0.187236211238824</v>
      </c>
      <c r="Q214" s="12" t="n">
        <f aca="false">(P214-O214)*100</f>
        <v>-0.582366860159819</v>
      </c>
      <c r="R214" s="11" t="n">
        <v>0.0439839279423386</v>
      </c>
      <c r="S214" s="11" t="n">
        <v>0.0442645581708337</v>
      </c>
      <c r="T214" s="12" t="n">
        <f aca="false">(S214-R214)*100</f>
        <v>0.0280630228495046</v>
      </c>
      <c r="U214" s="11" t="n">
        <v>0.0372094794671846</v>
      </c>
      <c r="V214" s="11" t="n">
        <v>0.102150883460414</v>
      </c>
      <c r="W214" s="12" t="n">
        <f aca="false">(V214-U214)*100</f>
        <v>6.49414039932291</v>
      </c>
      <c r="X214" s="11" t="n">
        <v>0.352771192169633</v>
      </c>
      <c r="Y214" s="11" t="n">
        <v>0.398737277526806</v>
      </c>
      <c r="Z214" s="12" t="n">
        <f aca="false">(Y214-X214)*100</f>
        <v>4.59660853571731</v>
      </c>
      <c r="AA214" s="11" t="n">
        <v>0.499566778066592</v>
      </c>
      <c r="AB214" s="11" t="n">
        <v>0.369405699074234</v>
      </c>
      <c r="AC214" s="12" t="n">
        <f aca="false">(AB214-AA214)*100</f>
        <v>-13.0161078992358</v>
      </c>
      <c r="AD214" s="11" t="n">
        <v>0.750367049493632</v>
      </c>
      <c r="AE214" s="11" t="n">
        <v>0.69023069961237</v>
      </c>
      <c r="AF214" s="12" t="n">
        <f aca="false">(AE214-AD214)*100</f>
        <v>-6.01363498812624</v>
      </c>
      <c r="AG214" s="11" t="n">
        <v>0.055580945852019</v>
      </c>
      <c r="AH214" s="11" t="n">
        <v>0.0506325982296156</v>
      </c>
      <c r="AI214" s="12" t="n">
        <f aca="false">(AH214-AG214)*100</f>
        <v>-0.494834762240341</v>
      </c>
      <c r="AJ214" s="14" t="s">
        <v>74</v>
      </c>
      <c r="AK214" s="14" t="s">
        <v>74</v>
      </c>
      <c r="AL214" s="14" t="s">
        <v>134</v>
      </c>
      <c r="AM214" s="20" t="n">
        <v>0.905481447627753</v>
      </c>
      <c r="AN214" s="20" t="n">
        <v>2.93315784525712</v>
      </c>
      <c r="AO214" s="12" t="n">
        <v>2.02767639762937</v>
      </c>
    </row>
    <row r="215" customFormat="false" ht="15" hidden="false" customHeight="false" outlineLevel="0" collapsed="false">
      <c r="A215" s="14" t="s">
        <v>102</v>
      </c>
      <c r="B215" s="14" t="n">
        <v>2</v>
      </c>
      <c r="C215" s="11" t="n">
        <v>0.227792074112198</v>
      </c>
      <c r="D215" s="11" t="n">
        <v>0.301475928992708</v>
      </c>
      <c r="E215" s="12" t="n">
        <f aca="false">(D215-C215)*100</f>
        <v>7.36838548805099</v>
      </c>
      <c r="F215" s="11" t="n">
        <v>0.0336452533570393</v>
      </c>
      <c r="G215" s="11" t="n">
        <v>0.0464520565191706</v>
      </c>
      <c r="H215" s="12" t="n">
        <f aca="false">(G215-F215)*100</f>
        <v>1.28068031621314</v>
      </c>
      <c r="I215" s="11" t="n">
        <v>0.0255743227436485</v>
      </c>
      <c r="J215" s="11" t="n">
        <v>0.0930735930735931</v>
      </c>
      <c r="K215" s="12" t="n">
        <f aca="false">(J215-I215)*100</f>
        <v>6.74992703299446</v>
      </c>
      <c r="L215" s="11" t="n">
        <v>0.225522855939737</v>
      </c>
      <c r="M215" s="11" t="n">
        <v>0.0689154246201226</v>
      </c>
      <c r="N215" s="12" t="n">
        <f aca="false">(M215-L215)*100</f>
        <v>-15.6607431319614</v>
      </c>
      <c r="O215" s="11" t="n">
        <v>0.286908716605063</v>
      </c>
      <c r="P215" s="11" t="n">
        <v>0.305974413356964</v>
      </c>
      <c r="Q215" s="12" t="n">
        <f aca="false">(P215-O215)*100</f>
        <v>1.90656967519012</v>
      </c>
      <c r="R215" s="11" t="n">
        <v>0.0449913442193422</v>
      </c>
      <c r="S215" s="11" t="n">
        <v>0.0214319610292765</v>
      </c>
      <c r="T215" s="12" t="n">
        <f aca="false">(S215-R215)*100</f>
        <v>-2.35593831900657</v>
      </c>
      <c r="U215" s="11" t="n">
        <v>0.0538015252889159</v>
      </c>
      <c r="V215" s="11" t="n">
        <v>0.0311988533465044</v>
      </c>
      <c r="W215" s="12" t="n">
        <f aca="false">(V215-U215)*100</f>
        <v>-2.26026719424116</v>
      </c>
      <c r="X215" s="11" t="n">
        <v>0.27223131988958</v>
      </c>
      <c r="Y215" s="11" t="n">
        <v>0.441001578585471</v>
      </c>
      <c r="Z215" s="12" t="n">
        <f aca="false">(Y215-X215)*100</f>
        <v>16.8770258695891</v>
      </c>
      <c r="AA215" s="11" t="n">
        <v>0.557422916764142</v>
      </c>
      <c r="AB215" s="11" t="n">
        <v>0.396321799006363</v>
      </c>
      <c r="AC215" s="12" t="n">
        <f aca="false">(AB215-AA215)*100</f>
        <v>-16.1101117757779</v>
      </c>
      <c r="AD215" s="11" t="n">
        <v>0.767049838680156</v>
      </c>
      <c r="AE215" s="11" t="n">
        <v>0.69319539736033</v>
      </c>
      <c r="AF215" s="12" t="n">
        <f aca="false">(AE215-AD215)*100</f>
        <v>-7.38544413198263</v>
      </c>
      <c r="AG215" s="11" t="n">
        <v>0.0613624666635475</v>
      </c>
      <c r="AH215" s="11" t="n">
        <v>0.045318961426344</v>
      </c>
      <c r="AI215" s="12" t="n">
        <f aca="false">(AH215-AG215)*100</f>
        <v>-1.60435052372035</v>
      </c>
      <c r="AJ215" s="14" t="s">
        <v>153</v>
      </c>
      <c r="AK215" s="14" t="s">
        <v>74</v>
      </c>
      <c r="AL215" s="14" t="s">
        <v>155</v>
      </c>
      <c r="AM215" s="20" t="n">
        <v>1.76016469377252</v>
      </c>
      <c r="AN215" s="20" t="n">
        <v>4.46797795791084</v>
      </c>
      <c r="AO215" s="12" t="n">
        <v>2.70781326413833</v>
      </c>
    </row>
    <row r="216" customFormat="false" ht="15" hidden="false" customHeight="false" outlineLevel="0" collapsed="false">
      <c r="A216" s="14" t="s">
        <v>102</v>
      </c>
      <c r="B216" s="14" t="n">
        <v>3</v>
      </c>
      <c r="C216" s="11" t="n">
        <v>0.31093582913932</v>
      </c>
      <c r="D216" s="11" t="n">
        <v>0.270285555635534</v>
      </c>
      <c r="E216" s="12" t="n">
        <f aca="false">(D216-C216)*100</f>
        <v>-4.06502735037862</v>
      </c>
      <c r="F216" s="11" t="n">
        <v>0.0423325582992416</v>
      </c>
      <c r="G216" s="11" t="n">
        <v>0.0682886199343952</v>
      </c>
      <c r="H216" s="12" t="n">
        <f aca="false">(G216-F216)*100</f>
        <v>2.59560616351536</v>
      </c>
      <c r="I216" s="11" t="n">
        <v>0.0467227830591282</v>
      </c>
      <c r="J216" s="11" t="n">
        <v>0.0655790805046839</v>
      </c>
      <c r="K216" s="12" t="n">
        <f aca="false">(J216-I216)*100</f>
        <v>1.88562974455556</v>
      </c>
      <c r="L216" s="11" t="n">
        <v>0.21218765635577</v>
      </c>
      <c r="M216" s="11" t="n">
        <v>0.126592561363099</v>
      </c>
      <c r="N216" s="12" t="n">
        <f aca="false">(M216-L216)*100</f>
        <v>-8.55950949926713</v>
      </c>
      <c r="O216" s="11" t="n">
        <v>0.213575850330125</v>
      </c>
      <c r="P216" s="11" t="n">
        <v>0.192392723832636</v>
      </c>
      <c r="Q216" s="12" t="n">
        <f aca="false">(P216-O216)*100</f>
        <v>-2.11831264974895</v>
      </c>
      <c r="R216" s="11" t="n">
        <v>0.0255515986304461</v>
      </c>
      <c r="S216" s="11" t="n">
        <v>0.0144577322131847</v>
      </c>
      <c r="T216" s="12" t="n">
        <f aca="false">(S216-R216)*100</f>
        <v>-1.10938664172614</v>
      </c>
      <c r="U216" s="11" t="n">
        <v>0.0299074864369034</v>
      </c>
      <c r="V216" s="11" t="n">
        <v>0.100288948986622</v>
      </c>
      <c r="W216" s="12" t="n">
        <f aca="false">(V216-U216)*100</f>
        <v>7.03814625497186</v>
      </c>
      <c r="X216" s="11" t="n">
        <v>0.370044441828296</v>
      </c>
      <c r="Y216" s="11" t="n">
        <v>0.404153256074613</v>
      </c>
      <c r="Z216" s="12" t="n">
        <f aca="false">(Y216-X216)*100</f>
        <v>3.4108814246317</v>
      </c>
      <c r="AA216" s="11" t="n">
        <v>0.451315105316341</v>
      </c>
      <c r="AB216" s="11" t="n">
        <v>0.333443017408919</v>
      </c>
      <c r="AC216" s="12" t="n">
        <f aca="false">(AB216-AA216)*100</f>
        <v>-11.7872087907422</v>
      </c>
      <c r="AD216" s="11" t="n">
        <v>0.712490301475574</v>
      </c>
      <c r="AE216" s="11" t="n">
        <v>0.643332263858247</v>
      </c>
      <c r="AF216" s="12" t="n">
        <f aca="false">(AE216-AD216)*100</f>
        <v>-6.91580376173265</v>
      </c>
      <c r="AG216" s="11" t="n">
        <v>0.0609529976160344</v>
      </c>
      <c r="AH216" s="11" t="n">
        <v>0.0477691287314008</v>
      </c>
      <c r="AI216" s="12" t="n">
        <f aca="false">(AH216-AG216)*100</f>
        <v>-1.31838688846335</v>
      </c>
      <c r="AJ216" s="14" t="s">
        <v>74</v>
      </c>
      <c r="AK216" s="14" t="s">
        <v>74</v>
      </c>
      <c r="AL216" s="14" t="s">
        <v>134</v>
      </c>
      <c r="AM216" s="20" t="n">
        <v>6.89240760906888</v>
      </c>
      <c r="AN216" s="20" t="n">
        <v>7.07102386656932</v>
      </c>
      <c r="AO216" s="12" t="n">
        <v>0.178616257500441</v>
      </c>
    </row>
    <row r="217" customFormat="false" ht="15" hidden="false" customHeight="false" outlineLevel="0" collapsed="false">
      <c r="A217" s="14" t="s">
        <v>102</v>
      </c>
      <c r="B217" s="14" t="n">
        <v>4</v>
      </c>
      <c r="C217" s="11" t="n">
        <v>0.363558514318337</v>
      </c>
      <c r="D217" s="11" t="n">
        <v>0.256454146466202</v>
      </c>
      <c r="E217" s="12" t="n">
        <f aca="false">(D217-C217)*100</f>
        <v>-10.7104367852135</v>
      </c>
      <c r="F217" s="11" t="n">
        <v>0.0420720585602802</v>
      </c>
      <c r="G217" s="11" t="n">
        <v>0.0806853111089077</v>
      </c>
      <c r="H217" s="12" t="n">
        <f aca="false">(G217-F217)*100</f>
        <v>3.86132525486275</v>
      </c>
      <c r="I217" s="11" t="n">
        <v>0.0267885221076669</v>
      </c>
      <c r="J217" s="11" t="n">
        <v>0.0783838932058595</v>
      </c>
      <c r="K217" s="12" t="n">
        <f aca="false">(J217-I217)*100</f>
        <v>5.15953710981926</v>
      </c>
      <c r="L217" s="11" t="n">
        <v>0.169318748095001</v>
      </c>
      <c r="M217" s="11" t="n">
        <v>0.134124130444993</v>
      </c>
      <c r="N217" s="12" t="n">
        <f aca="false">(M217-L217)*100</f>
        <v>-3.51946176500078</v>
      </c>
      <c r="O217" s="11" t="n">
        <v>0.213795338981001</v>
      </c>
      <c r="P217" s="11" t="n">
        <v>0.19491078743979</v>
      </c>
      <c r="Q217" s="12" t="n">
        <f aca="false">(P217-O217)*100</f>
        <v>-1.88845515412108</v>
      </c>
      <c r="R217" s="11" t="n">
        <v>0.0488792557077405</v>
      </c>
      <c r="S217" s="11" t="n">
        <v>0.0342342436371796</v>
      </c>
      <c r="T217" s="12" t="n">
        <f aca="false">(S217-R217)*100</f>
        <v>-1.46450120705608</v>
      </c>
      <c r="U217" s="11" t="n">
        <v>0.0458554474510506</v>
      </c>
      <c r="V217" s="11" t="n">
        <v>0.0528073645372898</v>
      </c>
      <c r="W217" s="12" t="n">
        <f aca="false">(V217-U217)*100</f>
        <v>0.695191708623916</v>
      </c>
      <c r="X217" s="11" t="n">
        <v>0.421731747083839</v>
      </c>
      <c r="Y217" s="11" t="n">
        <v>0.415523350780969</v>
      </c>
      <c r="Z217" s="12" t="n">
        <f aca="false">(Y217-X217)*100</f>
        <v>-0.620839630287062</v>
      </c>
      <c r="AA217" s="11" t="n">
        <v>0.431993342783742</v>
      </c>
      <c r="AB217" s="11" t="n">
        <v>0.363269161521963</v>
      </c>
      <c r="AC217" s="12" t="n">
        <f aca="false">(AB217-AA217)*100</f>
        <v>-6.87241812617795</v>
      </c>
      <c r="AD217" s="11" t="n">
        <v>0.762738571449658</v>
      </c>
      <c r="AE217" s="11" t="n">
        <v>0.664861282666926</v>
      </c>
      <c r="AF217" s="12" t="n">
        <f aca="false">(AE217-AD217)*100</f>
        <v>-9.78772887827325</v>
      </c>
      <c r="AG217" s="11" t="n">
        <v>0.0578732709864388</v>
      </c>
      <c r="AH217" s="11" t="n">
        <v>0.0590331957353317</v>
      </c>
      <c r="AI217" s="12" t="n">
        <f aca="false">(AH217-AG217)*100</f>
        <v>0.115992474889291</v>
      </c>
      <c r="AJ217" s="14" t="s">
        <v>74</v>
      </c>
      <c r="AK217" s="14" t="s">
        <v>74</v>
      </c>
      <c r="AL217" s="14" t="s">
        <v>134</v>
      </c>
      <c r="AM217" s="20" t="n">
        <v>15.7678295830048</v>
      </c>
      <c r="AN217" s="20" t="n">
        <v>5.22541892590061</v>
      </c>
      <c r="AO217" s="12" t="n">
        <v>-10.5424106571041</v>
      </c>
    </row>
    <row r="218" customFormat="false" ht="15" hidden="false" customHeight="false" outlineLevel="0" collapsed="false">
      <c r="A218" s="14" t="s">
        <v>102</v>
      </c>
      <c r="B218" s="14" t="n">
        <v>5</v>
      </c>
      <c r="C218" s="11" t="n">
        <v>0.416753702504543</v>
      </c>
      <c r="D218" s="11" t="n">
        <v>0.279826878021736</v>
      </c>
      <c r="E218" s="12" t="n">
        <f aca="false">(D218-C218)*100</f>
        <v>-13.6926824482808</v>
      </c>
      <c r="F218" s="11" t="n">
        <v>0.0650471037954588</v>
      </c>
      <c r="G218" s="11" t="n">
        <v>0.112386209856745</v>
      </c>
      <c r="H218" s="12" t="n">
        <f aca="false">(G218-F218)*100</f>
        <v>4.73391060612863</v>
      </c>
      <c r="I218" s="11" t="n">
        <v>0.0469262423495499</v>
      </c>
      <c r="J218" s="11" t="n">
        <v>0.0551021503132769</v>
      </c>
      <c r="K218" s="12" t="n">
        <f aca="false">(J218-I218)*100</f>
        <v>0.817590796372701</v>
      </c>
      <c r="L218" s="11" t="n">
        <v>0.150439705052953</v>
      </c>
      <c r="M218" s="11" t="n">
        <v>0.129567254669345</v>
      </c>
      <c r="N218" s="12" t="n">
        <f aca="false">(M218-L218)*100</f>
        <v>-2.08724503836072</v>
      </c>
      <c r="O218" s="11" t="n">
        <v>0.148502287301819</v>
      </c>
      <c r="P218" s="11" t="n">
        <v>0.114770810108321</v>
      </c>
      <c r="Q218" s="12" t="n">
        <f aca="false">(P218-O218)*100</f>
        <v>-3.37314771934989</v>
      </c>
      <c r="R218" s="11" t="n">
        <v>0.0253430952729096</v>
      </c>
      <c r="S218" s="11" t="n">
        <v>0.0511437138956618</v>
      </c>
      <c r="T218" s="12" t="n">
        <f aca="false">(S218-R218)*100</f>
        <v>2.58006186227523</v>
      </c>
      <c r="U218" s="11" t="n">
        <v>0.0369884903807992</v>
      </c>
      <c r="V218" s="11" t="n">
        <v>0.075389136953554</v>
      </c>
      <c r="W218" s="12" t="n">
        <f aca="false">(V218-U218)*100</f>
        <v>3.84006465727548</v>
      </c>
      <c r="X218" s="11" t="n">
        <v>0.502631963737389</v>
      </c>
      <c r="Y218" s="11" t="n">
        <v>0.447315238191758</v>
      </c>
      <c r="Z218" s="12" t="n">
        <f aca="false">(Y218-X218)*100</f>
        <v>-5.53167255456309</v>
      </c>
      <c r="AA218" s="11" t="n">
        <v>0.324285087627682</v>
      </c>
      <c r="AB218" s="11" t="n">
        <v>0.295481778673328</v>
      </c>
      <c r="AC218" s="12" t="n">
        <f aca="false">(AB218-AA218)*100</f>
        <v>-2.8803308954354</v>
      </c>
      <c r="AD218" s="11" t="n">
        <v>0.647544974976329</v>
      </c>
      <c r="AE218" s="11" t="n">
        <v>0.532473510122974</v>
      </c>
      <c r="AF218" s="12" t="n">
        <f aca="false">(AE218-AD218)*100</f>
        <v>-11.5071464853355</v>
      </c>
      <c r="AG218" s="11" t="n">
        <v>0.049291876423036</v>
      </c>
      <c r="AH218" s="11" t="n">
        <v>0.0446576012113769</v>
      </c>
      <c r="AI218" s="12" t="n">
        <f aca="false">(AH218-AG218)*100</f>
        <v>-0.463427521165902</v>
      </c>
      <c r="AJ218" s="14" t="s">
        <v>74</v>
      </c>
      <c r="AK218" s="14" t="s">
        <v>74</v>
      </c>
      <c r="AL218" s="14" t="s">
        <v>134</v>
      </c>
      <c r="AM218" s="20" t="n">
        <v>26.7750088776555</v>
      </c>
      <c r="AN218" s="20" t="n">
        <v>15.183345951843</v>
      </c>
      <c r="AO218" s="12" t="n">
        <v>-11.5916629258125</v>
      </c>
    </row>
    <row r="219" customFormat="false" ht="15" hidden="false" customHeight="false" outlineLevel="0" collapsed="false">
      <c r="A219" s="14" t="s">
        <v>102</v>
      </c>
      <c r="B219" s="14" t="n">
        <v>6</v>
      </c>
      <c r="C219" s="11" t="n">
        <v>0.498554944346556</v>
      </c>
      <c r="D219" s="11" t="n">
        <v>0.43913248838857</v>
      </c>
      <c r="E219" s="12" t="n">
        <f aca="false">(D219-C219)*100</f>
        <v>-5.94224559579859</v>
      </c>
      <c r="F219" s="11" t="n">
        <v>0.0381355021702695</v>
      </c>
      <c r="G219" s="11" t="n">
        <v>0.0224671337479336</v>
      </c>
      <c r="H219" s="12" t="n">
        <f aca="false">(G219-F219)*100</f>
        <v>-1.56683684223359</v>
      </c>
      <c r="I219" s="11" t="n">
        <v>0.0392206368988783</v>
      </c>
      <c r="J219" s="11" t="n">
        <v>0.0262536408722349</v>
      </c>
      <c r="K219" s="12" t="n">
        <f aca="false">(J219-I219)*100</f>
        <v>-1.29669960266434</v>
      </c>
      <c r="L219" s="11" t="n">
        <v>0.173508745541278</v>
      </c>
      <c r="M219" s="11" t="n">
        <v>0.275391639770133</v>
      </c>
      <c r="N219" s="12" t="n">
        <f aca="false">(M219-L219)*100</f>
        <v>10.1882894228855</v>
      </c>
      <c r="O219" s="11" t="n">
        <v>0.140159654475912</v>
      </c>
      <c r="P219" s="11" t="n">
        <v>0.103676296937731</v>
      </c>
      <c r="Q219" s="12" t="n">
        <f aca="false">(P219-O219)*100</f>
        <v>-3.6483357538181</v>
      </c>
      <c r="R219" s="11" t="n">
        <v>0.0142195625080579</v>
      </c>
      <c r="S219" s="11" t="n">
        <v>0.0119656773990396</v>
      </c>
      <c r="T219" s="12" t="n">
        <f aca="false">(S219-R219)*100</f>
        <v>-0.225388510901833</v>
      </c>
      <c r="U219" s="11" t="n">
        <v>0.0202576389187331</v>
      </c>
      <c r="V219" s="11" t="n">
        <v>0.0331968826261513</v>
      </c>
      <c r="W219" s="12" t="n">
        <f aca="false">(V219-U219)*100</f>
        <v>1.29392437074182</v>
      </c>
      <c r="X219" s="11" t="n">
        <v>0.56053655077571</v>
      </c>
      <c r="Y219" s="11" t="n">
        <v>0.487853263008738</v>
      </c>
      <c r="Z219" s="12" t="n">
        <f aca="false">(Y219-X219)*100</f>
        <v>-7.26832877669721</v>
      </c>
      <c r="AA219" s="11" t="n">
        <v>0.327887962525248</v>
      </c>
      <c r="AB219" s="11" t="n">
        <v>0.391033614106904</v>
      </c>
      <c r="AC219" s="12" t="n">
        <f aca="false">(AB219-AA219)*100</f>
        <v>6.31456515816557</v>
      </c>
      <c r="AD219" s="11" t="n">
        <v>0.62259651563749</v>
      </c>
      <c r="AE219" s="11" t="n">
        <v>0.398170727884802</v>
      </c>
      <c r="AF219" s="12" t="n">
        <f aca="false">(AE219-AD219)*100</f>
        <v>-22.4425787752688</v>
      </c>
      <c r="AG219" s="11" t="n">
        <v>0.0360458120245821</v>
      </c>
      <c r="AH219" s="11" t="n">
        <v>0.0362748956939306</v>
      </c>
      <c r="AI219" s="12" t="n">
        <f aca="false">(AH219-AG219)*100</f>
        <v>0.0229083669348505</v>
      </c>
      <c r="AJ219" s="14" t="s">
        <v>74</v>
      </c>
      <c r="AK219" s="14" t="s">
        <v>74</v>
      </c>
      <c r="AL219" s="14" t="s">
        <v>134</v>
      </c>
      <c r="AM219" s="20" t="n">
        <v>35.2550603807641</v>
      </c>
      <c r="AN219" s="20" t="n">
        <v>9.68196489018342</v>
      </c>
      <c r="AO219" s="12" t="n">
        <v>-25.5730954905807</v>
      </c>
    </row>
    <row r="220" customFormat="false" ht="15" hidden="false" customHeight="false" outlineLevel="0" collapsed="false">
      <c r="A220" s="14" t="s">
        <v>102</v>
      </c>
      <c r="B220" s="14" t="n">
        <v>7</v>
      </c>
      <c r="C220" s="11" t="n">
        <v>0.424606691779304</v>
      </c>
      <c r="D220" s="11" t="n">
        <v>0.357482860989528</v>
      </c>
      <c r="E220" s="12" t="n">
        <f aca="false">(D220-C220)*100</f>
        <v>-6.71238307897763</v>
      </c>
      <c r="F220" s="11" t="n">
        <v>0.0493423040509236</v>
      </c>
      <c r="G220" s="11" t="n">
        <v>0.0547152699147697</v>
      </c>
      <c r="H220" s="12" t="n">
        <f aca="false">(G220-F220)*100</f>
        <v>0.537296586384609</v>
      </c>
      <c r="I220" s="11" t="n">
        <v>0.0449459138247084</v>
      </c>
      <c r="J220" s="11" t="n">
        <v>0.0619088660932069</v>
      </c>
      <c r="K220" s="12" t="n">
        <f aca="false">(J220-I220)*100</f>
        <v>1.69629522684985</v>
      </c>
      <c r="L220" s="11" t="n">
        <v>0.19216707290051</v>
      </c>
      <c r="M220" s="11" t="n">
        <v>0.130802899971271</v>
      </c>
      <c r="N220" s="12" t="n">
        <f aca="false">(M220-L220)*100</f>
        <v>-6.13641729292389</v>
      </c>
      <c r="O220" s="11" t="n">
        <v>0.138478738190682</v>
      </c>
      <c r="P220" s="11" t="n">
        <v>0.137568372962894</v>
      </c>
      <c r="Q220" s="12" t="n">
        <f aca="false">(P220-O220)*100</f>
        <v>-0.0910365227787396</v>
      </c>
      <c r="R220" s="11" t="n">
        <v>0.0240064057369619</v>
      </c>
      <c r="S220" s="11" t="n">
        <v>0.0272027219621562</v>
      </c>
      <c r="T220" s="12" t="n">
        <f aca="false">(S220-R220)*100</f>
        <v>0.319631622519425</v>
      </c>
      <c r="U220" s="11" t="n">
        <v>0.0389329814878231</v>
      </c>
      <c r="V220" s="11" t="n">
        <v>0.0587261081912359</v>
      </c>
      <c r="W220" s="12" t="n">
        <f aca="false">(V220-U220)*100</f>
        <v>1.97931267034128</v>
      </c>
      <c r="X220" s="11" t="n">
        <v>0.496107205446891</v>
      </c>
      <c r="Y220" s="11" t="n">
        <v>0.474106996997505</v>
      </c>
      <c r="Z220" s="12" t="n">
        <f aca="false">(Y220-X220)*100</f>
        <v>-2.20002084493863</v>
      </c>
      <c r="AA220" s="11" t="n">
        <v>0.354652216828153</v>
      </c>
      <c r="AB220" s="11" t="n">
        <v>0.295573994896321</v>
      </c>
      <c r="AC220" s="12" t="n">
        <f aca="false">(AB220-AA220)*100</f>
        <v>-5.9078221931832</v>
      </c>
      <c r="AD220" s="11" t="n">
        <v>0.685636547578354</v>
      </c>
      <c r="AE220" s="11" t="n">
        <v>0.575532594352928</v>
      </c>
      <c r="AF220" s="12" t="n">
        <f aca="false">(AE220-AD220)*100</f>
        <v>-11.0103953225426</v>
      </c>
      <c r="AG220" s="11" t="n">
        <v>0.0456811635074432</v>
      </c>
      <c r="AH220" s="11" t="n">
        <v>0.048434252108225</v>
      </c>
      <c r="AI220" s="12" t="n">
        <f aca="false">(AH220-AG220)*100</f>
        <v>0.275308860078189</v>
      </c>
      <c r="AJ220" s="14" t="s">
        <v>74</v>
      </c>
      <c r="AK220" s="14" t="s">
        <v>74</v>
      </c>
      <c r="AL220" s="14" t="s">
        <v>134</v>
      </c>
      <c r="AM220" s="20" t="n">
        <v>24.1000745321596</v>
      </c>
      <c r="AN220" s="20" t="n">
        <v>17.8533002101184</v>
      </c>
      <c r="AO220" s="12" t="n">
        <v>-6.24677432204127</v>
      </c>
    </row>
    <row r="221" customFormat="false" ht="15" hidden="false" customHeight="false" outlineLevel="0" collapsed="false">
      <c r="A221" s="14" t="s">
        <v>102</v>
      </c>
      <c r="B221" s="14" t="n">
        <v>8</v>
      </c>
      <c r="C221" s="11" t="n">
        <v>0.264989633034398</v>
      </c>
      <c r="D221" s="11" t="n">
        <v>0.259223032386824</v>
      </c>
      <c r="E221" s="12" t="n">
        <f aca="false">(D221-C221)*100</f>
        <v>-0.576660064757434</v>
      </c>
      <c r="F221" s="11" t="n">
        <v>0.0418725487746996</v>
      </c>
      <c r="G221" s="11" t="n">
        <v>0.0636325014326081</v>
      </c>
      <c r="H221" s="12" t="n">
        <f aca="false">(G221-F221)*100</f>
        <v>2.17599526579085</v>
      </c>
      <c r="I221" s="11" t="n">
        <v>0.0389098448702256</v>
      </c>
      <c r="J221" s="11" t="n">
        <v>0.0803100361610054</v>
      </c>
      <c r="K221" s="12" t="n">
        <f aca="false">(J221-I221)*100</f>
        <v>4.14001912907798</v>
      </c>
      <c r="L221" s="11" t="n">
        <v>0.207334315905174</v>
      </c>
      <c r="M221" s="11" t="n">
        <v>0.160407651115458</v>
      </c>
      <c r="N221" s="12" t="n">
        <f aca="false">(M221-L221)*100</f>
        <v>-4.69266647897152</v>
      </c>
      <c r="O221" s="11" t="n">
        <v>0.19906072793585</v>
      </c>
      <c r="P221" s="11" t="n">
        <v>0.188516410773213</v>
      </c>
      <c r="Q221" s="12" t="n">
        <f aca="false">(P221-O221)*100</f>
        <v>-1.05443171626365</v>
      </c>
      <c r="R221" s="11" t="n">
        <v>0.0281481851565037</v>
      </c>
      <c r="S221" s="11" t="n">
        <v>0.0144150018772107</v>
      </c>
      <c r="T221" s="12" t="n">
        <f aca="false">(S221-R221)*100</f>
        <v>-1.3733183279293</v>
      </c>
      <c r="U221" s="11" t="n">
        <v>0.0797931603007669</v>
      </c>
      <c r="V221" s="11" t="n">
        <v>0.117538087616338</v>
      </c>
      <c r="W221" s="12" t="n">
        <f aca="false">(V221-U221)*100</f>
        <v>3.77449273155708</v>
      </c>
      <c r="X221" s="11" t="n">
        <v>0.32025180485124</v>
      </c>
      <c r="Y221" s="11" t="n">
        <v>0.403165569980438</v>
      </c>
      <c r="Z221" s="12" t="n">
        <f aca="false">(Y221-X221)*100</f>
        <v>8.29137651291972</v>
      </c>
      <c r="AA221" s="11" t="n">
        <v>0.434543228997527</v>
      </c>
      <c r="AB221" s="11" t="n">
        <v>0.363339063765882</v>
      </c>
      <c r="AC221" s="12" t="n">
        <f aca="false">(AB221-AA221)*100</f>
        <v>-7.12041652316447</v>
      </c>
      <c r="AD221" s="11" t="n">
        <v>0.738625670244997</v>
      </c>
      <c r="AE221" s="11" t="n">
        <v>0.69594215952886</v>
      </c>
      <c r="AF221" s="12" t="n">
        <f aca="false">(AE221-AD221)*100</f>
        <v>-4.26835107161369</v>
      </c>
      <c r="AG221" s="11" t="n">
        <v>0.0598536134495766</v>
      </c>
      <c r="AH221" s="11" t="n">
        <v>0.0461250419902385</v>
      </c>
      <c r="AI221" s="12" t="n">
        <f aca="false">(AH221-AG221)*100</f>
        <v>-1.37285714593381</v>
      </c>
      <c r="AJ221" s="14" t="s">
        <v>74</v>
      </c>
      <c r="AK221" s="14" t="s">
        <v>74</v>
      </c>
      <c r="AL221" s="14" t="s">
        <v>134</v>
      </c>
      <c r="AM221" s="20" t="n">
        <v>0.497614348879618</v>
      </c>
      <c r="AN221" s="20" t="n">
        <v>3.98265062145553</v>
      </c>
      <c r="AO221" s="12" t="n">
        <v>3.48503627257591</v>
      </c>
    </row>
    <row r="222" customFormat="false" ht="15" hidden="false" customHeight="false" outlineLevel="0" collapsed="false">
      <c r="A222" s="14" t="s">
        <v>102</v>
      </c>
      <c r="B222" s="14" t="n">
        <v>9</v>
      </c>
      <c r="C222" s="11" t="n">
        <v>0.468000766272233</v>
      </c>
      <c r="D222" s="11" t="n">
        <v>0.370287963165408</v>
      </c>
      <c r="E222" s="12" t="n">
        <f aca="false">(D222-C222)*100</f>
        <v>-9.77128031068246</v>
      </c>
      <c r="F222" s="11" t="n">
        <v>0.0338289542840021</v>
      </c>
      <c r="G222" s="11" t="n">
        <v>0.020397926768099</v>
      </c>
      <c r="H222" s="12" t="n">
        <f aca="false">(G222-F222)*100</f>
        <v>-1.34310275159031</v>
      </c>
      <c r="I222" s="11" t="n">
        <v>0.0381220435891013</v>
      </c>
      <c r="J222" s="11" t="n">
        <v>0.0316386505986907</v>
      </c>
      <c r="K222" s="12" t="n">
        <f aca="false">(J222-I222)*100</f>
        <v>-0.648339299041052</v>
      </c>
      <c r="L222" s="11" t="n">
        <v>0.274846131553224</v>
      </c>
      <c r="M222" s="11" t="n">
        <v>0.391515439918717</v>
      </c>
      <c r="N222" s="12" t="n">
        <f aca="false">(M222-L222)*100</f>
        <v>11.6669308365493</v>
      </c>
      <c r="O222" s="11" t="n">
        <v>0.078646055908401</v>
      </c>
      <c r="P222" s="11" t="n">
        <v>0.0776818900878423</v>
      </c>
      <c r="Q222" s="12" t="n">
        <f aca="false">(P222-O222)*100</f>
        <v>-0.0964165820558735</v>
      </c>
      <c r="R222" s="11" t="n">
        <v>0.0147261804767589</v>
      </c>
      <c r="S222" s="11" t="n">
        <v>0.0120123982354379</v>
      </c>
      <c r="T222" s="12" t="n">
        <f aca="false">(S222-R222)*100</f>
        <v>-0.271378224132101</v>
      </c>
      <c r="U222" s="11" t="n">
        <v>0.0216963105956784</v>
      </c>
      <c r="V222" s="11" t="n">
        <v>0.0244106336732988</v>
      </c>
      <c r="W222" s="12" t="n">
        <f aca="false">(V222-U222)*100</f>
        <v>0.271432307762036</v>
      </c>
      <c r="X222" s="11" t="n">
        <v>0.523678303198204</v>
      </c>
      <c r="Y222" s="11" t="n">
        <v>0.422324540532198</v>
      </c>
      <c r="Z222" s="12" t="n">
        <f aca="false">(Y222-X222)*100</f>
        <v>-10.1353762666006</v>
      </c>
      <c r="AA222" s="11" t="n">
        <v>0.368218367938384</v>
      </c>
      <c r="AB222" s="11" t="n">
        <v>0.481209728241997</v>
      </c>
      <c r="AC222" s="12" t="n">
        <f aca="false">(AB222-AA222)*100</f>
        <v>11.2991360303613</v>
      </c>
      <c r="AD222" s="11" t="n">
        <v>0.644611063792061</v>
      </c>
      <c r="AE222" s="11" t="n">
        <v>0.458683231719008</v>
      </c>
      <c r="AF222" s="12" t="n">
        <f aca="false">(AE222-AD222)*100</f>
        <v>-18.5927832073053</v>
      </c>
      <c r="AG222" s="11" t="n">
        <v>0.0334949381824612</v>
      </c>
      <c r="AH222" s="11" t="n">
        <v>0.032011626561033</v>
      </c>
      <c r="AI222" s="12" t="n">
        <f aca="false">(AH222-AG222)*100</f>
        <v>-0.148331162142819</v>
      </c>
      <c r="AJ222" s="14" t="s">
        <v>74</v>
      </c>
      <c r="AK222" s="14" t="s">
        <v>132</v>
      </c>
      <c r="AL222" s="14" t="s">
        <v>133</v>
      </c>
      <c r="AM222" s="20" t="n">
        <v>21.2409680572543</v>
      </c>
      <c r="AN222" s="20" t="n">
        <v>5.8885187709799</v>
      </c>
      <c r="AO222" s="12" t="n">
        <v>-15.3524492862744</v>
      </c>
    </row>
    <row r="223" customFormat="false" ht="15" hidden="false" customHeight="false" outlineLevel="0" collapsed="false">
      <c r="A223" s="14" t="s">
        <v>102</v>
      </c>
      <c r="B223" s="14" t="n">
        <v>10</v>
      </c>
      <c r="C223" s="11" t="n">
        <v>0.438287347626576</v>
      </c>
      <c r="D223" s="11" t="n">
        <v>0.319556467649819</v>
      </c>
      <c r="E223" s="12" t="n">
        <f aca="false">(D223-C223)*100</f>
        <v>-11.8730879976756</v>
      </c>
      <c r="F223" s="11" t="n">
        <v>0.0354688639544839</v>
      </c>
      <c r="G223" s="11" t="n">
        <v>0.0253583416853593</v>
      </c>
      <c r="H223" s="12" t="n">
        <f aca="false">(G223-F223)*100</f>
        <v>-1.01105222691246</v>
      </c>
      <c r="I223" s="11" t="n">
        <v>0.0489995787223055</v>
      </c>
      <c r="J223" s="11" t="n">
        <v>0.0296059434607614</v>
      </c>
      <c r="K223" s="12" t="n">
        <f aca="false">(J223-I223)*100</f>
        <v>-1.93936352615441</v>
      </c>
      <c r="L223" s="11" t="n">
        <v>0.24722658851135</v>
      </c>
      <c r="M223" s="11" t="n">
        <v>0.33919300869141</v>
      </c>
      <c r="N223" s="12" t="n">
        <f aca="false">(M223-L223)*100</f>
        <v>9.19664201800603</v>
      </c>
      <c r="O223" s="11" t="n">
        <v>0.086357397500419</v>
      </c>
      <c r="P223" s="11" t="n">
        <v>0.0724319508741787</v>
      </c>
      <c r="Q223" s="12" t="n">
        <f aca="false">(P223-O223)*100</f>
        <v>-1.39254466262403</v>
      </c>
      <c r="R223" s="11" t="n">
        <v>0.0218973803775192</v>
      </c>
      <c r="S223" s="11" t="n">
        <v>0.0198539588603064</v>
      </c>
      <c r="T223" s="12" t="n">
        <f aca="false">(S223-R223)*100</f>
        <v>-0.204342151721277</v>
      </c>
      <c r="U223" s="11" t="n">
        <v>0.0268711750929755</v>
      </c>
      <c r="V223" s="11" t="n">
        <v>0.0409912131383997</v>
      </c>
      <c r="W223" s="12" t="n">
        <f aca="false">(V223-U223)*100</f>
        <v>1.41200380454242</v>
      </c>
      <c r="X223" s="11" t="n">
        <v>0.500133631096636</v>
      </c>
      <c r="Y223" s="11" t="n">
        <v>0.37452075279594</v>
      </c>
      <c r="Z223" s="12" t="n">
        <f aca="false">(Y223-X223)*100</f>
        <v>-12.5612878300696</v>
      </c>
      <c r="AA223" s="11" t="n">
        <v>0.355481366389288</v>
      </c>
      <c r="AB223" s="11" t="n">
        <v>0.431478918425895</v>
      </c>
      <c r="AC223" s="12" t="n">
        <f aca="false">(AB223-AA223)*100</f>
        <v>7.59975520366072</v>
      </c>
      <c r="AD223" s="11" t="n">
        <v>0.672021357881503</v>
      </c>
      <c r="AE223" s="11" t="n">
        <v>0.526970722451523</v>
      </c>
      <c r="AF223" s="12" t="n">
        <f aca="false">(AE223-AD223)*100</f>
        <v>-14.505063542998</v>
      </c>
      <c r="AG223" s="11" t="n">
        <v>0.0418740968576308</v>
      </c>
      <c r="AH223" s="11" t="n">
        <v>0.038233718852246</v>
      </c>
      <c r="AI223" s="12" t="n">
        <f aca="false">(AH223-AG223)*100</f>
        <v>-0.364037800538476</v>
      </c>
      <c r="AJ223" s="14" t="s">
        <v>74</v>
      </c>
      <c r="AK223" s="14" t="s">
        <v>132</v>
      </c>
      <c r="AL223" s="14" t="s">
        <v>133</v>
      </c>
      <c r="AM223" s="20" t="n">
        <v>20.4138487114791</v>
      </c>
      <c r="AN223" s="20" t="n">
        <v>5.69581656299549</v>
      </c>
      <c r="AO223" s="12" t="n">
        <v>-14.7180321484837</v>
      </c>
    </row>
    <row r="224" customFormat="false" ht="15" hidden="false" customHeight="false" outlineLevel="0" collapsed="false">
      <c r="A224" s="14" t="s">
        <v>102</v>
      </c>
      <c r="B224" s="14" t="n">
        <v>11</v>
      </c>
      <c r="C224" s="11" t="n">
        <v>0.486135788510203</v>
      </c>
      <c r="D224" s="11" t="n">
        <v>0.36941285278689</v>
      </c>
      <c r="E224" s="12" t="n">
        <f aca="false">(D224-C224)*100</f>
        <v>-11.6722935723313</v>
      </c>
      <c r="F224" s="11" t="n">
        <v>0.0436924567921176</v>
      </c>
      <c r="G224" s="11" t="n">
        <v>0.0289093773031402</v>
      </c>
      <c r="H224" s="12" t="n">
        <f aca="false">(G224-F224)*100</f>
        <v>-1.47830794889774</v>
      </c>
      <c r="I224" s="11" t="n">
        <v>0.0370484035966188</v>
      </c>
      <c r="J224" s="11" t="n">
        <v>0.0261781239613289</v>
      </c>
      <c r="K224" s="12" t="n">
        <f aca="false">(J224-I224)*100</f>
        <v>-1.08702796352898</v>
      </c>
      <c r="L224" s="11" t="n">
        <v>0.195999569267216</v>
      </c>
      <c r="M224" s="11" t="n">
        <v>0.312547869188861</v>
      </c>
      <c r="N224" s="12" t="n">
        <f aca="false">(M224-L224)*100</f>
        <v>11.6548299921645</v>
      </c>
      <c r="O224" s="11" t="n">
        <v>0.113686534216336</v>
      </c>
      <c r="P224" s="11" t="n">
        <v>0.119951155363517</v>
      </c>
      <c r="Q224" s="12" t="n">
        <f aca="false">(P224-O224)*100</f>
        <v>0.626462114718131</v>
      </c>
      <c r="R224" s="11" t="n">
        <v>0.0151348732030367</v>
      </c>
      <c r="S224" s="11" t="n">
        <v>0.0155782598014422</v>
      </c>
      <c r="T224" s="12" t="n">
        <f aca="false">(S224-R224)*100</f>
        <v>0.0443386598405551</v>
      </c>
      <c r="U224" s="11" t="n">
        <v>0.0274753674689065</v>
      </c>
      <c r="V224" s="11" t="n">
        <v>0.0295669012557985</v>
      </c>
      <c r="W224" s="12" t="n">
        <f aca="false">(V224-U224)*100</f>
        <v>0.209153378689201</v>
      </c>
      <c r="X224" s="11" t="n">
        <v>0.554213105044958</v>
      </c>
      <c r="Y224" s="11" t="n">
        <v>0.424500354051359</v>
      </c>
      <c r="Z224" s="12" t="n">
        <f aca="false">(Y224-X224)*100</f>
        <v>-12.9712750993599</v>
      </c>
      <c r="AA224" s="11" t="n">
        <v>0.324820976686588</v>
      </c>
      <c r="AB224" s="11" t="n">
        <v>0.44807728435382</v>
      </c>
      <c r="AC224" s="12" t="n">
        <f aca="false">(AB224-AA224)*100</f>
        <v>12.3256307667232</v>
      </c>
      <c r="AD224" s="11" t="n">
        <v>0.603974466120132</v>
      </c>
      <c r="AE224" s="11" t="n">
        <v>0.413469007301538</v>
      </c>
      <c r="AF224" s="12" t="n">
        <f aca="false">(AE224-AD224)*100</f>
        <v>-19.0505458818594</v>
      </c>
      <c r="AG224" s="11" t="n">
        <v>0.0378129542884833</v>
      </c>
      <c r="AH224" s="11" t="n">
        <v>0.0408893192098152</v>
      </c>
      <c r="AI224" s="12" t="n">
        <f aca="false">(AH224-AG224)*100</f>
        <v>0.307636492133189</v>
      </c>
      <c r="AJ224" s="14" t="s">
        <v>74</v>
      </c>
      <c r="AK224" s="14" t="s">
        <v>132</v>
      </c>
      <c r="AL224" s="14" t="s">
        <v>133</v>
      </c>
      <c r="AM224" s="20" t="n">
        <v>31.5603295105799</v>
      </c>
      <c r="AN224" s="20" t="n">
        <v>2.3576930302461</v>
      </c>
      <c r="AO224" s="12" t="n">
        <v>-29.2026364803338</v>
      </c>
    </row>
    <row r="225" customFormat="false" ht="15" hidden="false" customHeight="false" outlineLevel="0" collapsed="false">
      <c r="A225" s="14" t="s">
        <v>102</v>
      </c>
      <c r="B225" s="14" t="n">
        <v>12</v>
      </c>
      <c r="C225" s="11" t="n">
        <v>0.456887006588053</v>
      </c>
      <c r="D225" s="11" t="n">
        <v>0.34093892496891</v>
      </c>
      <c r="E225" s="12" t="n">
        <f aca="false">(D225-C225)*100</f>
        <v>-11.5948081619143</v>
      </c>
      <c r="F225" s="11" t="n">
        <v>0.0305873885843991</v>
      </c>
      <c r="G225" s="11" t="n">
        <v>0.0173068951222882</v>
      </c>
      <c r="H225" s="12" t="n">
        <f aca="false">(G225-F225)*100</f>
        <v>-1.32804934621108</v>
      </c>
      <c r="I225" s="11" t="n">
        <v>0.0416874273376516</v>
      </c>
      <c r="J225" s="11" t="n">
        <v>0.0213083229699231</v>
      </c>
      <c r="K225" s="12" t="n">
        <f aca="false">(J225-I225)*100</f>
        <v>-2.03791043677285</v>
      </c>
      <c r="L225" s="11" t="n">
        <v>0.242742992120172</v>
      </c>
      <c r="M225" s="11" t="n">
        <v>0.418727833816959</v>
      </c>
      <c r="N225" s="12" t="n">
        <f aca="false">(M225-L225)*100</f>
        <v>17.5984841696787</v>
      </c>
      <c r="O225" s="11" t="n">
        <v>0.113694661278119</v>
      </c>
      <c r="P225" s="11" t="n">
        <v>0.0913131592280411</v>
      </c>
      <c r="Q225" s="12" t="n">
        <f aca="false">(P225-O225)*100</f>
        <v>-2.23815020500781</v>
      </c>
      <c r="R225" s="11" t="n">
        <v>0.0185600398604883</v>
      </c>
      <c r="S225" s="11" t="n">
        <v>0.0121136750955737</v>
      </c>
      <c r="T225" s="12" t="n">
        <f aca="false">(S225-R225)*100</f>
        <v>-0.644636476491462</v>
      </c>
      <c r="U225" s="11" t="n">
        <v>0.0206637878536234</v>
      </c>
      <c r="V225" s="11" t="n">
        <v>0.0277221224264198</v>
      </c>
      <c r="W225" s="12" t="n">
        <f aca="false">(V225-U225)*100</f>
        <v>0.705833457279636</v>
      </c>
      <c r="X225" s="11" t="n">
        <v>0.50994205466054</v>
      </c>
      <c r="Y225" s="11" t="n">
        <v>0.379554143061121</v>
      </c>
      <c r="Z225" s="12" t="n">
        <f aca="false">(Y225-X225)*100</f>
        <v>-13.0387911599419</v>
      </c>
      <c r="AA225" s="11" t="n">
        <v>0.37499769325878</v>
      </c>
      <c r="AB225" s="11" t="n">
        <v>0.522154668140574</v>
      </c>
      <c r="AC225" s="12" t="n">
        <f aca="false">(AB225-AA225)*100</f>
        <v>14.7156974881794</v>
      </c>
      <c r="AD225" s="11" t="n">
        <v>0.670815757466971</v>
      </c>
      <c r="AE225" s="11" t="n">
        <v>0.515140909818902</v>
      </c>
      <c r="AF225" s="12" t="n">
        <f aca="false">(AE225-AD225)*100</f>
        <v>-15.5674847648069</v>
      </c>
      <c r="AG225" s="11" t="n">
        <v>0.03568990016424</v>
      </c>
      <c r="AH225" s="11" t="n">
        <v>0.0311132605591636</v>
      </c>
      <c r="AI225" s="12" t="n">
        <f aca="false">(AH225-AG225)*100</f>
        <v>-0.457663960507641</v>
      </c>
      <c r="AJ225" s="14" t="s">
        <v>74</v>
      </c>
      <c r="AK225" s="14" t="s">
        <v>132</v>
      </c>
      <c r="AL225" s="14" t="s">
        <v>133</v>
      </c>
      <c r="AM225" s="20" t="n">
        <v>22.7975234826256</v>
      </c>
      <c r="AN225" s="20" t="n">
        <v>14.2600525079453</v>
      </c>
      <c r="AO225" s="12" t="n">
        <v>-8.53747097468034</v>
      </c>
    </row>
    <row r="226" customFormat="false" ht="15" hidden="false" customHeight="false" outlineLevel="0" collapsed="false">
      <c r="A226" s="14" t="s">
        <v>102</v>
      </c>
      <c r="B226" s="14" t="n">
        <v>13</v>
      </c>
      <c r="C226" s="11" t="n">
        <v>0.381897561187168</v>
      </c>
      <c r="D226" s="11" t="n">
        <v>0.384779642591709</v>
      </c>
      <c r="E226" s="12" t="n">
        <f aca="false">(D226-C226)*100</f>
        <v>0.288208140454094</v>
      </c>
      <c r="F226" s="11" t="n">
        <v>0.0318428674000935</v>
      </c>
      <c r="G226" s="11" t="n">
        <v>0.0426571564853742</v>
      </c>
      <c r="H226" s="12" t="n">
        <f aca="false">(G226-F226)*100</f>
        <v>1.08142890852807</v>
      </c>
      <c r="I226" s="11" t="n">
        <v>0.0498508570299587</v>
      </c>
      <c r="J226" s="11" t="n">
        <v>0.0363287446338839</v>
      </c>
      <c r="K226" s="12" t="n">
        <f aca="false">(J226-I226)*100</f>
        <v>-1.35221123960748</v>
      </c>
      <c r="L226" s="11" t="n">
        <v>0.191539087987124</v>
      </c>
      <c r="M226" s="11" t="n">
        <v>0.123262598586784</v>
      </c>
      <c r="N226" s="12" t="n">
        <f aca="false">(M226-L226)*100</f>
        <v>-6.827648940034</v>
      </c>
      <c r="O226" s="11" t="n">
        <v>0.187433439829606</v>
      </c>
      <c r="P226" s="11" t="n">
        <v>0.17990770834951</v>
      </c>
      <c r="Q226" s="12" t="n">
        <f aca="false">(P226-O226)*100</f>
        <v>-0.752573148009569</v>
      </c>
      <c r="R226" s="11" t="n">
        <v>0.0279444291847975</v>
      </c>
      <c r="S226" s="11" t="n">
        <v>0.0335278261544776</v>
      </c>
      <c r="T226" s="12" t="n">
        <f aca="false">(S226-R226)*100</f>
        <v>0.558339696968005</v>
      </c>
      <c r="U226" s="11" t="n">
        <v>0.0349413788616946</v>
      </c>
      <c r="V226" s="11" t="n">
        <v>0.0425850536334291</v>
      </c>
      <c r="W226" s="12" t="n">
        <f aca="false">(V226-U226)*100</f>
        <v>0.764367477173451</v>
      </c>
      <c r="X226" s="11" t="n">
        <v>0.433420554262501</v>
      </c>
      <c r="Y226" s="11" t="n">
        <v>0.463765543710967</v>
      </c>
      <c r="Z226" s="12" t="n">
        <f aca="false">(Y226-X226)*100</f>
        <v>3.03449894484661</v>
      </c>
      <c r="AA226" s="11" t="n">
        <v>0.406916957001528</v>
      </c>
      <c r="AB226" s="11" t="n">
        <v>0.336698133090772</v>
      </c>
      <c r="AC226" s="12" t="n">
        <f aca="false">(AB226-AA226)*100</f>
        <v>-7.02188239107556</v>
      </c>
      <c r="AD226" s="11" t="n">
        <v>0.673535559421494</v>
      </c>
      <c r="AE226" s="11" t="n">
        <v>0.555658970154958</v>
      </c>
      <c r="AF226" s="12" t="n">
        <f aca="false">(AE226-AD226)*100</f>
        <v>-11.7876589266536</v>
      </c>
      <c r="AG226" s="11" t="n">
        <v>0.0495906398932146</v>
      </c>
      <c r="AH226" s="11" t="n">
        <v>0.0470665232004792</v>
      </c>
      <c r="AI226" s="12" t="n">
        <f aca="false">(AH226-AG226)*100</f>
        <v>-0.252411669273539</v>
      </c>
      <c r="AJ226" s="14" t="s">
        <v>74</v>
      </c>
      <c r="AK226" s="14" t="s">
        <v>74</v>
      </c>
      <c r="AL226" s="14" t="s">
        <v>134</v>
      </c>
      <c r="AM226" s="20" t="n">
        <v>17.1184325290696</v>
      </c>
      <c r="AN226" s="20" t="n">
        <v>12.7067410620195</v>
      </c>
      <c r="AO226" s="12" t="n">
        <v>-4.41169146705008</v>
      </c>
    </row>
    <row r="227" customFormat="false" ht="15" hidden="false" customHeight="false" outlineLevel="0" collapsed="false">
      <c r="A227" s="14" t="s">
        <v>102</v>
      </c>
      <c r="B227" s="14" t="n">
        <v>14</v>
      </c>
      <c r="C227" s="11" t="n">
        <v>0.404129968241528</v>
      </c>
      <c r="D227" s="11" t="n">
        <v>0.369248849769954</v>
      </c>
      <c r="E227" s="12" t="n">
        <f aca="false">(D227-C227)*100</f>
        <v>-3.48811184715744</v>
      </c>
      <c r="F227" s="11" t="n">
        <v>0.0390761337592097</v>
      </c>
      <c r="G227" s="11" t="n">
        <v>0.063492698539708</v>
      </c>
      <c r="H227" s="12" t="n">
        <f aca="false">(G227-F227)*100</f>
        <v>2.44165647804982</v>
      </c>
      <c r="I227" s="11" t="n">
        <v>0.0289608099549367</v>
      </c>
      <c r="J227" s="11" t="n">
        <v>0.0458141628325665</v>
      </c>
      <c r="K227" s="12" t="n">
        <f aca="false">(J227-I227)*100</f>
        <v>1.68533528776298</v>
      </c>
      <c r="L227" s="11" t="n">
        <v>0.151643284472978</v>
      </c>
      <c r="M227" s="11" t="n">
        <v>0.0891578315663133</v>
      </c>
      <c r="N227" s="12" t="n">
        <f aca="false">(M227-L227)*100</f>
        <v>-6.24854529066647</v>
      </c>
      <c r="O227" s="11" t="n">
        <v>0.21556119543079</v>
      </c>
      <c r="P227" s="11" t="n">
        <v>0.211137227445489</v>
      </c>
      <c r="Q227" s="12" t="n">
        <f aca="false">(P227-O227)*100</f>
        <v>-0.44239679853007</v>
      </c>
      <c r="R227" s="11" t="n">
        <v>0.0303277456041628</v>
      </c>
      <c r="S227" s="11" t="n">
        <v>0.0610272054410882</v>
      </c>
      <c r="T227" s="12" t="n">
        <f aca="false">(S227-R227)*100</f>
        <v>3.06994598369254</v>
      </c>
      <c r="U227" s="11" t="n">
        <v>0.0387799643685441</v>
      </c>
      <c r="V227" s="11" t="n">
        <v>0.0317063412682537</v>
      </c>
      <c r="W227" s="12" t="n">
        <f aca="false">(V227-U227)*100</f>
        <v>-0.707362310029043</v>
      </c>
      <c r="X227" s="11" t="n">
        <v>0.458903079706018</v>
      </c>
      <c r="Y227" s="11" t="n">
        <v>0.478555711142228</v>
      </c>
      <c r="Z227" s="12" t="n">
        <f aca="false">(Y227-X227)*100</f>
        <v>1.96526314362107</v>
      </c>
      <c r="AA227" s="11" t="n">
        <v>0.397532225507931</v>
      </c>
      <c r="AB227" s="11" t="n">
        <v>0.361322264452891</v>
      </c>
      <c r="AC227" s="12" t="n">
        <f aca="false">(AB227-AA227)*100</f>
        <v>-3.62099610550399</v>
      </c>
      <c r="AD227" s="11" t="n">
        <v>0.714549900209349</v>
      </c>
      <c r="AE227" s="11" t="n">
        <v>0.634135357898309</v>
      </c>
      <c r="AF227" s="12" t="n">
        <f aca="false">(AE227-AD227)*100</f>
        <v>-8.04145423110399</v>
      </c>
      <c r="AG227" s="11" t="n">
        <v>0.0528912967207214</v>
      </c>
      <c r="AH227" s="11" t="n">
        <v>0.04375375075015</v>
      </c>
      <c r="AI227" s="12" t="n">
        <f aca="false">(AH227-AG227)*100</f>
        <v>-0.913754597057135</v>
      </c>
      <c r="AJ227" s="14" t="s">
        <v>74</v>
      </c>
      <c r="AK227" s="14" t="s">
        <v>74</v>
      </c>
      <c r="AL227" s="14" t="s">
        <v>134</v>
      </c>
      <c r="AM227" s="20" t="n">
        <v>19.1976999029476</v>
      </c>
      <c r="AN227" s="20" t="n">
        <v>11.7233446689338</v>
      </c>
      <c r="AO227" s="12" t="n">
        <v>-7.47435523401378</v>
      </c>
    </row>
    <row r="228" customFormat="false" ht="15" hidden="false" customHeight="false" outlineLevel="0" collapsed="false">
      <c r="A228" s="14" t="s">
        <v>102</v>
      </c>
      <c r="B228" s="14" t="n">
        <v>15</v>
      </c>
      <c r="C228" s="11" t="n">
        <v>0.487977362056313</v>
      </c>
      <c r="D228" s="11" t="n">
        <v>0.404903203141663</v>
      </c>
      <c r="E228" s="12" t="n">
        <f aca="false">(D228-C228)*100</f>
        <v>-8.307415891465</v>
      </c>
      <c r="F228" s="11" t="n">
        <v>0.0446526402557324</v>
      </c>
      <c r="G228" s="11" t="n">
        <v>0.0769168036334893</v>
      </c>
      <c r="H228" s="12" t="n">
        <f aca="false">(G228-F228)*100</f>
        <v>3.2264163377757</v>
      </c>
      <c r="I228" s="11" t="n">
        <v>0.0603443942942732</v>
      </c>
      <c r="J228" s="11" t="n">
        <v>0.0578710964455541</v>
      </c>
      <c r="K228" s="12" t="n">
        <f aca="false">(J228-I228)*100</f>
        <v>-0.247329784871904</v>
      </c>
      <c r="L228" s="11" t="n">
        <v>0.14727228862373</v>
      </c>
      <c r="M228" s="11" t="n">
        <v>0.115234056434513</v>
      </c>
      <c r="N228" s="12" t="n">
        <f aca="false">(M228-L228)*100</f>
        <v>-3.20382321892165</v>
      </c>
      <c r="O228" s="11" t="n">
        <v>0.149096794298294</v>
      </c>
      <c r="P228" s="11" t="n">
        <v>0.134028832038945</v>
      </c>
      <c r="Q228" s="12" t="n">
        <f aca="false">(P228-O228)*100</f>
        <v>-1.50679622593495</v>
      </c>
      <c r="R228" s="11" t="n">
        <v>0.0131887131957499</v>
      </c>
      <c r="S228" s="11" t="n">
        <v>0.00876378555386874</v>
      </c>
      <c r="T228" s="12" t="n">
        <f aca="false">(S228-R228)*100</f>
        <v>-0.442492764188112</v>
      </c>
      <c r="U228" s="11" t="n">
        <v>0.0144452598035766</v>
      </c>
      <c r="V228" s="11" t="n">
        <v>0.0400486807271997</v>
      </c>
      <c r="W228" s="12" t="n">
        <f aca="false">(V228-U228)*100</f>
        <v>2.56034209236231</v>
      </c>
      <c r="X228" s="11" t="n">
        <v>0.549231496094653</v>
      </c>
      <c r="Y228" s="11" t="n">
        <v>0.539691103220707</v>
      </c>
      <c r="Z228" s="12" t="n">
        <f aca="false">(Y228-X228)*100</f>
        <v>-0.954039287394626</v>
      </c>
      <c r="AA228" s="11" t="n">
        <v>0.309557796117774</v>
      </c>
      <c r="AB228" s="11" t="n">
        <v>0.258026674027326</v>
      </c>
      <c r="AC228" s="12" t="n">
        <f aca="false">(AB228-AA228)*100</f>
        <v>-5.15311220904473</v>
      </c>
      <c r="AD228" s="11" t="n">
        <v>0.673037630407426</v>
      </c>
      <c r="AE228" s="11" t="n">
        <v>0.503283533081596</v>
      </c>
      <c r="AF228" s="12" t="n">
        <f aca="false">(AE228-AD228)*100</f>
        <v>-16.975409732583</v>
      </c>
      <c r="AG228" s="11" t="n">
        <v>0.0436474029694709</v>
      </c>
      <c r="AH228" s="11" t="n">
        <v>0.0476644542865388</v>
      </c>
      <c r="AI228" s="12" t="n">
        <f aca="false">(AH228-AG228)*100</f>
        <v>0.401705131706782</v>
      </c>
      <c r="AJ228" s="14" t="s">
        <v>74</v>
      </c>
      <c r="AK228" s="14" t="s">
        <v>74</v>
      </c>
      <c r="AL228" s="14" t="s">
        <v>134</v>
      </c>
      <c r="AM228" s="20" t="n">
        <v>31.7257913730536</v>
      </c>
      <c r="AN228" s="20" t="n">
        <v>28.166442919338</v>
      </c>
      <c r="AO228" s="12" t="n">
        <v>-3.55934845371557</v>
      </c>
    </row>
    <row r="229" customFormat="false" ht="15" hidden="false" customHeight="false" outlineLevel="0" collapsed="false">
      <c r="A229" s="14" t="s">
        <v>103</v>
      </c>
      <c r="B229" s="14" t="n">
        <v>1</v>
      </c>
      <c r="C229" s="11" t="n">
        <v>0.216167255664776</v>
      </c>
      <c r="D229" s="11" t="n">
        <v>0.198027275929747</v>
      </c>
      <c r="E229" s="12" t="n">
        <f aca="false">(D229-C229)*100</f>
        <v>-1.8139979735029</v>
      </c>
      <c r="F229" s="11" t="n">
        <v>0.0379770142250468</v>
      </c>
      <c r="G229" s="11" t="n">
        <v>0.00910875144683207</v>
      </c>
      <c r="H229" s="12" t="n">
        <f aca="false">(G229-F229)*100</f>
        <v>-2.88682627782147</v>
      </c>
      <c r="I229" s="11" t="n">
        <v>0.0382086538175987</v>
      </c>
      <c r="J229" s="11" t="n">
        <v>0.0622515223189573</v>
      </c>
      <c r="K229" s="12" t="n">
        <f aca="false">(J229-I229)*100</f>
        <v>2.40428685013586</v>
      </c>
      <c r="L229" s="11" t="n">
        <v>0.300715706946218</v>
      </c>
      <c r="M229" s="11" t="n">
        <v>0.373886568365961</v>
      </c>
      <c r="N229" s="12" t="n">
        <f aca="false">(M229-L229)*100</f>
        <v>7.31708614197425</v>
      </c>
      <c r="O229" s="11" t="n">
        <v>0.22842633563983</v>
      </c>
      <c r="P229" s="11" t="n">
        <v>0.213564994212672</v>
      </c>
      <c r="Q229" s="12" t="n">
        <f aca="false">(P229-O229)*100</f>
        <v>-1.48613414271584</v>
      </c>
      <c r="R229" s="11" t="n">
        <v>0.028420396163098</v>
      </c>
      <c r="S229" s="11" t="n">
        <v>0.00982587690604398</v>
      </c>
      <c r="T229" s="12" t="n">
        <f aca="false">(S229-R229)*100</f>
        <v>-1.8594519257054</v>
      </c>
      <c r="U229" s="11" t="n">
        <v>0.028242211861135</v>
      </c>
      <c r="V229" s="11" t="n">
        <v>0.0156132051733682</v>
      </c>
      <c r="W229" s="12" t="n">
        <f aca="false">(V229-U229)*100</f>
        <v>-1.26290066877668</v>
      </c>
      <c r="X229" s="11" t="n">
        <v>0.276429186588662</v>
      </c>
      <c r="Y229" s="11" t="n">
        <v>0.269387549695536</v>
      </c>
      <c r="Z229" s="12" t="n">
        <f aca="false">(Y229-X229)*100</f>
        <v>-0.704163689312543</v>
      </c>
      <c r="AA229" s="11" t="n">
        <v>0.557562438749146</v>
      </c>
      <c r="AB229" s="11" t="n">
        <v>0.597277439484676</v>
      </c>
      <c r="AC229" s="12" t="n">
        <f aca="false">(AB229-AA229)*100</f>
        <v>3.97150007355299</v>
      </c>
      <c r="AD229" s="11" t="n">
        <v>0.666710225675264</v>
      </c>
      <c r="AE229" s="11" t="n">
        <v>0.58997435507276</v>
      </c>
      <c r="AF229" s="12" t="n">
        <f aca="false">(AE229-AD229)*100</f>
        <v>-7.6735870602504</v>
      </c>
      <c r="AG229" s="11" t="n">
        <v>0.0618418317346242</v>
      </c>
      <c r="AH229" s="11" t="n">
        <v>0.0439962759800715</v>
      </c>
      <c r="AI229" s="12" t="n">
        <f aca="false">(AH229-AG229)*100</f>
        <v>-1.78455557545527</v>
      </c>
      <c r="AJ229" s="14" t="s">
        <v>132</v>
      </c>
      <c r="AK229" s="14" t="s">
        <v>132</v>
      </c>
      <c r="AL229" s="14" t="s">
        <v>150</v>
      </c>
      <c r="AM229" s="20" t="n">
        <v>5.35859590770053</v>
      </c>
      <c r="AN229" s="20" t="n">
        <v>32.788988978914</v>
      </c>
      <c r="AO229" s="12" t="n">
        <v>27.4303930712135</v>
      </c>
    </row>
    <row r="230" customFormat="false" ht="15" hidden="false" customHeight="false" outlineLevel="0" collapsed="false">
      <c r="A230" s="14" t="s">
        <v>103</v>
      </c>
      <c r="B230" s="14" t="n">
        <v>2</v>
      </c>
      <c r="C230" s="11" t="n">
        <v>0.322199218601416</v>
      </c>
      <c r="D230" s="11" t="n">
        <v>0.266395086088921</v>
      </c>
      <c r="E230" s="12" t="n">
        <f aca="false">(D230-C230)*100</f>
        <v>-5.58041325124947</v>
      </c>
      <c r="F230" s="11" t="n">
        <v>0.0278814752022779</v>
      </c>
      <c r="G230" s="11" t="n">
        <v>0.0103306705706375</v>
      </c>
      <c r="H230" s="12" t="n">
        <f aca="false">(G230-F230)*100</f>
        <v>-1.75508046316404</v>
      </c>
      <c r="I230" s="11" t="n">
        <v>0.0787919295328454</v>
      </c>
      <c r="J230" s="11" t="n">
        <v>0.0310492982400306</v>
      </c>
      <c r="K230" s="12" t="n">
        <f aca="false">(J230-I230)*100</f>
        <v>-4.77426312928148</v>
      </c>
      <c r="L230" s="11" t="n">
        <v>0.258296246787191</v>
      </c>
      <c r="M230" s="11" t="n">
        <v>0.390484071162598</v>
      </c>
      <c r="N230" s="12" t="n">
        <f aca="false">(M230-L230)*100</f>
        <v>13.2187824375407</v>
      </c>
      <c r="O230" s="11" t="n">
        <v>0.18180830195241</v>
      </c>
      <c r="P230" s="11" t="n">
        <v>0.158613666019541</v>
      </c>
      <c r="Q230" s="12" t="n">
        <f aca="false">(P230-O230)*100</f>
        <v>-2.31946359328686</v>
      </c>
      <c r="R230" s="11" t="n">
        <v>0.0162691749669889</v>
      </c>
      <c r="S230" s="11" t="n">
        <v>0.0174342000572865</v>
      </c>
      <c r="T230" s="12" t="n">
        <f aca="false">(S230-R230)*100</f>
        <v>0.116502509029763</v>
      </c>
      <c r="U230" s="11" t="n">
        <v>0.018518820403306</v>
      </c>
      <c r="V230" s="11" t="n">
        <v>0.0190254925050126</v>
      </c>
      <c r="W230" s="12" t="n">
        <f aca="false">(V230-U230)*100</f>
        <v>0.050667210170657</v>
      </c>
      <c r="X230" s="11" t="n">
        <v>0.376880817697211</v>
      </c>
      <c r="Y230" s="11" t="n">
        <v>0.30777505489959</v>
      </c>
      <c r="Z230" s="12" t="n">
        <f aca="false">(Y230-X230)*100</f>
        <v>-6.91057627976213</v>
      </c>
      <c r="AA230" s="11" t="n">
        <v>0.45637372370659</v>
      </c>
      <c r="AB230" s="11" t="n">
        <v>0.566531937239426</v>
      </c>
      <c r="AC230" s="12" t="n">
        <f aca="false">(AB230-AA230)*100</f>
        <v>11.0158213532836</v>
      </c>
      <c r="AD230" s="11" t="n">
        <v>0.647882216675409</v>
      </c>
      <c r="AE230" s="11" t="n">
        <v>0.512999268566652</v>
      </c>
      <c r="AF230" s="12" t="n">
        <f aca="false">(AE230-AD230)*100</f>
        <v>-13.4882948108757</v>
      </c>
      <c r="AG230" s="11" t="n">
        <v>0.0459384118807362</v>
      </c>
      <c r="AH230" s="11" t="n">
        <v>0.0327615289137838</v>
      </c>
      <c r="AI230" s="12" t="n">
        <f aca="false">(AH230-AG230)*100</f>
        <v>-1.31768829669524</v>
      </c>
      <c r="AJ230" s="14" t="s">
        <v>74</v>
      </c>
      <c r="AK230" s="14" t="s">
        <v>132</v>
      </c>
      <c r="AL230" s="14" t="s">
        <v>133</v>
      </c>
      <c r="AM230" s="20" t="n">
        <v>8.37965755397247</v>
      </c>
      <c r="AN230" s="20" t="n">
        <v>25.8756882339836</v>
      </c>
      <c r="AO230" s="12" t="n">
        <v>17.4960306800112</v>
      </c>
    </row>
    <row r="231" customFormat="false" ht="15" hidden="false" customHeight="false" outlineLevel="0" collapsed="false">
      <c r="A231" s="14" t="s">
        <v>103</v>
      </c>
      <c r="B231" s="14" t="n">
        <v>3</v>
      </c>
      <c r="C231" s="11" t="n">
        <v>0.332291539379811</v>
      </c>
      <c r="D231" s="11" t="n">
        <v>0.304011259676284</v>
      </c>
      <c r="E231" s="12" t="n">
        <f aca="false">(D231-C231)*100</f>
        <v>-2.82802797035271</v>
      </c>
      <c r="F231" s="11" t="n">
        <v>0.029449086824518</v>
      </c>
      <c r="G231" s="11" t="n">
        <v>0.00935960591133005</v>
      </c>
      <c r="H231" s="12" t="n">
        <f aca="false">(G231-F231)*100</f>
        <v>-2.0089480913188</v>
      </c>
      <c r="I231" s="11" t="n">
        <v>0.0391871187269121</v>
      </c>
      <c r="J231" s="11" t="n">
        <v>0.029388837763222</v>
      </c>
      <c r="K231" s="12" t="n">
        <f aca="false">(J231-I231)*100</f>
        <v>-0.979828096369012</v>
      </c>
      <c r="L231" s="11" t="n">
        <v>0.279709926964761</v>
      </c>
      <c r="M231" s="11" t="n">
        <v>0.462068965517241</v>
      </c>
      <c r="N231" s="12" t="n">
        <f aca="false">(M231-L231)*100</f>
        <v>18.2359038552481</v>
      </c>
      <c r="O231" s="11" t="n">
        <v>0.193087501292451</v>
      </c>
      <c r="P231" s="11" t="n">
        <v>0.0989227521247226</v>
      </c>
      <c r="Q231" s="12" t="n">
        <f aca="false">(P231-O231)*100</f>
        <v>-9.41647491677285</v>
      </c>
      <c r="R231" s="11" t="n">
        <v>0.0169710584939889</v>
      </c>
      <c r="S231" s="11" t="n">
        <v>0.00924051318139988</v>
      </c>
      <c r="T231" s="12" t="n">
        <f aca="false">(S231-R231)*100</f>
        <v>-0.773054531258905</v>
      </c>
      <c r="U231" s="11" t="n">
        <v>0.0221220637859889</v>
      </c>
      <c r="V231" s="11" t="n">
        <v>0.0224706328154604</v>
      </c>
      <c r="W231" s="12" t="n">
        <f aca="false">(V231-U231)*100</f>
        <v>0.0348569029471512</v>
      </c>
      <c r="X231" s="11" t="n">
        <v>0.39241636666134</v>
      </c>
      <c r="Y231" s="11" t="n">
        <v>0.342759703350836</v>
      </c>
      <c r="Z231" s="12" t="n">
        <f aca="false">(Y231-X231)*100</f>
        <v>-4.9656663310504</v>
      </c>
      <c r="AA231" s="11" t="n">
        <v>0.489768486751201</v>
      </c>
      <c r="AB231" s="11" t="n">
        <v>0.570232230823364</v>
      </c>
      <c r="AC231" s="12" t="n">
        <f aca="false">(AB231-AA231)*100</f>
        <v>8.0463744072163</v>
      </c>
      <c r="AD231" s="11" t="n">
        <v>0.584560015385038</v>
      </c>
      <c r="AE231" s="11" t="n">
        <v>0.452309538092382</v>
      </c>
      <c r="AF231" s="12" t="n">
        <f aca="false">(AE231-AD231)*100</f>
        <v>-13.2250477292657</v>
      </c>
      <c r="AG231" s="11" t="n">
        <v>0.0390367244118172</v>
      </c>
      <c r="AH231" s="11" t="n">
        <v>0.0246792616250744</v>
      </c>
      <c r="AI231" s="12" t="n">
        <f aca="false">(AH231-AG231)*100</f>
        <v>-1.43574627867428</v>
      </c>
      <c r="AJ231" s="14" t="s">
        <v>74</v>
      </c>
      <c r="AK231" s="14" t="s">
        <v>132</v>
      </c>
      <c r="AL231" s="14" t="s">
        <v>133</v>
      </c>
      <c r="AM231" s="20" t="n">
        <v>7.36133174166017</v>
      </c>
      <c r="AN231" s="20" t="n">
        <v>22.7472527472528</v>
      </c>
      <c r="AO231" s="12" t="n">
        <v>15.3859210055926</v>
      </c>
    </row>
    <row r="232" customFormat="false" ht="15" hidden="false" customHeight="false" outlineLevel="0" collapsed="false">
      <c r="A232" s="14" t="s">
        <v>103</v>
      </c>
      <c r="B232" s="14" t="n">
        <v>4</v>
      </c>
      <c r="C232" s="11" t="n">
        <v>0.299595264376772</v>
      </c>
      <c r="D232" s="11" t="n">
        <v>0.252325334675489</v>
      </c>
      <c r="E232" s="12" t="n">
        <f aca="false">(D232-C232)*100</f>
        <v>-4.72699297012828</v>
      </c>
      <c r="F232" s="11" t="n">
        <v>0.0227474406423825</v>
      </c>
      <c r="G232" s="11" t="n">
        <v>0.00935561707104052</v>
      </c>
      <c r="H232" s="12" t="n">
        <f aca="false">(G232-F232)*100</f>
        <v>-1.3391823571342</v>
      </c>
      <c r="I232" s="11" t="n">
        <v>0.0459147674393438</v>
      </c>
      <c r="J232" s="11" t="n">
        <v>0.0268135143270222</v>
      </c>
      <c r="K232" s="12" t="n">
        <f aca="false">(J232-I232)*100</f>
        <v>-1.91012531123215</v>
      </c>
      <c r="L232" s="11" t="n">
        <v>0.36402830985001</v>
      </c>
      <c r="M232" s="11" t="n">
        <v>0.530783236865868</v>
      </c>
      <c r="N232" s="12" t="n">
        <f aca="false">(M232-L232)*100</f>
        <v>16.6754927015859</v>
      </c>
      <c r="O232" s="11" t="n">
        <v>0.141224595805467</v>
      </c>
      <c r="P232" s="11" t="n">
        <v>0.0959148125669228</v>
      </c>
      <c r="Q232" s="12" t="n">
        <f aca="false">(P232-O232)*100</f>
        <v>-4.53097832385444</v>
      </c>
      <c r="R232" s="11" t="n">
        <v>0.0163409302426249</v>
      </c>
      <c r="S232" s="11" t="n">
        <v>0.00941482983731293</v>
      </c>
      <c r="T232" s="12" t="n">
        <f aca="false">(S232-R232)*100</f>
        <v>-0.692610040531202</v>
      </c>
      <c r="U232" s="11" t="n">
        <v>0.0228859597861611</v>
      </c>
      <c r="V232" s="11" t="n">
        <v>0.0174529628587924</v>
      </c>
      <c r="W232" s="12" t="n">
        <f aca="false">(V232-U232)*100</f>
        <v>-0.543299692736871</v>
      </c>
      <c r="X232" s="11" t="n">
        <v>0.348669999783564</v>
      </c>
      <c r="Y232" s="11" t="n">
        <v>0.288494466073552</v>
      </c>
      <c r="Z232" s="12" t="n">
        <f aca="false">(Y232-X232)*100</f>
        <v>-6.01755337100117</v>
      </c>
      <c r="AA232" s="11" t="n">
        <v>0.521593835898102</v>
      </c>
      <c r="AB232" s="11" t="n">
        <v>0.636112879270104</v>
      </c>
      <c r="AC232" s="12" t="n">
        <f aca="false">(AB232-AA232)*100</f>
        <v>11.4519043372002</v>
      </c>
      <c r="AD232" s="11" t="n">
        <v>0.639475498052633</v>
      </c>
      <c r="AE232" s="11" t="n">
        <v>0.537291946148585</v>
      </c>
      <c r="AF232" s="12" t="n">
        <f aca="false">(AE232-AD232)*100</f>
        <v>-10.2183551904048</v>
      </c>
      <c r="AG232" s="11" t="n">
        <v>0.0418630824838214</v>
      </c>
      <c r="AH232" s="11" t="n">
        <v>0.0245288884283452</v>
      </c>
      <c r="AI232" s="12" t="n">
        <f aca="false">(AH232-AG232)*100</f>
        <v>-1.73341940554763</v>
      </c>
      <c r="AJ232" s="14" t="s">
        <v>132</v>
      </c>
      <c r="AK232" s="14" t="s">
        <v>132</v>
      </c>
      <c r="AL232" s="14" t="s">
        <v>150</v>
      </c>
      <c r="AM232" s="20" t="n">
        <v>5.45852000952319</v>
      </c>
      <c r="AN232" s="20" t="n">
        <v>34.7618413196552</v>
      </c>
      <c r="AO232" s="12" t="n">
        <v>29.303321310132</v>
      </c>
    </row>
    <row r="233" customFormat="false" ht="15" hidden="false" customHeight="false" outlineLevel="0" collapsed="false">
      <c r="A233" s="14" t="s">
        <v>103</v>
      </c>
      <c r="B233" s="14" t="n">
        <v>5</v>
      </c>
      <c r="C233" s="11" t="n">
        <v>0.221584457274274</v>
      </c>
      <c r="D233" s="11" t="n">
        <v>0.204188948748321</v>
      </c>
      <c r="E233" s="12" t="n">
        <f aca="false">(D233-C233)*100</f>
        <v>-1.73955085259524</v>
      </c>
      <c r="F233" s="11" t="n">
        <v>0.0275639029298326</v>
      </c>
      <c r="G233" s="11" t="n">
        <v>0.0141795816007414</v>
      </c>
      <c r="H233" s="12" t="n">
        <f aca="false">(G233-F233)*100</f>
        <v>-1.33843213290911</v>
      </c>
      <c r="I233" s="11" t="n">
        <v>0.0441463239345519</v>
      </c>
      <c r="J233" s="11" t="n">
        <v>0.0399020662242465</v>
      </c>
      <c r="K233" s="12" t="n">
        <f aca="false">(J233-I233)*100</f>
        <v>-0.424425771030536</v>
      </c>
      <c r="L233" s="11" t="n">
        <v>0.375258127111132</v>
      </c>
      <c r="M233" s="11" t="n">
        <v>0.479835851890033</v>
      </c>
      <c r="N233" s="12" t="n">
        <f aca="false">(M233-L233)*100</f>
        <v>10.45777247789</v>
      </c>
      <c r="O233" s="11" t="n">
        <v>0.178089739597058</v>
      </c>
      <c r="P233" s="11" t="n">
        <v>0.162636480331468</v>
      </c>
      <c r="Q233" s="12" t="n">
        <f aca="false">(P233-O233)*100</f>
        <v>-1.545325926559</v>
      </c>
      <c r="R233" s="11" t="n">
        <v>0.0349375943271926</v>
      </c>
      <c r="S233" s="11" t="n">
        <v>0.0100659665260769</v>
      </c>
      <c r="T233" s="12" t="n">
        <f aca="false">(S233-R233)*100</f>
        <v>-2.48716278011157</v>
      </c>
      <c r="U233" s="11" t="n">
        <v>0.0208466090122895</v>
      </c>
      <c r="V233" s="11" t="n">
        <v>0.0170244190138227</v>
      </c>
      <c r="W233" s="12" t="n">
        <f aca="false">(V233-U233)*100</f>
        <v>-0.382218999846674</v>
      </c>
      <c r="X233" s="11" t="n">
        <v>0.272869702704645</v>
      </c>
      <c r="Y233" s="11" t="n">
        <v>0.258270596573309</v>
      </c>
      <c r="Z233" s="12" t="n">
        <f aca="false">(Y233-X233)*100</f>
        <v>-1.4599106131336</v>
      </c>
      <c r="AA233" s="11" t="n">
        <v>0.588285461035383</v>
      </c>
      <c r="AB233" s="11" t="n">
        <v>0.652538298747578</v>
      </c>
      <c r="AC233" s="12" t="n">
        <f aca="false">(AB233-AA233)*100</f>
        <v>6.42528377121945</v>
      </c>
      <c r="AD233" s="11" t="n">
        <v>0.64994332478015</v>
      </c>
      <c r="AE233" s="11" t="n">
        <v>0.537935907006505</v>
      </c>
      <c r="AF233" s="12" t="n">
        <f aca="false">(AE233-AD233)*100</f>
        <v>-11.2007417773645</v>
      </c>
      <c r="AG233" s="11" t="n">
        <v>0.0519751814675514</v>
      </c>
      <c r="AH233" s="11" t="n">
        <v>0.0282352591329689</v>
      </c>
      <c r="AI233" s="12" t="n">
        <f aca="false">(AH233-AG233)*100</f>
        <v>-2.37399223345825</v>
      </c>
      <c r="AJ233" s="14" t="s">
        <v>132</v>
      </c>
      <c r="AK233" s="14" t="s">
        <v>132</v>
      </c>
      <c r="AL233" s="14" t="s">
        <v>150</v>
      </c>
      <c r="AM233" s="20" t="n">
        <v>15.8172627745969</v>
      </c>
      <c r="AN233" s="20" t="n">
        <v>39.4267702174269</v>
      </c>
      <c r="AO233" s="12" t="n">
        <v>23.6095074428299</v>
      </c>
    </row>
    <row r="234" customFormat="false" ht="15" hidden="false" customHeight="false" outlineLevel="0" collapsed="false">
      <c r="A234" s="14" t="s">
        <v>104</v>
      </c>
      <c r="B234" s="14" t="n">
        <v>1</v>
      </c>
      <c r="C234" s="11" t="n">
        <v>0.476520305724919</v>
      </c>
      <c r="D234" s="11" t="n">
        <v>0.40239583636205</v>
      </c>
      <c r="E234" s="12" t="n">
        <f aca="false">(D234-C234)*100</f>
        <v>-7.41244693628689</v>
      </c>
      <c r="F234" s="11" t="n">
        <v>0.0602695826230297</v>
      </c>
      <c r="G234" s="11" t="n">
        <v>0.0334079609222807</v>
      </c>
      <c r="H234" s="12" t="n">
        <f aca="false">(G234-F234)*100</f>
        <v>-2.6861621700749</v>
      </c>
      <c r="I234" s="11" t="n">
        <v>0.0232723624058688</v>
      </c>
      <c r="J234" s="11" t="n">
        <v>0.0384671299392318</v>
      </c>
      <c r="K234" s="12" t="n">
        <f aca="false">(J234-I234)*100</f>
        <v>1.51947675333631</v>
      </c>
      <c r="L234" s="11" t="n">
        <v>0.149662893738578</v>
      </c>
      <c r="M234" s="11" t="n">
        <v>0.202029482743582</v>
      </c>
      <c r="N234" s="12" t="n">
        <f aca="false">(M234-L234)*100</f>
        <v>5.23665890050039</v>
      </c>
      <c r="O234" s="11" t="n">
        <v>0.136045541340951</v>
      </c>
      <c r="P234" s="11" t="n">
        <v>0.117221527636438</v>
      </c>
      <c r="Q234" s="12" t="n">
        <f aca="false">(P234-O234)*100</f>
        <v>-1.88240137045133</v>
      </c>
      <c r="R234" s="11" t="n">
        <v>0.0293950516793881</v>
      </c>
      <c r="S234" s="11" t="n">
        <v>0.0250225336551042</v>
      </c>
      <c r="T234" s="12" t="n">
        <f aca="false">(S234-R234)*100</f>
        <v>-0.43725180242839</v>
      </c>
      <c r="U234" s="11" t="n">
        <v>0.0381029901862915</v>
      </c>
      <c r="V234" s="11" t="n">
        <v>0.0363213444596284</v>
      </c>
      <c r="W234" s="12" t="n">
        <f aca="false">(V234-U234)*100</f>
        <v>-0.178164572666312</v>
      </c>
      <c r="X234" s="11" t="n">
        <v>0.57028038435745</v>
      </c>
      <c r="Y234" s="11" t="n">
        <v>0.474270927223563</v>
      </c>
      <c r="Z234" s="12" t="n">
        <f aca="false">(Y234-X234)*100</f>
        <v>-9.60094571338874</v>
      </c>
      <c r="AA234" s="11" t="n">
        <v>0.315103486758917</v>
      </c>
      <c r="AB234" s="11" t="n">
        <v>0.344273544035123</v>
      </c>
      <c r="AC234" s="12" t="n">
        <f aca="false">(AB234-AA234)*100</f>
        <v>2.91700572762069</v>
      </c>
      <c r="AD234" s="11" t="n">
        <v>0.577527917145873</v>
      </c>
      <c r="AE234" s="11" t="n">
        <v>0.450845244711977</v>
      </c>
      <c r="AF234" s="12" t="n">
        <f aca="false">(AE234-AD234)*100</f>
        <v>-12.6682672433896</v>
      </c>
      <c r="AG234" s="11" t="n">
        <v>0.0380773936592283</v>
      </c>
      <c r="AH234" s="11" t="n">
        <v>0.0402988980315762</v>
      </c>
      <c r="AI234" s="12" t="n">
        <f aca="false">(AH234-AG234)*100</f>
        <v>0.222150437234787</v>
      </c>
      <c r="AJ234" s="14" t="s">
        <v>74</v>
      </c>
      <c r="AK234" s="14" t="s">
        <v>74</v>
      </c>
      <c r="AL234" s="14" t="s">
        <v>134</v>
      </c>
      <c r="AM234" s="20" t="n">
        <v>35.3119448753193</v>
      </c>
      <c r="AN234" s="20" t="n">
        <v>12.999738318844</v>
      </c>
      <c r="AO234" s="12" t="n">
        <v>-22.3122065564754</v>
      </c>
    </row>
    <row r="235" customFormat="false" ht="15" hidden="false" customHeight="false" outlineLevel="0" collapsed="false">
      <c r="A235" s="14" t="s">
        <v>104</v>
      </c>
      <c r="B235" s="14" t="n">
        <v>2</v>
      </c>
      <c r="C235" s="11" t="n">
        <v>0.425045457968863</v>
      </c>
      <c r="D235" s="11" t="n">
        <v>0.453527590924279</v>
      </c>
      <c r="E235" s="12" t="n">
        <f aca="false">(D235-C235)*100</f>
        <v>2.8482132955416</v>
      </c>
      <c r="F235" s="11" t="n">
        <v>0.0386581022777401</v>
      </c>
      <c r="G235" s="11" t="n">
        <v>0.0506427270033602</v>
      </c>
      <c r="H235" s="12" t="n">
        <f aca="false">(G235-F235)*100</f>
        <v>1.19846247256201</v>
      </c>
      <c r="I235" s="11" t="n">
        <v>0.0156816543472881</v>
      </c>
      <c r="J235" s="11" t="n">
        <v>0.0207223507606181</v>
      </c>
      <c r="K235" s="12" t="n">
        <f aca="false">(J235-I235)*100</f>
        <v>0.504069641332996</v>
      </c>
      <c r="L235" s="11" t="n">
        <v>0.161120256501297</v>
      </c>
      <c r="M235" s="11" t="n">
        <v>0.0826813599712522</v>
      </c>
      <c r="N235" s="12" t="n">
        <f aca="false">(M235-L235)*100</f>
        <v>-7.84388965300443</v>
      </c>
      <c r="O235" s="11" t="n">
        <v>0.139628589565648</v>
      </c>
      <c r="P235" s="11" t="n">
        <v>0.159329470877122</v>
      </c>
      <c r="Q235" s="12" t="n">
        <f aca="false">(P235-O235)*100</f>
        <v>1.97008813114744</v>
      </c>
      <c r="R235" s="11" t="n">
        <v>0.0751428294761305</v>
      </c>
      <c r="S235" s="11" t="n">
        <v>0.0396416615706621</v>
      </c>
      <c r="T235" s="12" t="n">
        <f aca="false">(S235-R235)*100</f>
        <v>-3.55011679054684</v>
      </c>
      <c r="U235" s="11" t="n">
        <v>0.029733277385064</v>
      </c>
      <c r="V235" s="11" t="n">
        <v>0.0502203365254285</v>
      </c>
      <c r="W235" s="12" t="n">
        <f aca="false">(V235-U235)*100</f>
        <v>2.04870591403646</v>
      </c>
      <c r="X235" s="11" t="n">
        <v>0.509096973413813</v>
      </c>
      <c r="Y235" s="11" t="n">
        <v>0.524892668688257</v>
      </c>
      <c r="Z235" s="12" t="n">
        <f aca="false">(Y235-X235)*100</f>
        <v>1.57956952744441</v>
      </c>
      <c r="AA235" s="11" t="n">
        <v>0.375891675543075</v>
      </c>
      <c r="AB235" s="11" t="n">
        <v>0.281652492419037</v>
      </c>
      <c r="AC235" s="12" t="n">
        <f aca="false">(AB235-AA235)*100</f>
        <v>-9.42391831240382</v>
      </c>
      <c r="AD235" s="11" t="n">
        <v>0.681232981635742</v>
      </c>
      <c r="AE235" s="11" t="n">
        <v>0.546738958093492</v>
      </c>
      <c r="AF235" s="12" t="n">
        <f aca="false">(AE235-AD235)*100</f>
        <v>-13.449402354225</v>
      </c>
      <c r="AG235" s="11" t="n">
        <v>0.0398201047954123</v>
      </c>
      <c r="AH235" s="11" t="n">
        <v>0.0358212342628025</v>
      </c>
      <c r="AI235" s="12" t="n">
        <f aca="false">(AH235-AG235)*100</f>
        <v>-0.399887053260972</v>
      </c>
      <c r="AJ235" s="14" t="s">
        <v>74</v>
      </c>
      <c r="AK235" s="14" t="s">
        <v>74</v>
      </c>
      <c r="AL235" s="14" t="s">
        <v>134</v>
      </c>
      <c r="AM235" s="20" t="n">
        <v>24.3100610051322</v>
      </c>
      <c r="AN235" s="20" t="n">
        <v>24.324017626922</v>
      </c>
      <c r="AO235" s="12" t="n">
        <v>0.013956621789859</v>
      </c>
    </row>
    <row r="236" customFormat="false" ht="15" hidden="false" customHeight="false" outlineLevel="0" collapsed="false">
      <c r="A236" s="14" t="s">
        <v>104</v>
      </c>
      <c r="B236" s="14" t="n">
        <v>3</v>
      </c>
      <c r="C236" s="11" t="n">
        <v>0.616865958469012</v>
      </c>
      <c r="D236" s="11" t="n">
        <v>0.456806696903737</v>
      </c>
      <c r="E236" s="12" t="n">
        <f aca="false">(D236-C236)*100</f>
        <v>-16.0059261565275</v>
      </c>
      <c r="F236" s="11" t="n">
        <v>0.0419780601078311</v>
      </c>
      <c r="G236" s="11" t="n">
        <v>0.0194463355931228</v>
      </c>
      <c r="H236" s="12" t="n">
        <f aca="false">(G236-F236)*100</f>
        <v>-2.25317245147083</v>
      </c>
      <c r="I236" s="11" t="n">
        <v>0.0672276197085357</v>
      </c>
      <c r="J236" s="11" t="n">
        <v>0.0750045547383662</v>
      </c>
      <c r="K236" s="12" t="n">
        <f aca="false">(J236-I236)*100</f>
        <v>0.777693502983051</v>
      </c>
      <c r="L236" s="11" t="n">
        <v>0.0822412320503924</v>
      </c>
      <c r="M236" s="11" t="n">
        <v>0.0904427205691985</v>
      </c>
      <c r="N236" s="12" t="n">
        <f aca="false">(M236-L236)*100</f>
        <v>0.82014885188061</v>
      </c>
      <c r="O236" s="11" t="n">
        <v>0.0481836865424652</v>
      </c>
      <c r="P236" s="11" t="n">
        <v>0.0486829614429411</v>
      </c>
      <c r="Q236" s="12" t="n">
        <f aca="false">(P236-O236)*100</f>
        <v>0.0499274900475938</v>
      </c>
      <c r="R236" s="11" t="n">
        <v>0.0193775689958896</v>
      </c>
      <c r="S236" s="11" t="n">
        <v>0.0322091919414692</v>
      </c>
      <c r="T236" s="12" t="n">
        <f aca="false">(S236-R236)*100</f>
        <v>1.28316229455796</v>
      </c>
      <c r="U236" s="11" t="n">
        <v>0.0259501948433246</v>
      </c>
      <c r="V236" s="11" t="n">
        <v>0.0284023895595808</v>
      </c>
      <c r="W236" s="12" t="n">
        <f aca="false">(V236-U236)*100</f>
        <v>0.245219471625616</v>
      </c>
      <c r="X236" s="11" t="n">
        <v>0.706513905941387</v>
      </c>
      <c r="Y236" s="11" t="n">
        <v>0.551257587235226</v>
      </c>
      <c r="Z236" s="12" t="n">
        <f aca="false">(Y236-X236)*100</f>
        <v>-15.5256318706161</v>
      </c>
      <c r="AA236" s="11" t="n">
        <v>0.149802487588747</v>
      </c>
      <c r="AB236" s="11" t="n">
        <v>0.171334873953609</v>
      </c>
      <c r="AC236" s="12" t="n">
        <f aca="false">(AB236-AA236)*100</f>
        <v>2.15323863648617</v>
      </c>
      <c r="AD236" s="11" t="n">
        <v>0.566306672611985</v>
      </c>
      <c r="AE236" s="11" t="n">
        <v>0.382329973933797</v>
      </c>
      <c r="AF236" s="12" t="n">
        <f aca="false">(AE236-AD236)*100</f>
        <v>-18.3976698678188</v>
      </c>
      <c r="AG236" s="11" t="n">
        <v>0.0325828751401271</v>
      </c>
      <c r="AH236" s="11" t="n">
        <v>0.0469281885565794</v>
      </c>
      <c r="AI236" s="12" t="n">
        <f aca="false">(AH236-AG236)*100</f>
        <v>1.43453134164524</v>
      </c>
      <c r="AJ236" s="14" t="s">
        <v>74</v>
      </c>
      <c r="AK236" s="14" t="s">
        <v>74</v>
      </c>
      <c r="AL236" s="14" t="s">
        <v>134</v>
      </c>
      <c r="AM236" s="20" t="n">
        <v>57.3753536539796</v>
      </c>
      <c r="AN236" s="20" t="n">
        <v>37.9922713281617</v>
      </c>
      <c r="AO236" s="12" t="n">
        <v>-19.3830823258179</v>
      </c>
    </row>
    <row r="237" customFormat="false" ht="15" hidden="false" customHeight="false" outlineLevel="0" collapsed="false">
      <c r="A237" s="14" t="s">
        <v>104</v>
      </c>
      <c r="B237" s="14" t="n">
        <v>4</v>
      </c>
      <c r="C237" s="11" t="n">
        <v>0.519219844726378</v>
      </c>
      <c r="D237" s="11" t="n">
        <v>0.327226363279718</v>
      </c>
      <c r="E237" s="12" t="n">
        <f aca="false">(D237-C237)*100</f>
        <v>-19.199348144666</v>
      </c>
      <c r="F237" s="11" t="n">
        <v>0.0410854425719035</v>
      </c>
      <c r="G237" s="11" t="n">
        <v>0.0195305348502681</v>
      </c>
      <c r="H237" s="12" t="n">
        <f aca="false">(G237-F237)*100</f>
        <v>-2.15549077216354</v>
      </c>
      <c r="I237" s="11" t="n">
        <v>0.0528992825432894</v>
      </c>
      <c r="J237" s="11" t="n">
        <v>0.0897803060023539</v>
      </c>
      <c r="K237" s="12" t="n">
        <f aca="false">(J237-I237)*100</f>
        <v>3.68810234590645</v>
      </c>
      <c r="L237" s="11" t="n">
        <v>0.179758673651876</v>
      </c>
      <c r="M237" s="11" t="n">
        <v>0.234255263502027</v>
      </c>
      <c r="N237" s="12" t="n">
        <f aca="false">(M237-L237)*100</f>
        <v>5.44965898501512</v>
      </c>
      <c r="O237" s="11" t="n">
        <v>0.0741021271223884</v>
      </c>
      <c r="P237" s="11" t="n">
        <v>0.0732836406433896</v>
      </c>
      <c r="Q237" s="12" t="n">
        <f aca="false">(P237-O237)*100</f>
        <v>-0.0818486478998876</v>
      </c>
      <c r="R237" s="11" t="n">
        <v>0.0195249216267963</v>
      </c>
      <c r="S237" s="11" t="n">
        <v>0.0292075323656336</v>
      </c>
      <c r="T237" s="12" t="n">
        <f aca="false">(S237-R237)*100</f>
        <v>0.968261073883731</v>
      </c>
      <c r="U237" s="11" t="n">
        <v>0.0269572261145827</v>
      </c>
      <c r="V237" s="11" t="n">
        <v>0.0337387210670851</v>
      </c>
      <c r="W237" s="12" t="n">
        <f aca="false">(V237-U237)*100</f>
        <v>0.678149495250245</v>
      </c>
      <c r="X237" s="11" t="n">
        <v>0.597724547118601</v>
      </c>
      <c r="Y237" s="11" t="n">
        <v>0.43653720413234</v>
      </c>
      <c r="Z237" s="12" t="n">
        <f aca="false">(Y237-X237)*100</f>
        <v>-16.1187342986262</v>
      </c>
      <c r="AA237" s="11" t="n">
        <v>0.27338572240106</v>
      </c>
      <c r="AB237" s="11" t="n">
        <v>0.33674643651105</v>
      </c>
      <c r="AC237" s="12" t="n">
        <f aca="false">(AB237-AA237)*100</f>
        <v>6.33607141099897</v>
      </c>
      <c r="AD237" s="11" t="n">
        <v>0.571035526774236</v>
      </c>
      <c r="AE237" s="11" t="n">
        <v>0.404331480962528</v>
      </c>
      <c r="AF237" s="12" t="n">
        <f aca="false">(AE237-AD237)*100</f>
        <v>-16.6704045811708</v>
      </c>
      <c r="AG237" s="11" t="n">
        <v>0.0312020029876497</v>
      </c>
      <c r="AH237" s="11" t="n">
        <v>0.0375964430495619</v>
      </c>
      <c r="AI237" s="12" t="n">
        <f aca="false">(AH237-AG237)*100</f>
        <v>0.639444006191227</v>
      </c>
      <c r="AJ237" s="14" t="s">
        <v>74</v>
      </c>
      <c r="AK237" s="14" t="s">
        <v>74</v>
      </c>
      <c r="AL237" s="14" t="s">
        <v>134</v>
      </c>
      <c r="AM237" s="20" t="n">
        <v>37.1483725725347</v>
      </c>
      <c r="AN237" s="20" t="n">
        <v>9.97907676212894</v>
      </c>
      <c r="AO237" s="12" t="n">
        <v>-27.1692958104057</v>
      </c>
    </row>
    <row r="238" customFormat="false" ht="15" hidden="false" customHeight="false" outlineLevel="0" collapsed="false">
      <c r="A238" s="14" t="s">
        <v>105</v>
      </c>
      <c r="B238" s="14" t="n">
        <v>1</v>
      </c>
      <c r="C238" s="11" t="n">
        <v>0.182781235206503</v>
      </c>
      <c r="D238" s="11" t="n">
        <v>0.132174473466608</v>
      </c>
      <c r="E238" s="12" t="n">
        <f aca="false">(D238-C238)*100</f>
        <v>-5.06067617398945</v>
      </c>
      <c r="F238" s="11" t="n">
        <v>0.0436040134397118</v>
      </c>
      <c r="G238" s="11" t="n">
        <v>0.0557541709227103</v>
      </c>
      <c r="H238" s="12" t="n">
        <f aca="false">(G238-F238)*100</f>
        <v>1.21501574829984</v>
      </c>
      <c r="I238" s="11" t="n">
        <v>0.105162281056241</v>
      </c>
      <c r="J238" s="11" t="n">
        <v>0.262038523274478</v>
      </c>
      <c r="K238" s="12" t="n">
        <f aca="false">(J238-I238)*100</f>
        <v>15.6876242218237</v>
      </c>
      <c r="L238" s="11" t="n">
        <v>0.20145135032156</v>
      </c>
      <c r="M238" s="11" t="n">
        <v>0.146930784571234</v>
      </c>
      <c r="N238" s="12" t="n">
        <f aca="false">(M238-L238)*100</f>
        <v>-5.45205657503261</v>
      </c>
      <c r="O238" s="11" t="n">
        <v>0.259031971273193</v>
      </c>
      <c r="P238" s="11" t="n">
        <v>0.176984532321611</v>
      </c>
      <c r="Q238" s="12" t="n">
        <f aca="false">(P238-O238)*100</f>
        <v>-8.20474389515823</v>
      </c>
      <c r="R238" s="11" t="n">
        <v>0.0511320994353936</v>
      </c>
      <c r="S238" s="11" t="n">
        <v>0.0197176419086531</v>
      </c>
      <c r="T238" s="12" t="n">
        <f aca="false">(S238-R238)*100</f>
        <v>-3.14144575267404</v>
      </c>
      <c r="U238" s="11" t="n">
        <v>0.0561373529309887</v>
      </c>
      <c r="V238" s="11" t="n">
        <v>0.0865192859574882</v>
      </c>
      <c r="W238" s="12" t="n">
        <f aca="false">(V238-U238)*100</f>
        <v>3.03819330264995</v>
      </c>
      <c r="X238" s="11" t="n">
        <v>0.23770624300015</v>
      </c>
      <c r="Y238" s="11" t="n">
        <v>0.449967167663797</v>
      </c>
      <c r="Z238" s="12" t="n">
        <f aca="false">(Y238-X238)*100</f>
        <v>21.2260924663647</v>
      </c>
      <c r="AA238" s="11" t="n">
        <v>0.511615421030147</v>
      </c>
      <c r="AB238" s="11" t="n">
        <v>0.343632958801498</v>
      </c>
      <c r="AC238" s="12" t="n">
        <f aca="false">(AB238-AA238)*100</f>
        <v>-16.7982462228649</v>
      </c>
      <c r="AD238" s="11" t="n">
        <v>0.660580197619565</v>
      </c>
      <c r="AE238" s="11" t="n">
        <v>0.601186494577435</v>
      </c>
      <c r="AF238" s="12" t="n">
        <f aca="false">(AE238-AD238)*100</f>
        <v>-5.93937030421305</v>
      </c>
      <c r="AG238" s="11" t="n">
        <v>0.0666616633375284</v>
      </c>
      <c r="AH238" s="11" t="n">
        <v>0.0591711659127389</v>
      </c>
      <c r="AI238" s="12" t="n">
        <f aca="false">(AH238-AG238)*100</f>
        <v>-0.749049742478949</v>
      </c>
      <c r="AJ238" s="14" t="s">
        <v>153</v>
      </c>
      <c r="AK238" s="14" t="s">
        <v>74</v>
      </c>
      <c r="AL238" s="14" t="s">
        <v>155</v>
      </c>
      <c r="AM238" s="20" t="n">
        <v>7.7872969321895</v>
      </c>
      <c r="AN238" s="20" t="n">
        <v>10.6334208862299</v>
      </c>
      <c r="AO238" s="12" t="n">
        <v>2.84612395404038</v>
      </c>
    </row>
    <row r="239" customFormat="false" ht="15" hidden="false" customHeight="false" outlineLevel="0" collapsed="false">
      <c r="A239" s="14" t="s">
        <v>105</v>
      </c>
      <c r="B239" s="14" t="n">
        <v>2</v>
      </c>
      <c r="C239" s="11" t="n">
        <v>0.209015850364406</v>
      </c>
      <c r="D239" s="11" t="n">
        <v>0.151028957214902</v>
      </c>
      <c r="E239" s="12" t="n">
        <f aca="false">(D239-C239)*100</f>
        <v>-5.79868931495039</v>
      </c>
      <c r="F239" s="11" t="n">
        <v>0.029254370317517</v>
      </c>
      <c r="G239" s="11" t="n">
        <v>0.0186473076297381</v>
      </c>
      <c r="H239" s="12" t="n">
        <f aca="false">(G239-F239)*100</f>
        <v>-1.06070626877789</v>
      </c>
      <c r="I239" s="11" t="n">
        <v>0.0581264971204322</v>
      </c>
      <c r="J239" s="11" t="n">
        <v>0.346373230844314</v>
      </c>
      <c r="K239" s="12" t="n">
        <f aca="false">(J239-I239)*100</f>
        <v>28.8246733723882</v>
      </c>
      <c r="L239" s="11" t="n">
        <v>0.0958615768819122</v>
      </c>
      <c r="M239" s="11" t="n">
        <v>0.144780990727184</v>
      </c>
      <c r="N239" s="12" t="n">
        <f aca="false">(M239-L239)*100</f>
        <v>4.89194138452718</v>
      </c>
      <c r="O239" s="11" t="n">
        <v>0.185388104581826</v>
      </c>
      <c r="P239" s="11" t="n">
        <v>0.1335915893932</v>
      </c>
      <c r="Q239" s="12" t="n">
        <f aca="false">(P239-O239)*100</f>
        <v>-5.17965151886257</v>
      </c>
      <c r="R239" s="11" t="n">
        <v>0.303159879720707</v>
      </c>
      <c r="S239" s="11" t="n">
        <v>0.0551539368797788</v>
      </c>
      <c r="T239" s="12" t="n">
        <f aca="false">(S239-R239)*100</f>
        <v>-24.8005942840929</v>
      </c>
      <c r="U239" s="11" t="n">
        <v>0.0203047754956424</v>
      </c>
      <c r="V239" s="11" t="n">
        <v>0.0446203432568733</v>
      </c>
      <c r="W239" s="12" t="n">
        <f aca="false">(V239-U239)*100</f>
        <v>2.43155677612309</v>
      </c>
      <c r="X239" s="11" t="n">
        <v>0.258345650068804</v>
      </c>
      <c r="Y239" s="11" t="n">
        <v>0.516049495688954</v>
      </c>
      <c r="Z239" s="12" t="n">
        <f aca="false">(Y239-X239)*100</f>
        <v>25.770384562015</v>
      </c>
      <c r="AA239" s="11" t="n">
        <v>0.584409561184445</v>
      </c>
      <c r="AB239" s="11" t="n">
        <v>0.333526517000163</v>
      </c>
      <c r="AC239" s="12" t="n">
        <f aca="false">(AB239-AA239)*100</f>
        <v>-25.0883044184282</v>
      </c>
      <c r="AD239" s="11" t="n">
        <v>0.610606965917295</v>
      </c>
      <c r="AE239" s="11" t="n">
        <v>0.573095087564934</v>
      </c>
      <c r="AF239" s="12" t="n">
        <f aca="false">(AE239-AD239)*100</f>
        <v>-3.75118783523608</v>
      </c>
      <c r="AG239" s="11" t="n">
        <v>0.0519545385046634</v>
      </c>
      <c r="AH239" s="11" t="n">
        <v>0.0627287701317716</v>
      </c>
      <c r="AI239" s="12" t="n">
        <f aca="false">(AH239-AG239)*100</f>
        <v>1.07742316271082</v>
      </c>
      <c r="AJ239" s="14" t="s">
        <v>132</v>
      </c>
      <c r="AK239" s="14" t="s">
        <v>74</v>
      </c>
      <c r="AL239" s="14" t="s">
        <v>135</v>
      </c>
      <c r="AM239" s="20" t="n">
        <v>14.9742622700168</v>
      </c>
      <c r="AN239" s="20" t="n">
        <v>18.2522978688791</v>
      </c>
      <c r="AO239" s="12" t="n">
        <v>3.27803559886231</v>
      </c>
    </row>
    <row r="240" customFormat="false" ht="15" hidden="false" customHeight="false" outlineLevel="0" collapsed="false">
      <c r="A240" s="14" t="s">
        <v>105</v>
      </c>
      <c r="B240" s="14" t="n">
        <v>3</v>
      </c>
      <c r="C240" s="11" t="n">
        <v>0.170307618432207</v>
      </c>
      <c r="D240" s="11" t="n">
        <v>0.15235714374774</v>
      </c>
      <c r="E240" s="12" t="n">
        <f aca="false">(D240-C240)*100</f>
        <v>-1.79504746844671</v>
      </c>
      <c r="F240" s="11" t="n">
        <v>0.0543445397580076</v>
      </c>
      <c r="G240" s="11" t="n">
        <v>0.0578033240651846</v>
      </c>
      <c r="H240" s="12" t="n">
        <f aca="false">(G240-F240)*100</f>
        <v>0.345878430717696</v>
      </c>
      <c r="I240" s="11" t="n">
        <v>0.0737774405245342</v>
      </c>
      <c r="J240" s="11" t="n">
        <v>0.210441005947408</v>
      </c>
      <c r="K240" s="12" t="n">
        <f aca="false">(J240-I240)*100</f>
        <v>13.6663565422874</v>
      </c>
      <c r="L240" s="11" t="n">
        <v>0.24704327051333</v>
      </c>
      <c r="M240" s="11" t="n">
        <v>0.155081480742616</v>
      </c>
      <c r="N240" s="12" t="n">
        <f aca="false">(M240-L240)*100</f>
        <v>-9.19617897707141</v>
      </c>
      <c r="O240" s="11" t="n">
        <v>0.272588227622226</v>
      </c>
      <c r="P240" s="11" t="n">
        <v>0.242360011470893</v>
      </c>
      <c r="Q240" s="12" t="n">
        <f aca="false">(P240-O240)*100</f>
        <v>-3.02282161513337</v>
      </c>
      <c r="R240" s="11" t="n">
        <v>0.0574687431454266</v>
      </c>
      <c r="S240" s="11" t="n">
        <v>0.0189394411680361</v>
      </c>
      <c r="T240" s="12" t="n">
        <f aca="false">(S240-R240)*100</f>
        <v>-3.85293019773905</v>
      </c>
      <c r="U240" s="11" t="n">
        <v>0.0286869453353331</v>
      </c>
      <c r="V240" s="11" t="n">
        <v>0.0469807862548783</v>
      </c>
      <c r="W240" s="12" t="n">
        <f aca="false">(V240-U240)*100</f>
        <v>1.82938409195451</v>
      </c>
      <c r="X240" s="11" t="n">
        <v>0.235625403864053</v>
      </c>
      <c r="Y240" s="11" t="n">
        <v>0.420601473760333</v>
      </c>
      <c r="Z240" s="12" t="n">
        <f aca="false">(Y240-X240)*100</f>
        <v>18.497606989628</v>
      </c>
      <c r="AA240" s="11" t="n">
        <v>0.577100241280983</v>
      </c>
      <c r="AB240" s="11" t="n">
        <v>0.416380933381544</v>
      </c>
      <c r="AC240" s="12" t="n">
        <f aca="false">(AB240-AA240)*100</f>
        <v>-16.0719307899438</v>
      </c>
      <c r="AD240" s="11" t="n">
        <v>0.639178343804233</v>
      </c>
      <c r="AE240" s="11" t="n">
        <v>0.583844420745357</v>
      </c>
      <c r="AF240" s="12" t="n">
        <f aca="false">(AE240-AD240)*100</f>
        <v>-5.53339230588767</v>
      </c>
      <c r="AG240" s="11" t="n">
        <v>0.0624781394687076</v>
      </c>
      <c r="AH240" s="11" t="n">
        <v>0.0599790531526252</v>
      </c>
      <c r="AI240" s="12" t="n">
        <f aca="false">(AH240-AG240)*100</f>
        <v>-0.249908631608235</v>
      </c>
      <c r="AJ240" s="14" t="s">
        <v>153</v>
      </c>
      <c r="AK240" s="14" t="s">
        <v>74</v>
      </c>
      <c r="AL240" s="14" t="s">
        <v>155</v>
      </c>
      <c r="AM240" s="20" t="n">
        <v>3.51132005003468</v>
      </c>
      <c r="AN240" s="20" t="n">
        <v>0.422054037878882</v>
      </c>
      <c r="AO240" s="12" t="n">
        <v>-3.0892660121558</v>
      </c>
    </row>
    <row r="241" customFormat="false" ht="15" hidden="false" customHeight="false" outlineLevel="0" collapsed="false">
      <c r="A241" s="14" t="s">
        <v>105</v>
      </c>
      <c r="B241" s="14" t="n">
        <v>4</v>
      </c>
      <c r="C241" s="11" t="n">
        <v>0.316317826496575</v>
      </c>
      <c r="D241" s="11" t="n">
        <v>0.237093894798778</v>
      </c>
      <c r="E241" s="12" t="n">
        <f aca="false">(D241-C241)*100</f>
        <v>-7.92239316977974</v>
      </c>
      <c r="F241" s="11" t="n">
        <v>0.0353932727319023</v>
      </c>
      <c r="G241" s="11" t="n">
        <v>0.0502403701499723</v>
      </c>
      <c r="H241" s="12" t="n">
        <f aca="false">(G241-F241)*100</f>
        <v>1.48470974180699</v>
      </c>
      <c r="I241" s="11" t="n">
        <v>0.0461576655717669</v>
      </c>
      <c r="J241" s="11" t="n">
        <v>0.168091949104379</v>
      </c>
      <c r="K241" s="12" t="n">
        <f aca="false">(J241-I241)*100</f>
        <v>12.1934283532612</v>
      </c>
      <c r="L241" s="11" t="n">
        <v>0.19554783184376</v>
      </c>
      <c r="M241" s="11" t="n">
        <v>0.112643001852087</v>
      </c>
      <c r="N241" s="12" t="n">
        <f aca="false">(M241-L241)*100</f>
        <v>-8.29048299916732</v>
      </c>
      <c r="O241" s="11" t="n">
        <v>0.187883533216205</v>
      </c>
      <c r="P241" s="11" t="n">
        <v>0.111987750817392</v>
      </c>
      <c r="Q241" s="12" t="n">
        <f aca="false">(P241-O241)*100</f>
        <v>-7.58957823988123</v>
      </c>
      <c r="R241" s="11" t="n">
        <v>0.0622819748936929</v>
      </c>
      <c r="S241" s="11" t="n">
        <v>0.022900355039081</v>
      </c>
      <c r="T241" s="12" t="n">
        <f aca="false">(S241-R241)*100</f>
        <v>-3.93816198546118</v>
      </c>
      <c r="U241" s="11" t="n">
        <v>0.0325159778983016</v>
      </c>
      <c r="V241" s="11" t="n">
        <v>0.0317863614177493</v>
      </c>
      <c r="W241" s="12" t="n">
        <f aca="false">(V241-U241)*100</f>
        <v>-0.072961648055235</v>
      </c>
      <c r="X241" s="11" t="n">
        <v>0.371756677615665</v>
      </c>
      <c r="Y241" s="11" t="n">
        <v>0.455426214053129</v>
      </c>
      <c r="Z241" s="12" t="n">
        <f aca="false">(Y241-X241)*100</f>
        <v>8.36695364374641</v>
      </c>
      <c r="AA241" s="11" t="n">
        <v>0.445713339953658</v>
      </c>
      <c r="AB241" s="11" t="n">
        <v>0.24753110770856</v>
      </c>
      <c r="AC241" s="12" t="n">
        <f aca="false">(AB241-AA241)*100</f>
        <v>-19.8182232245097</v>
      </c>
      <c r="AD241" s="11" t="n">
        <v>0.657357464169892</v>
      </c>
      <c r="AE241" s="11" t="n">
        <v>0.606155542135959</v>
      </c>
      <c r="AF241" s="12" t="n">
        <f aca="false">(AE241-AD241)*100</f>
        <v>-5.12019220339337</v>
      </c>
      <c r="AG241" s="11" t="n">
        <v>0.058462556972984</v>
      </c>
      <c r="AH241" s="11" t="n">
        <v>0.0518651252666136</v>
      </c>
      <c r="AI241" s="12" t="n">
        <f aca="false">(AH241-AG241)*100</f>
        <v>-0.659743170637035</v>
      </c>
      <c r="AJ241" s="14" t="s">
        <v>74</v>
      </c>
      <c r="AK241" s="14" t="s">
        <v>74</v>
      </c>
      <c r="AL241" s="14" t="s">
        <v>134</v>
      </c>
      <c r="AM241" s="20" t="n">
        <v>8.14108929799099</v>
      </c>
      <c r="AN241" s="20" t="n">
        <v>20.7895106344568</v>
      </c>
      <c r="AO241" s="12" t="n">
        <v>12.6484213364659</v>
      </c>
    </row>
    <row r="242" customFormat="false" ht="15" hidden="false" customHeight="false" outlineLevel="0" collapsed="false">
      <c r="A242" s="14" t="s">
        <v>105</v>
      </c>
      <c r="B242" s="14" t="n">
        <v>5</v>
      </c>
      <c r="C242" s="11" t="n">
        <v>0.257289599256788</v>
      </c>
      <c r="D242" s="11" t="n">
        <v>0.162205854952378</v>
      </c>
      <c r="E242" s="12" t="n">
        <f aca="false">(D242-C242)*100</f>
        <v>-9.50837443044103</v>
      </c>
      <c r="F242" s="11" t="n">
        <v>0.0269361513449601</v>
      </c>
      <c r="G242" s="11" t="n">
        <v>0.0212518769385899</v>
      </c>
      <c r="H242" s="12" t="n">
        <f aca="false">(G242-F242)*100</f>
        <v>-0.568427440637023</v>
      </c>
      <c r="I242" s="11" t="n">
        <v>0.0432308601832693</v>
      </c>
      <c r="J242" s="11" t="n">
        <v>0.224728460417146</v>
      </c>
      <c r="K242" s="12" t="n">
        <f aca="false">(J242-I242)*100</f>
        <v>18.1497600233877</v>
      </c>
      <c r="L242" s="11" t="n">
        <v>0.34108040201005</v>
      </c>
      <c r="M242" s="11" t="n">
        <v>0.351839673823694</v>
      </c>
      <c r="N242" s="12" t="n">
        <f aca="false">(M242-L242)*100</f>
        <v>1.07592718136436</v>
      </c>
      <c r="O242" s="11" t="n">
        <v>0.112558591275706</v>
      </c>
      <c r="P242" s="11" t="n">
        <v>0.125763105689453</v>
      </c>
      <c r="Q242" s="12" t="n">
        <f aca="false">(P242-O242)*100</f>
        <v>1.32045144137467</v>
      </c>
      <c r="R242" s="11" t="n">
        <v>0.101040918880115</v>
      </c>
      <c r="S242" s="11" t="n">
        <v>0.0160896108023981</v>
      </c>
      <c r="T242" s="12" t="n">
        <f aca="false">(S242-R242)*100</f>
        <v>-8.49513080777168</v>
      </c>
      <c r="U242" s="11" t="n">
        <v>0.0206547443097842</v>
      </c>
      <c r="V242" s="11" t="n">
        <v>0.0294172448185535</v>
      </c>
      <c r="W242" s="12" t="n">
        <f aca="false">(V242-U242)*100</f>
        <v>0.876250050876926</v>
      </c>
      <c r="X242" s="11" t="n">
        <v>0.305197204509945</v>
      </c>
      <c r="Y242" s="11" t="n">
        <v>0.408186192308114</v>
      </c>
      <c r="Z242" s="12" t="n">
        <f aca="false">(Y242-X242)*100</f>
        <v>10.2988987798169</v>
      </c>
      <c r="AA242" s="11" t="n">
        <v>0.554679912165871</v>
      </c>
      <c r="AB242" s="11" t="n">
        <v>0.493692390315545</v>
      </c>
      <c r="AC242" s="12" t="n">
        <f aca="false">(AB242-AA242)*100</f>
        <v>-6.09875218503265</v>
      </c>
      <c r="AD242" s="11" t="n">
        <v>0.608377033966069</v>
      </c>
      <c r="AE242" s="11" t="n">
        <v>0.559422422514485</v>
      </c>
      <c r="AF242" s="12" t="n">
        <f aca="false">(AE242-AD242)*100</f>
        <v>-4.89546114515839</v>
      </c>
      <c r="AG242" s="11" t="n">
        <v>0.0513966893289979</v>
      </c>
      <c r="AH242" s="11" t="n">
        <v>0.0322669034075341</v>
      </c>
      <c r="AI242" s="12" t="n">
        <f aca="false">(AH242-AG242)*100</f>
        <v>-1.91297859214639</v>
      </c>
      <c r="AJ242" s="14" t="s">
        <v>132</v>
      </c>
      <c r="AK242" s="14" t="s">
        <v>132</v>
      </c>
      <c r="AL242" s="14" t="s">
        <v>150</v>
      </c>
      <c r="AM242" s="20" t="n">
        <v>15.7578860690005</v>
      </c>
      <c r="AN242" s="20" t="n">
        <v>8.5506198007431</v>
      </c>
      <c r="AO242" s="12" t="n">
        <v>-7.20726626825736</v>
      </c>
    </row>
    <row r="243" customFormat="false" ht="15" hidden="false" customHeight="false" outlineLevel="0" collapsed="false">
      <c r="A243" s="14" t="s">
        <v>105</v>
      </c>
      <c r="B243" s="14" t="n">
        <v>6</v>
      </c>
      <c r="C243" s="11" t="n">
        <v>0.319988399005954</v>
      </c>
      <c r="D243" s="11" t="n">
        <v>0.194816524923292</v>
      </c>
      <c r="E243" s="12" t="n">
        <f aca="false">(D243-C243)*100</f>
        <v>-12.5171874082662</v>
      </c>
      <c r="F243" s="11" t="n">
        <v>0.0327273140855403</v>
      </c>
      <c r="G243" s="11" t="n">
        <v>0.0286592639631566</v>
      </c>
      <c r="H243" s="12" t="n">
        <f aca="false">(G243-F243)*100</f>
        <v>-0.406805012238366</v>
      </c>
      <c r="I243" s="11" t="n">
        <v>0.0580959584183978</v>
      </c>
      <c r="J243" s="11" t="n">
        <v>0.338646978877962</v>
      </c>
      <c r="K243" s="12" t="n">
        <f aca="false">(J243-I243)*100</f>
        <v>28.0551020459564</v>
      </c>
      <c r="L243" s="11" t="n">
        <v>0.238252571838018</v>
      </c>
      <c r="M243" s="11" t="n">
        <v>0.198223113764637</v>
      </c>
      <c r="N243" s="12" t="n">
        <f aca="false">(M243-L243)*100</f>
        <v>-4.00294580733816</v>
      </c>
      <c r="O243" s="11" t="n">
        <v>0.0899816317594272</v>
      </c>
      <c r="P243" s="11" t="n">
        <v>0.0934734743051805</v>
      </c>
      <c r="Q243" s="12" t="n">
        <f aca="false">(P243-O243)*100</f>
        <v>0.349184254575327</v>
      </c>
      <c r="R243" s="11" t="n">
        <v>0.121474918537137</v>
      </c>
      <c r="S243" s="11" t="n">
        <v>0.0147124281144471</v>
      </c>
      <c r="T243" s="12" t="n">
        <f aca="false">(S243-R243)*100</f>
        <v>-10.676249042269</v>
      </c>
      <c r="U243" s="11" t="n">
        <v>0.0234522056105592</v>
      </c>
      <c r="V243" s="11" t="n">
        <v>0.0346771752612806</v>
      </c>
      <c r="W243" s="12" t="n">
        <f aca="false">(V243-U243)*100</f>
        <v>1.12249696507214</v>
      </c>
      <c r="X243" s="11" t="n">
        <v>0.380154338714906</v>
      </c>
      <c r="Y243" s="11" t="n">
        <v>0.562122767764411</v>
      </c>
      <c r="Z243" s="12" t="n">
        <f aca="false">(Y243-X243)*100</f>
        <v>18.1968429049506</v>
      </c>
      <c r="AA243" s="11" t="n">
        <v>0.449709122134583</v>
      </c>
      <c r="AB243" s="11" t="n">
        <v>0.306409016184264</v>
      </c>
      <c r="AC243" s="12" t="n">
        <f aca="false">(AB243-AA243)*100</f>
        <v>-14.3300105950319</v>
      </c>
      <c r="AD243" s="11" t="n">
        <v>0.577761787888645</v>
      </c>
      <c r="AE243" s="11" t="n">
        <v>0.528409162182165</v>
      </c>
      <c r="AF243" s="12" t="n">
        <f aca="false">(AE243-AD243)*100</f>
        <v>-4.93526257064798</v>
      </c>
      <c r="AG243" s="11" t="n">
        <v>0.0533645726114179</v>
      </c>
      <c r="AH243" s="11" t="n">
        <v>0.0400125818263827</v>
      </c>
      <c r="AI243" s="12" t="n">
        <f aca="false">(AH243-AG243)*100</f>
        <v>-1.33519907850352</v>
      </c>
      <c r="AJ243" s="14" t="s">
        <v>132</v>
      </c>
      <c r="AK243" s="14" t="s">
        <v>74</v>
      </c>
      <c r="AL243" s="14" t="s">
        <v>135</v>
      </c>
      <c r="AM243" s="20" t="n">
        <v>0.302535727080928</v>
      </c>
      <c r="AN243" s="20" t="n">
        <v>25.5713751580147</v>
      </c>
      <c r="AO243" s="12" t="n">
        <v>25.2688394309338</v>
      </c>
    </row>
    <row r="244" customFormat="false" ht="15" hidden="false" customHeight="false" outlineLevel="0" collapsed="false">
      <c r="A244" s="14" t="s">
        <v>105</v>
      </c>
      <c r="B244" s="14" t="n">
        <v>7</v>
      </c>
      <c r="C244" s="11" t="n">
        <v>0.195541081386138</v>
      </c>
      <c r="D244" s="11" t="n">
        <v>0.211550419339673</v>
      </c>
      <c r="E244" s="12" t="n">
        <f aca="false">(D244-C244)*100</f>
        <v>1.60093379535351</v>
      </c>
      <c r="F244" s="11" t="n">
        <v>0.0394944625946847</v>
      </c>
      <c r="G244" s="11" t="n">
        <v>0.0391130928007037</v>
      </c>
      <c r="H244" s="12" t="n">
        <f aca="false">(G244-F244)*100</f>
        <v>-0.0381369793981012</v>
      </c>
      <c r="I244" s="11" t="n">
        <v>0.0339596460616855</v>
      </c>
      <c r="J244" s="11" t="n">
        <v>0.195337974126818</v>
      </c>
      <c r="K244" s="12" t="n">
        <f aca="false">(J244-I244)*100</f>
        <v>16.1378328065133</v>
      </c>
      <c r="L244" s="11" t="n">
        <v>0.226145665601814</v>
      </c>
      <c r="M244" s="11" t="n">
        <v>0.159414794930515</v>
      </c>
      <c r="N244" s="12" t="n">
        <f aca="false">(M244-L244)*100</f>
        <v>-6.67308706712997</v>
      </c>
      <c r="O244" s="11" t="n">
        <v>0.24826939904008</v>
      </c>
      <c r="P244" s="11" t="n">
        <v>0.118309901876033</v>
      </c>
      <c r="Q244" s="12" t="n">
        <f aca="false">(P244-O244)*100</f>
        <v>-12.9959497164046</v>
      </c>
      <c r="R244" s="11" t="n">
        <v>0.073329847106518</v>
      </c>
      <c r="S244" s="11" t="n">
        <v>0.0243666934599188</v>
      </c>
      <c r="T244" s="12" t="n">
        <f aca="false">(S244-R244)*100</f>
        <v>-4.89631536465992</v>
      </c>
      <c r="U244" s="11" t="n">
        <v>0.0312051817066288</v>
      </c>
      <c r="V244" s="11" t="n">
        <v>0.026146169828776</v>
      </c>
      <c r="W244" s="12" t="n">
        <f aca="false">(V244-U244)*100</f>
        <v>-0.505901187785289</v>
      </c>
      <c r="X244" s="11" t="n">
        <v>0.251691769225592</v>
      </c>
      <c r="Y244" s="11" t="n">
        <v>0.446001486267194</v>
      </c>
      <c r="Z244" s="12" t="n">
        <f aca="false">(Y244-X244)*100</f>
        <v>19.4309717041603</v>
      </c>
      <c r="AA244" s="11" t="n">
        <v>0.547744911748412</v>
      </c>
      <c r="AB244" s="11" t="n">
        <v>0.302091390266467</v>
      </c>
      <c r="AC244" s="12" t="n">
        <f aca="false">(AB244-AA244)*100</f>
        <v>-24.5653521481945</v>
      </c>
      <c r="AD244" s="11" t="n">
        <v>0.709737992871054</v>
      </c>
      <c r="AE244" s="11" t="n">
        <v>0.694205217830747</v>
      </c>
      <c r="AF244" s="12" t="n">
        <f aca="false">(AE244-AD244)*100</f>
        <v>-1.55327750403075</v>
      </c>
      <c r="AG244" s="11" t="n">
        <v>0.0874645984022036</v>
      </c>
      <c r="AH244" s="11" t="n">
        <v>0.0743740236892792</v>
      </c>
      <c r="AI244" s="12" t="n">
        <f aca="false">(AH244-AG244)*100</f>
        <v>-1.30905747129244</v>
      </c>
      <c r="AJ244" s="14" t="s">
        <v>132</v>
      </c>
      <c r="AK244" s="14" t="s">
        <v>74</v>
      </c>
      <c r="AL244" s="14" t="s">
        <v>135</v>
      </c>
      <c r="AM244" s="20" t="n">
        <v>0.0642018007569599</v>
      </c>
      <c r="AN244" s="20" t="n">
        <v>14.3910096000728</v>
      </c>
      <c r="AO244" s="12" t="n">
        <v>14.3268077993158</v>
      </c>
    </row>
    <row r="245" customFormat="false" ht="15" hidden="false" customHeight="false" outlineLevel="0" collapsed="false">
      <c r="A245" s="14" t="s">
        <v>106</v>
      </c>
      <c r="B245" s="14" t="n">
        <v>1</v>
      </c>
      <c r="C245" s="11" t="n">
        <v>0.430566390090537</v>
      </c>
      <c r="D245" s="11" t="n">
        <v>0.501860278654973</v>
      </c>
      <c r="E245" s="12" t="n">
        <f aca="false">(D245-C245)*100</f>
        <v>7.12938885644355</v>
      </c>
      <c r="F245" s="11" t="n">
        <v>0.0273975840956906</v>
      </c>
      <c r="G245" s="11" t="n">
        <v>0.0334990821687544</v>
      </c>
      <c r="H245" s="12" t="n">
        <f aca="false">(G245-F245)*100</f>
        <v>0.610149807306374</v>
      </c>
      <c r="I245" s="11" t="n">
        <v>0.0237158121173439</v>
      </c>
      <c r="J245" s="11" t="n">
        <v>0.0138272507965087</v>
      </c>
      <c r="K245" s="12" t="n">
        <f aca="false">(J245-I245)*100</f>
        <v>-0.98885613208352</v>
      </c>
      <c r="L245" s="11" t="n">
        <v>0.162896248493015</v>
      </c>
      <c r="M245" s="11" t="n">
        <v>0.1077273654375</v>
      </c>
      <c r="N245" s="12" t="n">
        <f aca="false">(M245-L245)*100</f>
        <v>-5.51688830555151</v>
      </c>
      <c r="O245" s="11" t="n">
        <v>0.241572701699643</v>
      </c>
      <c r="P245" s="11" t="n">
        <v>0.176638557352145</v>
      </c>
      <c r="Q245" s="12" t="n">
        <f aca="false">(P245-O245)*100</f>
        <v>-6.49341443474982</v>
      </c>
      <c r="R245" s="11" t="n">
        <v>0.0208614046285134</v>
      </c>
      <c r="S245" s="11" t="n">
        <v>0.0142844081219274</v>
      </c>
      <c r="T245" s="12" t="n">
        <f aca="false">(S245-R245)*100</f>
        <v>-0.657699650658598</v>
      </c>
      <c r="U245" s="11" t="n">
        <v>0.0265702196061745</v>
      </c>
      <c r="V245" s="11" t="n">
        <v>0.0610058867797135</v>
      </c>
      <c r="W245" s="12" t="n">
        <f aca="false">(V245-U245)*100</f>
        <v>3.4435667173539</v>
      </c>
      <c r="X245" s="11" t="n">
        <v>0.47165685648772</v>
      </c>
      <c r="Y245" s="11" t="n">
        <v>0.549186611620236</v>
      </c>
      <c r="Z245" s="12" t="n">
        <f aca="false">(Y245-X245)*100</f>
        <v>7.75297551325164</v>
      </c>
      <c r="AA245" s="11" t="n">
        <v>0.425330354821171</v>
      </c>
      <c r="AB245" s="11" t="n">
        <v>0.298650330911572</v>
      </c>
      <c r="AC245" s="12" t="n">
        <f aca="false">(AB245-AA245)*100</f>
        <v>-12.6680023909599</v>
      </c>
      <c r="AD245" s="11" t="n">
        <v>0.576806653940551</v>
      </c>
      <c r="AE245" s="11" t="n">
        <v>0.460319413103513</v>
      </c>
      <c r="AF245" s="12" t="n">
        <f aca="false">(AE245-AD245)*100</f>
        <v>-11.6487240837038</v>
      </c>
      <c r="AG245" s="11" t="n">
        <v>0.0327163558140085</v>
      </c>
      <c r="AH245" s="11" t="n">
        <v>0.032669165793379</v>
      </c>
      <c r="AI245" s="12" t="n">
        <f aca="false">(AH245-AG245)*100</f>
        <v>-0.00471900206295076</v>
      </c>
      <c r="AJ245" s="14" t="s">
        <v>74</v>
      </c>
      <c r="AK245" s="14" t="s">
        <v>74</v>
      </c>
      <c r="AL245" s="14" t="s">
        <v>134</v>
      </c>
      <c r="AM245" s="20" t="n">
        <v>18.6659338581188</v>
      </c>
      <c r="AN245" s="20" t="n">
        <v>25.0536280708664</v>
      </c>
      <c r="AO245" s="12" t="n">
        <v>6.3876942127476</v>
      </c>
    </row>
    <row r="246" customFormat="false" ht="15" hidden="false" customHeight="false" outlineLevel="0" collapsed="false">
      <c r="A246" s="14" t="s">
        <v>106</v>
      </c>
      <c r="B246" s="14" t="n">
        <v>2</v>
      </c>
      <c r="C246" s="11" t="n">
        <v>0.481709796440852</v>
      </c>
      <c r="D246" s="11" t="n">
        <v>0.466892215532556</v>
      </c>
      <c r="E246" s="12" t="n">
        <f aca="false">(D246-C246)*100</f>
        <v>-1.48175809082963</v>
      </c>
      <c r="F246" s="11" t="n">
        <v>0.0341156095479531</v>
      </c>
      <c r="G246" s="11" t="n">
        <v>0.0759105322831972</v>
      </c>
      <c r="H246" s="12" t="n">
        <f aca="false">(G246-F246)*100</f>
        <v>4.17949227352441</v>
      </c>
      <c r="I246" s="11" t="n">
        <v>0.0144373886197636</v>
      </c>
      <c r="J246" s="11" t="n">
        <v>0.0139694781454063</v>
      </c>
      <c r="K246" s="12" t="n">
        <f aca="false">(J246-I246)*100</f>
        <v>-0.04679104743573</v>
      </c>
      <c r="L246" s="11" t="n">
        <v>0.164724781004493</v>
      </c>
      <c r="M246" s="11" t="n">
        <v>0.0903589986115406</v>
      </c>
      <c r="N246" s="12" t="n">
        <f aca="false">(M246-L246)*100</f>
        <v>-7.43657823929523</v>
      </c>
      <c r="O246" s="11" t="n">
        <v>0.177068848673477</v>
      </c>
      <c r="P246" s="11" t="n">
        <v>0.21378637127041</v>
      </c>
      <c r="Q246" s="12" t="n">
        <f aca="false">(P246-O246)*100</f>
        <v>3.6717522596933</v>
      </c>
      <c r="R246" s="11" t="n">
        <v>0.0145076679802214</v>
      </c>
      <c r="S246" s="11" t="n">
        <v>0.0119322625825345</v>
      </c>
      <c r="T246" s="12" t="n">
        <f aca="false">(S246-R246)*100</f>
        <v>-0.257540539768687</v>
      </c>
      <c r="U246" s="11" t="n">
        <v>0.0194171833036319</v>
      </c>
      <c r="V246" s="11" t="n">
        <v>0.0471712413069708</v>
      </c>
      <c r="W246" s="12" t="n">
        <f aca="false">(V246-U246)*100</f>
        <v>2.77540580033389</v>
      </c>
      <c r="X246" s="11" t="n">
        <v>0.533114128661429</v>
      </c>
      <c r="Y246" s="11" t="n">
        <v>0.55677222596116</v>
      </c>
      <c r="Z246" s="12" t="n">
        <f aca="false">(Y246-X246)*100</f>
        <v>2.36580972997303</v>
      </c>
      <c r="AA246" s="11" t="n">
        <v>0.356301297658191</v>
      </c>
      <c r="AB246" s="11" t="n">
        <v>0.316077632464485</v>
      </c>
      <c r="AC246" s="12" t="n">
        <f aca="false">(AB246-AA246)*100</f>
        <v>-4.02236651937061</v>
      </c>
      <c r="AD246" s="11" t="n">
        <v>0.620323170294989</v>
      </c>
      <c r="AE246" s="11" t="n">
        <v>0.485887173987974</v>
      </c>
      <c r="AF246" s="12" t="n">
        <f aca="false">(AE246-AD246)*100</f>
        <v>-13.4435996307014</v>
      </c>
      <c r="AG246" s="11" t="n">
        <v>0.0237795236063352</v>
      </c>
      <c r="AH246" s="11" t="n">
        <v>0.027077990189837</v>
      </c>
      <c r="AI246" s="12" t="n">
        <f aca="false">(AH246-AG246)*100</f>
        <v>0.329846658350178</v>
      </c>
      <c r="AJ246" s="14" t="s">
        <v>74</v>
      </c>
      <c r="AK246" s="14" t="s">
        <v>74</v>
      </c>
      <c r="AL246" s="14" t="s">
        <v>134</v>
      </c>
      <c r="AM246" s="20" t="n">
        <v>31.9695790768304</v>
      </c>
      <c r="AN246" s="20" t="n">
        <v>24.0694593496674</v>
      </c>
      <c r="AO246" s="12" t="n">
        <v>-7.90011972716296</v>
      </c>
    </row>
    <row r="247" customFormat="false" ht="15" hidden="false" customHeight="false" outlineLevel="0" collapsed="false">
      <c r="A247" s="14" t="s">
        <v>106</v>
      </c>
      <c r="B247" s="14" t="n">
        <v>3</v>
      </c>
      <c r="C247" s="11" t="n">
        <v>0.371060712169369</v>
      </c>
      <c r="D247" s="11" t="n">
        <v>0.467324976281767</v>
      </c>
      <c r="E247" s="12" t="n">
        <f aca="false">(D247-C247)*100</f>
        <v>9.62642641123978</v>
      </c>
      <c r="F247" s="11" t="n">
        <v>0.0438310813788915</v>
      </c>
      <c r="G247" s="11" t="n">
        <v>0.0370734226673328</v>
      </c>
      <c r="H247" s="12" t="n">
        <f aca="false">(G247-F247)*100</f>
        <v>-0.67576587115587</v>
      </c>
      <c r="I247" s="11" t="n">
        <v>0.0201622974342901</v>
      </c>
      <c r="J247" s="11" t="n">
        <v>0.0124233016903101</v>
      </c>
      <c r="K247" s="12" t="n">
        <f aca="false">(J247-I247)*100</f>
        <v>-0.773899574398006</v>
      </c>
      <c r="L247" s="11" t="n">
        <v>0.121385160118124</v>
      </c>
      <c r="M247" s="11" t="n">
        <v>0.0426759780613362</v>
      </c>
      <c r="N247" s="12" t="n">
        <f aca="false">(M247-L247)*100</f>
        <v>-7.87091820567873</v>
      </c>
      <c r="O247" s="11" t="n">
        <v>0.275244499076854</v>
      </c>
      <c r="P247" s="11" t="n">
        <v>0.290810798672902</v>
      </c>
      <c r="Q247" s="12" t="n">
        <f aca="false">(P247-O247)*100</f>
        <v>1.55662995960479</v>
      </c>
      <c r="R247" s="11" t="n">
        <v>0.0479301445201354</v>
      </c>
      <c r="S247" s="11" t="n">
        <v>0.0235498195168778</v>
      </c>
      <c r="T247" s="12" t="n">
        <f aca="false">(S247-R247)*100</f>
        <v>-2.43803250032575</v>
      </c>
      <c r="U247" s="11" t="n">
        <v>0.0407016890882645</v>
      </c>
      <c r="V247" s="11" t="n">
        <v>0.0387631713382697</v>
      </c>
      <c r="W247" s="12" t="n">
        <f aca="false">(V247-U247)*100</f>
        <v>-0.193851774999481</v>
      </c>
      <c r="X247" s="11" t="n">
        <v>0.434373362456108</v>
      </c>
      <c r="Y247" s="11" t="n">
        <v>0.51682170063941</v>
      </c>
      <c r="Z247" s="12" t="n">
        <f aca="false">(Y247-X247)*100</f>
        <v>8.24483381833022</v>
      </c>
      <c r="AA247" s="11" t="n">
        <v>0.444559803715113</v>
      </c>
      <c r="AB247" s="11" t="n">
        <v>0.357036596251116</v>
      </c>
      <c r="AC247" s="12" t="n">
        <f aca="false">(AB247-AA247)*100</f>
        <v>-8.7523207463997</v>
      </c>
      <c r="AD247" s="11" t="n">
        <v>0.636065726968305</v>
      </c>
      <c r="AE247" s="11" t="n">
        <v>0.535490329291095</v>
      </c>
      <c r="AF247" s="12" t="n">
        <f aca="false">(AE247-AD247)*100</f>
        <v>-10.0575397677209</v>
      </c>
      <c r="AG247" s="11" t="n">
        <v>0.0387133741117472</v>
      </c>
      <c r="AH247" s="11" t="n">
        <v>0.0325655549505145</v>
      </c>
      <c r="AI247" s="12" t="n">
        <f aca="false">(AH247-AG247)*100</f>
        <v>-0.614781916123272</v>
      </c>
      <c r="AJ247" s="14" t="s">
        <v>74</v>
      </c>
      <c r="AK247" s="14" t="s">
        <v>74</v>
      </c>
      <c r="AL247" s="14" t="s">
        <v>134</v>
      </c>
      <c r="AM247" s="20" t="n">
        <v>11.7658293869036</v>
      </c>
      <c r="AN247" s="20" t="n">
        <v>15.9785104388294</v>
      </c>
      <c r="AO247" s="12" t="n">
        <v>4.21268105192585</v>
      </c>
    </row>
    <row r="248" customFormat="false" ht="15" hidden="false" customHeight="false" outlineLevel="0" collapsed="false">
      <c r="A248" s="14" t="s">
        <v>106</v>
      </c>
      <c r="B248" s="14" t="n">
        <v>4</v>
      </c>
      <c r="C248" s="11" t="n">
        <v>0.445724368009572</v>
      </c>
      <c r="D248" s="11" t="n">
        <v>0.487707854619129</v>
      </c>
      <c r="E248" s="12" t="n">
        <f aca="false">(D248-C248)*100</f>
        <v>4.19834866095564</v>
      </c>
      <c r="F248" s="11" t="n">
        <v>0.0358609570358052</v>
      </c>
      <c r="G248" s="11" t="n">
        <v>0.0044968250438564</v>
      </c>
      <c r="H248" s="12" t="n">
        <f aca="false">(G248-F248)*100</f>
        <v>-3.13641319919488</v>
      </c>
      <c r="I248" s="11" t="n">
        <v>0.0175476844763073</v>
      </c>
      <c r="J248" s="11" t="n">
        <v>0.0460492179971833</v>
      </c>
      <c r="K248" s="12" t="n">
        <f aca="false">(J248-I248)*100</f>
        <v>2.8501533520876</v>
      </c>
      <c r="L248" s="11" t="n">
        <v>0.0939188983643794</v>
      </c>
      <c r="M248" s="11" t="n">
        <v>0.0919872507597658</v>
      </c>
      <c r="N248" s="12" t="n">
        <f aca="false">(M248-L248)*100</f>
        <v>-0.193164760461359</v>
      </c>
      <c r="O248" s="11" t="n">
        <v>0.284636523114676</v>
      </c>
      <c r="P248" s="11" t="n">
        <v>0.24625058681096</v>
      </c>
      <c r="Q248" s="12" t="n">
        <f aca="false">(P248-O248)*100</f>
        <v>-3.83859363037156</v>
      </c>
      <c r="R248" s="11" t="n">
        <v>0.018338623158279</v>
      </c>
      <c r="S248" s="11" t="n">
        <v>0.0311133348158031</v>
      </c>
      <c r="T248" s="12" t="n">
        <f aca="false">(S248-R248)*100</f>
        <v>1.27747116575241</v>
      </c>
      <c r="U248" s="11" t="n">
        <v>0.0301976332680978</v>
      </c>
      <c r="V248" s="11" t="n">
        <v>0.0253069947866479</v>
      </c>
      <c r="W248" s="12" t="n">
        <f aca="false">(V248-U248)*100</f>
        <v>-0.48906384814499</v>
      </c>
      <c r="X248" s="11" t="n">
        <v>0.498337000719957</v>
      </c>
      <c r="Y248" s="11" t="n">
        <v>0.538253897660169</v>
      </c>
      <c r="Z248" s="12" t="n">
        <f aca="false">(Y248-X248)*100</f>
        <v>3.99168969402115</v>
      </c>
      <c r="AA248" s="11" t="n">
        <v>0.396894044637334</v>
      </c>
      <c r="AB248" s="11" t="n">
        <v>0.369351172386529</v>
      </c>
      <c r="AC248" s="12" t="n">
        <f aca="false">(AB248-AA248)*100</f>
        <v>-2.75428722508051</v>
      </c>
      <c r="AD248" s="11" t="n">
        <v>0.648793918441058</v>
      </c>
      <c r="AE248" s="11" t="n">
        <v>0.51303730558126</v>
      </c>
      <c r="AF248" s="12" t="n">
        <f aca="false">(AE248-AD248)*100</f>
        <v>-13.5756612859798</v>
      </c>
      <c r="AG248" s="11" t="n">
        <v>0.0322713122483953</v>
      </c>
      <c r="AH248" s="11" t="n">
        <v>0.0289884614434314</v>
      </c>
      <c r="AI248" s="12" t="n">
        <f aca="false">(AH248-AG248)*100</f>
        <v>-0.328285080496389</v>
      </c>
      <c r="AJ248" s="14" t="s">
        <v>74</v>
      </c>
      <c r="AK248" s="14" t="s">
        <v>74</v>
      </c>
      <c r="AL248" s="14" t="s">
        <v>134</v>
      </c>
      <c r="AM248" s="20" t="n">
        <v>17.1598203149558</v>
      </c>
      <c r="AN248" s="20" t="n">
        <v>16.8902725273639</v>
      </c>
      <c r="AO248" s="12" t="n">
        <v>-0.269547787591918</v>
      </c>
    </row>
    <row r="249" customFormat="false" ht="15" hidden="false" customHeight="false" outlineLevel="0" collapsed="false">
      <c r="A249" s="14" t="s">
        <v>106</v>
      </c>
      <c r="B249" s="14" t="n">
        <v>5</v>
      </c>
      <c r="C249" s="11" t="n">
        <v>0.499804853026451</v>
      </c>
      <c r="D249" s="11" t="n">
        <v>0.488135896747125</v>
      </c>
      <c r="E249" s="12" t="n">
        <f aca="false">(D249-C249)*100</f>
        <v>-1.16689562793257</v>
      </c>
      <c r="F249" s="11" t="n">
        <v>0.0356226861144565</v>
      </c>
      <c r="G249" s="11" t="n">
        <v>0.010789618429973</v>
      </c>
      <c r="H249" s="12" t="n">
        <f aca="false">(G249-F249)*100</f>
        <v>-2.48330676844835</v>
      </c>
      <c r="I249" s="11" t="n">
        <v>0.0221408180561131</v>
      </c>
      <c r="J249" s="11" t="n">
        <v>0.0181255356434757</v>
      </c>
      <c r="K249" s="12" t="n">
        <f aca="false">(J249-I249)*100</f>
        <v>-0.401528241263742</v>
      </c>
      <c r="L249" s="11" t="n">
        <v>0.0858646683616575</v>
      </c>
      <c r="M249" s="11" t="n">
        <v>0.101609168937155</v>
      </c>
      <c r="N249" s="12" t="n">
        <f aca="false">(M249-L249)*100</f>
        <v>1.57445005754979</v>
      </c>
      <c r="O249" s="11" t="n">
        <v>0.191093492127214</v>
      </c>
      <c r="P249" s="11" t="n">
        <v>0.245123245967484</v>
      </c>
      <c r="Q249" s="12" t="n">
        <f aca="false">(P249-O249)*100</f>
        <v>5.40297538402706</v>
      </c>
      <c r="R249" s="11" t="n">
        <v>0.0121604442660244</v>
      </c>
      <c r="S249" s="11" t="n">
        <v>0.0113588395563913</v>
      </c>
      <c r="T249" s="12" t="n">
        <f aca="false">(S249-R249)*100</f>
        <v>-0.0801604709633079</v>
      </c>
      <c r="U249" s="11" t="n">
        <v>0.0258876399482582</v>
      </c>
      <c r="V249" s="11" t="n">
        <v>0.0442265627998005</v>
      </c>
      <c r="W249" s="12" t="n">
        <f aca="false">(V249-U249)*100</f>
        <v>1.83389228515423</v>
      </c>
      <c r="X249" s="11" t="n">
        <v>0.553615237075695</v>
      </c>
      <c r="Y249" s="11" t="n">
        <v>0.517051050820574</v>
      </c>
      <c r="Z249" s="12" t="n">
        <f aca="false">(Y249-X249)*100</f>
        <v>-3.65641862551209</v>
      </c>
      <c r="AA249" s="11" t="n">
        <v>0.289118604754895</v>
      </c>
      <c r="AB249" s="11" t="n">
        <v>0.358091254461031</v>
      </c>
      <c r="AC249" s="12" t="n">
        <f aca="false">(AB249-AA249)*100</f>
        <v>6.89726497061353</v>
      </c>
      <c r="AD249" s="11" t="n">
        <v>0.606217931817721</v>
      </c>
      <c r="AE249" s="11" t="n">
        <v>0.490128712312621</v>
      </c>
      <c r="AF249" s="12" t="n">
        <f aca="false">(AE249-AD249)*100</f>
        <v>-11.60892195051</v>
      </c>
      <c r="AG249" s="11" t="n">
        <v>0.021962397966011</v>
      </c>
      <c r="AH249" s="11" t="n">
        <v>0.0235683129309132</v>
      </c>
      <c r="AI249" s="12" t="n">
        <f aca="false">(AH249-AG249)*100</f>
        <v>0.160591496490221</v>
      </c>
      <c r="AJ249" s="14" t="s">
        <v>74</v>
      </c>
      <c r="AK249" s="14" t="s">
        <v>74</v>
      </c>
      <c r="AL249" s="14" t="s">
        <v>134</v>
      </c>
      <c r="AM249" s="20" t="n">
        <v>31.9862616530621</v>
      </c>
      <c r="AN249" s="20" t="n">
        <v>15.8959796359543</v>
      </c>
      <c r="AO249" s="12" t="n">
        <v>-16.0902820171078</v>
      </c>
    </row>
    <row r="250" customFormat="false" ht="15" hidden="false" customHeight="false" outlineLevel="0" collapsed="false">
      <c r="A250" s="14" t="s">
        <v>106</v>
      </c>
      <c r="B250" s="14" t="n">
        <v>6</v>
      </c>
      <c r="C250" s="11" t="n">
        <v>0.419406891282408</v>
      </c>
      <c r="D250" s="11" t="n">
        <v>0.450191000644937</v>
      </c>
      <c r="E250" s="12" t="n">
        <f aca="false">(D250-C250)*100</f>
        <v>3.07841093625292</v>
      </c>
      <c r="F250" s="11" t="n">
        <v>0.0328028691819524</v>
      </c>
      <c r="G250" s="11" t="n">
        <v>0.0498834151907526</v>
      </c>
      <c r="H250" s="12" t="n">
        <f aca="false">(G250-F250)*100</f>
        <v>1.70805460088002</v>
      </c>
      <c r="I250" s="11" t="n">
        <v>0.0415495407142165</v>
      </c>
      <c r="J250" s="11" t="n">
        <v>0.0238564766582329</v>
      </c>
      <c r="K250" s="12" t="n">
        <f aca="false">(J250-I250)*100</f>
        <v>-1.76930640559836</v>
      </c>
      <c r="L250" s="11" t="n">
        <v>0.142415655059556</v>
      </c>
      <c r="M250" s="11" t="n">
        <v>0.0718360867192539</v>
      </c>
      <c r="N250" s="12" t="n">
        <f aca="false">(M250-L250)*100</f>
        <v>-7.05795683403023</v>
      </c>
      <c r="O250" s="11" t="n">
        <v>0.236713212947811</v>
      </c>
      <c r="P250" s="11" t="n">
        <v>0.25022944882671</v>
      </c>
      <c r="Q250" s="12" t="n">
        <f aca="false">(P250-O250)*100</f>
        <v>1.35162358788995</v>
      </c>
      <c r="R250" s="11" t="n">
        <v>0.0175389580399245</v>
      </c>
      <c r="S250" s="11" t="n">
        <v>0.0106724711018505</v>
      </c>
      <c r="T250" s="12" t="n">
        <f aca="false">(S250-R250)*100</f>
        <v>-0.686648693807404</v>
      </c>
      <c r="U250" s="11" t="n">
        <v>0.0380086782490692</v>
      </c>
      <c r="V250" s="11" t="n">
        <v>0.034745993947512</v>
      </c>
      <c r="W250" s="12" t="n">
        <f aca="false">(V250-U250)*100</f>
        <v>-0.326268430155714</v>
      </c>
      <c r="X250" s="11" t="n">
        <v>0.469315376238019</v>
      </c>
      <c r="Y250" s="11" t="n">
        <v>0.523930892493923</v>
      </c>
      <c r="Z250" s="12" t="n">
        <f aca="false">(Y250-X250)*100</f>
        <v>5.46155162559038</v>
      </c>
      <c r="AA250" s="11" t="n">
        <v>0.396667826047291</v>
      </c>
      <c r="AB250" s="11" t="n">
        <v>0.332738006647815</v>
      </c>
      <c r="AC250" s="12" t="n">
        <f aca="false">(AB250-AA250)*100</f>
        <v>-6.39298193994766</v>
      </c>
      <c r="AD250" s="11" t="n">
        <v>0.596479234900196</v>
      </c>
      <c r="AE250" s="11" t="n">
        <v>0.516836214688179</v>
      </c>
      <c r="AF250" s="12" t="n">
        <f aca="false">(AE250-AD250)*100</f>
        <v>-7.96430202120172</v>
      </c>
      <c r="AG250" s="11" t="n">
        <v>0.0340116660299576</v>
      </c>
      <c r="AH250" s="11" t="n">
        <v>0.0355645681401002</v>
      </c>
      <c r="AI250" s="12" t="n">
        <f aca="false">(AH250-AG250)*100</f>
        <v>0.155290211014256</v>
      </c>
      <c r="AJ250" s="14" t="s">
        <v>74</v>
      </c>
      <c r="AK250" s="14" t="s">
        <v>74</v>
      </c>
      <c r="AL250" s="14" t="s">
        <v>134</v>
      </c>
      <c r="AM250" s="20" t="n">
        <v>17.0982033401566</v>
      </c>
      <c r="AN250" s="20" t="n">
        <v>19.1192885846108</v>
      </c>
      <c r="AO250" s="12" t="n">
        <v>2.02108524445423</v>
      </c>
    </row>
    <row r="251" customFormat="false" ht="15" hidden="false" customHeight="false" outlineLevel="0" collapsed="false">
      <c r="A251" s="14" t="s">
        <v>106</v>
      </c>
      <c r="B251" s="14" t="n">
        <v>7</v>
      </c>
      <c r="C251" s="11" t="n">
        <v>0.499230151888952</v>
      </c>
      <c r="D251" s="11" t="n">
        <v>0.486361547976674</v>
      </c>
      <c r="E251" s="12" t="n">
        <f aca="false">(D251-C251)*100</f>
        <v>-1.28686039122773</v>
      </c>
      <c r="F251" s="11" t="n">
        <v>0.0395981333412597</v>
      </c>
      <c r="G251" s="11" t="n">
        <v>0.0139600636154798</v>
      </c>
      <c r="H251" s="12" t="n">
        <f aca="false">(G251-F251)*100</f>
        <v>-2.56380697257799</v>
      </c>
      <c r="I251" s="11" t="n">
        <v>0.0242665636239337</v>
      </c>
      <c r="J251" s="11" t="n">
        <v>0.0178900865877364</v>
      </c>
      <c r="K251" s="12" t="n">
        <f aca="false">(J251-I251)*100</f>
        <v>-0.637647703619731</v>
      </c>
      <c r="L251" s="11" t="n">
        <v>0.0983978836607913</v>
      </c>
      <c r="M251" s="11" t="n">
        <v>0.0945255345467397</v>
      </c>
      <c r="N251" s="12" t="n">
        <f aca="false">(M251-L251)*100</f>
        <v>-0.387234911405154</v>
      </c>
      <c r="O251" s="11" t="n">
        <v>0.225717088250156</v>
      </c>
      <c r="P251" s="11" t="n">
        <v>0.251839547623255</v>
      </c>
      <c r="Q251" s="12" t="n">
        <f aca="false">(P251-O251)*100</f>
        <v>2.6122459373099</v>
      </c>
      <c r="R251" s="11" t="n">
        <v>0.0154504651784918</v>
      </c>
      <c r="S251" s="11" t="n">
        <v>0.0106520586676091</v>
      </c>
      <c r="T251" s="12" t="n">
        <f aca="false">(S251-R251)*100</f>
        <v>-0.479840651088269</v>
      </c>
      <c r="U251" s="11" t="n">
        <v>0.029795202568142</v>
      </c>
      <c r="V251" s="11" t="n">
        <v>0.0459091712316664</v>
      </c>
      <c r="W251" s="12" t="n">
        <f aca="false">(V251-U251)*100</f>
        <v>1.61139686635244</v>
      </c>
      <c r="X251" s="11" t="n">
        <v>0.560372142793449</v>
      </c>
      <c r="Y251" s="11" t="n">
        <v>0.51821169817989</v>
      </c>
      <c r="Z251" s="12" t="n">
        <f aca="false">(Y251-X251)*100</f>
        <v>-4.21604446135584</v>
      </c>
      <c r="AA251" s="11" t="n">
        <v>0.339565437089439</v>
      </c>
      <c r="AB251" s="11" t="n">
        <v>0.357017140837604</v>
      </c>
      <c r="AC251" s="12" t="n">
        <f aca="false">(AB251-AA251)*100</f>
        <v>1.74517037481647</v>
      </c>
      <c r="AD251" s="11" t="n">
        <v>0.549973844242464</v>
      </c>
      <c r="AE251" s="11" t="n">
        <v>0.435830689134654</v>
      </c>
      <c r="AF251" s="12" t="n">
        <f aca="false">(AE251-AD251)*100</f>
        <v>-11.414315510781</v>
      </c>
      <c r="AG251" s="11" t="n">
        <v>0.0269357667271052</v>
      </c>
      <c r="AH251" s="11" t="n">
        <v>0.0288672910408199</v>
      </c>
      <c r="AI251" s="12" t="n">
        <f aca="false">(AH251-AG251)*100</f>
        <v>0.193152431371474</v>
      </c>
      <c r="AJ251" s="14" t="s">
        <v>74</v>
      </c>
      <c r="AK251" s="14" t="s">
        <v>74</v>
      </c>
      <c r="AL251" s="14" t="s">
        <v>134</v>
      </c>
      <c r="AM251" s="20" t="n">
        <v>29.2031031715364</v>
      </c>
      <c r="AN251" s="20" t="n">
        <v>16.1194557342287</v>
      </c>
      <c r="AO251" s="12" t="n">
        <v>-13.0836474373078</v>
      </c>
    </row>
    <row r="252" customFormat="false" ht="15" hidden="false" customHeight="false" outlineLevel="0" collapsed="false">
      <c r="A252" s="14" t="s">
        <v>107</v>
      </c>
      <c r="B252" s="14" t="n">
        <v>1</v>
      </c>
      <c r="C252" s="11" t="n">
        <v>0.41200014851669</v>
      </c>
      <c r="D252" s="11" t="n">
        <v>0.422277915069378</v>
      </c>
      <c r="E252" s="12" t="n">
        <f aca="false">(D252-C252)*100</f>
        <v>1.02777665526887</v>
      </c>
      <c r="F252" s="11" t="n">
        <v>0.038547506776074</v>
      </c>
      <c r="G252" s="11" t="n">
        <v>0.0362478933258818</v>
      </c>
      <c r="H252" s="12" t="n">
        <f aca="false">(G252-F252)*100</f>
        <v>-0.229961345019221</v>
      </c>
      <c r="I252" s="11" t="n">
        <v>0.0250027846879293</v>
      </c>
      <c r="J252" s="11" t="n">
        <v>0.0486216020328859</v>
      </c>
      <c r="K252" s="12" t="n">
        <f aca="false">(J252-I252)*100</f>
        <v>2.36188173449566</v>
      </c>
      <c r="L252" s="11" t="n">
        <v>0.175457617049716</v>
      </c>
      <c r="M252" s="11" t="n">
        <v>0.142494127509453</v>
      </c>
      <c r="N252" s="12" t="n">
        <f aca="false">(M252-L252)*100</f>
        <v>-3.29634895402632</v>
      </c>
      <c r="O252" s="11" t="n">
        <v>0.218527457022983</v>
      </c>
      <c r="P252" s="11" t="n">
        <v>0.170629688168569</v>
      </c>
      <c r="Q252" s="12" t="n">
        <f aca="false">(P252-O252)*100</f>
        <v>-4.78977688544141</v>
      </c>
      <c r="R252" s="11" t="n">
        <v>0.0173690268443916</v>
      </c>
      <c r="S252" s="11" t="n">
        <v>0.0130722949431089</v>
      </c>
      <c r="T252" s="12" t="n">
        <f aca="false">(S252-R252)*100</f>
        <v>-0.429673190128276</v>
      </c>
      <c r="U252" s="11" t="n">
        <v>0.0363197564326291</v>
      </c>
      <c r="V252" s="11" t="n">
        <v>0.0547254992708506</v>
      </c>
      <c r="W252" s="12" t="n">
        <f aca="false">(V252-U252)*100</f>
        <v>1.84057428382215</v>
      </c>
      <c r="X252" s="11" t="n">
        <v>0.472364756989567</v>
      </c>
      <c r="Y252" s="11" t="n">
        <v>0.507147410428146</v>
      </c>
      <c r="Z252" s="12" t="n">
        <f aca="false">(Y252-X252)*100</f>
        <v>3.47826534385793</v>
      </c>
      <c r="AA252" s="11" t="n">
        <v>0.411354100917091</v>
      </c>
      <c r="AB252" s="11" t="n">
        <v>0.326196110621131</v>
      </c>
      <c r="AC252" s="12" t="n">
        <f aca="false">(AB252-AA252)*100</f>
        <v>-8.51579902959601</v>
      </c>
      <c r="AD252" s="11" t="n">
        <v>0.467473183601208</v>
      </c>
      <c r="AE252" s="11" t="n">
        <v>0.3785748524769</v>
      </c>
      <c r="AF252" s="12" t="n">
        <f aca="false">(AE252-AD252)*100</f>
        <v>-8.88983311243076</v>
      </c>
      <c r="AG252" s="11" t="n">
        <v>0.0348048861990866</v>
      </c>
      <c r="AH252" s="11" t="n">
        <v>0.0316022948557856</v>
      </c>
      <c r="AI252" s="12" t="n">
        <f aca="false">(AH252-AG252)*100</f>
        <v>-0.320259134330101</v>
      </c>
      <c r="AJ252" s="14" t="s">
        <v>74</v>
      </c>
      <c r="AK252" s="14" t="s">
        <v>74</v>
      </c>
      <c r="AL252" s="14" t="s">
        <v>134</v>
      </c>
      <c r="AM252" s="20" t="n">
        <v>20.9252589759774</v>
      </c>
      <c r="AN252" s="20" t="n">
        <v>18.0951299807016</v>
      </c>
      <c r="AO252" s="12" t="n">
        <v>-2.83012899527587</v>
      </c>
    </row>
    <row r="253" customFormat="false" ht="15" hidden="false" customHeight="false" outlineLevel="0" collapsed="false">
      <c r="A253" s="14" t="s">
        <v>107</v>
      </c>
      <c r="B253" s="14" t="n">
        <v>2</v>
      </c>
      <c r="C253" s="11" t="n">
        <v>0.368662545745302</v>
      </c>
      <c r="D253" s="11" t="n">
        <v>0.376619417771681</v>
      </c>
      <c r="E253" s="12" t="n">
        <f aca="false">(D253-C253)*100</f>
        <v>0.795687202637874</v>
      </c>
      <c r="F253" s="11" t="n">
        <v>0.0621890088261525</v>
      </c>
      <c r="G253" s="11" t="n">
        <v>0.0351209528164261</v>
      </c>
      <c r="H253" s="12" t="n">
        <f aca="false">(G253-F253)*100</f>
        <v>-2.70680560097264</v>
      </c>
      <c r="I253" s="11" t="n">
        <v>0.0206353599655565</v>
      </c>
      <c r="J253" s="11" t="n">
        <v>0.0335967949136673</v>
      </c>
      <c r="K253" s="12" t="n">
        <f aca="false">(J253-I253)*100</f>
        <v>1.29614349481109</v>
      </c>
      <c r="L253" s="11" t="n">
        <v>0.170034135990405</v>
      </c>
      <c r="M253" s="11" t="n">
        <v>0.137319369143786</v>
      </c>
      <c r="N253" s="12" t="n">
        <f aca="false">(M253-L253)*100</f>
        <v>-3.27147668466189</v>
      </c>
      <c r="O253" s="11" t="n">
        <v>0.234215948580742</v>
      </c>
      <c r="P253" s="11" t="n">
        <v>0.19558574839782</v>
      </c>
      <c r="Q253" s="12" t="n">
        <f aca="false">(P253-O253)*100</f>
        <v>-3.86302001829227</v>
      </c>
      <c r="R253" s="11" t="n">
        <v>0.0175846480302611</v>
      </c>
      <c r="S253" s="11" t="n">
        <v>0.015902047452116</v>
      </c>
      <c r="T253" s="12" t="n">
        <f aca="false">(S253-R253)*100</f>
        <v>-0.168260057814505</v>
      </c>
      <c r="U253" s="11" t="n">
        <v>0.0584986314850694</v>
      </c>
      <c r="V253" s="11" t="n">
        <v>0.0656621740298009</v>
      </c>
      <c r="W253" s="12" t="n">
        <f aca="false">(V253-U253)*100</f>
        <v>0.716354254473157</v>
      </c>
      <c r="X253" s="11" t="n">
        <v>0.445920595380878</v>
      </c>
      <c r="Y253" s="11" t="n">
        <v>0.445337165501775</v>
      </c>
      <c r="Z253" s="12" t="n">
        <f aca="false">(Y253-X253)*100</f>
        <v>-0.0583429879103203</v>
      </c>
      <c r="AA253" s="11" t="n">
        <v>0.421834732601409</v>
      </c>
      <c r="AB253" s="11" t="n">
        <v>0.348807164993722</v>
      </c>
      <c r="AC253" s="12" t="n">
        <f aca="false">(AB253-AA253)*100</f>
        <v>-7.30275676076866</v>
      </c>
      <c r="AD253" s="11" t="n">
        <v>0.487830125839379</v>
      </c>
      <c r="AE253" s="11" t="n">
        <v>0.390533500376982</v>
      </c>
      <c r="AF253" s="12" t="n">
        <f aca="false">(AE253-AD253)*100</f>
        <v>-9.72966254623973</v>
      </c>
      <c r="AG253" s="11" t="n">
        <v>0.0346833963772796</v>
      </c>
      <c r="AH253" s="11" t="n">
        <v>0.0345693528135229</v>
      </c>
      <c r="AI253" s="12" t="n">
        <f aca="false">(AH253-AG253)*100</f>
        <v>-0.0114043563756654</v>
      </c>
      <c r="AJ253" s="14" t="s">
        <v>74</v>
      </c>
      <c r="AK253" s="14" t="s">
        <v>74</v>
      </c>
      <c r="AL253" s="14" t="s">
        <v>134</v>
      </c>
      <c r="AM253" s="20" t="n">
        <v>17.2986437863272</v>
      </c>
      <c r="AN253" s="20" t="n">
        <v>9.65300005080526</v>
      </c>
      <c r="AO253" s="12" t="n">
        <v>-7.64564373552189</v>
      </c>
    </row>
    <row r="254" customFormat="false" ht="15" hidden="false" customHeight="false" outlineLevel="0" collapsed="false">
      <c r="A254" s="14" t="s">
        <v>107</v>
      </c>
      <c r="B254" s="14" t="n">
        <v>3</v>
      </c>
      <c r="C254" s="11" t="n">
        <v>0.427252270245799</v>
      </c>
      <c r="D254" s="11" t="n">
        <v>0.445730984681747</v>
      </c>
      <c r="E254" s="12" t="n">
        <f aca="false">(D254-C254)*100</f>
        <v>1.84787144359479</v>
      </c>
      <c r="F254" s="11" t="n">
        <v>0.0310311309951799</v>
      </c>
      <c r="G254" s="11" t="n">
        <v>0.0174897497994126</v>
      </c>
      <c r="H254" s="12" t="n">
        <f aca="false">(G254-F254)*100</f>
        <v>-1.35413811957673</v>
      </c>
      <c r="I254" s="11" t="n">
        <v>0.0252722963436393</v>
      </c>
      <c r="J254" s="11" t="n">
        <v>0.0204709571515852</v>
      </c>
      <c r="K254" s="12" t="n">
        <f aca="false">(J254-I254)*100</f>
        <v>-0.480133919205413</v>
      </c>
      <c r="L254" s="11" t="n">
        <v>0.148391520864957</v>
      </c>
      <c r="M254" s="11" t="n">
        <v>0.103561990710411</v>
      </c>
      <c r="N254" s="12" t="n">
        <f aca="false">(M254-L254)*100</f>
        <v>-4.48295301545463</v>
      </c>
      <c r="O254" s="11" t="n">
        <v>0.220313706692232</v>
      </c>
      <c r="P254" s="11" t="n">
        <v>0.219873243479989</v>
      </c>
      <c r="Q254" s="12" t="n">
        <f aca="false">(P254-O254)*100</f>
        <v>-0.0440463212242809</v>
      </c>
      <c r="R254" s="11" t="n">
        <v>0.0125296263747969</v>
      </c>
      <c r="S254" s="11" t="n">
        <v>0.00700031652324974</v>
      </c>
      <c r="T254" s="12" t="n">
        <f aca="false">(S254-R254)*100</f>
        <v>-0.55293098515472</v>
      </c>
      <c r="U254" s="11" t="n">
        <v>0.0612367180634337</v>
      </c>
      <c r="V254" s="11" t="n">
        <v>0.121515483875717</v>
      </c>
      <c r="W254" s="12" t="n">
        <f aca="false">(V254-U254)*100</f>
        <v>6.02787658122831</v>
      </c>
      <c r="X254" s="11" t="n">
        <v>0.477856781443903</v>
      </c>
      <c r="Y254" s="11" t="n">
        <v>0.483691691632745</v>
      </c>
      <c r="Z254" s="12" t="n">
        <f aca="false">(Y254-X254)*100</f>
        <v>0.583491018884175</v>
      </c>
      <c r="AA254" s="11" t="n">
        <v>0.381234853931986</v>
      </c>
      <c r="AB254" s="11" t="n">
        <v>0.33043555071365</v>
      </c>
      <c r="AC254" s="12" t="n">
        <f aca="false">(AB254-AA254)*100</f>
        <v>-5.07993032183363</v>
      </c>
      <c r="AD254" s="11" t="n">
        <v>0.49399135702587</v>
      </c>
      <c r="AE254" s="11" t="n">
        <v>0.415094858483792</v>
      </c>
      <c r="AF254" s="12" t="n">
        <f aca="false">(AE254-AD254)*100</f>
        <v>-7.88964985420777</v>
      </c>
      <c r="AG254" s="11" t="n">
        <v>0.0326622460120902</v>
      </c>
      <c r="AH254" s="11" t="n">
        <v>0.0253954700370259</v>
      </c>
      <c r="AI254" s="12" t="n">
        <f aca="false">(AH254-AG254)*100</f>
        <v>-0.726677597506436</v>
      </c>
      <c r="AJ254" s="14" t="s">
        <v>74</v>
      </c>
      <c r="AK254" s="14" t="s">
        <v>74</v>
      </c>
      <c r="AL254" s="14" t="s">
        <v>134</v>
      </c>
      <c r="AM254" s="20" t="n">
        <v>21.1152832148278</v>
      </c>
      <c r="AN254" s="20" t="n">
        <v>15.3256140919095</v>
      </c>
      <c r="AO254" s="12" t="n">
        <v>-5.78966912291832</v>
      </c>
    </row>
    <row r="255" customFormat="false" ht="15" hidden="false" customHeight="false" outlineLevel="0" collapsed="false">
      <c r="A255" s="14" t="s">
        <v>107</v>
      </c>
      <c r="B255" s="14" t="n">
        <v>4</v>
      </c>
      <c r="C255" s="11" t="n">
        <v>0.373325110046921</v>
      </c>
      <c r="D255" s="11" t="n">
        <v>0.400827946837098</v>
      </c>
      <c r="E255" s="12" t="n">
        <f aca="false">(D255-C255)*100</f>
        <v>2.75028367901767</v>
      </c>
      <c r="F255" s="11" t="n">
        <v>0.0388973540366662</v>
      </c>
      <c r="G255" s="11" t="n">
        <v>0.120983236387405</v>
      </c>
      <c r="H255" s="12" t="n">
        <f aca="false">(G255-F255)*100</f>
        <v>8.2085882350739</v>
      </c>
      <c r="I255" s="11" t="n">
        <v>0.0389578193779326</v>
      </c>
      <c r="J255" s="11" t="n">
        <v>0.033190500399448</v>
      </c>
      <c r="K255" s="12" t="n">
        <f aca="false">(J255-I255)*100</f>
        <v>-0.576731897848454</v>
      </c>
      <c r="L255" s="11" t="n">
        <v>0.134607942727229</v>
      </c>
      <c r="M255" s="11" t="n">
        <v>0.0760403805650374</v>
      </c>
      <c r="N255" s="12" t="n">
        <f aca="false">(M255-L255)*100</f>
        <v>-5.85675621621914</v>
      </c>
      <c r="O255" s="11" t="n">
        <v>0.268441929086248</v>
      </c>
      <c r="P255" s="11" t="n">
        <v>0.184294099393235</v>
      </c>
      <c r="Q255" s="12" t="n">
        <f aca="false">(P255-O255)*100</f>
        <v>-8.41478296930127</v>
      </c>
      <c r="R255" s="11" t="n">
        <v>0.0305168577371451</v>
      </c>
      <c r="S255" s="11" t="n">
        <v>0.0200054140064308</v>
      </c>
      <c r="T255" s="12" t="n">
        <f aca="false">(S255-R255)*100</f>
        <v>-1.05114437307143</v>
      </c>
      <c r="U255" s="11" t="n">
        <v>0.0331773327528661</v>
      </c>
      <c r="V255" s="11" t="n">
        <v>0.0713196310552691</v>
      </c>
      <c r="W255" s="12" t="n">
        <f aca="false">(V255-U255)*100</f>
        <v>3.8142298302403</v>
      </c>
      <c r="X255" s="11" t="n">
        <v>0.424315532336865</v>
      </c>
      <c r="Y255" s="11" t="n">
        <v>0.555001683623951</v>
      </c>
      <c r="Z255" s="12" t="n">
        <f aca="false">(Y255-X255)*100</f>
        <v>13.0686151287087</v>
      </c>
      <c r="AA255" s="11" t="n">
        <v>0.433566729550622</v>
      </c>
      <c r="AB255" s="11" t="n">
        <v>0.280339893964703</v>
      </c>
      <c r="AC255" s="12" t="n">
        <f aca="false">(AB255-AA255)*100</f>
        <v>-15.3226835585918</v>
      </c>
      <c r="AD255" s="11" t="n">
        <v>0.576417570238083</v>
      </c>
      <c r="AE255" s="11" t="n">
        <v>0.513631014755205</v>
      </c>
      <c r="AF255" s="12" t="n">
        <f aca="false">(AE255-AD255)*100</f>
        <v>-6.27865554828782</v>
      </c>
      <c r="AG255" s="11" t="n">
        <v>0.037276882890727</v>
      </c>
      <c r="AH255" s="11" t="n">
        <v>0.0348345096692834</v>
      </c>
      <c r="AI255" s="12" t="n">
        <f aca="false">(AH255-AG255)*100</f>
        <v>-0.244237322144361</v>
      </c>
      <c r="AJ255" s="14" t="s">
        <v>74</v>
      </c>
      <c r="AK255" s="14" t="s">
        <v>74</v>
      </c>
      <c r="AL255" s="14" t="s">
        <v>134</v>
      </c>
      <c r="AM255" s="20" t="n">
        <v>8.44882213515213</v>
      </c>
      <c r="AN255" s="20" t="n">
        <v>27.4661789659248</v>
      </c>
      <c r="AO255" s="12" t="n">
        <v>19.0173568307726</v>
      </c>
    </row>
    <row r="256" customFormat="false" ht="15" hidden="false" customHeight="false" outlineLevel="0" collapsed="false">
      <c r="A256" s="14" t="s">
        <v>107</v>
      </c>
      <c r="B256" s="14" t="n">
        <v>5</v>
      </c>
      <c r="C256" s="11" t="n">
        <v>0.403391360412637</v>
      </c>
      <c r="D256" s="11" t="n">
        <v>0.41011435762749</v>
      </c>
      <c r="E256" s="12" t="n">
        <f aca="false">(D256-C256)*100</f>
        <v>0.672299721485259</v>
      </c>
      <c r="F256" s="11" t="n">
        <v>0.0300644745325596</v>
      </c>
      <c r="G256" s="11" t="n">
        <v>0.0157036550667542</v>
      </c>
      <c r="H256" s="12" t="n">
        <f aca="false">(G256-F256)*100</f>
        <v>-1.43608194658054</v>
      </c>
      <c r="I256" s="11" t="n">
        <v>0.0263442940038685</v>
      </c>
      <c r="J256" s="11" t="n">
        <v>0.0182000984898227</v>
      </c>
      <c r="K256" s="12" t="n">
        <f aca="false">(J256-I256)*100</f>
        <v>-0.814419551404575</v>
      </c>
      <c r="L256" s="11" t="n">
        <v>0.150212765957447</v>
      </c>
      <c r="M256" s="11" t="n">
        <v>0.131162453490917</v>
      </c>
      <c r="N256" s="12" t="n">
        <f aca="false">(M256-L256)*100</f>
        <v>-1.90503124665298</v>
      </c>
      <c r="O256" s="11" t="n">
        <v>0.245963894261767</v>
      </c>
      <c r="P256" s="11" t="n">
        <v>0.28810325016415</v>
      </c>
      <c r="Q256" s="12" t="n">
        <f aca="false">(P256-O256)*100</f>
        <v>4.21393559023831</v>
      </c>
      <c r="R256" s="11" t="n">
        <v>0.0109735654416506</v>
      </c>
      <c r="S256" s="11" t="n">
        <v>0.00945228715254979</v>
      </c>
      <c r="T256" s="12" t="n">
        <f aca="false">(S256-R256)*100</f>
        <v>-0.152127828910076</v>
      </c>
      <c r="U256" s="11" t="n">
        <v>0.0615989684074791</v>
      </c>
      <c r="V256" s="11" t="n">
        <v>0.0704817793827971</v>
      </c>
      <c r="W256" s="12" t="n">
        <f aca="false">(V256-U256)*100</f>
        <v>0.888281097531806</v>
      </c>
      <c r="X256" s="11" t="n">
        <v>0.450992907801418</v>
      </c>
      <c r="Y256" s="11" t="n">
        <v>0.444018111184067</v>
      </c>
      <c r="Z256" s="12" t="n">
        <f aca="false">(Y256-X256)*100</f>
        <v>-0.69747966173519</v>
      </c>
      <c r="AA256" s="11" t="n">
        <v>0.407150225660864</v>
      </c>
      <c r="AB256" s="11" t="n">
        <v>0.428717990807617</v>
      </c>
      <c r="AC256" s="12" t="n">
        <f aca="false">(AB256-AA256)*100</f>
        <v>2.15677651467525</v>
      </c>
      <c r="AD256" s="11" t="n">
        <v>0.527987418172163</v>
      </c>
      <c r="AE256" s="11" t="n">
        <v>0.470342990600089</v>
      </c>
      <c r="AF256" s="12" t="n">
        <f aca="false">(AE256-AD256)*100</f>
        <v>-5.76444275720739</v>
      </c>
      <c r="AG256" s="11" t="n">
        <v>0.0331270148291425</v>
      </c>
      <c r="AH256" s="11" t="n">
        <v>0.0246976909608229</v>
      </c>
      <c r="AI256" s="12" t="n">
        <f aca="false">(AH256-AG256)*100</f>
        <v>-0.842932386831955</v>
      </c>
      <c r="AJ256" s="14" t="s">
        <v>74</v>
      </c>
      <c r="AK256" s="14" t="s">
        <v>74</v>
      </c>
      <c r="AL256" s="14" t="s">
        <v>134</v>
      </c>
      <c r="AM256" s="20" t="n">
        <v>15.8600902643456</v>
      </c>
      <c r="AN256" s="20" t="n">
        <v>1.530012037645</v>
      </c>
      <c r="AO256" s="12" t="n">
        <v>-14.3300782267006</v>
      </c>
    </row>
    <row r="257" customFormat="false" ht="15" hidden="false" customHeight="false" outlineLevel="0" collapsed="false">
      <c r="A257" s="14" t="s">
        <v>107</v>
      </c>
      <c r="B257" s="14" t="n">
        <v>6</v>
      </c>
      <c r="C257" s="11" t="n">
        <v>0.48861692805125</v>
      </c>
      <c r="D257" s="11" t="n">
        <v>0.448541872356729</v>
      </c>
      <c r="E257" s="12" t="n">
        <f aca="false">(D257-C257)*100</f>
        <v>-4.00750556945203</v>
      </c>
      <c r="F257" s="11" t="n">
        <v>0.0316683286495634</v>
      </c>
      <c r="G257" s="11" t="n">
        <v>0.0262816639896259</v>
      </c>
      <c r="H257" s="12" t="n">
        <f aca="false">(G257-F257)*100</f>
        <v>-0.53866646599375</v>
      </c>
      <c r="I257" s="11" t="n">
        <v>0.0201855377270118</v>
      </c>
      <c r="J257" s="11" t="n">
        <v>0.0231576310399198</v>
      </c>
      <c r="K257" s="12" t="n">
        <f aca="false">(J257-I257)*100</f>
        <v>0.297209331290808</v>
      </c>
      <c r="L257" s="11" t="n">
        <v>0.043507690448131</v>
      </c>
      <c r="M257" s="11" t="n">
        <v>0.0763103991983614</v>
      </c>
      <c r="N257" s="12" t="n">
        <f aca="false">(M257-L257)*100</f>
        <v>3.28027087502303</v>
      </c>
      <c r="O257" s="11" t="n">
        <v>0.182189586921706</v>
      </c>
      <c r="P257" s="11" t="n">
        <v>0.206753510853067</v>
      </c>
      <c r="Q257" s="12" t="n">
        <f aca="false">(P257-O257)*100</f>
        <v>2.45639239313618</v>
      </c>
      <c r="R257" s="11" t="n">
        <v>0.00984498232254555</v>
      </c>
      <c r="S257" s="11" t="n">
        <v>0.0169611411561869</v>
      </c>
      <c r="T257" s="12" t="n">
        <f aca="false">(S257-R257)*100</f>
        <v>0.711615883364136</v>
      </c>
      <c r="U257" s="11" t="n">
        <v>0.0554981416009428</v>
      </c>
      <c r="V257" s="11" t="n">
        <v>0.121468884926541</v>
      </c>
      <c r="W257" s="12" t="n">
        <f aca="false">(V257-U257)*100</f>
        <v>6.59707433255982</v>
      </c>
      <c r="X257" s="11" t="n">
        <v>0.534058562233705</v>
      </c>
      <c r="Y257" s="11" t="n">
        <v>0.497981167386275</v>
      </c>
      <c r="Z257" s="12" t="n">
        <f aca="false">(Y257-X257)*100</f>
        <v>-3.60773948474301</v>
      </c>
      <c r="AA257" s="11" t="n">
        <v>0.235542259692382</v>
      </c>
      <c r="AB257" s="11" t="n">
        <v>0.300025051207616</v>
      </c>
      <c r="AC257" s="12" t="n">
        <f aca="false">(AB257-AA257)*100</f>
        <v>6.44827915152335</v>
      </c>
      <c r="AD257" s="11" t="n">
        <v>0.517786845745114</v>
      </c>
      <c r="AE257" s="11" t="n">
        <v>0.417814418263873</v>
      </c>
      <c r="AF257" s="12" t="n">
        <f aca="false">(AE257-AD257)*100</f>
        <v>-9.99724274812405</v>
      </c>
      <c r="AG257" s="11" t="n">
        <v>0.0266400749403197</v>
      </c>
      <c r="AH257" s="11" t="n">
        <v>0.0267532161329777</v>
      </c>
      <c r="AI257" s="12" t="n">
        <f aca="false">(AH257-AG257)*100</f>
        <v>0.0113141192658008</v>
      </c>
      <c r="AJ257" s="14" t="s">
        <v>74</v>
      </c>
      <c r="AK257" s="14" t="s">
        <v>74</v>
      </c>
      <c r="AL257" s="14" t="s">
        <v>134</v>
      </c>
      <c r="AM257" s="20" t="n">
        <v>31.4132898195993</v>
      </c>
      <c r="AN257" s="20" t="n">
        <v>19.7956116178659</v>
      </c>
      <c r="AO257" s="12" t="n">
        <v>-11.6176782017334</v>
      </c>
    </row>
    <row r="258" customFormat="false" ht="15" hidden="false" customHeight="false" outlineLevel="0" collapsed="false">
      <c r="A258" s="14" t="s">
        <v>107</v>
      </c>
      <c r="B258" s="14" t="n">
        <v>7</v>
      </c>
      <c r="C258" s="11" t="n">
        <v>0.430130185776525</v>
      </c>
      <c r="D258" s="11" t="n">
        <v>0.449369442965405</v>
      </c>
      <c r="E258" s="12" t="n">
        <f aca="false">(D258-C258)*100</f>
        <v>1.92392571888798</v>
      </c>
      <c r="F258" s="11" t="n">
        <v>0.0333027368747657</v>
      </c>
      <c r="G258" s="11" t="n">
        <v>0.0713780351711512</v>
      </c>
      <c r="H258" s="12" t="n">
        <f aca="false">(G258-F258)*100</f>
        <v>3.80752982963855</v>
      </c>
      <c r="I258" s="11" t="n">
        <v>0.0161407092345283</v>
      </c>
      <c r="J258" s="11" t="n">
        <v>0.022333899825676</v>
      </c>
      <c r="K258" s="12" t="n">
        <f aca="false">(J258-I258)*100</f>
        <v>0.619319059114764</v>
      </c>
      <c r="L258" s="11" t="n">
        <v>0.141562487879924</v>
      </c>
      <c r="M258" s="11" t="n">
        <v>0.0830482636888134</v>
      </c>
      <c r="N258" s="12" t="n">
        <f aca="false">(M258-L258)*100</f>
        <v>-5.85142241911107</v>
      </c>
      <c r="O258" s="11" t="n">
        <v>0.261257126604698</v>
      </c>
      <c r="P258" s="11" t="n">
        <v>0.222711723473935</v>
      </c>
      <c r="Q258" s="12" t="n">
        <f aca="false">(P258-O258)*100</f>
        <v>-3.85454031307628</v>
      </c>
      <c r="R258" s="11" t="n">
        <v>0.0239880544530775</v>
      </c>
      <c r="S258" s="11" t="n">
        <v>0.0130268925828404</v>
      </c>
      <c r="T258" s="12" t="n">
        <f aca="false">(S258-R258)*100</f>
        <v>-1.09611618702371</v>
      </c>
      <c r="U258" s="11" t="n">
        <v>0.0280022236299466</v>
      </c>
      <c r="V258" s="11" t="n">
        <v>0.052384738258656</v>
      </c>
      <c r="W258" s="12" t="n">
        <f aca="false">(V258-U258)*100</f>
        <v>2.43825146287094</v>
      </c>
      <c r="X258" s="11" t="n">
        <v>0.473568538221872</v>
      </c>
      <c r="Y258" s="11" t="n">
        <v>0.543081377962232</v>
      </c>
      <c r="Z258" s="12" t="n">
        <f aca="false">(Y258-X258)*100</f>
        <v>6.95128397403605</v>
      </c>
      <c r="AA258" s="11" t="n">
        <v>0.4268076689377</v>
      </c>
      <c r="AB258" s="11" t="n">
        <v>0.318786879745589</v>
      </c>
      <c r="AC258" s="12" t="n">
        <f aca="false">(AB258-AA258)*100</f>
        <v>-10.8020789192111</v>
      </c>
      <c r="AD258" s="11" t="n">
        <v>0.578364151606463</v>
      </c>
      <c r="AE258" s="11" t="n">
        <v>0.499277127738994</v>
      </c>
      <c r="AF258" s="12" t="n">
        <f aca="false">(AE258-AD258)*100</f>
        <v>-7.90870238674692</v>
      </c>
      <c r="AG258" s="11" t="n">
        <v>0.0368062468487802</v>
      </c>
      <c r="AH258" s="11" t="n">
        <v>0.0286722926893312</v>
      </c>
      <c r="AI258" s="12" t="n">
        <f aca="false">(AH258-AG258)*100</f>
        <v>-0.813395415944901</v>
      </c>
      <c r="AJ258" s="14" t="s">
        <v>74</v>
      </c>
      <c r="AK258" s="14" t="s">
        <v>74</v>
      </c>
      <c r="AL258" s="14" t="s">
        <v>134</v>
      </c>
      <c r="AM258" s="20" t="n">
        <v>17.7696474512288</v>
      </c>
      <c r="AN258" s="20" t="n">
        <v>22.4294498216643</v>
      </c>
      <c r="AO258" s="12" t="n">
        <v>4.65980237043551</v>
      </c>
    </row>
    <row r="259" customFormat="false" ht="15" hidden="false" customHeight="false" outlineLevel="0" collapsed="false">
      <c r="A259" s="14" t="s">
        <v>108</v>
      </c>
      <c r="B259" s="14" t="n">
        <v>1</v>
      </c>
      <c r="C259" s="11" t="n">
        <v>0.589979585283054</v>
      </c>
      <c r="D259" s="11" t="n">
        <v>0.597284267928659</v>
      </c>
      <c r="E259" s="12" t="n">
        <f aca="false">(D259-C259)*100</f>
        <v>0.73046826456058</v>
      </c>
      <c r="F259" s="11" t="n">
        <v>0.0193767776860262</v>
      </c>
      <c r="G259" s="11" t="n">
        <v>0.00925415961215484</v>
      </c>
      <c r="H259" s="12" t="n">
        <f aca="false">(G259-F259)*100</f>
        <v>-1.01226180738714</v>
      </c>
      <c r="I259" s="11" t="n">
        <v>0.0774841728598954</v>
      </c>
      <c r="J259" s="11" t="n">
        <v>0.126518844895933</v>
      </c>
      <c r="K259" s="12" t="n">
        <f aca="false">(J259-I259)*100</f>
        <v>4.90346720360378</v>
      </c>
      <c r="L259" s="11" t="n">
        <v>0.0209136159280668</v>
      </c>
      <c r="M259" s="11" t="n">
        <v>0.0117903841054199</v>
      </c>
      <c r="N259" s="12" t="n">
        <f aca="false">(M259-L259)*100</f>
        <v>-0.912323182264689</v>
      </c>
      <c r="O259" s="11" t="n">
        <v>0.0955190843196624</v>
      </c>
      <c r="P259" s="11" t="n">
        <v>0.0711230782829828</v>
      </c>
      <c r="Q259" s="12" t="n">
        <f aca="false">(P259-O259)*100</f>
        <v>-2.43960060366795</v>
      </c>
      <c r="R259" s="11" t="n">
        <v>0.0738026424442609</v>
      </c>
      <c r="S259" s="11" t="n">
        <v>0.0677301130761751</v>
      </c>
      <c r="T259" s="12" t="n">
        <f aca="false">(S259-R259)*100</f>
        <v>-0.607252936808581</v>
      </c>
      <c r="U259" s="11" t="n">
        <v>0.0166815762914029</v>
      </c>
      <c r="V259" s="11" t="n">
        <v>0.0145985897775874</v>
      </c>
      <c r="W259" s="12" t="n">
        <f aca="false">(V259-U259)*100</f>
        <v>-0.208298651381549</v>
      </c>
      <c r="X259" s="11" t="n">
        <v>0.648935682172676</v>
      </c>
      <c r="Y259" s="11" t="n">
        <v>0.733057272436747</v>
      </c>
      <c r="Z259" s="12" t="n">
        <f aca="false">(Y259-X259)*100</f>
        <v>8.4121590264071</v>
      </c>
      <c r="AA259" s="11" t="n">
        <v>0.19023534269199</v>
      </c>
      <c r="AB259" s="11" t="n">
        <v>0.150643575464578</v>
      </c>
      <c r="AC259" s="12" t="n">
        <f aca="false">(AB259-AA259)*100</f>
        <v>-3.95917672274122</v>
      </c>
      <c r="AD259" s="11" t="n">
        <v>0.71272560816113</v>
      </c>
      <c r="AE259" s="11" t="n">
        <v>0.575002639079489</v>
      </c>
      <c r="AF259" s="12" t="n">
        <f aca="false">(AE259-AD259)*100</f>
        <v>-13.7722969081641</v>
      </c>
      <c r="AG259" s="11" t="n">
        <v>0.0397800256904303</v>
      </c>
      <c r="AH259" s="11" t="n">
        <v>0.027259313655495</v>
      </c>
      <c r="AI259" s="12" t="n">
        <f aca="false">(AH259-AG259)*100</f>
        <v>-1.25207120349353</v>
      </c>
      <c r="AJ259" s="14" t="s">
        <v>74</v>
      </c>
      <c r="AK259" s="14" t="s">
        <v>74</v>
      </c>
      <c r="AL259" s="14" t="s">
        <v>134</v>
      </c>
      <c r="AM259" s="20" t="n">
        <v>45.6647398843931</v>
      </c>
      <c r="AN259" s="20" t="n">
        <v>58.241369697217</v>
      </c>
      <c r="AO259" s="12" t="n">
        <v>12.5766298128239</v>
      </c>
    </row>
    <row r="260" customFormat="false" ht="15" hidden="false" customHeight="false" outlineLevel="0" collapsed="false">
      <c r="A260" s="14" t="s">
        <v>108</v>
      </c>
      <c r="B260" s="14" t="n">
        <v>2</v>
      </c>
      <c r="C260" s="11" t="n">
        <v>0.60676554051463</v>
      </c>
      <c r="D260" s="11" t="n">
        <v>0.576177653266999</v>
      </c>
      <c r="E260" s="12" t="n">
        <f aca="false">(D260-C260)*100</f>
        <v>-3.05878872476306</v>
      </c>
      <c r="F260" s="11" t="n">
        <v>0.0185508302335391</v>
      </c>
      <c r="G260" s="11" t="n">
        <v>0.0207032712255322</v>
      </c>
      <c r="H260" s="12" t="n">
        <f aca="false">(G260-F260)*100</f>
        <v>0.215244099199309</v>
      </c>
      <c r="I260" s="11" t="n">
        <v>0.0227019979292097</v>
      </c>
      <c r="J260" s="11" t="n">
        <v>0.0371922282733387</v>
      </c>
      <c r="K260" s="12" t="n">
        <f aca="false">(J260-I260)*100</f>
        <v>1.44902303441291</v>
      </c>
      <c r="L260" s="11" t="n">
        <v>0.00880565249070062</v>
      </c>
      <c r="M260" s="11" t="n">
        <v>0.00553657034523565</v>
      </c>
      <c r="N260" s="12" t="n">
        <f aca="false">(M260-L260)*100</f>
        <v>-0.326908214546497</v>
      </c>
      <c r="O260" s="11" t="n">
        <v>0.0908415461901292</v>
      </c>
      <c r="P260" s="11" t="n">
        <v>0.0207213843237173</v>
      </c>
      <c r="Q260" s="12" t="n">
        <f aca="false">(P260-O260)*100</f>
        <v>-7.01201618664119</v>
      </c>
      <c r="R260" s="11" t="n">
        <v>0.177853088928941</v>
      </c>
      <c r="S260" s="11" t="n">
        <v>0.257580331590451</v>
      </c>
      <c r="T260" s="12" t="n">
        <f aca="false">(S260-R260)*100</f>
        <v>7.97272426615096</v>
      </c>
      <c r="U260" s="11" t="n">
        <v>0.0121227518502895</v>
      </c>
      <c r="V260" s="11" t="n">
        <v>0.012866337410793</v>
      </c>
      <c r="W260" s="12" t="n">
        <f aca="false">(V260-U260)*100</f>
        <v>0.0743585560503459</v>
      </c>
      <c r="X260" s="11" t="n">
        <v>0.636341411972236</v>
      </c>
      <c r="Y260" s="11" t="n">
        <v>0.63407315276587</v>
      </c>
      <c r="Z260" s="12" t="n">
        <f aca="false">(Y260-X260)*100</f>
        <v>-0.226825920636597</v>
      </c>
      <c r="AA260" s="11" t="n">
        <v>0.277500287609771</v>
      </c>
      <c r="AB260" s="11" t="n">
        <v>0.283838286259404</v>
      </c>
      <c r="AC260" s="12" t="n">
        <f aca="false">(AB260-AA260)*100</f>
        <v>0.633799864963264</v>
      </c>
      <c r="AD260" s="11" t="n">
        <v>0.693491124260355</v>
      </c>
      <c r="AE260" s="11" t="n">
        <v>0.531334511752648</v>
      </c>
      <c r="AF260" s="12" t="n">
        <f aca="false">(AE260-AD260)*100</f>
        <v>-16.2156612507708</v>
      </c>
      <c r="AG260" s="11" t="n">
        <v>0.0375858035817004</v>
      </c>
      <c r="AH260" s="11" t="n">
        <v>0.0260828613864973</v>
      </c>
      <c r="AI260" s="12" t="n">
        <f aca="false">(AH260-AG260)*100</f>
        <v>-1.15029421952031</v>
      </c>
      <c r="AJ260" s="14" t="s">
        <v>74</v>
      </c>
      <c r="AK260" s="14" t="s">
        <v>74</v>
      </c>
      <c r="AL260" s="14" t="s">
        <v>134</v>
      </c>
      <c r="AM260" s="20" t="n">
        <v>43.7559918702305</v>
      </c>
      <c r="AN260" s="20" t="n">
        <v>35.0234866506466</v>
      </c>
      <c r="AO260" s="12" t="n">
        <v>-8.73250521958384</v>
      </c>
    </row>
    <row r="261" customFormat="false" ht="15" hidden="false" customHeight="false" outlineLevel="0" collapsed="false">
      <c r="A261" s="14" t="s">
        <v>108</v>
      </c>
      <c r="B261" s="14" t="n">
        <v>3</v>
      </c>
      <c r="C261" s="11" t="n">
        <v>0.581978154635466</v>
      </c>
      <c r="D261" s="11" t="n">
        <v>0.581563407617448</v>
      </c>
      <c r="E261" s="12" t="n">
        <f aca="false">(D261-C261)*100</f>
        <v>-0.0414747018017359</v>
      </c>
      <c r="F261" s="11" t="n">
        <v>0.0189841092964678</v>
      </c>
      <c r="G261" s="11" t="n">
        <v>0.0133105755068893</v>
      </c>
      <c r="H261" s="12" t="n">
        <f aca="false">(G261-F261)*100</f>
        <v>-0.567353378957854</v>
      </c>
      <c r="I261" s="11" t="n">
        <v>0.0253798562988242</v>
      </c>
      <c r="J261" s="11" t="n">
        <v>0.0125053338655728</v>
      </c>
      <c r="K261" s="12" t="n">
        <f aca="false">(J261-I261)*100</f>
        <v>-1.28745224332513</v>
      </c>
      <c r="L261" s="11" t="n">
        <v>0.0140625181367599</v>
      </c>
      <c r="M261" s="11" t="n">
        <v>0.00655205164558356</v>
      </c>
      <c r="N261" s="12" t="n">
        <f aca="false">(M261-L261)*100</f>
        <v>-0.751046649117632</v>
      </c>
      <c r="O261" s="11" t="n">
        <v>0.11798470128031</v>
      </c>
      <c r="P261" s="11" t="n">
        <v>0.050186513234869</v>
      </c>
      <c r="Q261" s="12" t="n">
        <f aca="false">(P261-O261)*100</f>
        <v>-6.77981880454411</v>
      </c>
      <c r="R261" s="11" t="n">
        <v>0.168599319798958</v>
      </c>
      <c r="S261" s="11" t="n">
        <v>0.22806920948671</v>
      </c>
      <c r="T261" s="12" t="n">
        <f aca="false">(S261-R261)*100</f>
        <v>5.94698896877525</v>
      </c>
      <c r="U261" s="11" t="n">
        <v>0.0149156713212847</v>
      </c>
      <c r="V261" s="11" t="n">
        <v>0.0288441685363873</v>
      </c>
      <c r="W261" s="12" t="n">
        <f aca="false">(V261-U261)*100</f>
        <v>1.39284972151026</v>
      </c>
      <c r="X261" s="11" t="n">
        <v>0.611374215041033</v>
      </c>
      <c r="Y261" s="11" t="n">
        <v>0.60737931698991</v>
      </c>
      <c r="Z261" s="12" t="n">
        <f aca="false">(Y261-X261)*100</f>
        <v>-0.399489805112219</v>
      </c>
      <c r="AA261" s="11" t="n">
        <v>0.300646539216028</v>
      </c>
      <c r="AB261" s="11" t="n">
        <v>0.284807774367163</v>
      </c>
      <c r="AC261" s="12" t="n">
        <f aca="false">(AB261-AA261)*100</f>
        <v>-1.58387648488651</v>
      </c>
      <c r="AD261" s="11" t="n">
        <v>0.715447762123647</v>
      </c>
      <c r="AE261" s="11" t="n">
        <v>0.576019346270491</v>
      </c>
      <c r="AF261" s="12" t="n">
        <f aca="false">(AE261-AD261)*100</f>
        <v>-13.9428415853156</v>
      </c>
      <c r="AG261" s="11" t="n">
        <v>0.0307715522744948</v>
      </c>
      <c r="AH261" s="11" t="n">
        <v>0.0283348704042726</v>
      </c>
      <c r="AI261" s="12" t="n">
        <f aca="false">(AH261-AG261)*100</f>
        <v>-0.243668187022218</v>
      </c>
      <c r="AJ261" s="14" t="s">
        <v>74</v>
      </c>
      <c r="AK261" s="14" t="s">
        <v>74</v>
      </c>
      <c r="AL261" s="14" t="s">
        <v>134</v>
      </c>
      <c r="AM261" s="20" t="n">
        <v>41.379670578403</v>
      </c>
      <c r="AN261" s="20" t="n">
        <v>32.2571542622748</v>
      </c>
      <c r="AO261" s="12" t="n">
        <v>-9.12251631612826</v>
      </c>
    </row>
    <row r="262" customFormat="false" ht="15" hidden="false" customHeight="false" outlineLevel="0" collapsed="false">
      <c r="A262" s="14" t="s">
        <v>108</v>
      </c>
      <c r="B262" s="14" t="n">
        <v>4</v>
      </c>
      <c r="C262" s="11" t="n">
        <v>0.751646675132237</v>
      </c>
      <c r="D262" s="11" t="n">
        <v>0.631648927056276</v>
      </c>
      <c r="E262" s="12" t="n">
        <f aca="false">(D262-C262)*100</f>
        <v>-11.9997748075961</v>
      </c>
      <c r="F262" s="11" t="n">
        <v>0.0234736851721586</v>
      </c>
      <c r="G262" s="11" t="n">
        <v>0.0193685018539207</v>
      </c>
      <c r="H262" s="12" t="n">
        <f aca="false">(G262-F262)*100</f>
        <v>-0.410518331823798</v>
      </c>
      <c r="I262" s="11" t="n">
        <v>0.0224185341165508</v>
      </c>
      <c r="J262" s="11" t="n">
        <v>0.0264483540885633</v>
      </c>
      <c r="K262" s="12" t="n">
        <f aca="false">(J262-I262)*100</f>
        <v>0.402981997201246</v>
      </c>
      <c r="L262" s="11" t="n">
        <v>0.0218795392050282</v>
      </c>
      <c r="M262" s="11" t="n">
        <v>0.0286895077001103</v>
      </c>
      <c r="N262" s="12" t="n">
        <f aca="false">(M262-L262)*100</f>
        <v>0.680996849508216</v>
      </c>
      <c r="O262" s="11" t="n">
        <v>0.0758155723851895</v>
      </c>
      <c r="P262" s="11" t="n">
        <v>0.157175461081374</v>
      </c>
      <c r="Q262" s="12" t="n">
        <f aca="false">(P262-O262)*100</f>
        <v>8.13598886961843</v>
      </c>
      <c r="R262" s="11" t="n">
        <v>0.0292199190594082</v>
      </c>
      <c r="S262" s="11" t="n">
        <v>0.0334665231962826</v>
      </c>
      <c r="T262" s="12" t="n">
        <f aca="false">(S262-R262)*100</f>
        <v>0.424660413687436</v>
      </c>
      <c r="U262" s="11" t="n">
        <v>0.0181339813452948</v>
      </c>
      <c r="V262" s="11" t="n">
        <v>0.0218426806116225</v>
      </c>
      <c r="W262" s="12" t="n">
        <f aca="false">(V262-U262)*100</f>
        <v>0.370869926632771</v>
      </c>
      <c r="X262" s="11" t="n">
        <v>0.792084996756895</v>
      </c>
      <c r="Y262" s="11" t="n">
        <v>0.67746578299876</v>
      </c>
      <c r="Z262" s="12" t="n">
        <f aca="false">(Y262-X262)*100</f>
        <v>-11.4619213758136</v>
      </c>
      <c r="AA262" s="11" t="n">
        <v>0.126915030649626</v>
      </c>
      <c r="AB262" s="11" t="n">
        <v>0.219331491977767</v>
      </c>
      <c r="AC262" s="12" t="n">
        <f aca="false">(AB262-AA262)*100</f>
        <v>9.24164613281408</v>
      </c>
      <c r="AD262" s="11" t="n">
        <v>0.706598113164919</v>
      </c>
      <c r="AE262" s="11" t="n">
        <v>0.469167918042644</v>
      </c>
      <c r="AF262" s="12" t="n">
        <f aca="false">(AE262-AD262)*100</f>
        <v>-23.7430195122275</v>
      </c>
      <c r="AG262" s="11" t="n">
        <v>0.0253190575811005</v>
      </c>
      <c r="AH262" s="11" t="n">
        <v>0.0304646110193479</v>
      </c>
      <c r="AI262" s="12" t="n">
        <f aca="false">(AH262-AG262)*100</f>
        <v>0.514555343824748</v>
      </c>
      <c r="AJ262" s="14" t="s">
        <v>74</v>
      </c>
      <c r="AK262" s="14" t="s">
        <v>74</v>
      </c>
      <c r="AL262" s="14" t="s">
        <v>134</v>
      </c>
      <c r="AM262" s="20" t="n">
        <v>67.9266053369632</v>
      </c>
      <c r="AN262" s="20" t="n">
        <v>45.8134291020993</v>
      </c>
      <c r="AO262" s="12" t="n">
        <v>-22.1131762348639</v>
      </c>
    </row>
    <row r="263" customFormat="false" ht="15" hidden="false" customHeight="false" outlineLevel="0" collapsed="false">
      <c r="A263" s="14" t="s">
        <v>108</v>
      </c>
      <c r="B263" s="14" t="n">
        <v>5</v>
      </c>
      <c r="C263" s="11" t="n">
        <v>0.650169357163448</v>
      </c>
      <c r="D263" s="11" t="n">
        <v>0.518018870475006</v>
      </c>
      <c r="E263" s="12" t="n">
        <f aca="false">(D263-C263)*100</f>
        <v>-13.2150486688442</v>
      </c>
      <c r="F263" s="11" t="n">
        <v>0.0218722974920726</v>
      </c>
      <c r="G263" s="11" t="n">
        <v>0.0513666225093947</v>
      </c>
      <c r="H263" s="12" t="n">
        <f aca="false">(G263-F263)*100</f>
        <v>2.94943250173221</v>
      </c>
      <c r="I263" s="11" t="n">
        <v>0.0505233857019314</v>
      </c>
      <c r="J263" s="11" t="n">
        <v>0.0874313985238855</v>
      </c>
      <c r="K263" s="12" t="n">
        <f aca="false">(J263-I263)*100</f>
        <v>3.69080128219541</v>
      </c>
      <c r="L263" s="11" t="n">
        <v>0.0163862063995388</v>
      </c>
      <c r="M263" s="11" t="n">
        <v>0.00800237908567412</v>
      </c>
      <c r="N263" s="12" t="n">
        <f aca="false">(M263-L263)*100</f>
        <v>-0.838382731386465</v>
      </c>
      <c r="O263" s="11" t="n">
        <v>0.0892638368405881</v>
      </c>
      <c r="P263" s="11" t="n">
        <v>0.0446835545702777</v>
      </c>
      <c r="Q263" s="12" t="n">
        <f aca="false">(P263-O263)*100</f>
        <v>-4.45802822703104</v>
      </c>
      <c r="R263" s="11" t="n">
        <v>0.0890881738253099</v>
      </c>
      <c r="S263" s="11" t="n">
        <v>0.0831328232717835</v>
      </c>
      <c r="T263" s="12" t="n">
        <f aca="false">(S263-R263)*100</f>
        <v>-0.595535055352638</v>
      </c>
      <c r="U263" s="11" t="n">
        <v>0.0170618333813779</v>
      </c>
      <c r="V263" s="11" t="n">
        <v>0.0398388710157074</v>
      </c>
      <c r="W263" s="12" t="n">
        <f aca="false">(V263-U263)*100</f>
        <v>2.27770376343295</v>
      </c>
      <c r="X263" s="11" t="n">
        <v>0.69174293744595</v>
      </c>
      <c r="Y263" s="11" t="n">
        <v>0.656816891508286</v>
      </c>
      <c r="Z263" s="12" t="n">
        <f aca="false">(Y263-X263)*100</f>
        <v>-3.49260459376636</v>
      </c>
      <c r="AA263" s="11" t="n">
        <v>0.194738217065437</v>
      </c>
      <c r="AB263" s="11" t="n">
        <v>0.135818756927735</v>
      </c>
      <c r="AC263" s="12" t="n">
        <f aca="false">(AB263-AA263)*100</f>
        <v>-5.89194601377014</v>
      </c>
      <c r="AD263" s="11" t="n">
        <v>0.751944075649606</v>
      </c>
      <c r="AE263" s="11" t="n">
        <v>0.590246860389041</v>
      </c>
      <c r="AF263" s="12" t="n">
        <f aca="false">(AE263-AD263)*100</f>
        <v>-16.1697215260565</v>
      </c>
      <c r="AG263" s="11" t="n">
        <v>0.035979388872874</v>
      </c>
      <c r="AH263" s="11" t="n">
        <v>0.0336532482629971</v>
      </c>
      <c r="AI263" s="12" t="n">
        <f aca="false">(AH263-AG263)*100</f>
        <v>-0.232614060987691</v>
      </c>
      <c r="AJ263" s="14" t="s">
        <v>74</v>
      </c>
      <c r="AK263" s="14" t="s">
        <v>74</v>
      </c>
      <c r="AL263" s="14" t="s">
        <v>134</v>
      </c>
      <c r="AM263" s="20" t="n">
        <v>54.2150115307005</v>
      </c>
      <c r="AN263" s="20" t="n">
        <v>52.0998134580551</v>
      </c>
      <c r="AO263" s="12" t="n">
        <v>-2.11519807264538</v>
      </c>
    </row>
    <row r="264" customFormat="false" ht="15" hidden="false" customHeight="false" outlineLevel="0" collapsed="false">
      <c r="A264" s="14" t="s">
        <v>108</v>
      </c>
      <c r="B264" s="14" t="n">
        <v>6</v>
      </c>
      <c r="C264" s="11" t="n">
        <v>0.640841213804434</v>
      </c>
      <c r="D264" s="11" t="n">
        <v>0.601550795643196</v>
      </c>
      <c r="E264" s="12" t="n">
        <f aca="false">(D264-C264)*100</f>
        <v>-3.92904181612384</v>
      </c>
      <c r="F264" s="11" t="n">
        <v>0.0258955377137995</v>
      </c>
      <c r="G264" s="11" t="n">
        <v>0.0126871009974221</v>
      </c>
      <c r="H264" s="12" t="n">
        <f aca="false">(G264-F264)*100</f>
        <v>-1.32084367163775</v>
      </c>
      <c r="I264" s="11" t="n">
        <v>0.0633306277320868</v>
      </c>
      <c r="J264" s="11" t="n">
        <v>0.0433790878784198</v>
      </c>
      <c r="K264" s="12" t="n">
        <f aca="false">(J264-I264)*100</f>
        <v>-1.9951539853667</v>
      </c>
      <c r="L264" s="11" t="n">
        <v>0.0158082087289868</v>
      </c>
      <c r="M264" s="11" t="n">
        <v>0.0195975219662307</v>
      </c>
      <c r="N264" s="12" t="n">
        <f aca="false">(M264-L264)*100</f>
        <v>0.378931323724395</v>
      </c>
      <c r="O264" s="11" t="n">
        <v>0.097915057159901</v>
      </c>
      <c r="P264" s="11" t="n">
        <v>0.128153216989918</v>
      </c>
      <c r="Q264" s="12" t="n">
        <f aca="false">(P264-O264)*100</f>
        <v>3.02381598300168</v>
      </c>
      <c r="R264" s="11" t="n">
        <v>0.0488572909434073</v>
      </c>
      <c r="S264" s="11" t="n">
        <v>0.0306110053852695</v>
      </c>
      <c r="T264" s="12" t="n">
        <f aca="false">(S264-R264)*100</f>
        <v>-1.82462855581378</v>
      </c>
      <c r="U264" s="11" t="n">
        <v>0.0273917678007374</v>
      </c>
      <c r="V264" s="11" t="n">
        <v>0.0805428459596982</v>
      </c>
      <c r="W264" s="12" t="n">
        <f aca="false">(V264-U264)*100</f>
        <v>5.31510781589609</v>
      </c>
      <c r="X264" s="11" t="n">
        <v>0.68397273536286</v>
      </c>
      <c r="Y264" s="11" t="n">
        <v>0.657616984519037</v>
      </c>
      <c r="Z264" s="12" t="n">
        <f aca="false">(Y264-X264)*100</f>
        <v>-2.63557508438229</v>
      </c>
      <c r="AA264" s="11" t="n">
        <v>0.162580556832295</v>
      </c>
      <c r="AB264" s="11" t="n">
        <v>0.178361744341418</v>
      </c>
      <c r="AC264" s="12" t="n">
        <f aca="false">(AB264-AA264)*100</f>
        <v>1.57811875091229</v>
      </c>
      <c r="AD264" s="11" t="n">
        <v>0.690440501269378</v>
      </c>
      <c r="AE264" s="11" t="n">
        <v>0.480010106703465</v>
      </c>
      <c r="AF264" s="12" t="n">
        <f aca="false">(AE264-AD264)*100</f>
        <v>-21.0430394565913</v>
      </c>
      <c r="AG264" s="11" t="n">
        <v>0.0366185200035205</v>
      </c>
      <c r="AH264" s="11" t="n">
        <v>0.0309011890782956</v>
      </c>
      <c r="AI264" s="12" t="n">
        <f aca="false">(AH264-AG264)*100</f>
        <v>-0.571733092522493</v>
      </c>
      <c r="AJ264" s="14" t="s">
        <v>74</v>
      </c>
      <c r="AK264" s="14" t="s">
        <v>74</v>
      </c>
      <c r="AL264" s="14" t="s">
        <v>134</v>
      </c>
      <c r="AM264" s="20" t="n">
        <v>50.8757346685312</v>
      </c>
      <c r="AN264" s="20" t="n">
        <v>47.9255240177619</v>
      </c>
      <c r="AO264" s="12" t="n">
        <v>-2.95021065076931</v>
      </c>
    </row>
    <row r="265" customFormat="false" ht="15" hidden="false" customHeight="false" outlineLevel="0" collapsed="false">
      <c r="A265" s="14" t="s">
        <v>109</v>
      </c>
      <c r="B265" s="14" t="n">
        <v>1</v>
      </c>
      <c r="C265" s="11" t="n">
        <v>0.308254350363816</v>
      </c>
      <c r="D265" s="11" t="n">
        <v>0.405921845412291</v>
      </c>
      <c r="E265" s="12" t="n">
        <f aca="false">(D265-C265)*100</f>
        <v>9.76674950484757</v>
      </c>
      <c r="F265" s="11" t="n">
        <v>0.0252221301510304</v>
      </c>
      <c r="G265" s="11" t="n">
        <v>0.0143080366010302</v>
      </c>
      <c r="H265" s="12" t="n">
        <f aca="false">(G265-F265)*100</f>
        <v>-1.09140935500001</v>
      </c>
      <c r="I265" s="11" t="n">
        <v>0.0324137639039261</v>
      </c>
      <c r="J265" s="11" t="n">
        <v>0.0195518889786406</v>
      </c>
      <c r="K265" s="12" t="n">
        <f aca="false">(J265-I265)*100</f>
        <v>-1.28618749252855</v>
      </c>
      <c r="L265" s="11" t="n">
        <v>0.329393761605507</v>
      </c>
      <c r="M265" s="11" t="n">
        <v>0.395659255531867</v>
      </c>
      <c r="N265" s="12" t="n">
        <f aca="false">(M265-L265)*100</f>
        <v>6.62654939263605</v>
      </c>
      <c r="O265" s="11" t="n">
        <v>0.210269096539669</v>
      </c>
      <c r="P265" s="11" t="n">
        <v>0.0770025292318286</v>
      </c>
      <c r="Q265" s="12" t="n">
        <f aca="false">(P265-O265)*100</f>
        <v>-13.326656730784</v>
      </c>
      <c r="R265" s="11" t="n">
        <v>0.00984691316208092</v>
      </c>
      <c r="S265" s="11" t="n">
        <v>0.00632307957148722</v>
      </c>
      <c r="T265" s="12" t="n">
        <f aca="false">(S265-R265)*100</f>
        <v>-0.35238335905937</v>
      </c>
      <c r="U265" s="11" t="n">
        <v>0.0175466186014722</v>
      </c>
      <c r="V265" s="11" t="n">
        <v>0.0216308910576427</v>
      </c>
      <c r="W265" s="12" t="n">
        <f aca="false">(V265-U265)*100</f>
        <v>0.408427245617045</v>
      </c>
      <c r="X265" s="11" t="n">
        <v>0.352837640853802</v>
      </c>
      <c r="Y265" s="11" t="n">
        <v>0.439781770991962</v>
      </c>
      <c r="Z265" s="12" t="n">
        <f aca="false">(Y265-X265)*100</f>
        <v>8.69441301381597</v>
      </c>
      <c r="AA265" s="11" t="n">
        <v>0.549509771307256</v>
      </c>
      <c r="AB265" s="11" t="n">
        <v>0.478984864335183</v>
      </c>
      <c r="AC265" s="12" t="n">
        <f aca="false">(AB265-AA265)*100</f>
        <v>-7.05249069720735</v>
      </c>
      <c r="AD265" s="11" t="n">
        <v>0.532653975147475</v>
      </c>
      <c r="AE265" s="11" t="n">
        <v>0.465195214804046</v>
      </c>
      <c r="AF265" s="12" t="n">
        <f aca="false">(AE265-AD265)*100</f>
        <v>-6.74587603434292</v>
      </c>
      <c r="AG265" s="11" t="n">
        <v>0.0276112767720512</v>
      </c>
      <c r="AH265" s="11" t="n">
        <v>0.0212468715653429</v>
      </c>
      <c r="AI265" s="12" t="n">
        <f aca="false">(AH265-AG265)*100</f>
        <v>-0.636440520670832</v>
      </c>
      <c r="AJ265" s="14" t="s">
        <v>132</v>
      </c>
      <c r="AK265" s="14" t="s">
        <v>132</v>
      </c>
      <c r="AL265" s="14" t="s">
        <v>150</v>
      </c>
      <c r="AM265" s="20" t="n">
        <v>0.394965251525727</v>
      </c>
      <c r="AN265" s="20" t="n">
        <v>3.92030933432207</v>
      </c>
      <c r="AO265" s="12" t="n">
        <v>3.52534408279635</v>
      </c>
    </row>
    <row r="266" customFormat="false" ht="15" hidden="false" customHeight="false" outlineLevel="0" collapsed="false">
      <c r="A266" s="14" t="s">
        <v>109</v>
      </c>
      <c r="B266" s="14" t="n">
        <v>2</v>
      </c>
      <c r="C266" s="11" t="n">
        <v>0.360525079182966</v>
      </c>
      <c r="D266" s="11" t="n">
        <v>0.349885861453364</v>
      </c>
      <c r="E266" s="12" t="n">
        <f aca="false">(D266-C266)*100</f>
        <v>-1.0639217729602</v>
      </c>
      <c r="F266" s="11" t="n">
        <v>0.0242095434545133</v>
      </c>
      <c r="G266" s="11" t="n">
        <v>0.0305247446515848</v>
      </c>
      <c r="H266" s="12" t="n">
        <f aca="false">(G266-F266)*100</f>
        <v>0.631520119707149</v>
      </c>
      <c r="I266" s="11" t="n">
        <v>0.029024600118393</v>
      </c>
      <c r="J266" s="11" t="n">
        <v>0.0348415230179402</v>
      </c>
      <c r="K266" s="12" t="n">
        <f aca="false">(J266-I266)*100</f>
        <v>0.581692289954721</v>
      </c>
      <c r="L266" s="11" t="n">
        <v>0.349869706641605</v>
      </c>
      <c r="M266" s="11" t="n">
        <v>0.364475109016945</v>
      </c>
      <c r="N266" s="12" t="n">
        <f aca="false">(M266-L266)*100</f>
        <v>1.46054023753404</v>
      </c>
      <c r="O266" s="11" t="n">
        <v>0.136286242608064</v>
      </c>
      <c r="P266" s="11" t="n">
        <v>0.0898841054757236</v>
      </c>
      <c r="Q266" s="12" t="n">
        <f aca="false">(P266-O266)*100</f>
        <v>-4.64021371323406</v>
      </c>
      <c r="R266" s="11" t="n">
        <v>0.0101976675352891</v>
      </c>
      <c r="S266" s="11" t="n">
        <v>0.00850917498317188</v>
      </c>
      <c r="T266" s="12" t="n">
        <f aca="false">(S266-R266)*100</f>
        <v>-0.168849255211718</v>
      </c>
      <c r="U266" s="11" t="n">
        <v>0.0153971964042695</v>
      </c>
      <c r="V266" s="11" t="n">
        <v>0.030949105914718</v>
      </c>
      <c r="W266" s="12" t="n">
        <f aca="false">(V266-U266)*100</f>
        <v>1.55519095104486</v>
      </c>
      <c r="X266" s="11" t="n">
        <v>0.41993518897114</v>
      </c>
      <c r="Y266" s="11" t="n">
        <v>0.415252129122889</v>
      </c>
      <c r="Z266" s="12" t="n">
        <f aca="false">(Y266-X266)*100</f>
        <v>-0.468305984825096</v>
      </c>
      <c r="AA266" s="11" t="n">
        <v>0.496353616784958</v>
      </c>
      <c r="AB266" s="11" t="n">
        <v>0.462868389475841</v>
      </c>
      <c r="AC266" s="12" t="n">
        <f aca="false">(AB266-AA266)*100</f>
        <v>-3.34852273091173</v>
      </c>
      <c r="AD266" s="11" t="n">
        <v>0.584706239183572</v>
      </c>
      <c r="AE266" s="11" t="n">
        <v>0.473281068203225</v>
      </c>
      <c r="AF266" s="12" t="n">
        <f aca="false">(AE266-AD266)*100</f>
        <v>-11.1425170980347</v>
      </c>
      <c r="AG266" s="11" t="n">
        <v>0.0262478564148882</v>
      </c>
      <c r="AH266" s="11" t="n">
        <v>0.0232959700313149</v>
      </c>
      <c r="AI266" s="12" t="n">
        <f aca="false">(AH266-AG266)*100</f>
        <v>-0.295188638357329</v>
      </c>
      <c r="AJ266" s="14" t="s">
        <v>74</v>
      </c>
      <c r="AK266" s="14" t="s">
        <v>132</v>
      </c>
      <c r="AL266" s="14" t="s">
        <v>133</v>
      </c>
      <c r="AM266" s="20" t="n">
        <v>4.44706183899769</v>
      </c>
      <c r="AN266" s="20" t="n">
        <v>4.76162603529515</v>
      </c>
      <c r="AO266" s="12" t="n">
        <v>0.314564196297464</v>
      </c>
    </row>
    <row r="267" customFormat="false" ht="15" hidden="false" customHeight="false" outlineLevel="0" collapsed="false">
      <c r="A267" s="14" t="s">
        <v>109</v>
      </c>
      <c r="B267" s="14" t="n">
        <v>3</v>
      </c>
      <c r="C267" s="11" t="n">
        <v>0.301675476102302</v>
      </c>
      <c r="D267" s="11" t="n">
        <v>0.376780043028378</v>
      </c>
      <c r="E267" s="12" t="n">
        <f aca="false">(D267-C267)*100</f>
        <v>7.51045669260766</v>
      </c>
      <c r="F267" s="11" t="n">
        <v>0.0342109102335342</v>
      </c>
      <c r="G267" s="11" t="n">
        <v>0.0392697981764164</v>
      </c>
      <c r="H267" s="12" t="n">
        <f aca="false">(G267-F267)*100</f>
        <v>0.505888794288214</v>
      </c>
      <c r="I267" s="11" t="n">
        <v>0.0158682063540159</v>
      </c>
      <c r="J267" s="11" t="n">
        <v>0.0254456510603422</v>
      </c>
      <c r="K267" s="12" t="n">
        <f aca="false">(J267-I267)*100</f>
        <v>0.957744470632631</v>
      </c>
      <c r="L267" s="11" t="n">
        <v>0.320573679426321</v>
      </c>
      <c r="M267" s="11" t="n">
        <v>0.323935816002459</v>
      </c>
      <c r="N267" s="12" t="n">
        <f aca="false">(M267-L267)*100</f>
        <v>0.33621365761381</v>
      </c>
      <c r="O267" s="11" t="n">
        <v>0.222076333479222</v>
      </c>
      <c r="P267" s="11" t="n">
        <v>0.135251254994365</v>
      </c>
      <c r="Q267" s="12" t="n">
        <f aca="false">(P267-O267)*100</f>
        <v>-8.68250784848568</v>
      </c>
      <c r="R267" s="11" t="n">
        <v>0.0144205411350144</v>
      </c>
      <c r="S267" s="11" t="n">
        <v>0.0123258375166479</v>
      </c>
      <c r="T267" s="12" t="n">
        <f aca="false">(S267-R267)*100</f>
        <v>-0.209470361836653</v>
      </c>
      <c r="U267" s="11" t="n">
        <v>0.0173832048390174</v>
      </c>
      <c r="V267" s="11" t="n">
        <v>0.0248501690400574</v>
      </c>
      <c r="W267" s="12" t="n">
        <f aca="false">(V267-U267)*100</f>
        <v>0.746696420103999</v>
      </c>
      <c r="X267" s="11" t="n">
        <v>0.360968027920861</v>
      </c>
      <c r="Y267" s="11" t="n">
        <v>0.441495492265137</v>
      </c>
      <c r="Z267" s="12" t="n">
        <f aca="false">(Y267-X267)*100</f>
        <v>8.05274643442758</v>
      </c>
      <c r="AA267" s="11" t="n">
        <v>0.557070554040557</v>
      </c>
      <c r="AB267" s="11" t="n">
        <v>0.471512908513472</v>
      </c>
      <c r="AC267" s="12" t="n">
        <f aca="false">(AB267-AA267)*100</f>
        <v>-8.55576455270851</v>
      </c>
      <c r="AD267" s="11" t="n">
        <v>0.606379612459808</v>
      </c>
      <c r="AE267" s="11" t="n">
        <v>0.508201789067102</v>
      </c>
      <c r="AF267" s="12" t="n">
        <f aca="false">(AE267-AD267)*100</f>
        <v>-9.8177823392707</v>
      </c>
      <c r="AG267" s="11" t="n">
        <v>0.0305973582915306</v>
      </c>
      <c r="AH267" s="11" t="n">
        <v>0.0239025202335826</v>
      </c>
      <c r="AI267" s="12" t="n">
        <f aca="false">(AH267-AG267)*100</f>
        <v>-0.669483805794797</v>
      </c>
      <c r="AJ267" s="14" t="s">
        <v>74</v>
      </c>
      <c r="AK267" s="14" t="s">
        <v>132</v>
      </c>
      <c r="AL267" s="14" t="s">
        <v>133</v>
      </c>
      <c r="AM267" s="20" t="n">
        <v>0.859060252050859</v>
      </c>
      <c r="AN267" s="20" t="n">
        <v>3.00174162483352</v>
      </c>
      <c r="AO267" s="12" t="n">
        <v>2.14268137278266</v>
      </c>
    </row>
    <row r="268" customFormat="false" ht="15" hidden="false" customHeight="false" outlineLevel="0" collapsed="false">
      <c r="A268" s="14" t="s">
        <v>109</v>
      </c>
      <c r="B268" s="14" t="n">
        <v>4</v>
      </c>
      <c r="C268" s="11" t="n">
        <v>0.352634475567013</v>
      </c>
      <c r="D268" s="11" t="n">
        <v>0.552630861690674</v>
      </c>
      <c r="E268" s="12" t="n">
        <f aca="false">(D268-C268)*100</f>
        <v>19.9996386123661</v>
      </c>
      <c r="F268" s="11" t="n">
        <v>0.0266141412971063</v>
      </c>
      <c r="G268" s="11" t="n">
        <v>0.0190926559369847</v>
      </c>
      <c r="H268" s="12" t="n">
        <f aca="false">(G268-F268)*100</f>
        <v>-0.752148536012159</v>
      </c>
      <c r="I268" s="11" t="n">
        <v>0.0182081510876807</v>
      </c>
      <c r="J268" s="11" t="n">
        <v>0.0170961719292986</v>
      </c>
      <c r="K268" s="12" t="n">
        <f aca="false">(J268-I268)*100</f>
        <v>-0.111197915838211</v>
      </c>
      <c r="L268" s="11" t="n">
        <v>0.324629956840367</v>
      </c>
      <c r="M268" s="11" t="n">
        <v>0.253512585344581</v>
      </c>
      <c r="N268" s="12" t="n">
        <f aca="false">(M268-L268)*100</f>
        <v>-7.11173714957864</v>
      </c>
      <c r="O268" s="11" t="n">
        <v>0.194415317324682</v>
      </c>
      <c r="P268" s="11" t="n">
        <v>0.0804726147807956</v>
      </c>
      <c r="Q268" s="12" t="n">
        <f aca="false">(P268-O268)*100</f>
        <v>-11.3942702543887</v>
      </c>
      <c r="R268" s="11" t="n">
        <v>0.0132954841699736</v>
      </c>
      <c r="S268" s="11" t="n">
        <v>0.00737949549598659</v>
      </c>
      <c r="T268" s="12" t="n">
        <f aca="false">(S268-R268)*100</f>
        <v>-0.591598867398705</v>
      </c>
      <c r="U268" s="11" t="n">
        <v>0.0206065521536367</v>
      </c>
      <c r="V268" s="11" t="n">
        <v>0.0214093950585317</v>
      </c>
      <c r="W268" s="12" t="n">
        <f aca="false">(V268-U268)*100</f>
        <v>0.0802842904895029</v>
      </c>
      <c r="X268" s="11" t="n">
        <v>0.390041421660922</v>
      </c>
      <c r="Y268" s="11" t="n">
        <v>0.588819689556958</v>
      </c>
      <c r="Z268" s="12" t="n">
        <f aca="false">(Y268-X268)*100</f>
        <v>19.8778267896036</v>
      </c>
      <c r="AA268" s="11" t="n">
        <v>0.532340758335023</v>
      </c>
      <c r="AB268" s="11" t="n">
        <v>0.341364695621363</v>
      </c>
      <c r="AC268" s="12" t="n">
        <f aca="false">(AB268-AA268)*100</f>
        <v>-19.097606271366</v>
      </c>
      <c r="AD268" s="11" t="n">
        <v>0.577755984576661</v>
      </c>
      <c r="AE268" s="11" t="n">
        <v>0.46717684584482</v>
      </c>
      <c r="AF268" s="12" t="n">
        <f aca="false">(AE268-AD268)*100</f>
        <v>-11.0579138731842</v>
      </c>
      <c r="AG268" s="11" t="n">
        <v>0.0241867740347015</v>
      </c>
      <c r="AH268" s="11" t="n">
        <v>0.0190313304896496</v>
      </c>
      <c r="AI268" s="12" t="n">
        <f aca="false">(AH268-AG268)*100</f>
        <v>-0.515544354505187</v>
      </c>
      <c r="AJ268" s="14" t="s">
        <v>74</v>
      </c>
      <c r="AK268" s="14" t="s">
        <v>74</v>
      </c>
      <c r="AL268" s="14" t="s">
        <v>134</v>
      </c>
      <c r="AM268" s="20" t="n">
        <v>3.15094284969441</v>
      </c>
      <c r="AN268" s="20" t="n">
        <v>24.7454993935595</v>
      </c>
      <c r="AO268" s="12" t="n">
        <v>21.5945565438651</v>
      </c>
    </row>
    <row r="269" customFormat="false" ht="15" hidden="false" customHeight="false" outlineLevel="0" collapsed="false">
      <c r="A269" s="14" t="s">
        <v>109</v>
      </c>
      <c r="B269" s="14" t="n">
        <v>5</v>
      </c>
      <c r="C269" s="11" t="n">
        <v>0.250764140233075</v>
      </c>
      <c r="D269" s="11" t="n">
        <v>0.298893925849127</v>
      </c>
      <c r="E269" s="12" t="n">
        <f aca="false">(D269-C269)*100</f>
        <v>4.81297856160525</v>
      </c>
      <c r="F269" s="11" t="n">
        <v>0.0296243826232085</v>
      </c>
      <c r="G269" s="11" t="n">
        <v>0.0203917544314377</v>
      </c>
      <c r="H269" s="12" t="n">
        <f aca="false">(G269-F269)*100</f>
        <v>-0.923262819177083</v>
      </c>
      <c r="I269" s="11" t="n">
        <v>0.0249570625964272</v>
      </c>
      <c r="J269" s="11" t="n">
        <v>0.0181595053082038</v>
      </c>
      <c r="K269" s="12" t="n">
        <f aca="false">(J269-I269)*100</f>
        <v>-0.679755728822344</v>
      </c>
      <c r="L269" s="11" t="n">
        <v>0.31511687706803</v>
      </c>
      <c r="M269" s="11" t="n">
        <v>0.397504324321465</v>
      </c>
      <c r="N269" s="12" t="n">
        <f aca="false">(M269-L269)*100</f>
        <v>8.23874472534347</v>
      </c>
      <c r="O269" s="11" t="n">
        <v>0.270932590702233</v>
      </c>
      <c r="P269" s="11" t="n">
        <v>0.150999486900083</v>
      </c>
      <c r="Q269" s="12" t="n">
        <f aca="false">(P269-O269)*100</f>
        <v>-11.993310380215</v>
      </c>
      <c r="R269" s="11" t="n">
        <v>0.00979555003541729</v>
      </c>
      <c r="S269" s="11" t="n">
        <v>0.00795040386782123</v>
      </c>
      <c r="T269" s="12" t="n">
        <f aca="false">(S269-R269)*100</f>
        <v>-0.184514616759606</v>
      </c>
      <c r="U269" s="11" t="n">
        <v>0.0371056793813133</v>
      </c>
      <c r="V269" s="11" t="n">
        <v>0.047030632594011</v>
      </c>
      <c r="W269" s="12" t="n">
        <f aca="false">(V269-U269)*100</f>
        <v>0.992495321269776</v>
      </c>
      <c r="X269" s="11" t="n">
        <v>0.298189351523914</v>
      </c>
      <c r="Y269" s="11" t="n">
        <v>0.337445185588769</v>
      </c>
      <c r="Z269" s="12" t="n">
        <f aca="false">(Y269-X269)*100</f>
        <v>3.92558340648549</v>
      </c>
      <c r="AA269" s="11" t="n">
        <v>0.59584501780568</v>
      </c>
      <c r="AB269" s="11" t="n">
        <v>0.556454215089369</v>
      </c>
      <c r="AC269" s="12" t="n">
        <f aca="false">(AB269-AA269)*100</f>
        <v>-3.9390802716311</v>
      </c>
      <c r="AD269" s="11" t="n">
        <v>0.687429335663519</v>
      </c>
      <c r="AE269" s="11" t="n">
        <v>0.614249648275167</v>
      </c>
      <c r="AF269" s="12" t="n">
        <f aca="false">(AE269-AD269)*100</f>
        <v>-7.3179687388352</v>
      </c>
      <c r="AG269" s="11" t="n">
        <v>0.0340636735010722</v>
      </c>
      <c r="AH269" s="11" t="n">
        <v>0.0197093844387904</v>
      </c>
      <c r="AI269" s="12" t="n">
        <f aca="false">(AH269-AG269)*100</f>
        <v>-1.43542890622819</v>
      </c>
      <c r="AJ269" s="14" t="s">
        <v>132</v>
      </c>
      <c r="AK269" s="14" t="s">
        <v>132</v>
      </c>
      <c r="AL269" s="14" t="s">
        <v>150</v>
      </c>
      <c r="AM269" s="20" t="n">
        <v>5.67549996603821</v>
      </c>
      <c r="AN269" s="20" t="n">
        <v>21.90090295006</v>
      </c>
      <c r="AO269" s="12" t="n">
        <v>16.2254029840218</v>
      </c>
    </row>
    <row r="270" customFormat="false" ht="15" hidden="false" customHeight="false" outlineLevel="0" collapsed="false">
      <c r="A270" s="14" t="s">
        <v>109</v>
      </c>
      <c r="B270" s="14" t="n">
        <v>6</v>
      </c>
      <c r="C270" s="11" t="n">
        <v>0.194910085389368</v>
      </c>
      <c r="D270" s="11" t="n">
        <v>0.309839404702198</v>
      </c>
      <c r="E270" s="12" t="n">
        <f aca="false">(D270-C270)*100</f>
        <v>11.492931931283</v>
      </c>
      <c r="F270" s="11" t="n">
        <v>0.0202012749380238</v>
      </c>
      <c r="G270" s="11" t="n">
        <v>0.0355172519677786</v>
      </c>
      <c r="H270" s="12" t="n">
        <f aca="false">(G270-F270)*100</f>
        <v>1.53159770297548</v>
      </c>
      <c r="I270" s="11" t="n">
        <v>0.0227934521701491</v>
      </c>
      <c r="J270" s="11" t="n">
        <v>0.0377741839732239</v>
      </c>
      <c r="K270" s="12" t="n">
        <f aca="false">(J270-I270)*100</f>
        <v>1.49807318030747</v>
      </c>
      <c r="L270" s="11" t="n">
        <v>0.428019124070358</v>
      </c>
      <c r="M270" s="11" t="n">
        <v>0.374471591316185</v>
      </c>
      <c r="N270" s="12" t="n">
        <f aca="false">(M270-L270)*100</f>
        <v>-5.35475327541723</v>
      </c>
      <c r="O270" s="11" t="n">
        <v>0.199263172392083</v>
      </c>
      <c r="P270" s="11" t="n">
        <v>0.137949211353238</v>
      </c>
      <c r="Q270" s="12" t="n">
        <f aca="false">(P270-O270)*100</f>
        <v>-6.13139610388448</v>
      </c>
      <c r="R270" s="11" t="n">
        <v>0.0225622712784795</v>
      </c>
      <c r="S270" s="11" t="n">
        <v>0.00824471079540221</v>
      </c>
      <c r="T270" s="12" t="n">
        <f aca="false">(S270-R270)*100</f>
        <v>-1.43175604830773</v>
      </c>
      <c r="U270" s="11" t="n">
        <v>0.0378152913862984</v>
      </c>
      <c r="V270" s="11" t="n">
        <v>0.0330863161342491</v>
      </c>
      <c r="W270" s="12" t="n">
        <f aca="false">(V270-U270)*100</f>
        <v>-0.472897525204928</v>
      </c>
      <c r="X270" s="11" t="n">
        <v>0.228805139102034</v>
      </c>
      <c r="Y270" s="11" t="n">
        <v>0.3831308406432</v>
      </c>
      <c r="Z270" s="12" t="n">
        <f aca="false">(Y270-X270)*100</f>
        <v>15.4325701541166</v>
      </c>
      <c r="AA270" s="11" t="n">
        <v>0.64984456774092</v>
      </c>
      <c r="AB270" s="11" t="n">
        <v>0.520665513464826</v>
      </c>
      <c r="AC270" s="12" t="n">
        <f aca="false">(AB270-AA270)*100</f>
        <v>-12.9179054276094</v>
      </c>
      <c r="AD270" s="11" t="n">
        <v>0.723831496197556</v>
      </c>
      <c r="AE270" s="11" t="n">
        <v>0.678825904039299</v>
      </c>
      <c r="AF270" s="12" t="n">
        <f aca="false">(AE270-AD270)*100</f>
        <v>-4.50055921582575</v>
      </c>
      <c r="AG270" s="11" t="n">
        <v>0.0375742730098768</v>
      </c>
      <c r="AH270" s="11" t="n">
        <v>0.0306093204638737</v>
      </c>
      <c r="AI270" s="12" t="n">
        <f aca="false">(AH270-AG270)*100</f>
        <v>-0.69649525460031</v>
      </c>
      <c r="AJ270" s="14" t="s">
        <v>132</v>
      </c>
      <c r="AK270" s="14" t="s">
        <v>132</v>
      </c>
      <c r="AL270" s="14" t="s">
        <v>150</v>
      </c>
      <c r="AM270" s="20" t="n">
        <v>24.341872270098</v>
      </c>
      <c r="AN270" s="20" t="n">
        <v>13.7534672821626</v>
      </c>
      <c r="AO270" s="12" t="n">
        <v>-10.5884049879354</v>
      </c>
    </row>
    <row r="271" customFormat="false" ht="15" hidden="false" customHeight="false" outlineLevel="0" collapsed="false">
      <c r="A271" s="14" t="s">
        <v>109</v>
      </c>
      <c r="B271" s="14" t="n">
        <v>7</v>
      </c>
      <c r="C271" s="11" t="n">
        <v>0.390721694892858</v>
      </c>
      <c r="D271" s="11" t="n">
        <v>0.46853871286097</v>
      </c>
      <c r="E271" s="12" t="n">
        <f aca="false">(D271-C271)*100</f>
        <v>7.78170179681117</v>
      </c>
      <c r="F271" s="11" t="n">
        <v>0.0296980641751272</v>
      </c>
      <c r="G271" s="11" t="n">
        <v>0.0218466687508045</v>
      </c>
      <c r="H271" s="12" t="n">
        <f aca="false">(G271-F271)*100</f>
        <v>-0.785139542432264</v>
      </c>
      <c r="I271" s="11" t="n">
        <v>0.0261303323276147</v>
      </c>
      <c r="J271" s="11" t="n">
        <v>0.0129829529781717</v>
      </c>
      <c r="K271" s="12" t="n">
        <f aca="false">(J271-I271)*100</f>
        <v>-1.3147379349443</v>
      </c>
      <c r="L271" s="11" t="n">
        <v>0.277908692492347</v>
      </c>
      <c r="M271" s="11" t="n">
        <v>0.333474319130547</v>
      </c>
      <c r="N271" s="12" t="n">
        <f aca="false">(M271-L271)*100</f>
        <v>5.55656266381997</v>
      </c>
      <c r="O271" s="11" t="n">
        <v>0.17067852974211</v>
      </c>
      <c r="P271" s="11" t="n">
        <v>0.0427186965556557</v>
      </c>
      <c r="Q271" s="12" t="n">
        <f aca="false">(P271-O271)*100</f>
        <v>-12.7959833186455</v>
      </c>
      <c r="R271" s="11" t="n">
        <v>0.0121291871297377</v>
      </c>
      <c r="S271" s="11" t="n">
        <v>0.0179358453324506</v>
      </c>
      <c r="T271" s="12" t="n">
        <f aca="false">(S271-R271)*100</f>
        <v>0.580665820271293</v>
      </c>
      <c r="U271" s="11" t="n">
        <v>0.0149866760631621</v>
      </c>
      <c r="V271" s="11" t="n">
        <v>0.0308145914170299</v>
      </c>
      <c r="W271" s="12" t="n">
        <f aca="false">(V271-U271)*100</f>
        <v>1.58279153538678</v>
      </c>
      <c r="X271" s="11" t="n">
        <v>0.439232937652785</v>
      </c>
      <c r="Y271" s="11" t="n">
        <v>0.503368334589946</v>
      </c>
      <c r="Z271" s="12" t="n">
        <f aca="false">(Y271-X271)*100</f>
        <v>6.41353969371611</v>
      </c>
      <c r="AA271" s="11" t="n">
        <v>0.460716409364195</v>
      </c>
      <c r="AB271" s="11" t="n">
        <v>0.394128861018653</v>
      </c>
      <c r="AC271" s="12" t="n">
        <f aca="false">(AB271-AA271)*100</f>
        <v>-6.65875483455419</v>
      </c>
      <c r="AD271" s="11" t="n">
        <v>0.637559674248807</v>
      </c>
      <c r="AE271" s="11" t="n">
        <v>0.545825930721592</v>
      </c>
      <c r="AF271" s="12" t="n">
        <f aca="false">(AE271-AD271)*100</f>
        <v>-9.1733743527215</v>
      </c>
      <c r="AG271" s="11" t="n">
        <v>0.025111766908186</v>
      </c>
      <c r="AH271" s="11" t="n">
        <v>0.0200935410115425</v>
      </c>
      <c r="AI271" s="12" t="n">
        <f aca="false">(AH271-AG271)*100</f>
        <v>-0.501822589664351</v>
      </c>
      <c r="AJ271" s="14" t="s">
        <v>74</v>
      </c>
      <c r="AK271" s="14" t="s">
        <v>74</v>
      </c>
      <c r="AL271" s="14" t="s">
        <v>134</v>
      </c>
      <c r="AM271" s="20" t="n">
        <v>13.4208381967538</v>
      </c>
      <c r="AN271" s="20" t="n">
        <v>10.9239473571293</v>
      </c>
      <c r="AO271" s="12" t="n">
        <v>-2.49689083962452</v>
      </c>
    </row>
    <row r="272" customFormat="false" ht="15" hidden="false" customHeight="false" outlineLevel="0" collapsed="false">
      <c r="A272" s="14" t="s">
        <v>109</v>
      </c>
      <c r="B272" s="14" t="n">
        <v>8</v>
      </c>
      <c r="C272" s="11" t="n">
        <v>0.351198814993347</v>
      </c>
      <c r="D272" s="11" t="n">
        <v>0.405300303279386</v>
      </c>
      <c r="E272" s="12" t="n">
        <f aca="false">(D272-C272)*100</f>
        <v>5.41014882860386</v>
      </c>
      <c r="F272" s="11" t="n">
        <v>0.0221335140970601</v>
      </c>
      <c r="G272" s="11" t="n">
        <v>0.0170403333238854</v>
      </c>
      <c r="H272" s="12" t="n">
        <f aca="false">(G272-F272)*100</f>
        <v>-0.50931807731747</v>
      </c>
      <c r="I272" s="11" t="n">
        <v>0.0283899475283071</v>
      </c>
      <c r="J272" s="11" t="n">
        <v>0.0116436608939656</v>
      </c>
      <c r="K272" s="12" t="n">
        <f aca="false">(J272-I272)*100</f>
        <v>-1.67462866343415</v>
      </c>
      <c r="L272" s="11" t="n">
        <v>0.333755115362406</v>
      </c>
      <c r="M272" s="11" t="n">
        <v>0.450627816671863</v>
      </c>
      <c r="N272" s="12" t="n">
        <f aca="false">(M272-L272)*100</f>
        <v>11.6872701309457</v>
      </c>
      <c r="O272" s="11" t="n">
        <v>0.151369536290829</v>
      </c>
      <c r="P272" s="11" t="n">
        <v>0.0268246364898954</v>
      </c>
      <c r="Q272" s="12" t="n">
        <f aca="false">(P272-O272)*100</f>
        <v>-12.4544899800933</v>
      </c>
      <c r="R272" s="11" t="n">
        <v>0.0134066430669579</v>
      </c>
      <c r="S272" s="11" t="n">
        <v>0.00634335761458009</v>
      </c>
      <c r="T272" s="12" t="n">
        <f aca="false">(S272-R272)*100</f>
        <v>-0.706328545237781</v>
      </c>
      <c r="U272" s="11" t="n">
        <v>0.016158268685195</v>
      </c>
      <c r="V272" s="11" t="n">
        <v>0.0333493948584224</v>
      </c>
      <c r="W272" s="12" t="n">
        <f aca="false">(V272-U272)*100</f>
        <v>1.71911261732274</v>
      </c>
      <c r="X272" s="11" t="n">
        <v>0.391584444277071</v>
      </c>
      <c r="Y272" s="11" t="n">
        <v>0.433984297497237</v>
      </c>
      <c r="Z272" s="12" t="n">
        <f aca="false">(Y272-X272)*100</f>
        <v>4.23998532201659</v>
      </c>
      <c r="AA272" s="11" t="n">
        <v>0.498531294720193</v>
      </c>
      <c r="AB272" s="11" t="n">
        <v>0.483795810776339</v>
      </c>
      <c r="AC272" s="12" t="n">
        <f aca="false">(AB272-AA272)*100</f>
        <v>-1.47354839438543</v>
      </c>
      <c r="AD272" s="11" t="n">
        <v>0.670111071107716</v>
      </c>
      <c r="AE272" s="11" t="n">
        <v>0.587102743396113</v>
      </c>
      <c r="AF272" s="12" t="n">
        <f aca="false">(AE272-AD272)*100</f>
        <v>-8.30083277116031</v>
      </c>
      <c r="AG272" s="11" t="n">
        <v>0.0287364113379026</v>
      </c>
      <c r="AH272" s="11" t="n">
        <v>0.0157195090842096</v>
      </c>
      <c r="AI272" s="12" t="n">
        <f aca="false">(AH272-AG272)*100</f>
        <v>-1.3016902253693</v>
      </c>
      <c r="AJ272" s="14" t="s">
        <v>74</v>
      </c>
      <c r="AK272" s="14" t="s">
        <v>132</v>
      </c>
      <c r="AL272" s="14" t="s">
        <v>133</v>
      </c>
      <c r="AM272" s="20" t="n">
        <v>2.82644171625116</v>
      </c>
      <c r="AN272" s="20" t="n">
        <v>4.98115132791021</v>
      </c>
      <c r="AO272" s="12" t="n">
        <v>2.15470961165905</v>
      </c>
    </row>
    <row r="273" customFormat="false" ht="15" hidden="false" customHeight="false" outlineLevel="0" collapsed="false">
      <c r="A273" s="14" t="s">
        <v>109</v>
      </c>
      <c r="B273" s="14" t="n">
        <v>9</v>
      </c>
      <c r="C273" s="11" t="n">
        <v>0.451936293363262</v>
      </c>
      <c r="D273" s="11" t="n">
        <v>0.479473887692223</v>
      </c>
      <c r="E273" s="12" t="n">
        <f aca="false">(D273-C273)*100</f>
        <v>2.75375943289612</v>
      </c>
      <c r="F273" s="11" t="n">
        <v>0.0339403034009659</v>
      </c>
      <c r="G273" s="11" t="n">
        <v>0.0259505605920736</v>
      </c>
      <c r="H273" s="12" t="n">
        <f aca="false">(G273-F273)*100</f>
        <v>-0.798974280889234</v>
      </c>
      <c r="I273" s="11" t="n">
        <v>0.024148497496879</v>
      </c>
      <c r="J273" s="11" t="n">
        <v>0.021019243969986</v>
      </c>
      <c r="K273" s="12" t="n">
        <f aca="false">(J273-I273)*100</f>
        <v>-0.312925352689294</v>
      </c>
      <c r="L273" s="11" t="n">
        <v>0.319485252392782</v>
      </c>
      <c r="M273" s="11" t="n">
        <v>0.28721566028357</v>
      </c>
      <c r="N273" s="12" t="n">
        <f aca="false">(M273-L273)*100</f>
        <v>-3.22695921092115</v>
      </c>
      <c r="O273" s="11" t="n">
        <v>0.0820544507635465</v>
      </c>
      <c r="P273" s="11" t="n">
        <v>0.0615665017634388</v>
      </c>
      <c r="Q273" s="12" t="n">
        <f aca="false">(P273-O273)*100</f>
        <v>-2.04879490001077</v>
      </c>
      <c r="R273" s="11" t="n">
        <v>0.0132848261686486</v>
      </c>
      <c r="S273" s="11" t="n">
        <v>0.0107226548630672</v>
      </c>
      <c r="T273" s="12" t="n">
        <f aca="false">(S273-R273)*100</f>
        <v>-0.256217130558137</v>
      </c>
      <c r="U273" s="11" t="n">
        <v>0.0201889005182785</v>
      </c>
      <c r="V273" s="11" t="n">
        <v>0.0305426026305615</v>
      </c>
      <c r="W273" s="12" t="n">
        <f aca="false">(V273-U273)*100</f>
        <v>1.03537021122831</v>
      </c>
      <c r="X273" s="11" t="n">
        <v>0.502503121019912</v>
      </c>
      <c r="Y273" s="11" t="n">
        <v>0.526443692254282</v>
      </c>
      <c r="Z273" s="12" t="n">
        <f aca="false">(Y273-X273)*100</f>
        <v>2.39405712343709</v>
      </c>
      <c r="AA273" s="11" t="n">
        <v>0.414824529324977</v>
      </c>
      <c r="AB273" s="11" t="n">
        <v>0.359504816910077</v>
      </c>
      <c r="AC273" s="12" t="n">
        <f aca="false">(AB273-AA273)*100</f>
        <v>-5.53197124149005</v>
      </c>
      <c r="AD273" s="11" t="n">
        <v>0.561117125531569</v>
      </c>
      <c r="AE273" s="11" t="n">
        <v>0.414021207231104</v>
      </c>
      <c r="AF273" s="12" t="n">
        <f aca="false">(AE273-AD273)*100</f>
        <v>-14.7095918300465</v>
      </c>
      <c r="AG273" s="11" t="n">
        <v>0.0237197513272216</v>
      </c>
      <c r="AH273" s="11" t="n">
        <v>0.0236703197860203</v>
      </c>
      <c r="AI273" s="12" t="n">
        <f aca="false">(AH273-AG273)*100</f>
        <v>-0.00494315412012912</v>
      </c>
      <c r="AJ273" s="14" t="s">
        <v>74</v>
      </c>
      <c r="AK273" s="14" t="s">
        <v>74</v>
      </c>
      <c r="AL273" s="14" t="s">
        <v>134</v>
      </c>
      <c r="AM273" s="20" t="n">
        <v>14.9544141940203</v>
      </c>
      <c r="AN273" s="20" t="n">
        <v>16.6938875344206</v>
      </c>
      <c r="AO273" s="12" t="n">
        <v>1.73947334040034</v>
      </c>
    </row>
    <row r="274" customFormat="false" ht="15" hidden="false" customHeight="false" outlineLevel="0" collapsed="false">
      <c r="A274" s="14" t="s">
        <v>110</v>
      </c>
      <c r="B274" s="14" t="n">
        <v>1</v>
      </c>
      <c r="C274" s="11" t="n">
        <v>0.416602613374327</v>
      </c>
      <c r="D274" s="11" t="n">
        <v>0.269991622558166</v>
      </c>
      <c r="E274" s="12" t="n">
        <f aca="false">(D274-C274)*100</f>
        <v>-14.6610990816161</v>
      </c>
      <c r="F274" s="11" t="n">
        <v>0.0564150446997405</v>
      </c>
      <c r="G274" s="11" t="n">
        <v>0.0486843608392674</v>
      </c>
      <c r="H274" s="12" t="n">
        <f aca="false">(G274-F274)*100</f>
        <v>-0.773068386047317</v>
      </c>
      <c r="I274" s="11" t="n">
        <v>0.0309003399553261</v>
      </c>
      <c r="J274" s="11" t="n">
        <v>0.0415730551007197</v>
      </c>
      <c r="K274" s="12" t="n">
        <f aca="false">(J274-I274)*100</f>
        <v>1.06727151453937</v>
      </c>
      <c r="L274" s="11" t="n">
        <v>0.170735985225614</v>
      </c>
      <c r="M274" s="11" t="n">
        <v>0.144610829747534</v>
      </c>
      <c r="N274" s="12" t="n">
        <f aca="false">(M274-L274)*100</f>
        <v>-2.61251554780794</v>
      </c>
      <c r="O274" s="11" t="n">
        <v>0.175162110715041</v>
      </c>
      <c r="P274" s="11" t="n">
        <v>0.127879745630403</v>
      </c>
      <c r="Q274" s="12" t="n">
        <f aca="false">(P274-O274)*100</f>
        <v>-4.72823650846386</v>
      </c>
      <c r="R274" s="11" t="n">
        <v>0.0294971859540158</v>
      </c>
      <c r="S274" s="11" t="n">
        <v>0.0409923460645063</v>
      </c>
      <c r="T274" s="12" t="n">
        <f aca="false">(S274-R274)*100</f>
        <v>1.14951601104906</v>
      </c>
      <c r="U274" s="11" t="n">
        <v>0.0291876666890208</v>
      </c>
      <c r="V274" s="11" t="n">
        <v>0.0263603823159819</v>
      </c>
      <c r="W274" s="12" t="n">
        <f aca="false">(V274-U274)*100</f>
        <v>-0.282728437303896</v>
      </c>
      <c r="X274" s="11" t="n">
        <v>0.49622644429427</v>
      </c>
      <c r="Y274" s="11" t="n">
        <v>0.360249038498153</v>
      </c>
      <c r="Z274" s="12" t="n">
        <f aca="false">(Y274-X274)*100</f>
        <v>-13.5977405796117</v>
      </c>
      <c r="AA274" s="11" t="n">
        <v>0.375395281894671</v>
      </c>
      <c r="AB274" s="11" t="n">
        <v>0.313482921442443</v>
      </c>
      <c r="AC274" s="12" t="n">
        <f aca="false">(AB274-AA274)*100</f>
        <v>-6.19123604522274</v>
      </c>
      <c r="AD274" s="11" t="n">
        <v>0.645148300007987</v>
      </c>
      <c r="AE274" s="11" t="n">
        <v>0.658645013637646</v>
      </c>
      <c r="AF274" s="12" t="n">
        <f aca="false">(AE274-AD274)*100</f>
        <v>1.34967136296588</v>
      </c>
      <c r="AG274" s="11" t="n">
        <v>0.0459120243075796</v>
      </c>
      <c r="AH274" s="11" t="n">
        <v>0.0503312897452496</v>
      </c>
      <c r="AI274" s="12" t="n">
        <f aca="false">(AH274-AG274)*100</f>
        <v>0.441926543767</v>
      </c>
      <c r="AJ274" s="14" t="s">
        <v>74</v>
      </c>
      <c r="AK274" s="14" t="s">
        <v>74</v>
      </c>
      <c r="AL274" s="14" t="s">
        <v>134</v>
      </c>
      <c r="AM274" s="20" t="n">
        <v>26.680560642562</v>
      </c>
      <c r="AN274" s="20" t="n">
        <v>4.676611705571</v>
      </c>
      <c r="AO274" s="12" t="n">
        <v>-22.003948936991</v>
      </c>
    </row>
    <row r="275" customFormat="false" ht="15" hidden="false" customHeight="false" outlineLevel="0" collapsed="false">
      <c r="A275" s="14" t="s">
        <v>110</v>
      </c>
      <c r="B275" s="14" t="n">
        <v>2</v>
      </c>
      <c r="C275" s="11" t="n">
        <v>0.505284746688642</v>
      </c>
      <c r="D275" s="11" t="n">
        <v>0.400246091355698</v>
      </c>
      <c r="E275" s="12" t="n">
        <f aca="false">(D275-C275)*100</f>
        <v>-10.5038655332944</v>
      </c>
      <c r="F275" s="11" t="n">
        <v>0.053014134324696</v>
      </c>
      <c r="G275" s="11" t="n">
        <v>0.0643268166390691</v>
      </c>
      <c r="H275" s="12" t="n">
        <f aca="false">(G275-F275)*100</f>
        <v>1.13126823143731</v>
      </c>
      <c r="I275" s="11" t="n">
        <v>0.0246204843540942</v>
      </c>
      <c r="J275" s="11" t="n">
        <v>0.0461947323642152</v>
      </c>
      <c r="K275" s="12" t="n">
        <f aca="false">(J275-I275)*100</f>
        <v>2.1574248010121</v>
      </c>
      <c r="L275" s="11" t="n">
        <v>0.10955606275955</v>
      </c>
      <c r="M275" s="11" t="n">
        <v>0.0730955365066006</v>
      </c>
      <c r="N275" s="12" t="n">
        <f aca="false">(M275-L275)*100</f>
        <v>-3.64605262529492</v>
      </c>
      <c r="O275" s="11" t="n">
        <v>0.149209024115852</v>
      </c>
      <c r="P275" s="11" t="n">
        <v>0.148679431702788</v>
      </c>
      <c r="Q275" s="12" t="n">
        <f aca="false">(P275-O275)*100</f>
        <v>-0.0529592413064911</v>
      </c>
      <c r="R275" s="11" t="n">
        <v>0.0443381682322603</v>
      </c>
      <c r="S275" s="11" t="n">
        <v>0.0397359778243329</v>
      </c>
      <c r="T275" s="12" t="n">
        <f aca="false">(S275-R275)*100</f>
        <v>-0.460219040792748</v>
      </c>
      <c r="U275" s="11" t="n">
        <v>0.0326390399955555</v>
      </c>
      <c r="V275" s="11" t="n">
        <v>0.0540165951568489</v>
      </c>
      <c r="W275" s="12" t="n">
        <f aca="false">(V275-U275)*100</f>
        <v>2.13775551612934</v>
      </c>
      <c r="X275" s="11" t="n">
        <v>0.587123088532817</v>
      </c>
      <c r="Y275" s="11" t="n">
        <v>0.510767640358982</v>
      </c>
      <c r="Z275" s="12" t="n">
        <f aca="false">(Y275-X275)*100</f>
        <v>-7.63554481738349</v>
      </c>
      <c r="AA275" s="11" t="n">
        <v>0.303103255107663</v>
      </c>
      <c r="AB275" s="11" t="n">
        <v>0.261510946033721</v>
      </c>
      <c r="AC275" s="12" t="n">
        <f aca="false">(AB275-AA275)*100</f>
        <v>-4.15923090739417</v>
      </c>
      <c r="AD275" s="11" t="n">
        <v>0.690878443213367</v>
      </c>
      <c r="AE275" s="11" t="n">
        <v>0.665240544076926</v>
      </c>
      <c r="AF275" s="12" t="n">
        <f aca="false">(AE275-AD275)*100</f>
        <v>-2.56378991364419</v>
      </c>
      <c r="AG275" s="11" t="n">
        <v>0.0337918231102922</v>
      </c>
      <c r="AH275" s="11" t="n">
        <v>0.0495293159758117</v>
      </c>
      <c r="AI275" s="12" t="n">
        <f aca="false">(AH275-AG275)*100</f>
        <v>1.57374928655195</v>
      </c>
      <c r="AJ275" s="14" t="s">
        <v>74</v>
      </c>
      <c r="AK275" s="14" t="s">
        <v>74</v>
      </c>
      <c r="AL275" s="14" t="s">
        <v>134</v>
      </c>
      <c r="AM275" s="20" t="n">
        <v>39.5048125222802</v>
      </c>
      <c r="AN275" s="20" t="n">
        <v>24.9256694325261</v>
      </c>
      <c r="AO275" s="12" t="n">
        <v>-14.5791430897541</v>
      </c>
    </row>
    <row r="276" customFormat="false" ht="15" hidden="false" customHeight="false" outlineLevel="0" collapsed="false">
      <c r="A276" s="14" t="s">
        <v>110</v>
      </c>
      <c r="B276" s="14" t="n">
        <v>3</v>
      </c>
      <c r="C276" s="11" t="n">
        <v>0.545461797332669</v>
      </c>
      <c r="D276" s="11" t="n">
        <v>0.397903506362721</v>
      </c>
      <c r="E276" s="12" t="n">
        <f aca="false">(D276-C276)*100</f>
        <v>-14.7558290969948</v>
      </c>
      <c r="F276" s="11" t="n">
        <v>0.0736133615854419</v>
      </c>
      <c r="G276" s="11" t="n">
        <v>0.0672892062620159</v>
      </c>
      <c r="H276" s="12" t="n">
        <f aca="false">(G276-F276)*100</f>
        <v>-0.632415532342592</v>
      </c>
      <c r="I276" s="11" t="n">
        <v>0.0225501682662346</v>
      </c>
      <c r="J276" s="11" t="n">
        <v>0.0266822301565504</v>
      </c>
      <c r="K276" s="12" t="n">
        <f aca="false">(J276-I276)*100</f>
        <v>0.413206189031583</v>
      </c>
      <c r="L276" s="11" t="n">
        <v>0.0816153558519257</v>
      </c>
      <c r="M276" s="11" t="n">
        <v>0.0982468186395679</v>
      </c>
      <c r="N276" s="12" t="n">
        <f aca="false">(M276-L276)*100</f>
        <v>1.66314627876422</v>
      </c>
      <c r="O276" s="11" t="n">
        <v>0.116235822011716</v>
      </c>
      <c r="P276" s="11" t="n">
        <v>0.147056669413165</v>
      </c>
      <c r="Q276" s="12" t="n">
        <f aca="false">(P276-O276)*100</f>
        <v>3.08208474014486</v>
      </c>
      <c r="R276" s="11" t="n">
        <v>0.0365100336532469</v>
      </c>
      <c r="S276" s="11" t="n">
        <v>0.055337361530715</v>
      </c>
      <c r="T276" s="12" t="n">
        <f aca="false">(S276-R276)*100</f>
        <v>1.88273278774681</v>
      </c>
      <c r="U276" s="11" t="n">
        <v>0.0232980181976817</v>
      </c>
      <c r="V276" s="11" t="n">
        <v>0.0312826146663005</v>
      </c>
      <c r="W276" s="12" t="n">
        <f aca="false">(V276-U276)*100</f>
        <v>0.79845964686188</v>
      </c>
      <c r="X276" s="11" t="n">
        <v>0.646301882088994</v>
      </c>
      <c r="Y276" s="11" t="n">
        <v>0.491874942781287</v>
      </c>
      <c r="Z276" s="12" t="n">
        <f aca="false">(Y276-X276)*100</f>
        <v>-15.4426939307707</v>
      </c>
      <c r="AA276" s="11" t="n">
        <v>0.234361211516889</v>
      </c>
      <c r="AB276" s="11" t="n">
        <v>0.300640849583448</v>
      </c>
      <c r="AC276" s="12" t="n">
        <f aca="false">(AB276-AA276)*100</f>
        <v>6.62796380665589</v>
      </c>
      <c r="AD276" s="11" t="n">
        <v>0.649320168339268</v>
      </c>
      <c r="AE276" s="11" t="n">
        <v>0.670538186238099</v>
      </c>
      <c r="AF276" s="12" t="n">
        <f aca="false">(AE276-AD276)*100</f>
        <v>2.121801789883</v>
      </c>
      <c r="AG276" s="11" t="n">
        <v>0.0380157048485604</v>
      </c>
      <c r="AH276" s="11" t="n">
        <v>0.0553327840336904</v>
      </c>
      <c r="AI276" s="12" t="n">
        <f aca="false">(AH276-AG276)*100</f>
        <v>1.731707918513</v>
      </c>
      <c r="AJ276" s="14" t="s">
        <v>74</v>
      </c>
      <c r="AK276" s="14" t="s">
        <v>74</v>
      </c>
      <c r="AL276" s="14" t="s">
        <v>134</v>
      </c>
      <c r="AM276" s="20" t="n">
        <v>47.2486601022062</v>
      </c>
      <c r="AN276" s="20" t="n">
        <v>19.1234093197839</v>
      </c>
      <c r="AO276" s="12" t="n">
        <v>-28.1252507824222</v>
      </c>
    </row>
    <row r="277" customFormat="false" ht="15" hidden="false" customHeight="false" outlineLevel="0" collapsed="false">
      <c r="A277" s="14" t="s">
        <v>111</v>
      </c>
      <c r="B277" s="14" t="n">
        <v>1</v>
      </c>
      <c r="C277" s="11" t="n">
        <v>0.321435679279548</v>
      </c>
      <c r="D277" s="11" t="n">
        <v>0.417199753282228</v>
      </c>
      <c r="E277" s="12" t="n">
        <f aca="false">(D277-C277)*100</f>
        <v>9.57640740026793</v>
      </c>
      <c r="F277" s="11" t="n">
        <v>0.0225389954474215</v>
      </c>
      <c r="G277" s="11" t="n">
        <v>0.0196493083091021</v>
      </c>
      <c r="H277" s="12" t="n">
        <f aca="false">(G277-F277)*100</f>
        <v>-0.288968713831933</v>
      </c>
      <c r="I277" s="11" t="n">
        <v>0.0320546309426077</v>
      </c>
      <c r="J277" s="11" t="n">
        <v>0.116268687402708</v>
      </c>
      <c r="K277" s="12" t="n">
        <f aca="false">(J277-I277)*100</f>
        <v>8.42140564601004</v>
      </c>
      <c r="L277" s="11" t="n">
        <v>0.362489738040152</v>
      </c>
      <c r="M277" s="11" t="n">
        <v>0.172332364084941</v>
      </c>
      <c r="N277" s="12" t="n">
        <f aca="false">(M277-L277)*100</f>
        <v>-19.0157373955211</v>
      </c>
      <c r="O277" s="11" t="n">
        <v>0.135439211881484</v>
      </c>
      <c r="P277" s="11" t="n">
        <v>0.0770170646459306</v>
      </c>
      <c r="Q277" s="12" t="n">
        <f aca="false">(P277-O277)*100</f>
        <v>-5.84221472355531</v>
      </c>
      <c r="R277" s="11" t="n">
        <v>0.0240378635221534</v>
      </c>
      <c r="S277" s="11" t="n">
        <v>0.0485211619232238</v>
      </c>
      <c r="T277" s="12" t="n">
        <f aca="false">(S277-R277)*100</f>
        <v>2.44832984010704</v>
      </c>
      <c r="U277" s="11" t="n">
        <v>0.0220601039878598</v>
      </c>
      <c r="V277" s="11" t="n">
        <v>0.0202954739037213</v>
      </c>
      <c r="W277" s="12" t="n">
        <f aca="false">(V277-U277)*100</f>
        <v>-0.176463008413847</v>
      </c>
      <c r="X277" s="11" t="n">
        <v>0.37556907231883</v>
      </c>
      <c r="Y277" s="11" t="n">
        <v>0.553117748994038</v>
      </c>
      <c r="Z277" s="12" t="n">
        <f aca="false">(Y277-X277)*100</f>
        <v>17.7548676675208</v>
      </c>
      <c r="AA277" s="11" t="n">
        <v>0.521966813443789</v>
      </c>
      <c r="AB277" s="11" t="n">
        <v>0.297870590654096</v>
      </c>
      <c r="AC277" s="12" t="n">
        <f aca="false">(AB277-AA277)*100</f>
        <v>-22.4096222789694</v>
      </c>
      <c r="AD277" s="11" t="n">
        <v>0.672750323220405</v>
      </c>
      <c r="AE277" s="11" t="n">
        <v>0.685331604924355</v>
      </c>
      <c r="AF277" s="12" t="n">
        <f aca="false">(AE277-AD277)*100</f>
        <v>1.25812817039503</v>
      </c>
      <c r="AG277" s="11" t="n">
        <v>0.0341008035425529</v>
      </c>
      <c r="AH277" s="11" t="n">
        <v>0.0269744764590125</v>
      </c>
      <c r="AI277" s="12" t="n">
        <f aca="false">(AH277-AG277)*100</f>
        <v>-0.712632708354039</v>
      </c>
      <c r="AJ277" s="14" t="s">
        <v>132</v>
      </c>
      <c r="AK277" s="14" t="s">
        <v>74</v>
      </c>
      <c r="AL277" s="14" t="s">
        <v>135</v>
      </c>
      <c r="AM277" s="20" t="n">
        <v>3.30186332313357</v>
      </c>
      <c r="AN277" s="20" t="n">
        <v>25.5247158339942</v>
      </c>
      <c r="AO277" s="12" t="n">
        <v>22.2228525108606</v>
      </c>
    </row>
    <row r="278" customFormat="false" ht="15" hidden="false" customHeight="false" outlineLevel="0" collapsed="false">
      <c r="A278" s="14" t="s">
        <v>111</v>
      </c>
      <c r="B278" s="14" t="n">
        <v>2</v>
      </c>
      <c r="C278" s="11" t="n">
        <v>0.269970581579543</v>
      </c>
      <c r="D278" s="11" t="n">
        <v>0.272074387259476</v>
      </c>
      <c r="E278" s="12" t="n">
        <f aca="false">(D278-C278)*100</f>
        <v>0.210380567993279</v>
      </c>
      <c r="F278" s="11" t="n">
        <v>0.0298200950441276</v>
      </c>
      <c r="G278" s="11" t="n">
        <v>0.0610687836893991</v>
      </c>
      <c r="H278" s="12" t="n">
        <f aca="false">(G278-F278)*100</f>
        <v>3.12486886452714</v>
      </c>
      <c r="I278" s="11" t="n">
        <v>0.0593742928264313</v>
      </c>
      <c r="J278" s="11" t="n">
        <v>0.105076269333916</v>
      </c>
      <c r="K278" s="12" t="n">
        <f aca="false">(J278-I278)*100</f>
        <v>4.5701976507485</v>
      </c>
      <c r="L278" s="11" t="n">
        <v>0.3265331522969</v>
      </c>
      <c r="M278" s="11" t="n">
        <v>0.233115979505116</v>
      </c>
      <c r="N278" s="12" t="n">
        <f aca="false">(M278-L278)*100</f>
        <v>-9.34171727917841</v>
      </c>
      <c r="O278" s="11" t="n">
        <v>0.140263634306404</v>
      </c>
      <c r="P278" s="11" t="n">
        <v>0.107032986953439</v>
      </c>
      <c r="Q278" s="12" t="n">
        <f aca="false">(P278-O278)*100</f>
        <v>-3.32306473529655</v>
      </c>
      <c r="R278" s="11" t="n">
        <v>0.0847929395790903</v>
      </c>
      <c r="S278" s="11" t="n">
        <v>0.0948341588513481</v>
      </c>
      <c r="T278" s="12" t="n">
        <f aca="false">(S278-R278)*100</f>
        <v>1.00412192722578</v>
      </c>
      <c r="U278" s="11" t="n">
        <v>0.0261031907671419</v>
      </c>
      <c r="V278" s="11" t="n">
        <v>0.0376894737122719</v>
      </c>
      <c r="W278" s="12" t="n">
        <f aca="false">(V278-U278)*100</f>
        <v>1.158628294513</v>
      </c>
      <c r="X278" s="11" t="n">
        <v>0.310539714867617</v>
      </c>
      <c r="Y278" s="11" t="n">
        <v>0.438219440282791</v>
      </c>
      <c r="Z278" s="12" t="n">
        <f aca="false">(Y278-X278)*100</f>
        <v>12.7679725415174</v>
      </c>
      <c r="AA278" s="11" t="n">
        <v>0.551589726182394</v>
      </c>
      <c r="AB278" s="11" t="n">
        <v>0.434983125309903</v>
      </c>
      <c r="AC278" s="12" t="n">
        <f aca="false">(AB278-AA278)*100</f>
        <v>-11.6606600872492</v>
      </c>
      <c r="AD278" s="11" t="n">
        <v>0.717635165584692</v>
      </c>
      <c r="AE278" s="11" t="n">
        <v>0.728848664780676</v>
      </c>
      <c r="AF278" s="12" t="n">
        <f aca="false">(AE278-AD278)*100</f>
        <v>1.12134991959835</v>
      </c>
      <c r="AG278" s="11" t="n">
        <v>0.0394715999094818</v>
      </c>
      <c r="AH278" s="11" t="n">
        <v>0.0372416146385937</v>
      </c>
      <c r="AI278" s="12" t="n">
        <f aca="false">(AH278-AG278)*100</f>
        <v>-0.222998527088805</v>
      </c>
      <c r="AJ278" s="14" t="s">
        <v>132</v>
      </c>
      <c r="AK278" s="14" t="s">
        <v>74</v>
      </c>
      <c r="AL278" s="14" t="s">
        <v>135</v>
      </c>
      <c r="AM278" s="20" t="n">
        <v>12.6889567775515</v>
      </c>
      <c r="AN278" s="20" t="n">
        <v>0.323631497288853</v>
      </c>
      <c r="AO278" s="12" t="n">
        <v>-12.3653252802626</v>
      </c>
    </row>
    <row r="279" customFormat="false" ht="15" hidden="false" customHeight="false" outlineLevel="0" collapsed="false">
      <c r="A279" s="14" t="s">
        <v>111</v>
      </c>
      <c r="B279" s="14" t="n">
        <v>3</v>
      </c>
      <c r="C279" s="11" t="n">
        <v>0.396070087304297</v>
      </c>
      <c r="D279" s="11" t="n">
        <v>0.357714013824824</v>
      </c>
      <c r="E279" s="12" t="n">
        <f aca="false">(D279-C279)*100</f>
        <v>-3.8356073479473</v>
      </c>
      <c r="F279" s="11" t="n">
        <v>0.0191984099887821</v>
      </c>
      <c r="G279" s="11" t="n">
        <v>0.0230964433459775</v>
      </c>
      <c r="H279" s="12" t="n">
        <f aca="false">(G279-F279)*100</f>
        <v>0.389803335719532</v>
      </c>
      <c r="I279" s="11" t="n">
        <v>0.0504316441496366</v>
      </c>
      <c r="J279" s="11" t="n">
        <v>0.1040364256354</v>
      </c>
      <c r="K279" s="12" t="n">
        <f aca="false">(J279-I279)*100</f>
        <v>5.36047814857634</v>
      </c>
      <c r="L279" s="11" t="n">
        <v>0.277910549675657</v>
      </c>
      <c r="M279" s="11" t="n">
        <v>0.211132551777005</v>
      </c>
      <c r="N279" s="12" t="n">
        <f aca="false">(M279-L279)*100</f>
        <v>-6.67779978986519</v>
      </c>
      <c r="O279" s="11" t="n">
        <v>0.163805296785836</v>
      </c>
      <c r="P279" s="11" t="n">
        <v>0.0414480379587899</v>
      </c>
      <c r="Q279" s="12" t="n">
        <f aca="false">(P279-O279)*100</f>
        <v>-12.2357258827046</v>
      </c>
      <c r="R279" s="11" t="n">
        <v>0.0205579671267619</v>
      </c>
      <c r="S279" s="11" t="n">
        <v>0.032652225056502</v>
      </c>
      <c r="T279" s="12" t="n">
        <f aca="false">(S279-R279)*100</f>
        <v>1.20942579297401</v>
      </c>
      <c r="U279" s="11" t="n">
        <v>0.0180217529142077</v>
      </c>
      <c r="V279" s="11" t="n">
        <v>0.0899010058021966</v>
      </c>
      <c r="W279" s="12" t="n">
        <f aca="false">(V279-U279)*100</f>
        <v>7.1879252887989</v>
      </c>
      <c r="X279" s="11" t="n">
        <v>0.425748670926206</v>
      </c>
      <c r="Y279" s="11" t="n">
        <v>0.484846882806201</v>
      </c>
      <c r="Z279" s="12" t="n">
        <f aca="false">(Y279-X279)*100</f>
        <v>5.90982118799955</v>
      </c>
      <c r="AA279" s="11" t="n">
        <v>0.462273813588255</v>
      </c>
      <c r="AB279" s="11" t="n">
        <v>0.285232814792297</v>
      </c>
      <c r="AC279" s="12" t="n">
        <f aca="false">(AB279-AA279)*100</f>
        <v>-17.7040998795958</v>
      </c>
      <c r="AD279" s="11" t="n">
        <v>0.65899558055444</v>
      </c>
      <c r="AE279" s="11" t="n">
        <v>0.583896372497193</v>
      </c>
      <c r="AF279" s="12" t="n">
        <f aca="false">(AE279-AD279)*100</f>
        <v>-7.50992080572467</v>
      </c>
      <c r="AG279" s="11" t="n">
        <v>0.0310930107789104</v>
      </c>
      <c r="AH279" s="11" t="n">
        <v>0.027643039346559</v>
      </c>
      <c r="AI279" s="12" t="n">
        <f aca="false">(AH279-AG279)*100</f>
        <v>-0.344997143235141</v>
      </c>
      <c r="AJ279" s="14" t="s">
        <v>74</v>
      </c>
      <c r="AK279" s="14" t="s">
        <v>74</v>
      </c>
      <c r="AL279" s="14" t="s">
        <v>134</v>
      </c>
      <c r="AM279" s="20" t="n">
        <v>10.9258401209579</v>
      </c>
      <c r="AN279" s="20" t="n">
        <v>19.9614068013904</v>
      </c>
      <c r="AO279" s="12" t="n">
        <v>9.03556668043251</v>
      </c>
    </row>
    <row r="280" customFormat="false" ht="15" hidden="false" customHeight="false" outlineLevel="0" collapsed="false">
      <c r="A280" s="14" t="s">
        <v>111</v>
      </c>
      <c r="B280" s="14" t="n">
        <v>4</v>
      </c>
      <c r="C280" s="11" t="n">
        <v>0.400889744025853</v>
      </c>
      <c r="D280" s="11" t="n">
        <v>0.443132834167056</v>
      </c>
      <c r="E280" s="12" t="n">
        <f aca="false">(D280-C280)*100</f>
        <v>4.22430901412038</v>
      </c>
      <c r="F280" s="11" t="n">
        <v>0.0185921421889617</v>
      </c>
      <c r="G280" s="11" t="n">
        <v>0.0137260051112236</v>
      </c>
      <c r="H280" s="12" t="n">
        <f aca="false">(G280-F280)*100</f>
        <v>-0.486613707773809</v>
      </c>
      <c r="I280" s="11" t="n">
        <v>0.0438919125776001</v>
      </c>
      <c r="J280" s="11" t="n">
        <v>0.0290084354403787</v>
      </c>
      <c r="K280" s="12" t="n">
        <f aca="false">(J280-I280)*100</f>
        <v>-1.48834771372215</v>
      </c>
      <c r="L280" s="11" t="n">
        <v>0.376817756611957</v>
      </c>
      <c r="M280" s="11" t="n">
        <v>0.374297847265367</v>
      </c>
      <c r="N280" s="12" t="n">
        <f aca="false">(M280-L280)*100</f>
        <v>-0.251990934658952</v>
      </c>
      <c r="O280" s="11" t="n">
        <v>0.0617027383280891</v>
      </c>
      <c r="P280" s="11" t="n">
        <v>0.0414662422258802</v>
      </c>
      <c r="Q280" s="12" t="n">
        <f aca="false">(P280-O280)*100</f>
        <v>-2.02364961022089</v>
      </c>
      <c r="R280" s="11" t="n">
        <v>0.0197083085296369</v>
      </c>
      <c r="S280" s="11" t="n">
        <v>0.0106323698015078</v>
      </c>
      <c r="T280" s="12" t="n">
        <f aca="false">(S280-R280)*100</f>
        <v>-0.907593872812912</v>
      </c>
      <c r="U280" s="11" t="n">
        <v>0.0209626668934433</v>
      </c>
      <c r="V280" s="11" t="n">
        <v>0.0313783009985461</v>
      </c>
      <c r="W280" s="12" t="n">
        <f aca="false">(V280-U280)*100</f>
        <v>1.04156341051027</v>
      </c>
      <c r="X280" s="11" t="n">
        <v>0.434688323837061</v>
      </c>
      <c r="Y280" s="11" t="n">
        <v>0.485867274718659</v>
      </c>
      <c r="Z280" s="12" t="n">
        <f aca="false">(Y280-X280)*100</f>
        <v>5.11789508815975</v>
      </c>
      <c r="AA280" s="11" t="n">
        <v>0.458228803469683</v>
      </c>
      <c r="AB280" s="11" t="n">
        <v>0.426396459292755</v>
      </c>
      <c r="AC280" s="12" t="n">
        <f aca="false">(AB280-AA280)*100</f>
        <v>-3.18323441769275</v>
      </c>
      <c r="AD280" s="11" t="n">
        <v>0.585939495107413</v>
      </c>
      <c r="AE280" s="11" t="n">
        <v>0.458890681809498</v>
      </c>
      <c r="AF280" s="12" t="n">
        <f aca="false">(AE280-AD280)*100</f>
        <v>-12.7048813297915</v>
      </c>
      <c r="AG280" s="11" t="n">
        <v>0.0284356662981546</v>
      </c>
      <c r="AH280" s="11" t="n">
        <v>0.0212263093507209</v>
      </c>
      <c r="AI280" s="12" t="n">
        <f aca="false">(AH280-AG280)*100</f>
        <v>-0.720935694743371</v>
      </c>
      <c r="AJ280" s="14" t="s">
        <v>74</v>
      </c>
      <c r="AK280" s="14" t="s">
        <v>74</v>
      </c>
      <c r="AL280" s="14" t="s">
        <v>134</v>
      </c>
      <c r="AM280" s="20" t="n">
        <v>1.7199591802024</v>
      </c>
      <c r="AN280" s="20" t="n">
        <v>5.94708154259033</v>
      </c>
      <c r="AO280" s="12" t="n">
        <v>4.22712236238793</v>
      </c>
    </row>
    <row r="281" customFormat="false" ht="15" hidden="false" customHeight="false" outlineLevel="0" collapsed="false">
      <c r="A281" s="14" t="s">
        <v>111</v>
      </c>
      <c r="B281" s="14" t="n">
        <v>5</v>
      </c>
      <c r="C281" s="11" t="n">
        <v>0.424960824641301</v>
      </c>
      <c r="D281" s="11" t="n">
        <v>0.450508556845844</v>
      </c>
      <c r="E281" s="12" t="n">
        <f aca="false">(D281-C281)*100</f>
        <v>2.55477322045438</v>
      </c>
      <c r="F281" s="11" t="n">
        <v>0.0199855540864796</v>
      </c>
      <c r="G281" s="11" t="n">
        <v>0.0261890228207071</v>
      </c>
      <c r="H281" s="12" t="n">
        <f aca="false">(G281-F281)*100</f>
        <v>0.620346873422745</v>
      </c>
      <c r="I281" s="11" t="n">
        <v>0.0205180941187993</v>
      </c>
      <c r="J281" s="11" t="n">
        <v>0.0199304273642561</v>
      </c>
      <c r="K281" s="12" t="n">
        <f aca="false">(J281-I281)*100</f>
        <v>-0.058766675454314</v>
      </c>
      <c r="L281" s="11" t="n">
        <v>0.14593433230498</v>
      </c>
      <c r="M281" s="11" t="n">
        <v>0.0757944591941047</v>
      </c>
      <c r="N281" s="12" t="n">
        <f aca="false">(M281-L281)*100</f>
        <v>-7.01398731108755</v>
      </c>
      <c r="O281" s="11" t="n">
        <v>0.0922090005386612</v>
      </c>
      <c r="P281" s="11" t="n">
        <v>0.0689254484346157</v>
      </c>
      <c r="Q281" s="12" t="n">
        <f aca="false">(P281-O281)*100</f>
        <v>-2.32835521040455</v>
      </c>
      <c r="R281" s="11" t="n">
        <v>0.227155868958425</v>
      </c>
      <c r="S281" s="11" t="n">
        <v>0.163819287652696</v>
      </c>
      <c r="T281" s="12" t="n">
        <f aca="false">(S281-R281)*100</f>
        <v>-6.33365813057294</v>
      </c>
      <c r="U281" s="11" t="n">
        <v>0.0189510797708242</v>
      </c>
      <c r="V281" s="11" t="n">
        <v>0.0518853007582388</v>
      </c>
      <c r="W281" s="12" t="n">
        <f aca="false">(V281-U281)*100</f>
        <v>3.29342209874146</v>
      </c>
      <c r="X281" s="11" t="n">
        <v>0.454238284119289</v>
      </c>
      <c r="Y281" s="11" t="n">
        <v>0.496628007030808</v>
      </c>
      <c r="Z281" s="12" t="n">
        <f aca="false">(Y281-X281)*100</f>
        <v>4.23897229115186</v>
      </c>
      <c r="AA281" s="11" t="n">
        <v>0.465299201802067</v>
      </c>
      <c r="AB281" s="11" t="n">
        <v>0.308539195281416</v>
      </c>
      <c r="AC281" s="12" t="n">
        <f aca="false">(AB281-AA281)*100</f>
        <v>-15.676000652065</v>
      </c>
      <c r="AD281" s="11" t="n">
        <v>0.652112996515262</v>
      </c>
      <c r="AE281" s="11" t="n">
        <v>0.534392636493688</v>
      </c>
      <c r="AF281" s="12" t="n">
        <f aca="false">(AE281-AD281)*100</f>
        <v>-11.7720360021574</v>
      </c>
      <c r="AG281" s="11" t="n">
        <v>0.0269269379560257</v>
      </c>
      <c r="AH281" s="11" t="n">
        <v>0.027336309414369</v>
      </c>
      <c r="AI281" s="12" t="n">
        <f aca="false">(AH281-AG281)*100</f>
        <v>0.0409371458343369</v>
      </c>
      <c r="AJ281" s="14" t="s">
        <v>74</v>
      </c>
      <c r="AK281" s="14" t="s">
        <v>74</v>
      </c>
      <c r="AL281" s="14" t="s">
        <v>134</v>
      </c>
      <c r="AM281" s="20" t="n">
        <v>6.21970030850595</v>
      </c>
      <c r="AN281" s="20" t="n">
        <v>18.8088811749391</v>
      </c>
      <c r="AO281" s="12" t="n">
        <v>12.5891808664332</v>
      </c>
    </row>
    <row r="282" customFormat="false" ht="15" hidden="false" customHeight="false" outlineLevel="0" collapsed="false">
      <c r="A282" s="14" t="s">
        <v>111</v>
      </c>
      <c r="B282" s="14" t="n">
        <v>6</v>
      </c>
      <c r="C282" s="11" t="n">
        <v>0.363080240850664</v>
      </c>
      <c r="D282" s="11" t="n">
        <v>0.362685952159581</v>
      </c>
      <c r="E282" s="12" t="n">
        <f aca="false">(D282-C282)*100</f>
        <v>-0.0394288691083156</v>
      </c>
      <c r="F282" s="11" t="n">
        <v>0.0277896400051245</v>
      </c>
      <c r="G282" s="11" t="n">
        <v>0.0359384244780661</v>
      </c>
      <c r="H282" s="12" t="n">
        <f aca="false">(G282-F282)*100</f>
        <v>0.814878447294162</v>
      </c>
      <c r="I282" s="11" t="n">
        <v>0.0572500747320323</v>
      </c>
      <c r="J282" s="11" t="n">
        <v>0.0700437410193559</v>
      </c>
      <c r="K282" s="12" t="n">
        <f aca="false">(J282-I282)*100</f>
        <v>1.27936662873236</v>
      </c>
      <c r="L282" s="11" t="n">
        <v>0.209959644702567</v>
      </c>
      <c r="M282" s="11" t="n">
        <v>0.105897641788522</v>
      </c>
      <c r="N282" s="12" t="n">
        <f aca="false">(M282-L282)*100</f>
        <v>-10.4062002914045</v>
      </c>
      <c r="O282" s="11" t="n">
        <v>0.139658154332323</v>
      </c>
      <c r="P282" s="11" t="n">
        <v>0.0589500042261855</v>
      </c>
      <c r="Q282" s="12" t="n">
        <f aca="false">(P282-O282)*100</f>
        <v>-8.07081501061373</v>
      </c>
      <c r="R282" s="11" t="n">
        <v>0.0898385788102661</v>
      </c>
      <c r="S282" s="11" t="n">
        <v>0.172740047333277</v>
      </c>
      <c r="T282" s="12" t="n">
        <f aca="false">(S282-R282)*100</f>
        <v>8.2901468523011</v>
      </c>
      <c r="U282" s="11" t="n">
        <v>0.0532092069863774</v>
      </c>
      <c r="V282" s="11" t="n">
        <v>0.101470712534866</v>
      </c>
      <c r="W282" s="12" t="n">
        <f aca="false">(V282-U282)*100</f>
        <v>4.82615055484886</v>
      </c>
      <c r="X282" s="11" t="n">
        <v>0.402346585813725</v>
      </c>
      <c r="Y282" s="11" t="n">
        <v>0.468668117657003</v>
      </c>
      <c r="Z282" s="12" t="n">
        <f aca="false">(Y282-X282)*100</f>
        <v>6.63215318432777</v>
      </c>
      <c r="AA282" s="11" t="n">
        <v>0.439456377845155</v>
      </c>
      <c r="AB282" s="11" t="n">
        <v>0.337587693347984</v>
      </c>
      <c r="AC282" s="12" t="n">
        <f aca="false">(AB282-AA282)*100</f>
        <v>-10.1868684497171</v>
      </c>
      <c r="AD282" s="11" t="n">
        <v>0.654730242165192</v>
      </c>
      <c r="AE282" s="11" t="n">
        <v>0.633813474764115</v>
      </c>
      <c r="AF282" s="12" t="n">
        <f aca="false">(AE282-AD282)*100</f>
        <v>-2.09167674010777</v>
      </c>
      <c r="AG282" s="11" t="n">
        <v>0.0322415339283427</v>
      </c>
      <c r="AH282" s="11" t="n">
        <v>0.027438509001775</v>
      </c>
      <c r="AI282" s="12" t="n">
        <f aca="false">(AH282-AG282)*100</f>
        <v>-0.480302492656766</v>
      </c>
      <c r="AJ282" s="14" t="s">
        <v>74</v>
      </c>
      <c r="AK282" s="14" t="s">
        <v>74</v>
      </c>
      <c r="AL282" s="14" t="s">
        <v>134</v>
      </c>
      <c r="AM282" s="20" t="n">
        <v>4.93391553145151</v>
      </c>
      <c r="AN282" s="20" t="n">
        <v>13.1080424309019</v>
      </c>
      <c r="AO282" s="12" t="n">
        <v>8.17412689945036</v>
      </c>
    </row>
    <row r="283" customFormat="false" ht="15" hidden="false" customHeight="false" outlineLevel="0" collapsed="false">
      <c r="A283" s="14" t="s">
        <v>111</v>
      </c>
      <c r="B283" s="14" t="n">
        <v>7</v>
      </c>
      <c r="C283" s="11" t="n">
        <v>0.444125918038605</v>
      </c>
      <c r="D283" s="11" t="n">
        <v>0.360902562190938</v>
      </c>
      <c r="E283" s="12" t="n">
        <f aca="false">(D283-C283)*100</f>
        <v>-8.32233558476672</v>
      </c>
      <c r="F283" s="11" t="n">
        <v>0.0266906926584214</v>
      </c>
      <c r="G283" s="11" t="n">
        <v>0.0480578254867813</v>
      </c>
      <c r="H283" s="12" t="n">
        <f aca="false">(G283-F283)*100</f>
        <v>2.136713282836</v>
      </c>
      <c r="I283" s="11" t="n">
        <v>0.0410462227318645</v>
      </c>
      <c r="J283" s="11" t="n">
        <v>0.0662302185929209</v>
      </c>
      <c r="K283" s="12" t="n">
        <f aca="false">(J283-I283)*100</f>
        <v>2.51839958610564</v>
      </c>
      <c r="L283" s="11" t="n">
        <v>0.210041772462937</v>
      </c>
      <c r="M283" s="11" t="n">
        <v>0.122529690312134</v>
      </c>
      <c r="N283" s="12" t="n">
        <f aca="false">(M283-L283)*100</f>
        <v>-8.75120821508031</v>
      </c>
      <c r="O283" s="11" t="n">
        <v>0.123930433832965</v>
      </c>
      <c r="P283" s="11" t="n">
        <v>0.120776520336189</v>
      </c>
      <c r="Q283" s="12" t="n">
        <f aca="false">(P283-O283)*100</f>
        <v>-0.31539134967755</v>
      </c>
      <c r="R283" s="11" t="n">
        <v>0.0336909929833183</v>
      </c>
      <c r="S283" s="11" t="n">
        <v>0.0265538269778495</v>
      </c>
      <c r="T283" s="12" t="n">
        <f aca="false">(S283-R283)*100</f>
        <v>-0.713716600546884</v>
      </c>
      <c r="U283" s="11" t="n">
        <v>0.0489748000109209</v>
      </c>
      <c r="V283" s="11" t="n">
        <v>0.0705228640157494</v>
      </c>
      <c r="W283" s="12" t="n">
        <f aca="false">(V283-U283)*100</f>
        <v>2.15480640048285</v>
      </c>
      <c r="X283" s="11" t="n">
        <v>0.484413137849128</v>
      </c>
      <c r="Y283" s="11" t="n">
        <v>0.475190606270641</v>
      </c>
      <c r="Z283" s="12" t="n">
        <f aca="false">(Y283-X283)*100</f>
        <v>-0.922253157848718</v>
      </c>
      <c r="AA283" s="11" t="n">
        <v>0.36766319927922</v>
      </c>
      <c r="AB283" s="11" t="n">
        <v>0.269860037626173</v>
      </c>
      <c r="AC283" s="12" t="n">
        <f aca="false">(AB283-AA283)*100</f>
        <v>-9.78031616530474</v>
      </c>
      <c r="AD283" s="11" t="n">
        <v>0.647058407855081</v>
      </c>
      <c r="AE283" s="11" t="n">
        <v>0.580016688794522</v>
      </c>
      <c r="AF283" s="12" t="n">
        <f aca="false">(AE283-AD283)*100</f>
        <v>-6.70417190605592</v>
      </c>
      <c r="AG283" s="11" t="n">
        <v>0.0386654653670789</v>
      </c>
      <c r="AH283" s="11" t="n">
        <v>0.0458619946531228</v>
      </c>
      <c r="AI283" s="12" t="n">
        <f aca="false">(AH283-AG283)*100</f>
        <v>0.719652928604387</v>
      </c>
      <c r="AJ283" s="14" t="s">
        <v>74</v>
      </c>
      <c r="AK283" s="14" t="s">
        <v>74</v>
      </c>
      <c r="AL283" s="14" t="s">
        <v>134</v>
      </c>
      <c r="AM283" s="20" t="n">
        <v>19.1705572391951</v>
      </c>
      <c r="AN283" s="20" t="n">
        <v>20.5330568644468</v>
      </c>
      <c r="AO283" s="12" t="n">
        <v>1.36249962525163</v>
      </c>
    </row>
    <row r="284" customFormat="false" ht="15" hidden="false" customHeight="false" outlineLevel="0" collapsed="false">
      <c r="A284" s="14" t="s">
        <v>111</v>
      </c>
      <c r="B284" s="14" t="n">
        <v>8</v>
      </c>
      <c r="C284" s="11" t="n">
        <v>0.377131959036099</v>
      </c>
      <c r="D284" s="11" t="n">
        <v>0.31634460693046</v>
      </c>
      <c r="E284" s="12" t="n">
        <f aca="false">(D284-C284)*100</f>
        <v>-6.07873521056386</v>
      </c>
      <c r="F284" s="11" t="n">
        <v>0.0202737236640354</v>
      </c>
      <c r="G284" s="11" t="n">
        <v>0.0540255960665932</v>
      </c>
      <c r="H284" s="12" t="n">
        <f aca="false">(G284-F284)*100</f>
        <v>3.37518724025577</v>
      </c>
      <c r="I284" s="11" t="n">
        <v>0.0334724667310277</v>
      </c>
      <c r="J284" s="11" t="n">
        <v>0.0690741309810018</v>
      </c>
      <c r="K284" s="12" t="n">
        <f aca="false">(J284-I284)*100</f>
        <v>3.56016642499741</v>
      </c>
      <c r="L284" s="11" t="n">
        <v>0.283855793438961</v>
      </c>
      <c r="M284" s="11" t="n">
        <v>0.116235245205257</v>
      </c>
      <c r="N284" s="12" t="n">
        <f aca="false">(M284-L284)*100</f>
        <v>-16.7620548233705</v>
      </c>
      <c r="O284" s="11" t="n">
        <v>0.136947015730592</v>
      </c>
      <c r="P284" s="11" t="n">
        <v>0.100043383163717</v>
      </c>
      <c r="Q284" s="12" t="n">
        <f aca="false">(P284-O284)*100</f>
        <v>-3.69036325668751</v>
      </c>
      <c r="R284" s="11" t="n">
        <v>0.0636937550873606</v>
      </c>
      <c r="S284" s="11" t="n">
        <v>0.0469848701216536</v>
      </c>
      <c r="T284" s="12" t="n">
        <f aca="false">(S284-R284)*100</f>
        <v>-1.6708884965707</v>
      </c>
      <c r="U284" s="11" t="n">
        <v>0.0209977852234653</v>
      </c>
      <c r="V284" s="11" t="n">
        <v>0.122864734910793</v>
      </c>
      <c r="W284" s="12" t="n">
        <f aca="false">(V284-U284)*100</f>
        <v>10.1866949687328</v>
      </c>
      <c r="X284" s="11" t="n">
        <v>0.410202169345221</v>
      </c>
      <c r="Y284" s="11" t="n">
        <v>0.439444333978055</v>
      </c>
      <c r="Z284" s="12" t="n">
        <f aca="false">(Y284-X284)*100</f>
        <v>2.92421646328341</v>
      </c>
      <c r="AA284" s="11" t="n">
        <v>0.484496564256914</v>
      </c>
      <c r="AB284" s="11" t="n">
        <v>0.263263498490627</v>
      </c>
      <c r="AC284" s="12" t="n">
        <f aca="false">(AB284-AA284)*100</f>
        <v>-22.1233065766287</v>
      </c>
      <c r="AD284" s="11" t="n">
        <v>0.668924822407658</v>
      </c>
      <c r="AE284" s="11" t="n">
        <v>0.661712682896197</v>
      </c>
      <c r="AF284" s="12" t="n">
        <f aca="false">(AE284-AD284)*100</f>
        <v>-0.721213951146171</v>
      </c>
      <c r="AG284" s="11" t="n">
        <v>0.0377221875177466</v>
      </c>
      <c r="AH284" s="11" t="n">
        <v>0.0383669854124112</v>
      </c>
      <c r="AI284" s="12" t="n">
        <f aca="false">(AH284-AG284)*100</f>
        <v>0.0644797894664595</v>
      </c>
      <c r="AJ284" s="14" t="s">
        <v>74</v>
      </c>
      <c r="AK284" s="14" t="s">
        <v>74</v>
      </c>
      <c r="AL284" s="14" t="s">
        <v>134</v>
      </c>
      <c r="AM284" s="20" t="n">
        <v>4.16548355954342</v>
      </c>
      <c r="AN284" s="20" t="n">
        <v>17.6180835487428</v>
      </c>
      <c r="AO284" s="12" t="n">
        <v>13.4525999891994</v>
      </c>
    </row>
    <row r="285" customFormat="false" ht="15" hidden="false" customHeight="false" outlineLevel="0" collapsed="false">
      <c r="A285" s="14" t="s">
        <v>111</v>
      </c>
      <c r="B285" s="14" t="n">
        <v>9</v>
      </c>
      <c r="C285" s="11" t="n">
        <v>0.346200627708213</v>
      </c>
      <c r="D285" s="11" t="n">
        <v>0.332856653169655</v>
      </c>
      <c r="E285" s="12" t="n">
        <f aca="false">(D285-C285)*100</f>
        <v>-1.33439745385581</v>
      </c>
      <c r="F285" s="11" t="n">
        <v>0.0201833168623277</v>
      </c>
      <c r="G285" s="11" t="n">
        <v>0.0348726353450308</v>
      </c>
      <c r="H285" s="12" t="n">
        <f aca="false">(G285-F285)*100</f>
        <v>1.4689318482703</v>
      </c>
      <c r="I285" s="11" t="n">
        <v>0.0172293958579946</v>
      </c>
      <c r="J285" s="11" t="n">
        <v>0.041621141033057</v>
      </c>
      <c r="K285" s="12" t="n">
        <f aca="false">(J285-I285)*100</f>
        <v>2.43917451750624</v>
      </c>
      <c r="L285" s="11" t="n">
        <v>0.286247977324312</v>
      </c>
      <c r="M285" s="11" t="n">
        <v>0.112758960515886</v>
      </c>
      <c r="N285" s="12" t="n">
        <f aca="false">(M285-L285)*100</f>
        <v>-17.3489016808426</v>
      </c>
      <c r="O285" s="11" t="n">
        <v>0.181172011598484</v>
      </c>
      <c r="P285" s="11" t="n">
        <v>0.228704715384451</v>
      </c>
      <c r="Q285" s="12" t="n">
        <f aca="false">(P285-O285)*100</f>
        <v>4.75327037859666</v>
      </c>
      <c r="R285" s="11" t="n">
        <v>0.0646496019808647</v>
      </c>
      <c r="S285" s="11" t="n">
        <v>0.0364579985860274</v>
      </c>
      <c r="T285" s="12" t="n">
        <f aca="false">(S285-R285)*100</f>
        <v>-2.81916033948373</v>
      </c>
      <c r="U285" s="11" t="n">
        <v>0.0224204776229624</v>
      </c>
      <c r="V285" s="11" t="n">
        <v>0.0808267455063522</v>
      </c>
      <c r="W285" s="12" t="n">
        <f aca="false">(V285-U285)*100</f>
        <v>5.84062678833898</v>
      </c>
      <c r="X285" s="11" t="n">
        <v>0.378780638785417</v>
      </c>
      <c r="Y285" s="11" t="n">
        <v>0.409350429547743</v>
      </c>
      <c r="Z285" s="12" t="n">
        <f aca="false">(Y285-X285)*100</f>
        <v>3.05697907623258</v>
      </c>
      <c r="AA285" s="11" t="n">
        <v>0.532069590903661</v>
      </c>
      <c r="AB285" s="11" t="n">
        <v>0.377921674486364</v>
      </c>
      <c r="AC285" s="12" t="n">
        <f aca="false">(AB285-AA285)*100</f>
        <v>-15.4147916417297</v>
      </c>
      <c r="AD285" s="11" t="n">
        <v>0.675816413030315</v>
      </c>
      <c r="AE285" s="11" t="n">
        <v>0.642334460610106</v>
      </c>
      <c r="AF285" s="12" t="n">
        <f aca="false">(AE285-AD285)*100</f>
        <v>-3.34819524202097</v>
      </c>
      <c r="AG285" s="11" t="n">
        <v>0.0386887631541795</v>
      </c>
      <c r="AH285" s="11" t="n">
        <v>0.0435010819032928</v>
      </c>
      <c r="AI285" s="12" t="n">
        <f aca="false">(AH285-AG285)*100</f>
        <v>0.481231874911336</v>
      </c>
      <c r="AJ285" s="14" t="s">
        <v>74</v>
      </c>
      <c r="AK285" s="14" t="s">
        <v>74</v>
      </c>
      <c r="AL285" s="14" t="s">
        <v>134</v>
      </c>
      <c r="AM285" s="20" t="n">
        <v>0.546258185727783</v>
      </c>
      <c r="AN285" s="20" t="n">
        <v>3.14287550613793</v>
      </c>
      <c r="AO285" s="12" t="n">
        <v>2.59661732041014</v>
      </c>
    </row>
    <row r="286" customFormat="false" ht="15" hidden="false" customHeight="false" outlineLevel="0" collapsed="false">
      <c r="A286" s="14" t="s">
        <v>111</v>
      </c>
      <c r="B286" s="14" t="n">
        <v>10</v>
      </c>
      <c r="C286" s="11" t="n">
        <v>0.503768976144276</v>
      </c>
      <c r="D286" s="11" t="n">
        <v>0.406709417743971</v>
      </c>
      <c r="E286" s="12" t="n">
        <f aca="false">(D286-C286)*100</f>
        <v>-9.70595584003046</v>
      </c>
      <c r="F286" s="11" t="n">
        <v>0.0235269946353156</v>
      </c>
      <c r="G286" s="11" t="n">
        <v>0.0218530772816682</v>
      </c>
      <c r="H286" s="12" t="n">
        <f aca="false">(G286-F286)*100</f>
        <v>-0.16739173536474</v>
      </c>
      <c r="I286" s="11" t="n">
        <v>0.0596644218696496</v>
      </c>
      <c r="J286" s="11" t="n">
        <v>0.0289593068867892</v>
      </c>
      <c r="K286" s="12" t="n">
        <f aca="false">(J286-I286)*100</f>
        <v>-3.07051149828603</v>
      </c>
      <c r="L286" s="11" t="n">
        <v>0.207391850245406</v>
      </c>
      <c r="M286" s="11" t="n">
        <v>0.157604802674216</v>
      </c>
      <c r="N286" s="12" t="n">
        <f aca="false">(M286-L286)*100</f>
        <v>-4.97870475711895</v>
      </c>
      <c r="O286" s="11" t="n">
        <v>0.0924141079785413</v>
      </c>
      <c r="P286" s="11" t="n">
        <v>0.197274618821844</v>
      </c>
      <c r="Q286" s="12" t="n">
        <f aca="false">(P286-O286)*100</f>
        <v>10.4860510843303</v>
      </c>
      <c r="R286" s="11" t="n">
        <v>0.0199292318228513</v>
      </c>
      <c r="S286" s="11" t="n">
        <v>0.0209946447453696</v>
      </c>
      <c r="T286" s="12" t="n">
        <f aca="false">(S286-R286)*100</f>
        <v>0.106541292251831</v>
      </c>
      <c r="U286" s="11" t="n">
        <v>0.0212624129665563</v>
      </c>
      <c r="V286" s="11" t="n">
        <v>0.0689417971370422</v>
      </c>
      <c r="W286" s="12" t="n">
        <f aca="false">(V286-U286)*100</f>
        <v>4.76793841704859</v>
      </c>
      <c r="X286" s="11" t="n">
        <v>0.545079328843739</v>
      </c>
      <c r="Y286" s="11" t="n">
        <v>0.457521801912429</v>
      </c>
      <c r="Z286" s="12" t="n">
        <f aca="false">(Y286-X286)*100</f>
        <v>-8.75575269313108</v>
      </c>
      <c r="AA286" s="11" t="n">
        <v>0.319735190046798</v>
      </c>
      <c r="AB286" s="11" t="n">
        <v>0.37587406624143</v>
      </c>
      <c r="AC286" s="12" t="n">
        <f aca="false">(AB286-AA286)*100</f>
        <v>5.61388761946316</v>
      </c>
      <c r="AD286" s="11" t="n">
        <v>0.67768684540293</v>
      </c>
      <c r="AE286" s="11" t="n">
        <v>0.533393575697664</v>
      </c>
      <c r="AF286" s="12" t="n">
        <f aca="false">(AE286-AD286)*100</f>
        <v>-14.4293269705266</v>
      </c>
      <c r="AG286" s="11" t="n">
        <v>0.0327770802419815</v>
      </c>
      <c r="AH286" s="11" t="n">
        <v>0.0359859467203329</v>
      </c>
      <c r="AI286" s="12" t="n">
        <f aca="false">(AH286-AG286)*100</f>
        <v>0.32088664783514</v>
      </c>
      <c r="AJ286" s="14" t="s">
        <v>74</v>
      </c>
      <c r="AK286" s="14" t="s">
        <v>74</v>
      </c>
      <c r="AL286" s="14" t="s">
        <v>134</v>
      </c>
      <c r="AM286" s="20" t="n">
        <v>29.6495833808926</v>
      </c>
      <c r="AN286" s="20" t="n">
        <v>8.16477356709986</v>
      </c>
      <c r="AO286" s="12" t="n">
        <v>-21.4848098137927</v>
      </c>
    </row>
    <row r="287" customFormat="false" ht="15" hidden="false" customHeight="false" outlineLevel="0" collapsed="false">
      <c r="A287" s="14" t="s">
        <v>111</v>
      </c>
      <c r="B287" s="14" t="n">
        <v>11</v>
      </c>
      <c r="C287" s="11" t="n">
        <v>0.619619847150874</v>
      </c>
      <c r="D287" s="11" t="n">
        <v>0.573121131741821</v>
      </c>
      <c r="E287" s="12" t="n">
        <f aca="false">(D287-C287)*100</f>
        <v>-4.64987154090527</v>
      </c>
      <c r="F287" s="11" t="n">
        <v>0.0207351507528804</v>
      </c>
      <c r="G287" s="11" t="n">
        <v>0.0197506021525047</v>
      </c>
      <c r="H287" s="12" t="n">
        <f aca="false">(G287-F287)*100</f>
        <v>-0.0984548600375789</v>
      </c>
      <c r="I287" s="11" t="n">
        <v>0.0100973365054831</v>
      </c>
      <c r="J287" s="11" t="n">
        <v>0.0237080398792646</v>
      </c>
      <c r="K287" s="12" t="n">
        <f aca="false">(J287-I287)*100</f>
        <v>1.36107033737815</v>
      </c>
      <c r="L287" s="11" t="n">
        <v>0.163987008329419</v>
      </c>
      <c r="M287" s="11" t="n">
        <v>0.0484283057410287</v>
      </c>
      <c r="N287" s="12" t="n">
        <f aca="false">(M287-L287)*100</f>
        <v>-11.555870258839</v>
      </c>
      <c r="O287" s="11" t="n">
        <v>0.0864865410939876</v>
      </c>
      <c r="P287" s="11" t="n">
        <v>0.152986371535718</v>
      </c>
      <c r="Q287" s="12" t="n">
        <f aca="false">(P287-O287)*100</f>
        <v>6.649983044173</v>
      </c>
      <c r="R287" s="11" t="n">
        <v>0.023513307370197</v>
      </c>
      <c r="S287" s="11" t="n">
        <v>0.0277813347967926</v>
      </c>
      <c r="T287" s="12" t="n">
        <f aca="false">(S287-R287)*100</f>
        <v>0.426802742659563</v>
      </c>
      <c r="U287" s="11" t="n">
        <v>0.0169366529779313</v>
      </c>
      <c r="V287" s="11" t="n">
        <v>0.0572334522393975</v>
      </c>
      <c r="W287" s="12" t="n">
        <f aca="false">(V287-U287)*100</f>
        <v>4.02967992614662</v>
      </c>
      <c r="X287" s="11" t="n">
        <v>0.65858980770105</v>
      </c>
      <c r="Y287" s="11" t="n">
        <v>0.616579773773591</v>
      </c>
      <c r="Z287" s="12" t="n">
        <f aca="false">(Y287-X287)*100</f>
        <v>-4.20100339274595</v>
      </c>
      <c r="AA287" s="11" t="n">
        <v>0.273986856793603</v>
      </c>
      <c r="AB287" s="11" t="n">
        <v>0.229196012073539</v>
      </c>
      <c r="AC287" s="12" t="n">
        <f aca="false">(AB287-AA287)*100</f>
        <v>-4.47908447200644</v>
      </c>
      <c r="AD287" s="11" t="n">
        <v>0.648649445623968</v>
      </c>
      <c r="AE287" s="11" t="n">
        <v>0.540987662466187</v>
      </c>
      <c r="AF287" s="12" t="n">
        <f aca="false">(AE287-AD287)*100</f>
        <v>-10.7661783157781</v>
      </c>
      <c r="AG287" s="11" t="n">
        <v>0.0243164471922939</v>
      </c>
      <c r="AH287" s="11" t="n">
        <v>0.0286411171072289</v>
      </c>
      <c r="AI287" s="12" t="n">
        <f aca="false">(AH287-AG287)*100</f>
        <v>0.432466991493498</v>
      </c>
      <c r="AJ287" s="14" t="s">
        <v>74</v>
      </c>
      <c r="AK287" s="14" t="s">
        <v>74</v>
      </c>
      <c r="AL287" s="14" t="s">
        <v>134</v>
      </c>
      <c r="AM287" s="20" t="n">
        <v>45.4152839023503</v>
      </c>
      <c r="AN287" s="20" t="n">
        <v>38.7383761700052</v>
      </c>
      <c r="AO287" s="12" t="n">
        <v>-6.67690773234514</v>
      </c>
    </row>
    <row r="288" customFormat="false" ht="15" hidden="false" customHeight="false" outlineLevel="0" collapsed="false">
      <c r="A288" s="14" t="s">
        <v>111</v>
      </c>
      <c r="B288" s="14" t="n">
        <v>12</v>
      </c>
      <c r="C288" s="11" t="n">
        <v>0.332070903193385</v>
      </c>
      <c r="D288" s="11" t="n">
        <v>0.328921383251397</v>
      </c>
      <c r="E288" s="12" t="n">
        <f aca="false">(D288-C288)*100</f>
        <v>-0.31495199419877</v>
      </c>
      <c r="F288" s="11" t="n">
        <v>0.0170313856274841</v>
      </c>
      <c r="G288" s="11" t="n">
        <v>0.00990587839825203</v>
      </c>
      <c r="H288" s="12" t="n">
        <f aca="false">(G288-F288)*100</f>
        <v>-0.712550722923209</v>
      </c>
      <c r="I288" s="11" t="n">
        <v>0.0331947553565718</v>
      </c>
      <c r="J288" s="11" t="n">
        <v>0.049476868775999</v>
      </c>
      <c r="K288" s="12" t="n">
        <f aca="false">(J288-I288)*100</f>
        <v>1.62821134194272</v>
      </c>
      <c r="L288" s="11" t="n">
        <v>0.432345013477089</v>
      </c>
      <c r="M288" s="11" t="n">
        <v>0.429067397789823</v>
      </c>
      <c r="N288" s="12" t="n">
        <f aca="false">(M288-L288)*100</f>
        <v>-0.327761568726581</v>
      </c>
      <c r="O288" s="11" t="n">
        <v>0.0970213349170816</v>
      </c>
      <c r="P288" s="11" t="n">
        <v>0.0460628597840245</v>
      </c>
      <c r="Q288" s="12" t="n">
        <f aca="false">(P288-O288)*100</f>
        <v>-5.09584751330571</v>
      </c>
      <c r="R288" s="11" t="n">
        <v>0.0152953538306912</v>
      </c>
      <c r="S288" s="11" t="n">
        <v>0.00907601159712593</v>
      </c>
      <c r="T288" s="12" t="n">
        <f aca="false">(S288-R288)*100</f>
        <v>-0.621934223356528</v>
      </c>
      <c r="U288" s="11" t="n">
        <v>0.0209968477317374</v>
      </c>
      <c r="V288" s="11" t="n">
        <v>0.0578438169670995</v>
      </c>
      <c r="W288" s="12" t="n">
        <f aca="false">(V288-U288)*100</f>
        <v>3.68469692353621</v>
      </c>
      <c r="X288" s="11" t="n">
        <v>0.362405774589977</v>
      </c>
      <c r="Y288" s="11" t="n">
        <v>0.388304130425648</v>
      </c>
      <c r="Z288" s="12" t="n">
        <f aca="false">(Y288-X288)*100</f>
        <v>2.58983558356715</v>
      </c>
      <c r="AA288" s="11" t="n">
        <v>0.544661702224862</v>
      </c>
      <c r="AB288" s="11" t="n">
        <v>0.484206269170974</v>
      </c>
      <c r="AC288" s="12" t="n">
        <f aca="false">(AB288-AA288)*100</f>
        <v>-6.04554330538882</v>
      </c>
      <c r="AD288" s="11" t="n">
        <v>0.651404049662528</v>
      </c>
      <c r="AE288" s="11" t="n">
        <v>0.560887087271099</v>
      </c>
      <c r="AF288" s="12" t="n">
        <f aca="false">(AE288-AD288)*100</f>
        <v>-9.05169623914292</v>
      </c>
      <c r="AG288" s="11" t="n">
        <v>0.0287358947416511</v>
      </c>
      <c r="AH288" s="11" t="n">
        <v>0.0222908525568301</v>
      </c>
      <c r="AI288" s="12" t="n">
        <f aca="false">(AH288-AG288)*100</f>
        <v>-0.644504218482094</v>
      </c>
      <c r="AJ288" s="14" t="s">
        <v>132</v>
      </c>
      <c r="AK288" s="14" t="s">
        <v>132</v>
      </c>
      <c r="AL288" s="14" t="s">
        <v>150</v>
      </c>
      <c r="AM288" s="20" t="n">
        <v>10.6231440449541</v>
      </c>
      <c r="AN288" s="20" t="n">
        <v>9.59021387453254</v>
      </c>
      <c r="AO288" s="12" t="n">
        <v>-1.03293017042154</v>
      </c>
    </row>
    <row r="289" customFormat="false" ht="15" hidden="false" customHeight="false" outlineLevel="0" collapsed="false">
      <c r="A289" s="14" t="s">
        <v>111</v>
      </c>
      <c r="B289" s="14" t="n">
        <v>13</v>
      </c>
      <c r="C289" s="11" t="n">
        <v>0.379102401137012</v>
      </c>
      <c r="D289" s="11" t="n">
        <v>0.362452107279694</v>
      </c>
      <c r="E289" s="12" t="n">
        <f aca="false">(D289-C289)*100</f>
        <v>-1.66502938573184</v>
      </c>
      <c r="F289" s="11" t="n">
        <v>0.0194172813804286</v>
      </c>
      <c r="G289" s="11" t="n">
        <v>0.0144022006090972</v>
      </c>
      <c r="H289" s="12" t="n">
        <f aca="false">(G289-F289)*100</f>
        <v>-0.501508077133142</v>
      </c>
      <c r="I289" s="11" t="n">
        <v>0.0426729789512666</v>
      </c>
      <c r="J289" s="11" t="n">
        <v>0.0565183220355634</v>
      </c>
      <c r="K289" s="12" t="n">
        <f aca="false">(J289-I289)*100</f>
        <v>1.38453430842968</v>
      </c>
      <c r="L289" s="11" t="n">
        <v>0.307653811892584</v>
      </c>
      <c r="M289" s="11" t="n">
        <v>0.207824933687003</v>
      </c>
      <c r="N289" s="12" t="n">
        <f aca="false">(M289-L289)*100</f>
        <v>-9.98288782055818</v>
      </c>
      <c r="O289" s="11" t="n">
        <v>0.130135820880584</v>
      </c>
      <c r="P289" s="11" t="n">
        <v>0.150353669319187</v>
      </c>
      <c r="Q289" s="12" t="n">
        <f aca="false">(P289-O289)*100</f>
        <v>2.02178484386029</v>
      </c>
      <c r="R289" s="11" t="n">
        <v>0.0314379798020238</v>
      </c>
      <c r="S289" s="11" t="n">
        <v>0.0206159740642499</v>
      </c>
      <c r="T289" s="12" t="n">
        <f aca="false">(S289-R289)*100</f>
        <v>-1.08220057377739</v>
      </c>
      <c r="U289" s="11" t="n">
        <v>0.0191820720441193</v>
      </c>
      <c r="V289" s="11" t="n">
        <v>0.100520679831025</v>
      </c>
      <c r="W289" s="12" t="n">
        <f aca="false">(V289-U289)*100</f>
        <v>8.13386077869054</v>
      </c>
      <c r="X289" s="11" t="n">
        <v>0.410014913272813</v>
      </c>
      <c r="Y289" s="11" t="n">
        <v>0.433372629924354</v>
      </c>
      <c r="Z289" s="12" t="n">
        <f aca="false">(Y289-X289)*100</f>
        <v>2.33577166515412</v>
      </c>
      <c r="AA289" s="11" t="n">
        <v>0.469227612575192</v>
      </c>
      <c r="AB289" s="11" t="n">
        <v>0.378794577070439</v>
      </c>
      <c r="AC289" s="12" t="n">
        <f aca="false">(AB289-AA289)*100</f>
        <v>-9.04330355047528</v>
      </c>
      <c r="AD289" s="11" t="n">
        <v>0.658363892156184</v>
      </c>
      <c r="AE289" s="11" t="n">
        <v>0.64996057071889</v>
      </c>
      <c r="AF289" s="12" t="n">
        <f aca="false">(AE289-AD289)*100</f>
        <v>-0.840332143729439</v>
      </c>
      <c r="AG289" s="11" t="n">
        <v>0.0383090950946342</v>
      </c>
      <c r="AH289" s="11" t="n">
        <v>0.0319776009431182</v>
      </c>
      <c r="AI289" s="12" t="n">
        <f aca="false">(AH289-AG289)*100</f>
        <v>-0.633149415151605</v>
      </c>
      <c r="AJ289" s="14" t="s">
        <v>74</v>
      </c>
      <c r="AK289" s="14" t="s">
        <v>74</v>
      </c>
      <c r="AL289" s="14" t="s">
        <v>134</v>
      </c>
      <c r="AM289" s="20" t="n">
        <v>5.17410495340853</v>
      </c>
      <c r="AN289" s="20" t="n">
        <v>5.45780528539149</v>
      </c>
      <c r="AO289" s="12" t="n">
        <v>0.283700331982959</v>
      </c>
    </row>
    <row r="290" customFormat="false" ht="15" hidden="false" customHeight="false" outlineLevel="0" collapsed="false">
      <c r="A290" s="14" t="s">
        <v>111</v>
      </c>
      <c r="B290" s="14" t="n">
        <v>14</v>
      </c>
      <c r="C290" s="11" t="n">
        <v>0.510556676101855</v>
      </c>
      <c r="D290" s="11" t="n">
        <v>0.510839806246206</v>
      </c>
      <c r="E290" s="12" t="n">
        <f aca="false">(D290-C290)*100</f>
        <v>0.0283130144351218</v>
      </c>
      <c r="F290" s="11" t="n">
        <v>0.027554139335695</v>
      </c>
      <c r="G290" s="11" t="n">
        <v>0.0402745258359039</v>
      </c>
      <c r="H290" s="12" t="n">
        <f aca="false">(G290-F290)*100</f>
        <v>1.27203865002089</v>
      </c>
      <c r="I290" s="11" t="n">
        <v>0.0151245501336181</v>
      </c>
      <c r="J290" s="11" t="n">
        <v>0.0554998079805751</v>
      </c>
      <c r="K290" s="12" t="n">
        <f aca="false">(J290-I290)*100</f>
        <v>4.0375257846957</v>
      </c>
      <c r="L290" s="11" t="n">
        <v>0.20595264326514</v>
      </c>
      <c r="M290" s="11" t="n">
        <v>0.0982520038156118</v>
      </c>
      <c r="N290" s="12" t="n">
        <f aca="false">(M290-L290)*100</f>
        <v>-10.7700639449528</v>
      </c>
      <c r="O290" s="11" t="n">
        <v>0.121742176421069</v>
      </c>
      <c r="P290" s="11" t="n">
        <v>0.0767953816231216</v>
      </c>
      <c r="Q290" s="12" t="n">
        <f aca="false">(P290-O290)*100</f>
        <v>-4.49467947979477</v>
      </c>
      <c r="R290" s="11" t="n">
        <v>0.0435205116470901</v>
      </c>
      <c r="S290" s="11" t="n">
        <v>0.0719019833748343</v>
      </c>
      <c r="T290" s="12" t="n">
        <f aca="false">(S290-R290)*100</f>
        <v>2.83814717277442</v>
      </c>
      <c r="U290" s="11" t="n">
        <v>0.0201133352542699</v>
      </c>
      <c r="V290" s="11" t="n">
        <v>0.0237051077167032</v>
      </c>
      <c r="W290" s="12" t="n">
        <f aca="false">(V290-U290)*100</f>
        <v>0.359177246243336</v>
      </c>
      <c r="X290" s="11" t="n">
        <v>0.552178850488991</v>
      </c>
      <c r="Y290" s="11" t="n">
        <v>0.606614140062685</v>
      </c>
      <c r="Z290" s="12" t="n">
        <f aca="false">(Y290-X290)*100</f>
        <v>5.44352895736938</v>
      </c>
      <c r="AA290" s="11" t="n">
        <v>0.371215331333299</v>
      </c>
      <c r="AB290" s="11" t="n">
        <v>0.246949368813568</v>
      </c>
      <c r="AC290" s="12" t="n">
        <f aca="false">(AB290-AA290)*100</f>
        <v>-12.4265962519732</v>
      </c>
      <c r="AD290" s="11" t="n">
        <v>0.641161064562753</v>
      </c>
      <c r="AE290" s="11" t="n">
        <v>0.575433869053348</v>
      </c>
      <c r="AF290" s="12" t="n">
        <f aca="false">(AE290-AD290)*100</f>
        <v>-6.57271955094059</v>
      </c>
      <c r="AG290" s="11" t="n">
        <v>0.0311700198308446</v>
      </c>
      <c r="AH290" s="11" t="n">
        <v>0.0303824283643662</v>
      </c>
      <c r="AI290" s="12" t="n">
        <f aca="false">(AH290-AG290)*100</f>
        <v>-0.078759146647844</v>
      </c>
      <c r="AJ290" s="14" t="s">
        <v>74</v>
      </c>
      <c r="AK290" s="14" t="s">
        <v>74</v>
      </c>
      <c r="AL290" s="14" t="s">
        <v>134</v>
      </c>
      <c r="AM290" s="20" t="n">
        <v>28.2592360322491</v>
      </c>
      <c r="AN290" s="20" t="n">
        <v>35.9664771249117</v>
      </c>
      <c r="AO290" s="12" t="n">
        <v>7.7072410926626</v>
      </c>
    </row>
    <row r="291" customFormat="false" ht="15" hidden="false" customHeight="false" outlineLevel="0" collapsed="false">
      <c r="A291" s="14" t="s">
        <v>111</v>
      </c>
      <c r="B291" s="14" t="n">
        <v>15</v>
      </c>
      <c r="C291" s="11" t="n">
        <v>0.431333258930836</v>
      </c>
      <c r="D291" s="11" t="n">
        <v>0.353137832043316</v>
      </c>
      <c r="E291" s="12" t="n">
        <f aca="false">(D291-C291)*100</f>
        <v>-7.81954268875206</v>
      </c>
      <c r="F291" s="11" t="n">
        <v>0.0230258819232369</v>
      </c>
      <c r="G291" s="11" t="n">
        <v>0.0272487060887802</v>
      </c>
      <c r="H291" s="12" t="n">
        <f aca="false">(G291-F291)*100</f>
        <v>0.42228241655433</v>
      </c>
      <c r="I291" s="11" t="n">
        <v>0.0462242423627528</v>
      </c>
      <c r="J291" s="11" t="n">
        <v>0.0348538412421548</v>
      </c>
      <c r="K291" s="12" t="n">
        <f aca="false">(J291-I291)*100</f>
        <v>-1.1370401120598</v>
      </c>
      <c r="L291" s="11" t="n">
        <v>0.23787323843633</v>
      </c>
      <c r="M291" s="11" t="n">
        <v>0.128228289026283</v>
      </c>
      <c r="N291" s="12" t="n">
        <f aca="false">(M291-L291)*100</f>
        <v>-10.9644949410047</v>
      </c>
      <c r="O291" s="11" t="n">
        <v>0.104040055598957</v>
      </c>
      <c r="P291" s="11" t="n">
        <v>0.19400102786127</v>
      </c>
      <c r="Q291" s="12" t="n">
        <f aca="false">(P291-O291)*100</f>
        <v>8.99609722623129</v>
      </c>
      <c r="R291" s="11" t="n">
        <v>0.056025080405426</v>
      </c>
      <c r="S291" s="11" t="n">
        <v>0.0870307787346924</v>
      </c>
      <c r="T291" s="12" t="n">
        <f aca="false">(S291-R291)*100</f>
        <v>3.10056983292664</v>
      </c>
      <c r="U291" s="11" t="n">
        <v>0.0319947647697412</v>
      </c>
      <c r="V291" s="11" t="n">
        <v>0.0799395742162558</v>
      </c>
      <c r="W291" s="12" t="n">
        <f aca="false">(V291-U291)*100</f>
        <v>4.79448094465146</v>
      </c>
      <c r="X291" s="11" t="n">
        <v>0.471251889654333</v>
      </c>
      <c r="Y291" s="11" t="n">
        <v>0.415240379374251</v>
      </c>
      <c r="Z291" s="12" t="n">
        <f aca="false">(Y291-X291)*100</f>
        <v>-5.60115102800823</v>
      </c>
      <c r="AA291" s="11" t="n">
        <v>0.397938374440713</v>
      </c>
      <c r="AB291" s="11" t="n">
        <v>0.409260095622245</v>
      </c>
      <c r="AC291" s="12" t="n">
        <f aca="false">(AB291-AA291)*100</f>
        <v>1.13217211815323</v>
      </c>
      <c r="AD291" s="11" t="n">
        <v>0.673801434245517</v>
      </c>
      <c r="AE291" s="11" t="n">
        <v>0.624756351087947</v>
      </c>
      <c r="AF291" s="12" t="n">
        <f aca="false">(AE291-AD291)*100</f>
        <v>-4.904508315757</v>
      </c>
      <c r="AG291" s="11" t="n">
        <v>0.0375698791635807</v>
      </c>
      <c r="AH291" s="11" t="n">
        <v>0.0298962275414908</v>
      </c>
      <c r="AI291" s="12" t="n">
        <f aca="false">(AH291-AG291)*100</f>
        <v>-0.767365162208985</v>
      </c>
      <c r="AJ291" s="14" t="s">
        <v>74</v>
      </c>
      <c r="AK291" s="14" t="s">
        <v>74</v>
      </c>
      <c r="AL291" s="14" t="s">
        <v>134</v>
      </c>
      <c r="AM291" s="20" t="n">
        <v>14.5358806042836</v>
      </c>
      <c r="AN291" s="20" t="n">
        <v>0.598028375200511</v>
      </c>
      <c r="AO291" s="12" t="n">
        <v>-13.9378522290831</v>
      </c>
    </row>
    <row r="292" customFormat="false" ht="15" hidden="false" customHeight="false" outlineLevel="0" collapsed="false">
      <c r="A292" s="14" t="s">
        <v>111</v>
      </c>
      <c r="B292" s="14" t="n">
        <v>16</v>
      </c>
      <c r="C292" s="11" t="n">
        <v>0.455071970433768</v>
      </c>
      <c r="D292" s="11" t="n">
        <v>0.447519976198572</v>
      </c>
      <c r="E292" s="12" t="n">
        <f aca="false">(D292-C292)*100</f>
        <v>-0.755199423519576</v>
      </c>
      <c r="F292" s="11" t="n">
        <v>0.0219315308305777</v>
      </c>
      <c r="G292" s="11" t="n">
        <v>0.0242742689561374</v>
      </c>
      <c r="H292" s="12" t="n">
        <f aca="false">(G292-F292)*100</f>
        <v>0.234273812555966</v>
      </c>
      <c r="I292" s="11" t="n">
        <v>0.0762351682552033</v>
      </c>
      <c r="J292" s="11" t="n">
        <v>0.0287157854471268</v>
      </c>
      <c r="K292" s="12" t="n">
        <f aca="false">(J292-I292)*100</f>
        <v>-4.75193828080764</v>
      </c>
      <c r="L292" s="11" t="n">
        <v>0.211573623808598</v>
      </c>
      <c r="M292" s="11" t="n">
        <v>0.166859699081945</v>
      </c>
      <c r="N292" s="12" t="n">
        <f aca="false">(M292-L292)*100</f>
        <v>-4.47139247266526</v>
      </c>
      <c r="O292" s="11" t="n">
        <v>0.11957304026454</v>
      </c>
      <c r="P292" s="11" t="n">
        <v>0.123204267256035</v>
      </c>
      <c r="Q292" s="12" t="n">
        <f aca="false">(P292-O292)*100</f>
        <v>0.363122699149539</v>
      </c>
      <c r="R292" s="11" t="n">
        <v>0.0245039875510601</v>
      </c>
      <c r="S292" s="11" t="n">
        <v>0.0302618157089425</v>
      </c>
      <c r="T292" s="12" t="n">
        <f aca="false">(S292-R292)*100</f>
        <v>0.575782815788243</v>
      </c>
      <c r="U292" s="11" t="n">
        <v>0.0201857615249951</v>
      </c>
      <c r="V292" s="11" t="n">
        <v>0.0614958772526352</v>
      </c>
      <c r="W292" s="12" t="n">
        <f aca="false">(V292-U292)*100</f>
        <v>4.131011572764</v>
      </c>
      <c r="X292" s="11" t="n">
        <v>0.494422291382999</v>
      </c>
      <c r="Y292" s="11" t="n">
        <v>0.500510030601836</v>
      </c>
      <c r="Z292" s="12" t="n">
        <f aca="false">(Y292-X292)*100</f>
        <v>0.608773921883665</v>
      </c>
      <c r="AA292" s="11" t="n">
        <v>0.355650651624198</v>
      </c>
      <c r="AB292" s="11" t="n">
        <v>0.320325782046923</v>
      </c>
      <c r="AC292" s="12" t="n">
        <f aca="false">(AB292-AA292)*100</f>
        <v>-3.53248695772748</v>
      </c>
      <c r="AD292" s="11" t="n">
        <v>0.678693307458234</v>
      </c>
      <c r="AE292" s="11" t="n">
        <v>0.595679500731054</v>
      </c>
      <c r="AF292" s="12" t="n">
        <f aca="false">(AE292-AD292)*100</f>
        <v>-8.30138067271793</v>
      </c>
      <c r="AG292" s="11" t="n">
        <v>0.0313849445633145</v>
      </c>
      <c r="AH292" s="11" t="n">
        <v>0.031079989799388</v>
      </c>
      <c r="AI292" s="12" t="n">
        <f aca="false">(AH292-AG292)*100</f>
        <v>-0.0304954763926571</v>
      </c>
      <c r="AJ292" s="14" t="s">
        <v>74</v>
      </c>
      <c r="AK292" s="14" t="s">
        <v>74</v>
      </c>
      <c r="AL292" s="14" t="s">
        <v>134</v>
      </c>
      <c r="AM292" s="20" t="n">
        <v>23.8158918498347</v>
      </c>
      <c r="AN292" s="20" t="n">
        <v>18.0184248554913</v>
      </c>
      <c r="AO292" s="12" t="n">
        <v>-5.79746699434334</v>
      </c>
    </row>
    <row r="293" customFormat="false" ht="15" hidden="false" customHeight="false" outlineLevel="0" collapsed="false">
      <c r="A293" s="14" t="s">
        <v>111</v>
      </c>
      <c r="B293" s="14" t="n">
        <v>17</v>
      </c>
      <c r="C293" s="11" t="n">
        <v>0.412520287245159</v>
      </c>
      <c r="D293" s="11" t="n">
        <v>0.392568925195165</v>
      </c>
      <c r="E293" s="12" t="n">
        <f aca="false">(D293-C293)*100</f>
        <v>-1.99513620499944</v>
      </c>
      <c r="F293" s="11" t="n">
        <v>0.0331710353720625</v>
      </c>
      <c r="G293" s="11" t="n">
        <v>0.0500510557001219</v>
      </c>
      <c r="H293" s="12" t="n">
        <f aca="false">(G293-F293)*100</f>
        <v>1.68800203280593</v>
      </c>
      <c r="I293" s="11" t="n">
        <v>0.0145734676182218</v>
      </c>
      <c r="J293" s="11" t="n">
        <v>0.0833250985429911</v>
      </c>
      <c r="K293" s="12" t="n">
        <f aca="false">(J293-I293)*100</f>
        <v>6.87516309247693</v>
      </c>
      <c r="L293" s="11" t="n">
        <v>0.277079303675048</v>
      </c>
      <c r="M293" s="11" t="n">
        <v>0.1077165475367</v>
      </c>
      <c r="N293" s="12" t="n">
        <f aca="false">(M293-L293)*100</f>
        <v>-16.9362756138349</v>
      </c>
      <c r="O293" s="11" t="n">
        <v>0.126253362680362</v>
      </c>
      <c r="P293" s="11" t="n">
        <v>0.0692765462191333</v>
      </c>
      <c r="Q293" s="12" t="n">
        <f aca="false">(P293-O293)*100</f>
        <v>-5.69768164612287</v>
      </c>
      <c r="R293" s="11" t="n">
        <v>0.0548478178705618</v>
      </c>
      <c r="S293" s="11" t="n">
        <v>0.065389725177597</v>
      </c>
      <c r="T293" s="12" t="n">
        <f aca="false">(S293-R293)*100</f>
        <v>1.05419073070352</v>
      </c>
      <c r="U293" s="11" t="n">
        <v>0.0188921496698459</v>
      </c>
      <c r="V293" s="11" t="n">
        <v>0.0833031391020785</v>
      </c>
      <c r="W293" s="12" t="n">
        <f aca="false">(V293-U293)*100</f>
        <v>6.44109894322325</v>
      </c>
      <c r="X293" s="11" t="n">
        <v>0.456746481691456</v>
      </c>
      <c r="Y293" s="11" t="n">
        <v>0.525945079438278</v>
      </c>
      <c r="Z293" s="12" t="n">
        <f aca="false">(Y293-X293)*100</f>
        <v>6.91985977468215</v>
      </c>
      <c r="AA293" s="11" t="n">
        <v>0.458180484225972</v>
      </c>
      <c r="AB293" s="11" t="n">
        <v>0.24238281893343</v>
      </c>
      <c r="AC293" s="12" t="n">
        <f aca="false">(AB293-AA293)*100</f>
        <v>-21.5797665292542</v>
      </c>
      <c r="AD293" s="11" t="n">
        <v>0.626850071076177</v>
      </c>
      <c r="AE293" s="11" t="n">
        <v>0.621843059339219</v>
      </c>
      <c r="AF293" s="12" t="n">
        <f aca="false">(AE293-AD293)*100</f>
        <v>-0.500701173695817</v>
      </c>
      <c r="AG293" s="11" t="n">
        <v>0.0403354898952845</v>
      </c>
      <c r="AH293" s="11" t="n">
        <v>0.0431503013933265</v>
      </c>
      <c r="AI293" s="12" t="n">
        <f aca="false">(AH293-AG293)*100</f>
        <v>0.281481149804207</v>
      </c>
      <c r="AJ293" s="14" t="s">
        <v>74</v>
      </c>
      <c r="AK293" s="14" t="s">
        <v>74</v>
      </c>
      <c r="AL293" s="14" t="s">
        <v>134</v>
      </c>
      <c r="AM293" s="20" t="n">
        <v>10.5927210476</v>
      </c>
      <c r="AN293" s="20" t="n">
        <v>28.3562260504848</v>
      </c>
      <c r="AO293" s="12" t="n">
        <v>17.7635050028848</v>
      </c>
    </row>
    <row r="294" customFormat="false" ht="15" hidden="false" customHeight="false" outlineLevel="0" collapsed="false">
      <c r="A294" s="14" t="s">
        <v>111</v>
      </c>
      <c r="B294" s="14" t="n">
        <v>18</v>
      </c>
      <c r="C294" s="11" t="n">
        <v>0.379275705223652</v>
      </c>
      <c r="D294" s="11" t="n">
        <v>0.332553343960689</v>
      </c>
      <c r="E294" s="12" t="n">
        <f aca="false">(D294-C294)*100</f>
        <v>-4.67223612629638</v>
      </c>
      <c r="F294" s="11" t="n">
        <v>0.035240785689518</v>
      </c>
      <c r="G294" s="11" t="n">
        <v>0.0352896441785981</v>
      </c>
      <c r="H294" s="12" t="n">
        <f aca="false">(G294-F294)*100</f>
        <v>0.00488584890800461</v>
      </c>
      <c r="I294" s="11" t="n">
        <v>0.0247363697554409</v>
      </c>
      <c r="J294" s="11" t="n">
        <v>0.0979422905362914</v>
      </c>
      <c r="K294" s="12" t="n">
        <f aca="false">(J294-I294)*100</f>
        <v>7.32059207808506</v>
      </c>
      <c r="L294" s="11" t="n">
        <v>0.201139168213433</v>
      </c>
      <c r="M294" s="11" t="n">
        <v>0.107472785683295</v>
      </c>
      <c r="N294" s="12" t="n">
        <f aca="false">(M294-L294)*100</f>
        <v>-9.36663825301383</v>
      </c>
      <c r="O294" s="11" t="n">
        <v>0.1612733799743</v>
      </c>
      <c r="P294" s="11" t="n">
        <v>0.134816288128074</v>
      </c>
      <c r="Q294" s="12" t="n">
        <f aca="false">(P294-O294)*100</f>
        <v>-2.64570918462256</v>
      </c>
      <c r="R294" s="11" t="n">
        <v>0.0713586391172211</v>
      </c>
      <c r="S294" s="11" t="n">
        <v>0.0719393948257455</v>
      </c>
      <c r="T294" s="12" t="n">
        <f aca="false">(S294-R294)*100</f>
        <v>0.058075570852438</v>
      </c>
      <c r="U294" s="11" t="n">
        <v>0.043736104595427</v>
      </c>
      <c r="V294" s="11" t="n">
        <v>0.0459267492480415</v>
      </c>
      <c r="W294" s="12" t="n">
        <f aca="false">(V294-U294)*100</f>
        <v>0.219064465261448</v>
      </c>
      <c r="X294" s="11" t="n">
        <v>0.430431190976401</v>
      </c>
      <c r="Y294" s="11" t="n">
        <v>0.465785278675578</v>
      </c>
      <c r="Z294" s="12" t="n">
        <f aca="false">(Y294-X294)*100</f>
        <v>3.53540876991773</v>
      </c>
      <c r="AA294" s="11" t="n">
        <v>0.433771187304954</v>
      </c>
      <c r="AB294" s="11" t="n">
        <v>0.314228468637115</v>
      </c>
      <c r="AC294" s="12" t="n">
        <f aca="false">(AB294-AA294)*100</f>
        <v>-11.954271866784</v>
      </c>
      <c r="AD294" s="11" t="n">
        <v>0.69260626180932</v>
      </c>
      <c r="AE294" s="11" t="n">
        <v>0.685190628569902</v>
      </c>
      <c r="AF294" s="12" t="n">
        <f aca="false">(AE294-AD294)*100</f>
        <v>-0.741563323941863</v>
      </c>
      <c r="AG294" s="11" t="n">
        <v>0.0505333795663614</v>
      </c>
      <c r="AH294" s="11" t="n">
        <v>0.0474428535911198</v>
      </c>
      <c r="AI294" s="12" t="n">
        <f aca="false">(AH294-AG294)*100</f>
        <v>-0.309052597524157</v>
      </c>
      <c r="AJ294" s="14" t="s">
        <v>74</v>
      </c>
      <c r="AK294" s="14" t="s">
        <v>74</v>
      </c>
      <c r="AL294" s="14" t="s">
        <v>134</v>
      </c>
      <c r="AM294" s="20" t="n">
        <v>11.4197279050319</v>
      </c>
      <c r="AN294" s="20" t="n">
        <v>15.1556810038463</v>
      </c>
      <c r="AO294" s="12" t="n">
        <v>3.7359530988144</v>
      </c>
    </row>
    <row r="295" customFormat="false" ht="15" hidden="false" customHeight="false" outlineLevel="0" collapsed="false">
      <c r="A295" s="14" t="s">
        <v>111</v>
      </c>
      <c r="B295" s="14" t="n">
        <v>19</v>
      </c>
      <c r="C295" s="11" t="n">
        <v>0.393636489376416</v>
      </c>
      <c r="D295" s="11" t="n">
        <v>0.39231953518989</v>
      </c>
      <c r="E295" s="12" t="n">
        <f aca="false">(D295-C295)*100</f>
        <v>-0.13169541865265</v>
      </c>
      <c r="F295" s="11" t="n">
        <v>0.0224281564863973</v>
      </c>
      <c r="G295" s="11" t="n">
        <v>0.038260879026423</v>
      </c>
      <c r="H295" s="12" t="n">
        <f aca="false">(G295-F295)*100</f>
        <v>1.58327225400257</v>
      </c>
      <c r="I295" s="11" t="n">
        <v>0.0527136154230814</v>
      </c>
      <c r="J295" s="11" t="n">
        <v>0.0556640571873113</v>
      </c>
      <c r="K295" s="12" t="n">
        <f aca="false">(J295-I295)*100</f>
        <v>0.295044176422987</v>
      </c>
      <c r="L295" s="11" t="n">
        <v>0.259152666801434</v>
      </c>
      <c r="M295" s="11" t="n">
        <v>0.0764673561204894</v>
      </c>
      <c r="N295" s="12" t="n">
        <f aca="false">(M295-L295)*100</f>
        <v>-18.2685310680945</v>
      </c>
      <c r="O295" s="11" t="n">
        <v>0.0773441572950026</v>
      </c>
      <c r="P295" s="11" t="n">
        <v>0.0521768933232508</v>
      </c>
      <c r="Q295" s="12" t="n">
        <f aca="false">(P295-O295)*100</f>
        <v>-2.51672639717518</v>
      </c>
      <c r="R295" s="11" t="n">
        <v>0.0848450350572939</v>
      </c>
      <c r="S295" s="11" t="n">
        <v>0.0821904394044077</v>
      </c>
      <c r="T295" s="12" t="n">
        <f aca="false">(S295-R295)*100</f>
        <v>-0.265459565288628</v>
      </c>
      <c r="U295" s="11" t="n">
        <v>0.0209226611624765</v>
      </c>
      <c r="V295" s="11" t="n">
        <v>0.157526235331879</v>
      </c>
      <c r="W295" s="12" t="n">
        <f aca="false">(V295-U295)*100</f>
        <v>13.6603574169403</v>
      </c>
      <c r="X295" s="11" t="n">
        <v>0.429039568460139</v>
      </c>
      <c r="Y295" s="11" t="n">
        <v>0.486244471403624</v>
      </c>
      <c r="Z295" s="12" t="n">
        <f aca="false">(Y295-X295)*100</f>
        <v>5.72049029434853</v>
      </c>
      <c r="AA295" s="11" t="n">
        <v>0.421341859153731</v>
      </c>
      <c r="AB295" s="11" t="n">
        <v>0.210834688848148</v>
      </c>
      <c r="AC295" s="12" t="n">
        <f aca="false">(AB295-AA295)*100</f>
        <v>-21.0507170305583</v>
      </c>
      <c r="AD295" s="11" t="n">
        <v>0.619043071339891</v>
      </c>
      <c r="AE295" s="11" t="n">
        <v>0.587644619776665</v>
      </c>
      <c r="AF295" s="12" t="n">
        <f aca="false">(AE295-AD295)*100</f>
        <v>-3.13984515632265</v>
      </c>
      <c r="AG295" s="11" t="n">
        <v>0.046021342923108</v>
      </c>
      <c r="AH295" s="11" t="n">
        <v>0.0375210127463728</v>
      </c>
      <c r="AI295" s="12" t="n">
        <f aca="false">(AH295-AG295)*100</f>
        <v>-0.850033017673527</v>
      </c>
      <c r="AJ295" s="14" t="s">
        <v>74</v>
      </c>
      <c r="AK295" s="14" t="s">
        <v>74</v>
      </c>
      <c r="AL295" s="14" t="s">
        <v>134</v>
      </c>
      <c r="AM295" s="20" t="n">
        <v>6.41192054389344</v>
      </c>
      <c r="AN295" s="20" t="n">
        <v>27.5409782555476</v>
      </c>
      <c r="AO295" s="12" t="n">
        <v>21.1290577116542</v>
      </c>
    </row>
    <row r="296" customFormat="false" ht="15" hidden="false" customHeight="false" outlineLevel="0" collapsed="false">
      <c r="A296" s="14" t="s">
        <v>111</v>
      </c>
      <c r="B296" s="14" t="n">
        <v>20</v>
      </c>
      <c r="C296" s="11" t="n">
        <v>0.531912267619758</v>
      </c>
      <c r="D296" s="11" t="n">
        <v>0.500319986787642</v>
      </c>
      <c r="E296" s="12" t="n">
        <f aca="false">(D296-C296)*100</f>
        <v>-3.15922808321154</v>
      </c>
      <c r="F296" s="11" t="n">
        <v>0.0281041886297601</v>
      </c>
      <c r="G296" s="11" t="n">
        <v>0.017676689478628</v>
      </c>
      <c r="H296" s="12" t="n">
        <f aca="false">(G296-F296)*100</f>
        <v>-1.04274991511321</v>
      </c>
      <c r="I296" s="11" t="n">
        <v>0.0157311460235016</v>
      </c>
      <c r="J296" s="11" t="n">
        <v>0.017681850555848</v>
      </c>
      <c r="K296" s="12" t="n">
        <f aca="false">(J296-I296)*100</f>
        <v>0.195070453234644</v>
      </c>
      <c r="L296" s="11" t="n">
        <v>0.157887428968142</v>
      </c>
      <c r="M296" s="11" t="n">
        <v>0.0556157681231227</v>
      </c>
      <c r="N296" s="12" t="n">
        <f aca="false">(M296-L296)*100</f>
        <v>-10.2271660845019</v>
      </c>
      <c r="O296" s="11" t="n">
        <v>0.131984263711399</v>
      </c>
      <c r="P296" s="11" t="n">
        <v>0.15471361182506</v>
      </c>
      <c r="Q296" s="12" t="n">
        <f aca="false">(P296-O296)*100</f>
        <v>2.27293481136616</v>
      </c>
      <c r="R296" s="11" t="n">
        <v>0.048746496618755</v>
      </c>
      <c r="S296" s="11" t="n">
        <v>0.0494895694629383</v>
      </c>
      <c r="T296" s="12" t="n">
        <f aca="false">(S296-R296)*100</f>
        <v>0.0743072844183311</v>
      </c>
      <c r="U296" s="11" t="n">
        <v>0.0189452572574632</v>
      </c>
      <c r="V296" s="11" t="n">
        <v>0.0573395679146151</v>
      </c>
      <c r="W296" s="12" t="n">
        <f aca="false">(V296-U296)*100</f>
        <v>3.8394310657152</v>
      </c>
      <c r="X296" s="11" t="n">
        <v>0.576498418657273</v>
      </c>
      <c r="Y296" s="11" t="n">
        <v>0.535678526822118</v>
      </c>
      <c r="Z296" s="12" t="n">
        <f aca="false">(Y296-X296)*100</f>
        <v>-4.08198918351546</v>
      </c>
      <c r="AA296" s="11" t="n">
        <v>0.338618189298295</v>
      </c>
      <c r="AB296" s="11" t="n">
        <v>0.259818949411121</v>
      </c>
      <c r="AC296" s="12" t="n">
        <f aca="false">(AB296-AA296)*100</f>
        <v>-7.87992398871741</v>
      </c>
      <c r="AD296" s="11" t="n">
        <v>0.654666716044561</v>
      </c>
      <c r="AE296" s="11" t="n">
        <v>0.635732776864548</v>
      </c>
      <c r="AF296" s="12" t="n">
        <f aca="false">(AE296-AD296)*100</f>
        <v>-1.89339391800135</v>
      </c>
      <c r="AG296" s="11" t="n">
        <v>0.0322593916330256</v>
      </c>
      <c r="AH296" s="11" t="n">
        <v>0.0365094602545443</v>
      </c>
      <c r="AI296" s="12" t="n">
        <f aca="false">(AH296-AG296)*100</f>
        <v>0.425006862151869</v>
      </c>
      <c r="AJ296" s="14" t="s">
        <v>74</v>
      </c>
      <c r="AK296" s="14" t="s">
        <v>74</v>
      </c>
      <c r="AL296" s="14" t="s">
        <v>134</v>
      </c>
      <c r="AM296" s="20" t="n">
        <v>35.0919235812913</v>
      </c>
      <c r="AN296" s="20" t="n">
        <v>27.5859577410997</v>
      </c>
      <c r="AO296" s="12" t="n">
        <v>-7.50596584019159</v>
      </c>
    </row>
    <row r="297" customFormat="false" ht="15" hidden="false" customHeight="false" outlineLevel="0" collapsed="false">
      <c r="A297" s="14" t="s">
        <v>112</v>
      </c>
      <c r="B297" s="14" t="n">
        <v>1</v>
      </c>
      <c r="C297" s="11" t="n">
        <v>0.230481038341572</v>
      </c>
      <c r="D297" s="11" t="n">
        <v>0.233554734905328</v>
      </c>
      <c r="E297" s="12" t="n">
        <f aca="false">(D297-C297)*100</f>
        <v>0.307369656375558</v>
      </c>
      <c r="F297" s="11" t="n">
        <v>0.0105720756597536</v>
      </c>
      <c r="G297" s="11" t="n">
        <v>0.0111701225320684</v>
      </c>
      <c r="H297" s="12" t="n">
        <f aca="false">(G297-F297)*100</f>
        <v>0.059804687231484</v>
      </c>
      <c r="I297" s="11" t="n">
        <v>0.0358186906822459</v>
      </c>
      <c r="J297" s="11" t="n">
        <v>0.0154372137329871</v>
      </c>
      <c r="K297" s="12" t="n">
        <f aca="false">(J297-I297)*100</f>
        <v>-2.03814769492589</v>
      </c>
      <c r="L297" s="11" t="n">
        <v>0.262673364687665</v>
      </c>
      <c r="M297" s="11" t="n">
        <v>0.381076037738311</v>
      </c>
      <c r="N297" s="12" t="n">
        <f aca="false">(M297-L297)*100</f>
        <v>11.8402673050646</v>
      </c>
      <c r="O297" s="11" t="n">
        <v>0.379353305775931</v>
      </c>
      <c r="P297" s="11" t="n">
        <v>0.286612816932653</v>
      </c>
      <c r="Q297" s="12" t="n">
        <f aca="false">(P297-O297)*100</f>
        <v>-9.27404888432776</v>
      </c>
      <c r="R297" s="11" t="n">
        <v>0.0141272475672212</v>
      </c>
      <c r="S297" s="11" t="n">
        <v>0.00990434930121488</v>
      </c>
      <c r="T297" s="12" t="n">
        <f aca="false">(S297-R297)*100</f>
        <v>-0.422289826600635</v>
      </c>
      <c r="U297" s="11" t="n">
        <v>0.0189238374498872</v>
      </c>
      <c r="V297" s="11" t="n">
        <v>0.0151109835188496</v>
      </c>
      <c r="W297" s="12" t="n">
        <f aca="false">(V297-U297)*100</f>
        <v>-0.381285393103762</v>
      </c>
      <c r="X297" s="11" t="n">
        <v>0.249266940460882</v>
      </c>
      <c r="Y297" s="11" t="n">
        <v>0.260162071170384</v>
      </c>
      <c r="Z297" s="12" t="n">
        <f aca="false">(Y297-X297)*100</f>
        <v>1.08951307095015</v>
      </c>
      <c r="AA297" s="11" t="n">
        <v>0.656153918030818</v>
      </c>
      <c r="AB297" s="11" t="n">
        <v>0.677593203972179</v>
      </c>
      <c r="AC297" s="12" t="n">
        <f aca="false">(AB297-AA297)*100</f>
        <v>2.14392859413616</v>
      </c>
      <c r="AD297" s="11" t="n">
        <v>0.807989185730053</v>
      </c>
      <c r="AE297" s="11" t="n">
        <v>0.764970901697983</v>
      </c>
      <c r="AF297" s="12" t="n">
        <f aca="false">(AE297-AD297)*100</f>
        <v>-4.30182840320699</v>
      </c>
      <c r="AG297" s="11" t="n">
        <v>0.0247037727537676</v>
      </c>
      <c r="AH297" s="11" t="n">
        <v>0.0219792169604914</v>
      </c>
      <c r="AI297" s="12" t="n">
        <f aca="false">(AH297-AG297)*100</f>
        <v>-0.272455579327629</v>
      </c>
      <c r="AJ297" s="14" t="s">
        <v>153</v>
      </c>
      <c r="AK297" s="14" t="s">
        <v>132</v>
      </c>
      <c r="AL297" s="14" t="s">
        <v>154</v>
      </c>
      <c r="AM297" s="20" t="n">
        <v>13.4464699679189</v>
      </c>
      <c r="AN297" s="20" t="n">
        <v>41.7431132801796</v>
      </c>
      <c r="AO297" s="12" t="n">
        <v>28.2966433122607</v>
      </c>
    </row>
    <row r="298" customFormat="false" ht="15" hidden="false" customHeight="false" outlineLevel="0" collapsed="false">
      <c r="A298" s="14" t="s">
        <v>112</v>
      </c>
      <c r="B298" s="14" t="n">
        <v>2</v>
      </c>
      <c r="C298" s="11" t="n">
        <v>0.204355298780571</v>
      </c>
      <c r="D298" s="11" t="n">
        <v>0.300348821609052</v>
      </c>
      <c r="E298" s="12" t="n">
        <f aca="false">(D298-C298)*100</f>
        <v>9.59935228284807</v>
      </c>
      <c r="F298" s="11" t="n">
        <v>0.012330338800887</v>
      </c>
      <c r="G298" s="11" t="n">
        <v>0.0139841688654354</v>
      </c>
      <c r="H298" s="12" t="n">
        <f aca="false">(G298-F298)*100</f>
        <v>0.165383006454834</v>
      </c>
      <c r="I298" s="11" t="n">
        <v>0.0552937922027273</v>
      </c>
      <c r="J298" s="11" t="n">
        <v>0.0405572201601002</v>
      </c>
      <c r="K298" s="12" t="n">
        <f aca="false">(J298-I298)*100</f>
        <v>-1.47365720426271</v>
      </c>
      <c r="L298" s="11" t="n">
        <v>0.271267453619515</v>
      </c>
      <c r="M298" s="11" t="n">
        <v>0.258503644738607</v>
      </c>
      <c r="N298" s="12" t="n">
        <f aca="false">(M298-L298)*100</f>
        <v>-1.27638088809071</v>
      </c>
      <c r="O298" s="11" t="n">
        <v>0.326865082784235</v>
      </c>
      <c r="P298" s="11" t="n">
        <v>0.220370287554224</v>
      </c>
      <c r="Q298" s="12" t="n">
        <f aca="false">(P298-O298)*100</f>
        <v>-10.6494795230011</v>
      </c>
      <c r="R298" s="11" t="n">
        <v>0.0300118360368776</v>
      </c>
      <c r="S298" s="11" t="n">
        <v>0.0358794329412817</v>
      </c>
      <c r="T298" s="12" t="n">
        <f aca="false">(S298-R298)*100</f>
        <v>0.586759690440405</v>
      </c>
      <c r="U298" s="11" t="n">
        <v>0.0263204436926621</v>
      </c>
      <c r="V298" s="11" t="n">
        <v>0.0474934036939314</v>
      </c>
      <c r="W298" s="12" t="n">
        <f aca="false">(V298-U298)*100</f>
        <v>2.11729600012693</v>
      </c>
      <c r="X298" s="11" t="n">
        <v>0.228993301982196</v>
      </c>
      <c r="Y298" s="11" t="n">
        <v>0.354890210634587</v>
      </c>
      <c r="Z298" s="12" t="n">
        <f aca="false">(Y298-X298)*100</f>
        <v>12.5896908652391</v>
      </c>
      <c r="AA298" s="11" t="n">
        <v>0.628144372440627</v>
      </c>
      <c r="AB298" s="11" t="n">
        <v>0.514753365234113</v>
      </c>
      <c r="AC298" s="12" t="n">
        <f aca="false">(AB298-AA298)*100</f>
        <v>-11.3391007206514</v>
      </c>
      <c r="AD298" s="11" t="n">
        <v>0.75894765462862</v>
      </c>
      <c r="AE298" s="11" t="n">
        <v>0.702628139061361</v>
      </c>
      <c r="AF298" s="12" t="n">
        <f aca="false">(AE298-AD298)*100</f>
        <v>-5.63195155672586</v>
      </c>
      <c r="AG298" s="11" t="n">
        <v>0.0322339272514546</v>
      </c>
      <c r="AH298" s="11" t="n">
        <v>0.0291131881400653</v>
      </c>
      <c r="AI298" s="12" t="n">
        <f aca="false">(AH298-AG298)*100</f>
        <v>-0.312073911138927</v>
      </c>
      <c r="AJ298" s="14" t="s">
        <v>153</v>
      </c>
      <c r="AK298" s="14" t="s">
        <v>132</v>
      </c>
      <c r="AL298" s="14" t="s">
        <v>154</v>
      </c>
      <c r="AM298" s="20" t="n">
        <v>8.33601647068427</v>
      </c>
      <c r="AN298" s="20" t="n">
        <v>15.9863154599526</v>
      </c>
      <c r="AO298" s="12" t="n">
        <v>7.65029898926833</v>
      </c>
    </row>
    <row r="299" customFormat="false" ht="15" hidden="false" customHeight="false" outlineLevel="0" collapsed="false">
      <c r="A299" s="14" t="s">
        <v>112</v>
      </c>
      <c r="B299" s="14" t="n">
        <v>3</v>
      </c>
      <c r="C299" s="11" t="n">
        <v>0.316368428171866</v>
      </c>
      <c r="D299" s="11" t="n">
        <v>0.311285175514941</v>
      </c>
      <c r="E299" s="12" t="n">
        <f aca="false">(D299-C299)*100</f>
        <v>-0.508325265692522</v>
      </c>
      <c r="F299" s="11" t="n">
        <v>0.0200847372577767</v>
      </c>
      <c r="G299" s="11" t="n">
        <v>0.00857557296199594</v>
      </c>
      <c r="H299" s="12" t="n">
        <f aca="false">(G299-F299)*100</f>
        <v>-1.15091642957807</v>
      </c>
      <c r="I299" s="11" t="n">
        <v>0.0205516212218397</v>
      </c>
      <c r="J299" s="11" t="n">
        <v>0.010554105018857</v>
      </c>
      <c r="K299" s="12" t="n">
        <f aca="false">(J299-I299)*100</f>
        <v>-0.999751620298272</v>
      </c>
      <c r="L299" s="11" t="n">
        <v>0.318659213976848</v>
      </c>
      <c r="M299" s="11" t="n">
        <v>0.322483318827966</v>
      </c>
      <c r="N299" s="12" t="n">
        <f aca="false">(M299-L299)*100</f>
        <v>0.38241048511185</v>
      </c>
      <c r="O299" s="11" t="n">
        <v>0.239358754510666</v>
      </c>
      <c r="P299" s="11" t="n">
        <v>0.266370757180157</v>
      </c>
      <c r="Q299" s="12" t="n">
        <f aca="false">(P299-O299)*100</f>
        <v>2.70120026694904</v>
      </c>
      <c r="R299" s="11" t="n">
        <v>0.0120255346257729</v>
      </c>
      <c r="S299" s="11" t="n">
        <v>0.00782129387873513</v>
      </c>
      <c r="T299" s="12" t="n">
        <f aca="false">(S299-R299)*100</f>
        <v>-0.420424074703774</v>
      </c>
      <c r="U299" s="11" t="n">
        <v>0.017436152527064</v>
      </c>
      <c r="V299" s="11" t="n">
        <v>0.0185088482738613</v>
      </c>
      <c r="W299" s="12" t="n">
        <f aca="false">(V299-U299)*100</f>
        <v>0.107269574679733</v>
      </c>
      <c r="X299" s="11" t="n">
        <v>0.352327220207785</v>
      </c>
      <c r="Y299" s="11" t="n">
        <v>0.330414853495794</v>
      </c>
      <c r="Z299" s="12" t="n">
        <f aca="false">(Y299-X299)*100</f>
        <v>-2.19123667119916</v>
      </c>
      <c r="AA299" s="11" t="n">
        <v>0.570043503113287</v>
      </c>
      <c r="AB299" s="11" t="n">
        <v>0.596675369886858</v>
      </c>
      <c r="AC299" s="12" t="n">
        <f aca="false">(AB299-AA299)*100</f>
        <v>2.66318667735711</v>
      </c>
      <c r="AD299" s="11" t="n">
        <v>0.672041733745041</v>
      </c>
      <c r="AE299" s="11" t="n">
        <v>0.467493788449228</v>
      </c>
      <c r="AF299" s="12" t="n">
        <f aca="false">(AE299-AD299)*100</f>
        <v>-20.4547945295813</v>
      </c>
      <c r="AG299" s="11" t="n">
        <v>0.0284319243909782</v>
      </c>
      <c r="AH299" s="11" t="n">
        <v>0.0290165361183638</v>
      </c>
      <c r="AI299" s="12" t="n">
        <f aca="false">(AH299-AG299)*100</f>
        <v>0.058461172738556</v>
      </c>
      <c r="AJ299" s="14" t="s">
        <v>74</v>
      </c>
      <c r="AK299" s="14" t="s">
        <v>132</v>
      </c>
      <c r="AL299" s="14" t="s">
        <v>133</v>
      </c>
      <c r="AM299" s="20" t="n">
        <v>0.420631907810052</v>
      </c>
      <c r="AN299" s="20" t="n">
        <v>26.6260516391065</v>
      </c>
      <c r="AO299" s="12" t="n">
        <v>26.2054197312964</v>
      </c>
    </row>
    <row r="300" customFormat="false" ht="15" hidden="false" customHeight="false" outlineLevel="0" collapsed="false">
      <c r="A300" s="14" t="s">
        <v>112</v>
      </c>
      <c r="B300" s="14" t="n">
        <v>4</v>
      </c>
      <c r="C300" s="11" t="n">
        <v>0.272949102939817</v>
      </c>
      <c r="D300" s="11" t="n">
        <v>0.248992341797662</v>
      </c>
      <c r="E300" s="12" t="n">
        <f aca="false">(D300-C300)*100</f>
        <v>-2.39567611421546</v>
      </c>
      <c r="F300" s="11" t="n">
        <v>0.0186929413041643</v>
      </c>
      <c r="G300" s="11" t="n">
        <v>0.00644901249496171</v>
      </c>
      <c r="H300" s="12" t="n">
        <f aca="false">(G300-F300)*100</f>
        <v>-1.22439288092026</v>
      </c>
      <c r="I300" s="11" t="n">
        <v>0.0183713423139851</v>
      </c>
      <c r="J300" s="11" t="n">
        <v>0.0100211608222491</v>
      </c>
      <c r="K300" s="12" t="n">
        <f aca="false">(J300-I300)*100</f>
        <v>-0.835018149173605</v>
      </c>
      <c r="L300" s="11" t="n">
        <v>0.395172799157411</v>
      </c>
      <c r="M300" s="11" t="n">
        <v>0.484371221281741</v>
      </c>
      <c r="N300" s="12" t="n">
        <f aca="false">(M300-L300)*100</f>
        <v>8.91984221243306</v>
      </c>
      <c r="O300" s="11" t="n">
        <v>0.2186229935238</v>
      </c>
      <c r="P300" s="11" t="n">
        <v>0.169644296654575</v>
      </c>
      <c r="Q300" s="12" t="n">
        <f aca="false">(P300-O300)*100</f>
        <v>-4.89786968692255</v>
      </c>
      <c r="R300" s="11" t="n">
        <v>0.0102268478876976</v>
      </c>
      <c r="S300" s="11" t="n">
        <v>0.00665558242644095</v>
      </c>
      <c r="T300" s="12" t="n">
        <f aca="false">(S300-R300)*100</f>
        <v>-0.357126546125668</v>
      </c>
      <c r="U300" s="11" t="n">
        <v>0.0169321868329334</v>
      </c>
      <c r="V300" s="11" t="n">
        <v>0.0242896009673519</v>
      </c>
      <c r="W300" s="12" t="n">
        <f aca="false">(V300-U300)*100</f>
        <v>0.735741413441852</v>
      </c>
      <c r="X300" s="11" t="n">
        <v>0.305535120619721</v>
      </c>
      <c r="Y300" s="11" t="n">
        <v>0.265462515114873</v>
      </c>
      <c r="Z300" s="12" t="n">
        <f aca="false">(Y300-X300)*100</f>
        <v>-4.00726055048483</v>
      </c>
      <c r="AA300" s="11" t="n">
        <v>0.624022640568909</v>
      </c>
      <c r="AB300" s="11" t="n">
        <v>0.660671100362757</v>
      </c>
      <c r="AC300" s="12" t="n">
        <f aca="false">(AB300-AA300)*100</f>
        <v>3.66484597938483</v>
      </c>
      <c r="AD300" s="11" t="n">
        <v>0.734171125677706</v>
      </c>
      <c r="AE300" s="11" t="n">
        <v>0.551242990732075</v>
      </c>
      <c r="AF300" s="12" t="n">
        <f aca="false">(AE300-AD300)*100</f>
        <v>-18.2928134945631</v>
      </c>
      <c r="AG300" s="11" t="n">
        <v>0.0256434994794116</v>
      </c>
      <c r="AH300" s="11" t="n">
        <v>0.0237505038291012</v>
      </c>
      <c r="AI300" s="12" t="n">
        <f aca="false">(AH300-AG300)*100</f>
        <v>-0.189299565031047</v>
      </c>
      <c r="AJ300" s="14" t="s">
        <v>132</v>
      </c>
      <c r="AK300" s="14" t="s">
        <v>132</v>
      </c>
      <c r="AL300" s="14" t="s">
        <v>150</v>
      </c>
      <c r="AM300" s="20" t="n">
        <v>11.679671325832</v>
      </c>
      <c r="AN300" s="20" t="n">
        <v>39.5208585247884</v>
      </c>
      <c r="AO300" s="12" t="n">
        <v>27.8411871989564</v>
      </c>
    </row>
    <row r="301" customFormat="false" ht="15" hidden="false" customHeight="false" outlineLevel="0" collapsed="false">
      <c r="A301" s="14" t="s">
        <v>112</v>
      </c>
      <c r="B301" s="14" t="n">
        <v>5</v>
      </c>
      <c r="C301" s="11" t="n">
        <v>0.194297492270697</v>
      </c>
      <c r="D301" s="11" t="n">
        <v>0.247932091808745</v>
      </c>
      <c r="E301" s="12" t="n">
        <f aca="false">(D301-C301)*100</f>
        <v>5.36345995380472</v>
      </c>
      <c r="F301" s="11" t="n">
        <v>0.0186619718309859</v>
      </c>
      <c r="G301" s="11" t="n">
        <v>0.0333587081793477</v>
      </c>
      <c r="H301" s="12" t="n">
        <f aca="false">(G301-F301)*100</f>
        <v>1.46967363483618</v>
      </c>
      <c r="I301" s="11" t="n">
        <v>0.0396470285125386</v>
      </c>
      <c r="J301" s="11" t="n">
        <v>0.0452324350070809</v>
      </c>
      <c r="K301" s="12" t="n">
        <f aca="false">(J301-I301)*100</f>
        <v>0.558540649454222</v>
      </c>
      <c r="L301" s="11" t="n">
        <v>0.252310202679492</v>
      </c>
      <c r="M301" s="11" t="n">
        <v>0.290719185509971</v>
      </c>
      <c r="N301" s="12" t="n">
        <f aca="false">(M301-L301)*100</f>
        <v>3.8408982830479</v>
      </c>
      <c r="O301" s="11" t="n">
        <v>0.336001374098248</v>
      </c>
      <c r="P301" s="11" t="n">
        <v>0.229283706371922</v>
      </c>
      <c r="Q301" s="12" t="n">
        <f aca="false">(P301-O301)*100</f>
        <v>-10.6717667726327</v>
      </c>
      <c r="R301" s="11" t="n">
        <v>0.0637109240810718</v>
      </c>
      <c r="S301" s="11" t="n">
        <v>0.0468612449551546</v>
      </c>
      <c r="T301" s="12" t="n">
        <f aca="false">(S301-R301)*100</f>
        <v>-1.68496791259172</v>
      </c>
      <c r="U301" s="11" t="n">
        <v>0.0231192030230162</v>
      </c>
      <c r="V301" s="11" t="n">
        <v>0.0413454055226439</v>
      </c>
      <c r="W301" s="12" t="n">
        <f aca="false">(V301-U301)*100</f>
        <v>1.82262024996277</v>
      </c>
      <c r="X301" s="11" t="n">
        <v>0.217781690140845</v>
      </c>
      <c r="Y301" s="11" t="n">
        <v>0.326523234995173</v>
      </c>
      <c r="Z301" s="12" t="n">
        <f aca="false">(Y301-X301)*100</f>
        <v>10.8741544854328</v>
      </c>
      <c r="AA301" s="11" t="n">
        <v>0.652022500858811</v>
      </c>
      <c r="AB301" s="11" t="n">
        <v>0.566864136837047</v>
      </c>
      <c r="AC301" s="12" t="n">
        <f aca="false">(AB301-AA301)*100</f>
        <v>-8.51583640217647</v>
      </c>
      <c r="AD301" s="11" t="n">
        <v>0.79879261850861</v>
      </c>
      <c r="AE301" s="11" t="n">
        <v>0.752316384903825</v>
      </c>
      <c r="AF301" s="12" t="n">
        <f aca="false">(AE301-AD301)*100</f>
        <v>-4.64762336047843</v>
      </c>
      <c r="AG301" s="11" t="n">
        <v>0.0275291995877705</v>
      </c>
      <c r="AH301" s="11" t="n">
        <v>0.0279024074916752</v>
      </c>
      <c r="AI301" s="12" t="n">
        <f aca="false">(AH301-AG301)*100</f>
        <v>0.0373207903904691</v>
      </c>
      <c r="AJ301" s="14" t="s">
        <v>153</v>
      </c>
      <c r="AK301" s="14" t="s">
        <v>132</v>
      </c>
      <c r="AL301" s="14" t="s">
        <v>154</v>
      </c>
      <c r="AM301" s="20" t="n">
        <v>7.63139814496737</v>
      </c>
      <c r="AN301" s="20" t="n">
        <v>24.0340901841874</v>
      </c>
      <c r="AO301" s="12" t="n">
        <v>16.40269203922</v>
      </c>
    </row>
    <row r="302" customFormat="false" ht="15" hidden="false" customHeight="false" outlineLevel="0" collapsed="false">
      <c r="A302" s="14" t="s">
        <v>113</v>
      </c>
      <c r="B302" s="14" t="n">
        <v>1</v>
      </c>
      <c r="C302" s="11" t="n">
        <v>0.367162193926399</v>
      </c>
      <c r="D302" s="11" t="n">
        <v>0.349505616949529</v>
      </c>
      <c r="E302" s="12" t="n">
        <f aca="false">(D302-C302)*100</f>
        <v>-1.76565769768699</v>
      </c>
      <c r="F302" s="11" t="n">
        <v>0.072173459384155</v>
      </c>
      <c r="G302" s="11" t="n">
        <v>0.0504316457433391</v>
      </c>
      <c r="H302" s="12" t="n">
        <f aca="false">(G302-F302)*100</f>
        <v>-2.17418136408159</v>
      </c>
      <c r="I302" s="11" t="n">
        <v>0.0515344528083382</v>
      </c>
      <c r="J302" s="11" t="n">
        <v>0.0524379325443246</v>
      </c>
      <c r="K302" s="12" t="n">
        <f aca="false">(J302-I302)*100</f>
        <v>0.0903479735986396</v>
      </c>
      <c r="L302" s="11" t="n">
        <v>0.134377131980714</v>
      </c>
      <c r="M302" s="11" t="n">
        <v>0.110777093040734</v>
      </c>
      <c r="N302" s="12" t="n">
        <f aca="false">(M302-L302)*100</f>
        <v>-2.36000389399805</v>
      </c>
      <c r="O302" s="11" t="n">
        <v>0.2258021980542</v>
      </c>
      <c r="P302" s="11" t="n">
        <v>0.26745044733007</v>
      </c>
      <c r="Q302" s="12" t="n">
        <f aca="false">(P302-O302)*100</f>
        <v>4.16482492758698</v>
      </c>
      <c r="R302" s="11" t="n">
        <v>0.0441846732443945</v>
      </c>
      <c r="S302" s="11" t="n">
        <v>0.028565080153445</v>
      </c>
      <c r="T302" s="12" t="n">
        <f aca="false">(S302-R302)*100</f>
        <v>-1.56195930909495</v>
      </c>
      <c r="U302" s="11" t="n">
        <v>0.0189649538202228</v>
      </c>
      <c r="V302" s="11" t="n">
        <v>0.0251014579888772</v>
      </c>
      <c r="W302" s="12" t="n">
        <f aca="false">(V302-U302)*100</f>
        <v>0.613650416865441</v>
      </c>
      <c r="X302" s="11" t="n">
        <v>0.46142512340406</v>
      </c>
      <c r="Y302" s="11" t="n">
        <v>0.452375195237193</v>
      </c>
      <c r="Z302" s="12" t="n">
        <f aca="false">(Y302-X302)*100</f>
        <v>-0.904992816686745</v>
      </c>
      <c r="AA302" s="11" t="n">
        <v>0.404364003279309</v>
      </c>
      <c r="AB302" s="11" t="n">
        <v>0.406792620524249</v>
      </c>
      <c r="AC302" s="12" t="n">
        <f aca="false">(AB302-AA302)*100</f>
        <v>0.242861724493976</v>
      </c>
      <c r="AD302" s="11" t="n">
        <v>0.629511734750959</v>
      </c>
      <c r="AE302" s="11" t="n">
        <v>0.531256943672925</v>
      </c>
      <c r="AF302" s="12" t="n">
        <f aca="false">(AE302-AD302)*100</f>
        <v>-9.82547910780339</v>
      </c>
      <c r="AG302" s="11" t="n">
        <v>0.0366285036146927</v>
      </c>
      <c r="AH302" s="11" t="n">
        <v>0.0324273456237461</v>
      </c>
      <c r="AI302" s="12" t="n">
        <f aca="false">(AH302-AG302)*100</f>
        <v>-0.420115799094661</v>
      </c>
      <c r="AJ302" s="14" t="s">
        <v>74</v>
      </c>
      <c r="AK302" s="14" t="s">
        <v>74</v>
      </c>
      <c r="AL302" s="14" t="s">
        <v>134</v>
      </c>
      <c r="AM302" s="20" t="n">
        <v>15.7383891255368</v>
      </c>
      <c r="AN302" s="20" t="n">
        <v>4.55825747129441</v>
      </c>
      <c r="AO302" s="12" t="n">
        <v>-11.1801316542424</v>
      </c>
    </row>
    <row r="303" customFormat="false" ht="15" hidden="false" customHeight="false" outlineLevel="0" collapsed="false">
      <c r="A303" s="14" t="s">
        <v>113</v>
      </c>
      <c r="B303" s="14" t="n">
        <v>2</v>
      </c>
      <c r="C303" s="11" t="n">
        <v>0.220523781875729</v>
      </c>
      <c r="D303" s="11" t="n">
        <v>0.307960359120621</v>
      </c>
      <c r="E303" s="12" t="n">
        <f aca="false">(D303-C303)*100</f>
        <v>8.74365772448916</v>
      </c>
      <c r="F303" s="11" t="n">
        <v>0.0642010450974448</v>
      </c>
      <c r="G303" s="11" t="n">
        <v>0.0554495111476101</v>
      </c>
      <c r="H303" s="12" t="n">
        <f aca="false">(G303-F303)*100</f>
        <v>-0.875153394983468</v>
      </c>
      <c r="I303" s="11" t="n">
        <v>0.0867728891241015</v>
      </c>
      <c r="J303" s="11" t="n">
        <v>0.0595944911163147</v>
      </c>
      <c r="K303" s="12" t="n">
        <f aca="false">(J303-I303)*100</f>
        <v>-2.71783980077868</v>
      </c>
      <c r="L303" s="11" t="n">
        <v>0.204348920733932</v>
      </c>
      <c r="M303" s="11" t="n">
        <v>0.160505609872488</v>
      </c>
      <c r="N303" s="12" t="n">
        <f aca="false">(M303-L303)*100</f>
        <v>-4.3843310861444</v>
      </c>
      <c r="O303" s="11" t="n">
        <v>0.236205381686646</v>
      </c>
      <c r="P303" s="11" t="n">
        <v>0.196761699719229</v>
      </c>
      <c r="Q303" s="12" t="n">
        <f aca="false">(P303-O303)*100</f>
        <v>-3.94436819674166</v>
      </c>
      <c r="R303" s="11" t="n">
        <v>0.0709988028136449</v>
      </c>
      <c r="S303" s="11" t="n">
        <v>0.0867061003895282</v>
      </c>
      <c r="T303" s="12" t="n">
        <f aca="false">(S303-R303)*100</f>
        <v>1.57072975758834</v>
      </c>
      <c r="U303" s="11" t="n">
        <v>0.0258499766214682</v>
      </c>
      <c r="V303" s="11" t="n">
        <v>0.0397130142383114</v>
      </c>
      <c r="W303" s="12" t="n">
        <f aca="false">(V303-U303)*100</f>
        <v>1.38630376168432</v>
      </c>
      <c r="X303" s="11" t="n">
        <v>0.30903336193564</v>
      </c>
      <c r="Y303" s="11" t="n">
        <v>0.423004361384545</v>
      </c>
      <c r="Z303" s="12" t="n">
        <f aca="false">(Y303-X303)*100</f>
        <v>11.3970999448906</v>
      </c>
      <c r="AA303" s="11" t="n">
        <v>0.511553105234222</v>
      </c>
      <c r="AB303" s="11" t="n">
        <v>0.443973409981245</v>
      </c>
      <c r="AC303" s="12" t="n">
        <f aca="false">(AB303-AA303)*100</f>
        <v>-6.7579695252977</v>
      </c>
      <c r="AD303" s="11" t="n">
        <v>0.633920166767096</v>
      </c>
      <c r="AE303" s="11" t="n">
        <v>0.56778921434265</v>
      </c>
      <c r="AF303" s="12" t="n">
        <f aca="false">(AE303-AD303)*100</f>
        <v>-6.61309524244464</v>
      </c>
      <c r="AG303" s="11" t="n">
        <v>0.0433402013122807</v>
      </c>
      <c r="AH303" s="11" t="n">
        <v>0.0349909553984619</v>
      </c>
      <c r="AI303" s="12" t="n">
        <f aca="false">(AH303-AG303)*100</f>
        <v>-0.834924591381881</v>
      </c>
      <c r="AJ303" s="14" t="s">
        <v>153</v>
      </c>
      <c r="AK303" s="14" t="s">
        <v>132</v>
      </c>
      <c r="AL303" s="14" t="s">
        <v>154</v>
      </c>
      <c r="AM303" s="20" t="n">
        <v>3.71795728151349</v>
      </c>
      <c r="AN303" s="20" t="n">
        <v>2.09690485966996</v>
      </c>
      <c r="AO303" s="12" t="n">
        <v>-1.62105242184354</v>
      </c>
    </row>
    <row r="304" customFormat="false" ht="15" hidden="false" customHeight="false" outlineLevel="0" collapsed="false">
      <c r="A304" s="14" t="s">
        <v>113</v>
      </c>
      <c r="B304" s="14" t="n">
        <v>3</v>
      </c>
      <c r="C304" s="11" t="n">
        <v>0.3355809420516</v>
      </c>
      <c r="D304" s="11" t="n">
        <v>0.287663931240492</v>
      </c>
      <c r="E304" s="12" t="n">
        <f aca="false">(D304-C304)*100</f>
        <v>-4.79170108111078</v>
      </c>
      <c r="F304" s="11" t="n">
        <v>0.0839016304542455</v>
      </c>
      <c r="G304" s="11" t="n">
        <v>0.115676323942567</v>
      </c>
      <c r="H304" s="12" t="n">
        <f aca="false">(G304-F304)*100</f>
        <v>3.17746934883217</v>
      </c>
      <c r="I304" s="11" t="n">
        <v>0.0603222027247566</v>
      </c>
      <c r="J304" s="11" t="n">
        <v>0.0483937236960457</v>
      </c>
      <c r="K304" s="12" t="n">
        <f aca="false">(J304-I304)*100</f>
        <v>-1.19284790287109</v>
      </c>
      <c r="L304" s="11" t="n">
        <v>0.0977095878076606</v>
      </c>
      <c r="M304" s="11" t="n">
        <v>0.083584111578737</v>
      </c>
      <c r="N304" s="12" t="n">
        <f aca="false">(M304-L304)*100</f>
        <v>-1.41254762289237</v>
      </c>
      <c r="O304" s="11" t="n">
        <v>0.241810638112827</v>
      </c>
      <c r="P304" s="11" t="n">
        <v>0.245833009449991</v>
      </c>
      <c r="Q304" s="12" t="n">
        <f aca="false">(P304-O304)*100</f>
        <v>0.402237133716341</v>
      </c>
      <c r="R304" s="11" t="n">
        <v>0.0325476934725555</v>
      </c>
      <c r="S304" s="11" t="n">
        <v>0.0468113222213585</v>
      </c>
      <c r="T304" s="12" t="n">
        <f aca="false">(S304-R304)*100</f>
        <v>1.42636287488031</v>
      </c>
      <c r="U304" s="11" t="n">
        <v>0.0184174310753222</v>
      </c>
      <c r="V304" s="11" t="n">
        <v>0.0378388282455887</v>
      </c>
      <c r="W304" s="12" t="n">
        <f aca="false">(V304-U304)*100</f>
        <v>1.94213971702665</v>
      </c>
      <c r="X304" s="11" t="n">
        <v>0.435695027805205</v>
      </c>
      <c r="Y304" s="11" t="n">
        <v>0.451733978879105</v>
      </c>
      <c r="Z304" s="12" t="n">
        <f aca="false">(Y304-X304)*100</f>
        <v>1.60389510738995</v>
      </c>
      <c r="AA304" s="11" t="n">
        <v>0.372067919393043</v>
      </c>
      <c r="AB304" s="11" t="n">
        <v>0.376228443250086</v>
      </c>
      <c r="AC304" s="12" t="n">
        <f aca="false">(AB304-AA304)*100</f>
        <v>0.41605238570428</v>
      </c>
      <c r="AD304" s="11" t="n">
        <v>0.671514064668618</v>
      </c>
      <c r="AE304" s="11" t="n">
        <v>0.598223657114008</v>
      </c>
      <c r="AF304" s="12" t="n">
        <f aca="false">(AE304-AD304)*100</f>
        <v>-7.32904075546105</v>
      </c>
      <c r="AG304" s="11" t="n">
        <v>0.0413931763417866</v>
      </c>
      <c r="AH304" s="11" t="n">
        <v>0.0413201114899004</v>
      </c>
      <c r="AI304" s="12" t="n">
        <f aca="false">(AH304-AG304)*100</f>
        <v>-0.0073064851886212</v>
      </c>
      <c r="AJ304" s="14" t="s">
        <v>74</v>
      </c>
      <c r="AK304" s="14" t="s">
        <v>74</v>
      </c>
      <c r="AL304" s="14" t="s">
        <v>134</v>
      </c>
      <c r="AM304" s="20" t="n">
        <v>6.20360470053769</v>
      </c>
      <c r="AN304" s="20" t="n">
        <v>7.55055356290185</v>
      </c>
      <c r="AO304" s="12" t="n">
        <v>1.34694886236416</v>
      </c>
    </row>
    <row r="305" customFormat="false" ht="15" hidden="false" customHeight="false" outlineLevel="0" collapsed="false">
      <c r="A305" s="14" t="s">
        <v>113</v>
      </c>
      <c r="B305" s="14" t="n">
        <v>4</v>
      </c>
      <c r="C305" s="11" t="n">
        <v>0.329366491795499</v>
      </c>
      <c r="D305" s="11" t="n">
        <v>0.349134679387619</v>
      </c>
      <c r="E305" s="12" t="n">
        <f aca="false">(D305-C305)*100</f>
        <v>1.97681875921205</v>
      </c>
      <c r="F305" s="11" t="n">
        <v>0.0748541450656928</v>
      </c>
      <c r="G305" s="11" t="n">
        <v>0.0987242067894387</v>
      </c>
      <c r="H305" s="12" t="n">
        <f aca="false">(G305-F305)*100</f>
        <v>2.38700617237459</v>
      </c>
      <c r="I305" s="11" t="n">
        <v>0.0389926595377005</v>
      </c>
      <c r="J305" s="11" t="n">
        <v>0.0274683825160861</v>
      </c>
      <c r="K305" s="12" t="n">
        <f aca="false">(J305-I305)*100</f>
        <v>-1.15242770216144</v>
      </c>
      <c r="L305" s="11" t="n">
        <v>0.0735696931243133</v>
      </c>
      <c r="M305" s="11" t="n">
        <v>0.0620645662303084</v>
      </c>
      <c r="N305" s="12" t="n">
        <f aca="false">(M305-L305)*100</f>
        <v>-1.15051268940049</v>
      </c>
      <c r="O305" s="11" t="n">
        <v>0.30898033086244</v>
      </c>
      <c r="P305" s="11" t="n">
        <v>0.280985134235634</v>
      </c>
      <c r="Q305" s="12" t="n">
        <f aca="false">(P305-O305)*100</f>
        <v>-2.79951966268064</v>
      </c>
      <c r="R305" s="11" t="n">
        <v>0.0638202386295053</v>
      </c>
      <c r="S305" s="11" t="n">
        <v>0.0194142445085423</v>
      </c>
      <c r="T305" s="12" t="n">
        <f aca="false">(S305-R305)*100</f>
        <v>-4.4405994120963</v>
      </c>
      <c r="U305" s="11" t="n">
        <v>0.0337052569677649</v>
      </c>
      <c r="V305" s="11" t="n">
        <v>0.0384956733969381</v>
      </c>
      <c r="W305" s="12" t="n">
        <f aca="false">(V305-U305)*100</f>
        <v>0.479041642917319</v>
      </c>
      <c r="X305" s="11" t="n">
        <v>0.42081018482696</v>
      </c>
      <c r="Y305" s="11" t="n">
        <v>0.475327268693144</v>
      </c>
      <c r="Z305" s="12" t="n">
        <f aca="false">(Y305-X305)*100</f>
        <v>5.45170838661839</v>
      </c>
      <c r="AA305" s="11" t="n">
        <v>0.446370262616258</v>
      </c>
      <c r="AB305" s="11" t="n">
        <v>0.362463944974484</v>
      </c>
      <c r="AC305" s="12" t="n">
        <f aca="false">(AB305-AA305)*100</f>
        <v>-8.39063176417743</v>
      </c>
      <c r="AD305" s="11" t="n">
        <v>0.674808634175378</v>
      </c>
      <c r="AE305" s="11" t="n">
        <v>0.591980613193142</v>
      </c>
      <c r="AF305" s="12" t="n">
        <f aca="false">(AE305-AD305)*100</f>
        <v>-8.28280209822354</v>
      </c>
      <c r="AG305" s="11" t="n">
        <v>0.0385283997998525</v>
      </c>
      <c r="AH305" s="11" t="n">
        <v>0.039488573330375</v>
      </c>
      <c r="AI305" s="12" t="n">
        <f aca="false">(AH305-AG305)*100</f>
        <v>0.0960173530522503</v>
      </c>
      <c r="AJ305" s="14" t="s">
        <v>74</v>
      </c>
      <c r="AK305" s="14" t="s">
        <v>74</v>
      </c>
      <c r="AL305" s="14" t="s">
        <v>134</v>
      </c>
      <c r="AM305" s="20" t="n">
        <v>5.16772672640142</v>
      </c>
      <c r="AN305" s="20" t="n">
        <v>11.286332371866</v>
      </c>
      <c r="AO305" s="12" t="n">
        <v>6.11860564546457</v>
      </c>
    </row>
  </sheetData>
  <autoFilter ref="A5:AO305"/>
  <mergeCells count="12">
    <mergeCell ref="C4:E4"/>
    <mergeCell ref="F4:H4"/>
    <mergeCell ref="I4:K4"/>
    <mergeCell ref="L4:N4"/>
    <mergeCell ref="O4:Q4"/>
    <mergeCell ref="R4:T4"/>
    <mergeCell ref="U4:W4"/>
    <mergeCell ref="X4:Z4"/>
    <mergeCell ref="AA4:AC4"/>
    <mergeCell ref="AD4:AF4"/>
    <mergeCell ref="AG4:AI4"/>
    <mergeCell ref="AJ4:AO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2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4"/>
    <col collapsed="false" customWidth="true" hidden="false" outlineLevel="0" max="3" min="3" style="0" width="22"/>
    <col collapsed="false" customWidth="true" hidden="false" outlineLevel="0" max="24" min="4" style="0" width="13"/>
  </cols>
  <sheetData>
    <row r="1" customFormat="false" ht="16.15" hidden="false" customHeight="false" outlineLevel="0" collapsed="false">
      <c r="A1" s="5" t="s">
        <v>165</v>
      </c>
    </row>
    <row r="3" customFormat="false" ht="33.75" hidden="false" customHeight="true" outlineLevel="0" collapsed="false">
      <c r="A3" s="27" t="s">
        <v>166</v>
      </c>
      <c r="B3" s="27" t="s">
        <v>167</v>
      </c>
      <c r="C3" s="27" t="s">
        <v>80</v>
      </c>
      <c r="D3" s="27" t="s">
        <v>55</v>
      </c>
      <c r="E3" s="27" t="s">
        <v>56</v>
      </c>
      <c r="F3" s="27" t="s">
        <v>57</v>
      </c>
      <c r="G3" s="27" t="s">
        <v>58</v>
      </c>
      <c r="H3" s="27" t="s">
        <v>59</v>
      </c>
      <c r="I3" s="27" t="s">
        <v>60</v>
      </c>
      <c r="J3" s="27" t="s">
        <v>61</v>
      </c>
      <c r="K3" s="27" t="s">
        <v>62</v>
      </c>
      <c r="L3" s="27" t="s">
        <v>63</v>
      </c>
      <c r="M3" s="27" t="s">
        <v>64</v>
      </c>
      <c r="N3" s="27" t="s">
        <v>65</v>
      </c>
      <c r="O3" s="27" t="s">
        <v>66</v>
      </c>
      <c r="P3" s="27" t="s">
        <v>67</v>
      </c>
      <c r="Q3" s="27" t="s">
        <v>168</v>
      </c>
      <c r="R3" s="27" t="s">
        <v>169</v>
      </c>
      <c r="S3" s="27" t="s">
        <v>170</v>
      </c>
      <c r="T3" s="27" t="s">
        <v>53</v>
      </c>
      <c r="U3" s="27" t="s">
        <v>171</v>
      </c>
      <c r="V3" s="27" t="s">
        <v>172</v>
      </c>
      <c r="W3" s="27" t="s">
        <v>173</v>
      </c>
      <c r="X3" s="27" t="s">
        <v>54</v>
      </c>
    </row>
    <row r="4" customFormat="false" ht="15" hidden="false" customHeight="false" outlineLevel="0" collapsed="false">
      <c r="A4" s="14" t="s">
        <v>38</v>
      </c>
      <c r="B4" s="14" t="n">
        <v>2018</v>
      </c>
      <c r="C4" s="14" t="s">
        <v>82</v>
      </c>
      <c r="D4" s="9" t="n">
        <v>183905</v>
      </c>
      <c r="E4" s="9" t="n">
        <v>26485</v>
      </c>
      <c r="F4" s="9" t="n">
        <v>6569</v>
      </c>
      <c r="G4" s="9" t="n">
        <v>12138</v>
      </c>
      <c r="H4" s="9" t="n">
        <v>165561</v>
      </c>
      <c r="I4" s="9" t="n">
        <v>90714</v>
      </c>
      <c r="J4" s="9" t="n">
        <v>8320</v>
      </c>
      <c r="K4" s="9" t="n">
        <v>5107</v>
      </c>
      <c r="L4" s="9" t="n">
        <v>6356</v>
      </c>
      <c r="M4" s="9" t="n">
        <v>0</v>
      </c>
      <c r="N4" s="9" t="n">
        <v>0</v>
      </c>
      <c r="O4" s="9" t="n">
        <v>40846</v>
      </c>
      <c r="P4" s="9" t="n">
        <v>391</v>
      </c>
      <c r="Q4" s="9" t="n">
        <v>14714</v>
      </c>
      <c r="R4" s="9" t="n">
        <v>561106</v>
      </c>
      <c r="S4" s="9" t="n">
        <v>945131</v>
      </c>
      <c r="T4" s="11" t="n">
        <f aca="false">R4/S4</f>
        <v>0.59368066437351</v>
      </c>
      <c r="U4" s="9" t="n">
        <f aca="false">D4+E4+G4</f>
        <v>222528</v>
      </c>
      <c r="V4" s="9" t="n">
        <f aca="false">H4+J4+K4</f>
        <v>178988</v>
      </c>
      <c r="W4" s="9" t="n">
        <f aca="false">I4+F4+L4</f>
        <v>103639</v>
      </c>
      <c r="X4" s="11" t="n">
        <f aca="false">Q4/R4</f>
        <v>0.0262232091619052</v>
      </c>
    </row>
    <row r="5" customFormat="false" ht="15" hidden="false" customHeight="false" outlineLevel="0" collapsed="false">
      <c r="A5" s="14" t="s">
        <v>38</v>
      </c>
      <c r="B5" s="14" t="n">
        <v>2018</v>
      </c>
      <c r="C5" s="14" t="s">
        <v>83</v>
      </c>
      <c r="D5" s="9" t="n">
        <v>791597</v>
      </c>
      <c r="E5" s="9" t="n">
        <v>86459</v>
      </c>
      <c r="F5" s="9" t="n">
        <v>9915</v>
      </c>
      <c r="G5" s="9" t="n">
        <v>40883</v>
      </c>
      <c r="H5" s="9" t="n">
        <v>246985</v>
      </c>
      <c r="I5" s="9" t="n">
        <v>107014</v>
      </c>
      <c r="J5" s="9" t="n">
        <v>14790</v>
      </c>
      <c r="K5" s="9" t="n">
        <v>13728</v>
      </c>
      <c r="L5" s="9" t="n">
        <v>7296</v>
      </c>
      <c r="M5" s="9" t="n">
        <v>0</v>
      </c>
      <c r="N5" s="9" t="n">
        <v>0</v>
      </c>
      <c r="O5" s="9" t="n">
        <v>90302</v>
      </c>
      <c r="P5" s="9" t="n">
        <v>1252</v>
      </c>
      <c r="Q5" s="9" t="n">
        <v>28201</v>
      </c>
      <c r="R5" s="9" t="n">
        <v>1438422</v>
      </c>
      <c r="S5" s="9" t="n">
        <v>2734195</v>
      </c>
      <c r="T5" s="11" t="n">
        <f aca="false">R5/S5</f>
        <v>0.526086105782506</v>
      </c>
      <c r="U5" s="9" t="n">
        <f aca="false">D5+E5+G5</f>
        <v>918939</v>
      </c>
      <c r="V5" s="9" t="n">
        <f aca="false">H5+J5+K5</f>
        <v>275503</v>
      </c>
      <c r="W5" s="9" t="n">
        <f aca="false">I5+F5+L5</f>
        <v>124225</v>
      </c>
      <c r="X5" s="11" t="n">
        <f aca="false">Q5/R5</f>
        <v>0.0196055121515105</v>
      </c>
    </row>
    <row r="6" customFormat="false" ht="15" hidden="false" customHeight="false" outlineLevel="0" collapsed="false">
      <c r="A6" s="14" t="s">
        <v>38</v>
      </c>
      <c r="B6" s="14" t="n">
        <v>2018</v>
      </c>
      <c r="C6" s="14" t="s">
        <v>84</v>
      </c>
      <c r="D6" s="9" t="n">
        <v>157063</v>
      </c>
      <c r="E6" s="9" t="n">
        <v>27507</v>
      </c>
      <c r="F6" s="9" t="n">
        <v>3019</v>
      </c>
      <c r="G6" s="9" t="n">
        <v>9272</v>
      </c>
      <c r="H6" s="9" t="n">
        <v>53306</v>
      </c>
      <c r="I6" s="9" t="n">
        <v>22586</v>
      </c>
      <c r="J6" s="9" t="n">
        <v>1758</v>
      </c>
      <c r="K6" s="9" t="n">
        <v>1730</v>
      </c>
      <c r="L6" s="9" t="n">
        <v>2597</v>
      </c>
      <c r="M6" s="9" t="n">
        <v>0</v>
      </c>
      <c r="N6" s="9" t="n">
        <v>0</v>
      </c>
      <c r="O6" s="9" t="n">
        <v>17170</v>
      </c>
      <c r="P6" s="9" t="n">
        <v>235</v>
      </c>
      <c r="Q6" s="9" t="n">
        <v>6645</v>
      </c>
      <c r="R6" s="9" t="n">
        <v>302888</v>
      </c>
      <c r="S6" s="9" t="n">
        <v>516365</v>
      </c>
      <c r="T6" s="11" t="n">
        <f aca="false">R6/S6</f>
        <v>0.586577324179602</v>
      </c>
      <c r="U6" s="9" t="n">
        <f aca="false">D6+E6+G6</f>
        <v>193842</v>
      </c>
      <c r="V6" s="9" t="n">
        <f aca="false">H6+J6+K6</f>
        <v>56794</v>
      </c>
      <c r="W6" s="9" t="n">
        <f aca="false">I6+F6+L6</f>
        <v>28202</v>
      </c>
      <c r="X6" s="11" t="n">
        <f aca="false">Q6/R6</f>
        <v>0.021938802461636</v>
      </c>
    </row>
    <row r="7" customFormat="false" ht="15" hidden="false" customHeight="false" outlineLevel="0" collapsed="false">
      <c r="A7" s="14" t="s">
        <v>38</v>
      </c>
      <c r="B7" s="14" t="n">
        <v>2018</v>
      </c>
      <c r="C7" s="14" t="s">
        <v>85</v>
      </c>
      <c r="D7" s="9" t="n">
        <v>227802</v>
      </c>
      <c r="E7" s="9" t="n">
        <v>34244</v>
      </c>
      <c r="F7" s="9" t="n">
        <v>5175</v>
      </c>
      <c r="G7" s="9" t="n">
        <v>13216</v>
      </c>
      <c r="H7" s="9" t="n">
        <v>45401</v>
      </c>
      <c r="I7" s="9" t="n">
        <v>86455</v>
      </c>
      <c r="J7" s="9" t="n">
        <v>5261</v>
      </c>
      <c r="K7" s="9" t="n">
        <v>3755</v>
      </c>
      <c r="L7" s="9" t="n">
        <v>4954</v>
      </c>
      <c r="M7" s="9" t="n">
        <v>0</v>
      </c>
      <c r="N7" s="9" t="n">
        <v>0</v>
      </c>
      <c r="O7" s="9" t="n">
        <v>11403</v>
      </c>
      <c r="P7" s="9" t="n">
        <v>146</v>
      </c>
      <c r="Q7" s="9" t="n">
        <v>11735</v>
      </c>
      <c r="R7" s="9" t="n">
        <v>449547</v>
      </c>
      <c r="S7" s="9" t="n">
        <v>642407</v>
      </c>
      <c r="T7" s="11" t="n">
        <f aca="false">R7/S7</f>
        <v>0.699785338578191</v>
      </c>
      <c r="U7" s="9" t="n">
        <f aca="false">D7+E7+G7</f>
        <v>275262</v>
      </c>
      <c r="V7" s="9" t="n">
        <f aca="false">H7+J7+K7</f>
        <v>54417</v>
      </c>
      <c r="W7" s="9" t="n">
        <f aca="false">I7+F7+L7</f>
        <v>96584</v>
      </c>
      <c r="X7" s="11" t="n">
        <f aca="false">Q7/R7</f>
        <v>0.0261040558606775</v>
      </c>
    </row>
    <row r="8" customFormat="false" ht="15" hidden="false" customHeight="false" outlineLevel="0" collapsed="false">
      <c r="A8" s="14" t="s">
        <v>38</v>
      </c>
      <c r="B8" s="14" t="n">
        <v>2018</v>
      </c>
      <c r="C8" s="14" t="s">
        <v>86</v>
      </c>
      <c r="D8" s="9" t="n">
        <v>516395</v>
      </c>
      <c r="E8" s="9" t="n">
        <v>67870</v>
      </c>
      <c r="F8" s="9" t="n">
        <v>12525</v>
      </c>
      <c r="G8" s="9" t="n">
        <v>25097</v>
      </c>
      <c r="H8" s="9" t="n">
        <v>284210</v>
      </c>
      <c r="I8" s="9" t="n">
        <v>337006</v>
      </c>
      <c r="J8" s="9" t="n">
        <v>11720</v>
      </c>
      <c r="K8" s="9" t="n">
        <v>11660</v>
      </c>
      <c r="L8" s="9" t="n">
        <v>8748</v>
      </c>
      <c r="M8" s="9" t="n">
        <v>0</v>
      </c>
      <c r="N8" s="9" t="n">
        <v>0</v>
      </c>
      <c r="O8" s="9" t="n">
        <v>71781</v>
      </c>
      <c r="P8" s="9" t="n">
        <v>437</v>
      </c>
      <c r="Q8" s="9" t="n">
        <v>24367</v>
      </c>
      <c r="R8" s="9" t="n">
        <v>1371816</v>
      </c>
      <c r="S8" s="9" t="n">
        <v>2157244</v>
      </c>
      <c r="T8" s="11" t="n">
        <f aca="false">R8/S8</f>
        <v>0.635911375810988</v>
      </c>
      <c r="U8" s="9" t="n">
        <f aca="false">D8+E8+G8</f>
        <v>609362</v>
      </c>
      <c r="V8" s="9" t="n">
        <f aca="false">H8+J8+K8</f>
        <v>307590</v>
      </c>
      <c r="W8" s="9" t="n">
        <f aca="false">I8+F8+L8</f>
        <v>358279</v>
      </c>
      <c r="X8" s="11" t="n">
        <f aca="false">Q8/R8</f>
        <v>0.017762586236055</v>
      </c>
    </row>
    <row r="9" customFormat="false" ht="15" hidden="false" customHeight="false" outlineLevel="0" collapsed="false">
      <c r="A9" s="14" t="s">
        <v>38</v>
      </c>
      <c r="B9" s="14" t="n">
        <v>2018</v>
      </c>
      <c r="C9" s="14" t="s">
        <v>87</v>
      </c>
      <c r="D9" s="9" t="n">
        <v>164738</v>
      </c>
      <c r="E9" s="9" t="n">
        <v>23949</v>
      </c>
      <c r="F9" s="9" t="n">
        <v>7622</v>
      </c>
      <c r="G9" s="9" t="n">
        <v>8629</v>
      </c>
      <c r="H9" s="9" t="n">
        <v>48637</v>
      </c>
      <c r="I9" s="9" t="n">
        <v>51332</v>
      </c>
      <c r="J9" s="9" t="n">
        <v>2925</v>
      </c>
      <c r="K9" s="9" t="n">
        <v>4866</v>
      </c>
      <c r="L9" s="9" t="n">
        <v>3050</v>
      </c>
      <c r="M9" s="9" t="n">
        <v>0</v>
      </c>
      <c r="N9" s="9" t="n">
        <v>0</v>
      </c>
      <c r="O9" s="9" t="n">
        <v>16099</v>
      </c>
      <c r="P9" s="9" t="n">
        <v>200</v>
      </c>
      <c r="Q9" s="9" t="n">
        <v>9062</v>
      </c>
      <c r="R9" s="9" t="n">
        <v>341109</v>
      </c>
      <c r="S9" s="9" t="n">
        <v>531888</v>
      </c>
      <c r="T9" s="11" t="n">
        <f aca="false">R9/S9</f>
        <v>0.641317345004963</v>
      </c>
      <c r="U9" s="9" t="n">
        <f aca="false">D9+E9+G9</f>
        <v>197316</v>
      </c>
      <c r="V9" s="9" t="n">
        <f aca="false">H9+J9+K9</f>
        <v>56428</v>
      </c>
      <c r="W9" s="9" t="n">
        <f aca="false">I9+F9+L9</f>
        <v>62004</v>
      </c>
      <c r="X9" s="11" t="n">
        <f aca="false">Q9/R9</f>
        <v>0.026566288195269</v>
      </c>
    </row>
    <row r="10" customFormat="false" ht="15" hidden="false" customHeight="false" outlineLevel="0" collapsed="false">
      <c r="A10" s="14" t="s">
        <v>38</v>
      </c>
      <c r="B10" s="14" t="n">
        <v>2018</v>
      </c>
      <c r="C10" s="14" t="s">
        <v>88</v>
      </c>
      <c r="D10" s="9" t="n">
        <v>1206768</v>
      </c>
      <c r="E10" s="9" t="n">
        <v>190896</v>
      </c>
      <c r="F10" s="9" t="n">
        <v>249161</v>
      </c>
      <c r="G10" s="9" t="n">
        <v>88035</v>
      </c>
      <c r="H10" s="9" t="n">
        <v>104736</v>
      </c>
      <c r="I10" s="9" t="n">
        <v>273673</v>
      </c>
      <c r="J10" s="9" t="n">
        <v>56502</v>
      </c>
      <c r="K10" s="9" t="n">
        <v>36879</v>
      </c>
      <c r="L10" s="9" t="n">
        <v>40029</v>
      </c>
      <c r="M10" s="9" t="n">
        <v>0</v>
      </c>
      <c r="N10" s="9" t="n">
        <v>0</v>
      </c>
      <c r="O10" s="9" t="n">
        <v>41304</v>
      </c>
      <c r="P10" s="9" t="n">
        <v>580</v>
      </c>
      <c r="Q10" s="9" t="n">
        <v>137087</v>
      </c>
      <c r="R10" s="9" t="n">
        <v>2425650</v>
      </c>
      <c r="S10" s="9" t="n">
        <v>3501730</v>
      </c>
      <c r="T10" s="11" t="n">
        <f aca="false">R10/S10</f>
        <v>0.69270046519863</v>
      </c>
      <c r="U10" s="9" t="n">
        <f aca="false">D10+E10+G10</f>
        <v>1485699</v>
      </c>
      <c r="V10" s="9" t="n">
        <f aca="false">H10+J10+K10</f>
        <v>198117</v>
      </c>
      <c r="W10" s="9" t="n">
        <f aca="false">I10+F10+L10</f>
        <v>562863</v>
      </c>
      <c r="X10" s="11" t="n">
        <f aca="false">Q10/R10</f>
        <v>0.0565155731453425</v>
      </c>
    </row>
    <row r="11" customFormat="false" ht="15" hidden="false" customHeight="false" outlineLevel="0" collapsed="false">
      <c r="A11" s="14" t="s">
        <v>38</v>
      </c>
      <c r="B11" s="14" t="n">
        <v>2018</v>
      </c>
      <c r="C11" s="14" t="s">
        <v>89</v>
      </c>
      <c r="D11" s="9" t="n">
        <v>517267</v>
      </c>
      <c r="E11" s="9" t="n">
        <v>85584</v>
      </c>
      <c r="F11" s="9" t="n">
        <v>17974</v>
      </c>
      <c r="G11" s="9" t="n">
        <v>40801</v>
      </c>
      <c r="H11" s="9" t="n">
        <v>388034</v>
      </c>
      <c r="I11" s="9" t="n">
        <v>207429</v>
      </c>
      <c r="J11" s="9" t="n">
        <v>17736</v>
      </c>
      <c r="K11" s="9" t="n">
        <v>20149</v>
      </c>
      <c r="L11" s="9" t="n">
        <v>15322</v>
      </c>
      <c r="M11" s="9" t="n">
        <v>0</v>
      </c>
      <c r="N11" s="9" t="n">
        <v>0</v>
      </c>
      <c r="O11" s="9" t="n">
        <v>133846</v>
      </c>
      <c r="P11" s="9" t="n">
        <v>1717</v>
      </c>
      <c r="Q11" s="9" t="n">
        <v>48846</v>
      </c>
      <c r="R11" s="9" t="n">
        <v>1494705</v>
      </c>
      <c r="S11" s="9" t="n">
        <v>2745255</v>
      </c>
      <c r="T11" s="11" t="n">
        <f aca="false">R11/S11</f>
        <v>0.544468546637744</v>
      </c>
      <c r="U11" s="9" t="n">
        <f aca="false">D11+E11+G11</f>
        <v>643652</v>
      </c>
      <c r="V11" s="9" t="n">
        <f aca="false">H11+J11+K11</f>
        <v>425919</v>
      </c>
      <c r="W11" s="9" t="n">
        <f aca="false">I11+F11+L11</f>
        <v>240725</v>
      </c>
      <c r="X11" s="11" t="n">
        <f aca="false">Q11/R11</f>
        <v>0.0326793581342138</v>
      </c>
    </row>
    <row r="12" customFormat="false" ht="15" hidden="false" customHeight="false" outlineLevel="0" collapsed="false">
      <c r="A12" s="14" t="s">
        <v>38</v>
      </c>
      <c r="B12" s="14" t="n">
        <v>2018</v>
      </c>
      <c r="C12" s="14" t="s">
        <v>90</v>
      </c>
      <c r="D12" s="9" t="n">
        <v>2712383</v>
      </c>
      <c r="E12" s="9" t="n">
        <v>260313</v>
      </c>
      <c r="F12" s="9" t="n">
        <v>38492</v>
      </c>
      <c r="G12" s="9" t="n">
        <v>145782</v>
      </c>
      <c r="H12" s="9" t="n">
        <v>966479</v>
      </c>
      <c r="I12" s="9" t="n">
        <v>587671</v>
      </c>
      <c r="J12" s="9" t="n">
        <v>274097</v>
      </c>
      <c r="K12" s="9" t="n">
        <v>52047</v>
      </c>
      <c r="L12" s="9" t="n">
        <v>25910</v>
      </c>
      <c r="M12" s="9" t="n">
        <v>0</v>
      </c>
      <c r="N12" s="9" t="n">
        <v>0</v>
      </c>
      <c r="O12" s="9" t="n">
        <v>226315</v>
      </c>
      <c r="P12" s="9" t="n">
        <v>4793</v>
      </c>
      <c r="Q12" s="9" t="n">
        <v>111586</v>
      </c>
      <c r="R12" s="9" t="n">
        <v>5405868</v>
      </c>
      <c r="S12" s="9" t="n">
        <v>7655623</v>
      </c>
      <c r="T12" s="11" t="n">
        <f aca="false">R12/S12</f>
        <v>0.70613038285715</v>
      </c>
      <c r="U12" s="9" t="n">
        <f aca="false">D12+E12+G12</f>
        <v>3118478</v>
      </c>
      <c r="V12" s="9" t="n">
        <f aca="false">H12+J12+K12</f>
        <v>1292623</v>
      </c>
      <c r="W12" s="9" t="n">
        <f aca="false">I12+F12+L12</f>
        <v>652073</v>
      </c>
      <c r="X12" s="11" t="n">
        <f aca="false">Q12/R12</f>
        <v>0.0206416434881503</v>
      </c>
    </row>
    <row r="13" customFormat="false" ht="15" hidden="false" customHeight="false" outlineLevel="0" collapsed="false">
      <c r="A13" s="14" t="s">
        <v>38</v>
      </c>
      <c r="B13" s="14" t="n">
        <v>2018</v>
      </c>
      <c r="C13" s="14" t="s">
        <v>91</v>
      </c>
      <c r="D13" s="9" t="n">
        <v>253004</v>
      </c>
      <c r="E13" s="9" t="n">
        <v>68126</v>
      </c>
      <c r="F13" s="9" t="n">
        <v>9989</v>
      </c>
      <c r="G13" s="9" t="n">
        <v>19699</v>
      </c>
      <c r="H13" s="9" t="n">
        <v>169907</v>
      </c>
      <c r="I13" s="9" t="n">
        <v>126537</v>
      </c>
      <c r="J13" s="9" t="n">
        <v>8690</v>
      </c>
      <c r="K13" s="9" t="n">
        <v>9350</v>
      </c>
      <c r="L13" s="9" t="n">
        <v>4765</v>
      </c>
      <c r="M13" s="9" t="n">
        <v>0</v>
      </c>
      <c r="N13" s="9" t="n">
        <v>0</v>
      </c>
      <c r="O13" s="9" t="n">
        <v>46645</v>
      </c>
      <c r="P13" s="9" t="n">
        <v>215</v>
      </c>
      <c r="Q13" s="9" t="n">
        <v>16788</v>
      </c>
      <c r="R13" s="9" t="n">
        <v>733715</v>
      </c>
      <c r="S13" s="9" t="n">
        <v>1284462</v>
      </c>
      <c r="T13" s="11" t="n">
        <f aca="false">R13/S13</f>
        <v>0.571223594002781</v>
      </c>
      <c r="U13" s="9" t="n">
        <f aca="false">D13+E13+G13</f>
        <v>340829</v>
      </c>
      <c r="V13" s="9" t="n">
        <f aca="false">H13+J13+K13</f>
        <v>187947</v>
      </c>
      <c r="W13" s="9" t="n">
        <f aca="false">I13+F13+L13</f>
        <v>141291</v>
      </c>
      <c r="X13" s="11" t="n">
        <f aca="false">Q13/R13</f>
        <v>0.0228808188465549</v>
      </c>
    </row>
    <row r="14" customFormat="false" ht="15" hidden="false" customHeight="false" outlineLevel="0" collapsed="false">
      <c r="A14" s="14" t="s">
        <v>38</v>
      </c>
      <c r="B14" s="14" t="n">
        <v>2018</v>
      </c>
      <c r="C14" s="14" t="s">
        <v>92</v>
      </c>
      <c r="D14" s="9" t="n">
        <v>581370</v>
      </c>
      <c r="E14" s="9" t="n">
        <v>91916</v>
      </c>
      <c r="F14" s="9" t="n">
        <v>60803</v>
      </c>
      <c r="G14" s="9" t="n">
        <v>33936</v>
      </c>
      <c r="H14" s="9" t="n">
        <v>860313</v>
      </c>
      <c r="I14" s="9" t="n">
        <v>295963</v>
      </c>
      <c r="J14" s="9" t="n">
        <v>46025</v>
      </c>
      <c r="K14" s="9" t="n">
        <v>33795</v>
      </c>
      <c r="L14" s="9" t="n">
        <v>24926</v>
      </c>
      <c r="M14" s="9" t="n">
        <v>0</v>
      </c>
      <c r="N14" s="9" t="n">
        <v>0</v>
      </c>
      <c r="O14" s="9" t="n">
        <v>224869</v>
      </c>
      <c r="P14" s="9" t="n">
        <v>1859</v>
      </c>
      <c r="Q14" s="9" t="n">
        <v>69232</v>
      </c>
      <c r="R14" s="9" t="n">
        <v>2325007</v>
      </c>
      <c r="S14" s="9" t="n">
        <v>4370567</v>
      </c>
      <c r="T14" s="11" t="n">
        <f aca="false">R14/S14</f>
        <v>0.531969193013172</v>
      </c>
      <c r="U14" s="9" t="n">
        <f aca="false">D14+E14+G14</f>
        <v>707222</v>
      </c>
      <c r="V14" s="9" t="n">
        <f aca="false">H14+J14+K14</f>
        <v>940133</v>
      </c>
      <c r="W14" s="9" t="n">
        <f aca="false">I14+F14+L14</f>
        <v>381692</v>
      </c>
      <c r="X14" s="11" t="n">
        <f aca="false">Q14/R14</f>
        <v>0.0297771146495473</v>
      </c>
    </row>
    <row r="15" customFormat="false" ht="15" hidden="false" customHeight="false" outlineLevel="0" collapsed="false">
      <c r="A15" s="14" t="s">
        <v>38</v>
      </c>
      <c r="B15" s="14" t="n">
        <v>2018</v>
      </c>
      <c r="C15" s="14" t="s">
        <v>93</v>
      </c>
      <c r="D15" s="9" t="n">
        <v>834069</v>
      </c>
      <c r="E15" s="9" t="n">
        <v>136430</v>
      </c>
      <c r="F15" s="9" t="n">
        <v>42239</v>
      </c>
      <c r="G15" s="9" t="n">
        <v>47664</v>
      </c>
      <c r="H15" s="9" t="n">
        <v>78838</v>
      </c>
      <c r="I15" s="9" t="n">
        <v>229492</v>
      </c>
      <c r="J15" s="9" t="n">
        <v>106558</v>
      </c>
      <c r="K15" s="9" t="n">
        <v>32442</v>
      </c>
      <c r="L15" s="9" t="n">
        <v>14068</v>
      </c>
      <c r="M15" s="9" t="n">
        <v>0</v>
      </c>
      <c r="N15" s="9" t="n">
        <v>0</v>
      </c>
      <c r="O15" s="9" t="n">
        <v>24808</v>
      </c>
      <c r="P15" s="9" t="n">
        <v>362</v>
      </c>
      <c r="Q15" s="9" t="n">
        <v>66168</v>
      </c>
      <c r="R15" s="9" t="n">
        <v>1613138</v>
      </c>
      <c r="S15" s="9" t="n">
        <v>2512092</v>
      </c>
      <c r="T15" s="11" t="n">
        <f aca="false">R15/S15</f>
        <v>0.64214925249553</v>
      </c>
      <c r="U15" s="9" t="n">
        <f aca="false">D15+E15+G15</f>
        <v>1018163</v>
      </c>
      <c r="V15" s="9" t="n">
        <f aca="false">H15+J15+K15</f>
        <v>217838</v>
      </c>
      <c r="W15" s="9" t="n">
        <f aca="false">I15+F15+L15</f>
        <v>285799</v>
      </c>
      <c r="X15" s="11" t="n">
        <f aca="false">Q15/R15</f>
        <v>0.0410181893923521</v>
      </c>
    </row>
    <row r="16" customFormat="false" ht="15" hidden="false" customHeight="false" outlineLevel="0" collapsed="false">
      <c r="A16" s="14" t="s">
        <v>38</v>
      </c>
      <c r="B16" s="14" t="n">
        <v>2018</v>
      </c>
      <c r="C16" s="14" t="s">
        <v>94</v>
      </c>
      <c r="D16" s="9" t="n">
        <v>738473</v>
      </c>
      <c r="E16" s="9" t="n">
        <v>67949</v>
      </c>
      <c r="F16" s="9" t="n">
        <v>12958</v>
      </c>
      <c r="G16" s="9" t="n">
        <v>44441</v>
      </c>
      <c r="H16" s="9" t="n">
        <v>147226</v>
      </c>
      <c r="I16" s="9" t="n">
        <v>221268</v>
      </c>
      <c r="J16" s="9" t="n">
        <v>29079</v>
      </c>
      <c r="K16" s="9" t="n">
        <v>11723</v>
      </c>
      <c r="L16" s="9" t="n">
        <v>23322</v>
      </c>
      <c r="M16" s="9" t="n">
        <v>0</v>
      </c>
      <c r="N16" s="9" t="n">
        <v>0</v>
      </c>
      <c r="O16" s="9" t="n">
        <v>60103</v>
      </c>
      <c r="P16" s="9" t="n">
        <v>454</v>
      </c>
      <c r="Q16" s="9" t="n">
        <v>37916</v>
      </c>
      <c r="R16" s="9" t="n">
        <v>1394912</v>
      </c>
      <c r="S16" s="9" t="n">
        <v>2122657</v>
      </c>
      <c r="T16" s="11" t="n">
        <f aca="false">R16/S16</f>
        <v>0.657153746460215</v>
      </c>
      <c r="U16" s="9" t="n">
        <f aca="false">D16+E16+G16</f>
        <v>850863</v>
      </c>
      <c r="V16" s="9" t="n">
        <f aca="false">H16+J16+K16</f>
        <v>188028</v>
      </c>
      <c r="W16" s="9" t="n">
        <f aca="false">I16+F16+L16</f>
        <v>257548</v>
      </c>
      <c r="X16" s="11" t="n">
        <f aca="false">Q16/R16</f>
        <v>0.0271816429997018</v>
      </c>
    </row>
    <row r="17" customFormat="false" ht="15" hidden="false" customHeight="false" outlineLevel="0" collapsed="false">
      <c r="A17" s="14" t="s">
        <v>38</v>
      </c>
      <c r="B17" s="14" t="n">
        <v>2018</v>
      </c>
      <c r="C17" s="14" t="s">
        <v>95</v>
      </c>
      <c r="D17" s="9" t="n">
        <v>1204810</v>
      </c>
      <c r="E17" s="9" t="n">
        <v>173368</v>
      </c>
      <c r="F17" s="9" t="n">
        <v>54545</v>
      </c>
      <c r="G17" s="9" t="n">
        <v>83170</v>
      </c>
      <c r="H17" s="9" t="n">
        <v>831284</v>
      </c>
      <c r="I17" s="9" t="n">
        <v>422792</v>
      </c>
      <c r="J17" s="9" t="n">
        <v>38336</v>
      </c>
      <c r="K17" s="9" t="n">
        <v>309680</v>
      </c>
      <c r="L17" s="9" t="n">
        <v>31820</v>
      </c>
      <c r="M17" s="9" t="n">
        <v>0</v>
      </c>
      <c r="N17" s="9" t="n">
        <v>0</v>
      </c>
      <c r="O17" s="9" t="n">
        <v>250076</v>
      </c>
      <c r="P17" s="9" t="n">
        <v>2954</v>
      </c>
      <c r="Q17" s="9" t="n">
        <v>96988</v>
      </c>
      <c r="R17" s="9" t="n">
        <v>3499823</v>
      </c>
      <c r="S17" s="9" t="n">
        <v>5913395</v>
      </c>
      <c r="T17" s="11" t="n">
        <f aca="false">R17/S17</f>
        <v>0.591846646469583</v>
      </c>
      <c r="U17" s="9" t="n">
        <f aca="false">D17+E17+G17</f>
        <v>1461348</v>
      </c>
      <c r="V17" s="9" t="n">
        <f aca="false">H17+J17+K17</f>
        <v>1179300</v>
      </c>
      <c r="W17" s="9" t="n">
        <f aca="false">I17+F17+L17</f>
        <v>509157</v>
      </c>
      <c r="X17" s="11" t="n">
        <f aca="false">Q17/R17</f>
        <v>0.0277122585913631</v>
      </c>
    </row>
    <row r="18" customFormat="false" ht="15" hidden="false" customHeight="false" outlineLevel="0" collapsed="false">
      <c r="A18" s="14" t="s">
        <v>38</v>
      </c>
      <c r="B18" s="14" t="n">
        <v>2018</v>
      </c>
      <c r="C18" s="14" t="s">
        <v>96</v>
      </c>
      <c r="D18" s="9" t="n">
        <v>3796524</v>
      </c>
      <c r="E18" s="9" t="n">
        <v>379770</v>
      </c>
      <c r="F18" s="9" t="n">
        <v>104777</v>
      </c>
      <c r="G18" s="9" t="n">
        <v>196973</v>
      </c>
      <c r="H18" s="9" t="n">
        <v>1249479</v>
      </c>
      <c r="I18" s="9" t="n">
        <v>1370214</v>
      </c>
      <c r="J18" s="9" t="n">
        <v>223109</v>
      </c>
      <c r="K18" s="9" t="n">
        <v>77236</v>
      </c>
      <c r="L18" s="9" t="n">
        <v>73671</v>
      </c>
      <c r="M18" s="9" t="n">
        <v>0</v>
      </c>
      <c r="N18" s="9" t="n">
        <v>0</v>
      </c>
      <c r="O18" s="9" t="n">
        <v>386776</v>
      </c>
      <c r="P18" s="9" t="n">
        <v>4653</v>
      </c>
      <c r="Q18" s="9" t="n">
        <v>176978</v>
      </c>
      <c r="R18" s="9" t="n">
        <v>8040160</v>
      </c>
      <c r="S18" s="9" t="n">
        <v>11841734</v>
      </c>
      <c r="T18" s="11" t="n">
        <f aca="false">R18/S18</f>
        <v>0.678968130849756</v>
      </c>
      <c r="U18" s="9" t="n">
        <f aca="false">D18+E18+G18</f>
        <v>4373267</v>
      </c>
      <c r="V18" s="9" t="n">
        <f aca="false">H18+J18+K18</f>
        <v>1549824</v>
      </c>
      <c r="W18" s="9" t="n">
        <f aca="false">I18+F18+L18</f>
        <v>1548662</v>
      </c>
      <c r="X18" s="11" t="n">
        <f aca="false">Q18/R18</f>
        <v>0.0220117510099302</v>
      </c>
    </row>
    <row r="19" customFormat="false" ht="15" hidden="false" customHeight="false" outlineLevel="0" collapsed="false">
      <c r="A19" s="14" t="s">
        <v>38</v>
      </c>
      <c r="B19" s="14" t="n">
        <v>2018</v>
      </c>
      <c r="C19" s="14" t="s">
        <v>97</v>
      </c>
      <c r="D19" s="9" t="n">
        <v>765372</v>
      </c>
      <c r="E19" s="9" t="n">
        <v>171688</v>
      </c>
      <c r="F19" s="9" t="n">
        <v>56240</v>
      </c>
      <c r="G19" s="9" t="n">
        <v>54094</v>
      </c>
      <c r="H19" s="9" t="n">
        <v>258282</v>
      </c>
      <c r="I19" s="9" t="n">
        <v>256752</v>
      </c>
      <c r="J19" s="9" t="n">
        <v>156838</v>
      </c>
      <c r="K19" s="9" t="n">
        <v>28685</v>
      </c>
      <c r="L19" s="9" t="n">
        <v>22862</v>
      </c>
      <c r="M19" s="9" t="n">
        <v>0</v>
      </c>
      <c r="N19" s="9" t="n">
        <v>0</v>
      </c>
      <c r="O19" s="9" t="n">
        <v>123645</v>
      </c>
      <c r="P19" s="9" t="n">
        <v>1097</v>
      </c>
      <c r="Q19" s="9" t="n">
        <v>85400</v>
      </c>
      <c r="R19" s="9" t="n">
        <v>1980955</v>
      </c>
      <c r="S19" s="9" t="n">
        <v>3382252</v>
      </c>
      <c r="T19" s="11" t="n">
        <f aca="false">R19/S19</f>
        <v>0.585691131234456</v>
      </c>
      <c r="U19" s="9" t="n">
        <f aca="false">D19+E19+G19</f>
        <v>991154</v>
      </c>
      <c r="V19" s="9" t="n">
        <f aca="false">H19+J19+K19</f>
        <v>443805</v>
      </c>
      <c r="W19" s="9" t="n">
        <f aca="false">I19+F19+L19</f>
        <v>335854</v>
      </c>
      <c r="X19" s="11" t="n">
        <f aca="false">Q19/R19</f>
        <v>0.0431105199259953</v>
      </c>
    </row>
    <row r="20" customFormat="false" ht="15" hidden="false" customHeight="false" outlineLevel="0" collapsed="false">
      <c r="A20" s="14" t="s">
        <v>38</v>
      </c>
      <c r="B20" s="14" t="n">
        <v>2018</v>
      </c>
      <c r="C20" s="14" t="s">
        <v>98</v>
      </c>
      <c r="D20" s="9" t="n">
        <v>485725</v>
      </c>
      <c r="E20" s="9" t="n">
        <v>97152</v>
      </c>
      <c r="F20" s="9" t="n">
        <v>13638</v>
      </c>
      <c r="G20" s="9" t="n">
        <v>55812</v>
      </c>
      <c r="H20" s="9" t="n">
        <v>99402</v>
      </c>
      <c r="I20" s="9" t="n">
        <v>76787</v>
      </c>
      <c r="J20" s="9" t="n">
        <v>31483</v>
      </c>
      <c r="K20" s="9" t="n">
        <v>11668</v>
      </c>
      <c r="L20" s="9" t="n">
        <v>9081</v>
      </c>
      <c r="M20" s="9" t="n">
        <v>0</v>
      </c>
      <c r="N20" s="9" t="n">
        <v>0</v>
      </c>
      <c r="O20" s="9" t="n">
        <v>60763</v>
      </c>
      <c r="P20" s="9" t="n">
        <v>510</v>
      </c>
      <c r="Q20" s="9" t="n">
        <v>26169</v>
      </c>
      <c r="R20" s="9" t="n">
        <v>968190</v>
      </c>
      <c r="S20" s="9" t="n">
        <v>1442849</v>
      </c>
      <c r="T20" s="11" t="n">
        <f aca="false">R20/S20</f>
        <v>0.6710265592588</v>
      </c>
      <c r="U20" s="9" t="n">
        <f aca="false">D20+E20+G20</f>
        <v>638689</v>
      </c>
      <c r="V20" s="9" t="n">
        <f aca="false">H20+J20+K20</f>
        <v>142553</v>
      </c>
      <c r="W20" s="9" t="n">
        <f aca="false">I20+F20+L20</f>
        <v>99506</v>
      </c>
      <c r="X20" s="11" t="n">
        <f aca="false">Q20/R20</f>
        <v>0.0270287856722338</v>
      </c>
    </row>
    <row r="21" customFormat="false" ht="15" hidden="false" customHeight="false" outlineLevel="0" collapsed="false">
      <c r="A21" s="14" t="s">
        <v>38</v>
      </c>
      <c r="B21" s="14" t="n">
        <v>2018</v>
      </c>
      <c r="C21" s="14" t="s">
        <v>99</v>
      </c>
      <c r="D21" s="9" t="n">
        <v>262942</v>
      </c>
      <c r="E21" s="9" t="n">
        <v>35883</v>
      </c>
      <c r="F21" s="9" t="n">
        <v>2898</v>
      </c>
      <c r="G21" s="9" t="n">
        <v>16991</v>
      </c>
      <c r="H21" s="9" t="n">
        <v>61984</v>
      </c>
      <c r="I21" s="9" t="n">
        <v>60239</v>
      </c>
      <c r="J21" s="9" t="n">
        <v>10605</v>
      </c>
      <c r="K21" s="9" t="n">
        <v>7229</v>
      </c>
      <c r="L21" s="9" t="n">
        <v>3310</v>
      </c>
      <c r="M21" s="9" t="n">
        <v>0</v>
      </c>
      <c r="N21" s="9" t="n">
        <v>0</v>
      </c>
      <c r="O21" s="9" t="n">
        <v>10662</v>
      </c>
      <c r="P21" s="9" t="n">
        <v>183</v>
      </c>
      <c r="Q21" s="9" t="n">
        <v>11750</v>
      </c>
      <c r="R21" s="9" t="n">
        <v>484676</v>
      </c>
      <c r="S21" s="9" t="n">
        <v>848895</v>
      </c>
      <c r="T21" s="11" t="n">
        <f aca="false">R21/S21</f>
        <v>0.570949292904305</v>
      </c>
      <c r="U21" s="9" t="n">
        <f aca="false">D21+E21+G21</f>
        <v>315816</v>
      </c>
      <c r="V21" s="9" t="n">
        <f aca="false">H21+J21+K21</f>
        <v>79818</v>
      </c>
      <c r="W21" s="9" t="n">
        <f aca="false">I21+F21+L21</f>
        <v>66447</v>
      </c>
      <c r="X21" s="11" t="n">
        <f aca="false">Q21/R21</f>
        <v>0.0242429994470533</v>
      </c>
    </row>
    <row r="22" customFormat="false" ht="15" hidden="false" customHeight="false" outlineLevel="0" collapsed="false">
      <c r="A22" s="14" t="s">
        <v>38</v>
      </c>
      <c r="B22" s="14" t="n">
        <v>2018</v>
      </c>
      <c r="C22" s="14" t="s">
        <v>100</v>
      </c>
      <c r="D22" s="9" t="n">
        <v>548833</v>
      </c>
      <c r="E22" s="9" t="n">
        <v>162909</v>
      </c>
      <c r="F22" s="9" t="n">
        <v>23716</v>
      </c>
      <c r="G22" s="9" t="n">
        <v>36362</v>
      </c>
      <c r="H22" s="9" t="n">
        <v>655179</v>
      </c>
      <c r="I22" s="9" t="n">
        <v>275480</v>
      </c>
      <c r="J22" s="9" t="n">
        <v>13387</v>
      </c>
      <c r="K22" s="9" t="n">
        <v>35300</v>
      </c>
      <c r="L22" s="9" t="n">
        <v>16183</v>
      </c>
      <c r="M22" s="9" t="n">
        <v>0</v>
      </c>
      <c r="N22" s="9" t="n">
        <v>0</v>
      </c>
      <c r="O22" s="9" t="n">
        <v>362050</v>
      </c>
      <c r="P22" s="9" t="n">
        <v>1931</v>
      </c>
      <c r="Q22" s="9" t="n">
        <v>47432</v>
      </c>
      <c r="R22" s="9" t="n">
        <v>2178762</v>
      </c>
      <c r="S22" s="9" t="n">
        <v>3905471</v>
      </c>
      <c r="T22" s="11" t="n">
        <f aca="false">R22/S22</f>
        <v>0.557874325529494</v>
      </c>
      <c r="U22" s="9" t="n">
        <f aca="false">D22+E22+G22</f>
        <v>748104</v>
      </c>
      <c r="V22" s="9" t="n">
        <f aca="false">H22+J22+K22</f>
        <v>703866</v>
      </c>
      <c r="W22" s="9" t="n">
        <f aca="false">I22+F22+L22</f>
        <v>315379</v>
      </c>
      <c r="X22" s="11" t="n">
        <f aca="false">Q22/R22</f>
        <v>0.0217701612199956</v>
      </c>
    </row>
    <row r="23" customFormat="false" ht="15" hidden="false" customHeight="false" outlineLevel="0" collapsed="false">
      <c r="A23" s="14" t="s">
        <v>38</v>
      </c>
      <c r="B23" s="14" t="n">
        <v>2018</v>
      </c>
      <c r="C23" s="14" t="s">
        <v>101</v>
      </c>
      <c r="D23" s="9" t="n">
        <v>1058474</v>
      </c>
      <c r="E23" s="9" t="n">
        <v>151607</v>
      </c>
      <c r="F23" s="9" t="n">
        <v>30013</v>
      </c>
      <c r="G23" s="9" t="n">
        <v>50481</v>
      </c>
      <c r="H23" s="9" t="n">
        <v>126477</v>
      </c>
      <c r="I23" s="9" t="n">
        <v>279991</v>
      </c>
      <c r="J23" s="9" t="n">
        <v>75341</v>
      </c>
      <c r="K23" s="9" t="n">
        <v>19868</v>
      </c>
      <c r="L23" s="9" t="n">
        <v>32104</v>
      </c>
      <c r="M23" s="9" t="n">
        <v>0</v>
      </c>
      <c r="N23" s="9" t="n">
        <v>0</v>
      </c>
      <c r="O23" s="9" t="n">
        <v>39951</v>
      </c>
      <c r="P23" s="9" t="n">
        <v>548</v>
      </c>
      <c r="Q23" s="9" t="n">
        <v>64602</v>
      </c>
      <c r="R23" s="9" t="n">
        <v>1929457</v>
      </c>
      <c r="S23" s="9" t="n">
        <v>2866552</v>
      </c>
      <c r="T23" s="11" t="n">
        <f aca="false">R23/S23</f>
        <v>0.673093319081601</v>
      </c>
      <c r="U23" s="9" t="n">
        <f aca="false">D23+E23+G23</f>
        <v>1260562</v>
      </c>
      <c r="V23" s="9" t="n">
        <f aca="false">H23+J23+K23</f>
        <v>221686</v>
      </c>
      <c r="W23" s="9" t="n">
        <f aca="false">I23+F23+L23</f>
        <v>342108</v>
      </c>
      <c r="X23" s="11" t="n">
        <f aca="false">Q23/R23</f>
        <v>0.0334819589138291</v>
      </c>
    </row>
    <row r="24" customFormat="false" ht="15" hidden="false" customHeight="false" outlineLevel="0" collapsed="false">
      <c r="A24" s="14" t="s">
        <v>38</v>
      </c>
      <c r="B24" s="14" t="n">
        <v>2018</v>
      </c>
      <c r="C24" s="14" t="s">
        <v>102</v>
      </c>
      <c r="D24" s="9" t="n">
        <v>1468651</v>
      </c>
      <c r="E24" s="9" t="n">
        <v>204968</v>
      </c>
      <c r="F24" s="9" t="n">
        <v>44665</v>
      </c>
      <c r="G24" s="9" t="n">
        <v>80977</v>
      </c>
      <c r="H24" s="9" t="n">
        <v>507982</v>
      </c>
      <c r="I24" s="9" t="n">
        <v>410134</v>
      </c>
      <c r="J24" s="9" t="n">
        <v>52295</v>
      </c>
      <c r="K24" s="9" t="n">
        <v>58120</v>
      </c>
      <c r="L24" s="9" t="n">
        <v>35938</v>
      </c>
      <c r="M24" s="9" t="n">
        <v>0</v>
      </c>
      <c r="N24" s="9" t="n">
        <v>0</v>
      </c>
      <c r="O24" s="9" t="n">
        <v>115023</v>
      </c>
      <c r="P24" s="9" t="n">
        <v>1509</v>
      </c>
      <c r="Q24" s="9" t="n">
        <v>102525</v>
      </c>
      <c r="R24" s="9" t="n">
        <v>3082787</v>
      </c>
      <c r="S24" s="9" t="n">
        <v>4468710</v>
      </c>
      <c r="T24" s="11" t="n">
        <f aca="false">R24/S24</f>
        <v>0.68986060854251</v>
      </c>
      <c r="U24" s="9" t="n">
        <f aca="false">D24+E24+G24</f>
        <v>1754596</v>
      </c>
      <c r="V24" s="9" t="n">
        <f aca="false">H24+J24+K24</f>
        <v>618397</v>
      </c>
      <c r="W24" s="9" t="n">
        <f aca="false">I24+F24+L24</f>
        <v>490737</v>
      </c>
      <c r="X24" s="11" t="n">
        <f aca="false">Q24/R24</f>
        <v>0.0332572441754815</v>
      </c>
    </row>
    <row r="25" customFormat="false" ht="15" hidden="false" customHeight="false" outlineLevel="0" collapsed="false">
      <c r="A25" s="14" t="s">
        <v>38</v>
      </c>
      <c r="B25" s="14" t="n">
        <v>2018</v>
      </c>
      <c r="C25" s="14" t="s">
        <v>103</v>
      </c>
      <c r="D25" s="9" t="n">
        <v>346928</v>
      </c>
      <c r="E25" s="9" t="n">
        <v>53548</v>
      </c>
      <c r="F25" s="9" t="n">
        <v>11007</v>
      </c>
      <c r="G25" s="9" t="n">
        <v>23686</v>
      </c>
      <c r="H25" s="9" t="n">
        <v>323524</v>
      </c>
      <c r="I25" s="9" t="n">
        <v>132391</v>
      </c>
      <c r="J25" s="9" t="n">
        <v>14296</v>
      </c>
      <c r="K25" s="9" t="n">
        <v>9844</v>
      </c>
      <c r="L25" s="9" t="n">
        <v>7529</v>
      </c>
      <c r="M25" s="9" t="n">
        <v>0</v>
      </c>
      <c r="N25" s="9" t="n">
        <v>0</v>
      </c>
      <c r="O25" s="9" t="n">
        <v>74252</v>
      </c>
      <c r="P25" s="9" t="n">
        <v>855</v>
      </c>
      <c r="Q25" s="9" t="n">
        <v>27501</v>
      </c>
      <c r="R25" s="9" t="n">
        <v>1025361</v>
      </c>
      <c r="S25" s="9" t="n">
        <v>1585370</v>
      </c>
      <c r="T25" s="11" t="n">
        <f aca="false">R25/S25</f>
        <v>0.646764477692905</v>
      </c>
      <c r="U25" s="9" t="n">
        <f aca="false">D25+E25+G25</f>
        <v>424162</v>
      </c>
      <c r="V25" s="9" t="n">
        <f aca="false">H25+J25+K25</f>
        <v>347664</v>
      </c>
      <c r="W25" s="9" t="n">
        <f aca="false">I25+F25+L25</f>
        <v>150927</v>
      </c>
      <c r="X25" s="11" t="n">
        <f aca="false">Q25/R25</f>
        <v>0.0268207977483052</v>
      </c>
    </row>
    <row r="26" customFormat="false" ht="15" hidden="false" customHeight="false" outlineLevel="0" collapsed="false">
      <c r="A26" s="14" t="s">
        <v>38</v>
      </c>
      <c r="B26" s="14" t="n">
        <v>2018</v>
      </c>
      <c r="C26" s="14" t="s">
        <v>104</v>
      </c>
      <c r="D26" s="9" t="n">
        <v>414412</v>
      </c>
      <c r="E26" s="9" t="n">
        <v>46255</v>
      </c>
      <c r="F26" s="9" t="n">
        <v>11137</v>
      </c>
      <c r="G26" s="9" t="n">
        <v>27767</v>
      </c>
      <c r="H26" s="9" t="n">
        <v>95766</v>
      </c>
      <c r="I26" s="9" t="n">
        <v>60017</v>
      </c>
      <c r="J26" s="9" t="n">
        <v>13026</v>
      </c>
      <c r="K26" s="9" t="n">
        <v>7239</v>
      </c>
      <c r="L26" s="9" t="n">
        <v>5604</v>
      </c>
      <c r="M26" s="9" t="n">
        <v>0</v>
      </c>
      <c r="N26" s="9" t="n">
        <v>0</v>
      </c>
      <c r="O26" s="9" t="n">
        <v>29802</v>
      </c>
      <c r="P26" s="9" t="n">
        <v>424</v>
      </c>
      <c r="Q26" s="9" t="n">
        <v>16207</v>
      </c>
      <c r="R26" s="9" t="n">
        <v>727656</v>
      </c>
      <c r="S26" s="9" t="n">
        <v>1209354</v>
      </c>
      <c r="T26" s="11" t="n">
        <f aca="false">R26/S26</f>
        <v>0.601689827792359</v>
      </c>
      <c r="U26" s="9" t="n">
        <f aca="false">D26+E26+G26</f>
        <v>488434</v>
      </c>
      <c r="V26" s="9" t="n">
        <f aca="false">H26+J26+K26</f>
        <v>116031</v>
      </c>
      <c r="W26" s="9" t="n">
        <f aca="false">I26+F26+L26</f>
        <v>76758</v>
      </c>
      <c r="X26" s="11" t="n">
        <f aca="false">Q26/R26</f>
        <v>0.0222728871884517</v>
      </c>
    </row>
    <row r="27" customFormat="false" ht="15" hidden="false" customHeight="false" outlineLevel="0" collapsed="false">
      <c r="A27" s="14" t="s">
        <v>38</v>
      </c>
      <c r="B27" s="14" t="n">
        <v>2018</v>
      </c>
      <c r="C27" s="14" t="s">
        <v>105</v>
      </c>
      <c r="D27" s="9" t="n">
        <v>406410</v>
      </c>
      <c r="E27" s="9" t="n">
        <v>92618</v>
      </c>
      <c r="F27" s="9" t="n">
        <v>31613</v>
      </c>
      <c r="G27" s="9" t="n">
        <v>28518</v>
      </c>
      <c r="H27" s="9" t="n">
        <v>254906</v>
      </c>
      <c r="I27" s="9" t="n">
        <v>213603</v>
      </c>
      <c r="J27" s="9" t="n">
        <v>61507</v>
      </c>
      <c r="K27" s="9" t="n">
        <v>18350</v>
      </c>
      <c r="L27" s="9" t="n">
        <v>14995</v>
      </c>
      <c r="M27" s="9" t="n">
        <v>0</v>
      </c>
      <c r="N27" s="9" t="n">
        <v>0</v>
      </c>
      <c r="O27" s="9" t="n">
        <v>83673</v>
      </c>
      <c r="P27" s="9" t="n">
        <v>677</v>
      </c>
      <c r="Q27" s="9" t="n">
        <v>51722</v>
      </c>
      <c r="R27" s="9" t="n">
        <v>1258592</v>
      </c>
      <c r="S27" s="9" t="n">
        <v>1979480</v>
      </c>
      <c r="T27" s="11" t="n">
        <f aca="false">R27/S27</f>
        <v>0.635819508153657</v>
      </c>
      <c r="U27" s="9" t="n">
        <f aca="false">D27+E27+G27</f>
        <v>527546</v>
      </c>
      <c r="V27" s="9" t="n">
        <f aca="false">H27+J27+K27</f>
        <v>334763</v>
      </c>
      <c r="W27" s="9" t="n">
        <f aca="false">I27+F27+L27</f>
        <v>260211</v>
      </c>
      <c r="X27" s="11" t="n">
        <f aca="false">Q27/R27</f>
        <v>0.0410951285245735</v>
      </c>
    </row>
    <row r="28" customFormat="false" ht="15" hidden="false" customHeight="false" outlineLevel="0" collapsed="false">
      <c r="A28" s="14" t="s">
        <v>38</v>
      </c>
      <c r="B28" s="14" t="n">
        <v>2018</v>
      </c>
      <c r="C28" s="14" t="s">
        <v>106</v>
      </c>
      <c r="D28" s="9" t="n">
        <v>709610</v>
      </c>
      <c r="E28" s="9" t="n">
        <v>85298</v>
      </c>
      <c r="F28" s="9" t="n">
        <v>12671</v>
      </c>
      <c r="G28" s="9" t="n">
        <v>39093</v>
      </c>
      <c r="H28" s="9" t="n">
        <v>133822</v>
      </c>
      <c r="I28" s="9" t="n">
        <v>210551</v>
      </c>
      <c r="J28" s="9" t="n">
        <v>16119</v>
      </c>
      <c r="K28" s="9" t="n">
        <v>14015</v>
      </c>
      <c r="L28" s="9" t="n">
        <v>11194</v>
      </c>
      <c r="M28" s="9" t="n">
        <v>0</v>
      </c>
      <c r="N28" s="9" t="n">
        <v>0</v>
      </c>
      <c r="O28" s="9" t="n">
        <v>29648</v>
      </c>
      <c r="P28" s="9" t="n">
        <v>470</v>
      </c>
      <c r="Q28" s="9" t="n">
        <v>31809</v>
      </c>
      <c r="R28" s="9" t="n">
        <v>1294300</v>
      </c>
      <c r="S28" s="9" t="n">
        <v>2138197</v>
      </c>
      <c r="T28" s="11" t="n">
        <f aca="false">R28/S28</f>
        <v>0.6053230829526</v>
      </c>
      <c r="U28" s="9" t="n">
        <f aca="false">D28+E28+G28</f>
        <v>834001</v>
      </c>
      <c r="V28" s="9" t="n">
        <f aca="false">H28+J28+K28</f>
        <v>163956</v>
      </c>
      <c r="W28" s="9" t="n">
        <f aca="false">I28+F28+L28</f>
        <v>234416</v>
      </c>
      <c r="X28" s="11" t="n">
        <f aca="false">Q28/R28</f>
        <v>0.0245762188055319</v>
      </c>
    </row>
    <row r="29" customFormat="false" ht="15" hidden="false" customHeight="false" outlineLevel="0" collapsed="false">
      <c r="A29" s="14" t="s">
        <v>38</v>
      </c>
      <c r="B29" s="14" t="n">
        <v>2018</v>
      </c>
      <c r="C29" s="14" t="s">
        <v>107</v>
      </c>
      <c r="D29" s="9" t="n">
        <v>553909</v>
      </c>
      <c r="E29" s="9" t="n">
        <v>74192</v>
      </c>
      <c r="F29" s="9" t="n">
        <v>10012</v>
      </c>
      <c r="G29" s="9" t="n">
        <v>23705</v>
      </c>
      <c r="H29" s="9" t="n">
        <v>141839</v>
      </c>
      <c r="I29" s="9" t="n">
        <v>162423</v>
      </c>
      <c r="J29" s="9" t="n">
        <v>10943</v>
      </c>
      <c r="K29" s="9" t="n">
        <v>14491</v>
      </c>
      <c r="L29" s="9" t="n">
        <v>8624</v>
      </c>
      <c r="M29" s="9" t="n">
        <v>0</v>
      </c>
      <c r="N29" s="9" t="n">
        <v>0</v>
      </c>
      <c r="O29" s="9" t="n">
        <v>64658</v>
      </c>
      <c r="P29" s="9" t="n">
        <v>505</v>
      </c>
      <c r="Q29" s="9" t="n">
        <v>26366</v>
      </c>
      <c r="R29" s="9" t="n">
        <v>1091667</v>
      </c>
      <c r="S29" s="9" t="n">
        <v>2093949</v>
      </c>
      <c r="T29" s="11" t="n">
        <f aca="false">R29/S29</f>
        <v>0.521343643040017</v>
      </c>
      <c r="U29" s="9" t="n">
        <f aca="false">D29+E29+G29</f>
        <v>651806</v>
      </c>
      <c r="V29" s="9" t="n">
        <f aca="false">H29+J29+K29</f>
        <v>167273</v>
      </c>
      <c r="W29" s="9" t="n">
        <f aca="false">I29+F29+L29</f>
        <v>181059</v>
      </c>
      <c r="X29" s="11" t="n">
        <f aca="false">Q29/R29</f>
        <v>0.0241520536940294</v>
      </c>
    </row>
    <row r="30" customFormat="false" ht="15" hidden="false" customHeight="false" outlineLevel="0" collapsed="false">
      <c r="A30" s="14" t="s">
        <v>38</v>
      </c>
      <c r="B30" s="14" t="n">
        <v>2018</v>
      </c>
      <c r="C30" s="14" t="s">
        <v>108</v>
      </c>
      <c r="D30" s="9" t="n">
        <v>880444</v>
      </c>
      <c r="E30" s="9" t="n">
        <v>49379</v>
      </c>
      <c r="F30" s="9" t="n">
        <v>13894</v>
      </c>
      <c r="G30" s="9" t="n">
        <v>31887</v>
      </c>
      <c r="H30" s="9" t="n">
        <v>23990</v>
      </c>
      <c r="I30" s="9" t="n">
        <v>86620</v>
      </c>
      <c r="J30" s="9" t="n">
        <v>58320</v>
      </c>
      <c r="K30" s="9" t="n">
        <v>9032</v>
      </c>
      <c r="L30" s="9" t="n">
        <v>7024</v>
      </c>
      <c r="M30" s="9" t="n">
        <v>0</v>
      </c>
      <c r="N30" s="9" t="n">
        <v>0</v>
      </c>
      <c r="O30" s="9" t="n">
        <v>10127</v>
      </c>
      <c r="P30" s="9" t="n">
        <v>279</v>
      </c>
      <c r="Q30" s="9" t="n">
        <v>29849</v>
      </c>
      <c r="R30" s="9" t="n">
        <v>1200845</v>
      </c>
      <c r="S30" s="9" t="n">
        <v>1688647</v>
      </c>
      <c r="T30" s="11" t="n">
        <f aca="false">R30/S30</f>
        <v>0.711128495179869</v>
      </c>
      <c r="U30" s="9" t="n">
        <f aca="false">D30+E30+G30</f>
        <v>961710</v>
      </c>
      <c r="V30" s="9" t="n">
        <f aca="false">H30+J30+K30</f>
        <v>91342</v>
      </c>
      <c r="W30" s="9" t="n">
        <f aca="false">I30+F30+L30</f>
        <v>107538</v>
      </c>
      <c r="X30" s="11" t="n">
        <f aca="false">Q30/R30</f>
        <v>0.0248566634328327</v>
      </c>
    </row>
    <row r="31" customFormat="false" ht="15" hidden="false" customHeight="false" outlineLevel="0" collapsed="false">
      <c r="A31" s="14" t="s">
        <v>38</v>
      </c>
      <c r="B31" s="14" t="n">
        <v>2018</v>
      </c>
      <c r="C31" s="14" t="s">
        <v>109</v>
      </c>
      <c r="D31" s="9" t="n">
        <v>663755</v>
      </c>
      <c r="E31" s="9" t="n">
        <v>87078</v>
      </c>
      <c r="F31" s="9" t="n">
        <v>9432</v>
      </c>
      <c r="G31" s="9" t="n">
        <v>35377</v>
      </c>
      <c r="H31" s="9" t="n">
        <v>443997</v>
      </c>
      <c r="I31" s="9" t="n">
        <v>211322</v>
      </c>
      <c r="J31" s="9" t="n">
        <v>14600</v>
      </c>
      <c r="K31" s="9" t="n">
        <v>16604</v>
      </c>
      <c r="L31" s="9" t="n">
        <v>7632</v>
      </c>
      <c r="M31" s="9" t="n">
        <v>0</v>
      </c>
      <c r="N31" s="9" t="n">
        <v>0</v>
      </c>
      <c r="O31" s="9" t="n">
        <v>111389</v>
      </c>
      <c r="P31" s="9" t="n">
        <v>531</v>
      </c>
      <c r="Q31" s="9" t="n">
        <v>33933</v>
      </c>
      <c r="R31" s="9" t="n">
        <v>1635650</v>
      </c>
      <c r="S31" s="9" t="n">
        <v>2633030</v>
      </c>
      <c r="T31" s="11" t="n">
        <f aca="false">R31/S31</f>
        <v>0.621204467856424</v>
      </c>
      <c r="U31" s="9" t="n">
        <f aca="false">D31+E31+G31</f>
        <v>786210</v>
      </c>
      <c r="V31" s="9" t="n">
        <f aca="false">H31+J31+K31</f>
        <v>475201</v>
      </c>
      <c r="W31" s="9" t="n">
        <f aca="false">I31+F31+L31</f>
        <v>228386</v>
      </c>
      <c r="X31" s="11" t="n">
        <f aca="false">Q31/R31</f>
        <v>0.0207458808424785</v>
      </c>
    </row>
    <row r="32" customFormat="false" ht="15" hidden="false" customHeight="false" outlineLevel="0" collapsed="false">
      <c r="A32" s="14" t="s">
        <v>38</v>
      </c>
      <c r="B32" s="14" t="n">
        <v>2018</v>
      </c>
      <c r="C32" s="14" t="s">
        <v>110</v>
      </c>
      <c r="D32" s="9" t="n">
        <v>362702</v>
      </c>
      <c r="E32" s="9" t="n">
        <v>50306</v>
      </c>
      <c r="F32" s="9" t="n">
        <v>4279</v>
      </c>
      <c r="G32" s="9" t="n">
        <v>20119</v>
      </c>
      <c r="H32" s="9" t="n">
        <v>54425</v>
      </c>
      <c r="I32" s="9" t="n">
        <v>66890</v>
      </c>
      <c r="J32" s="9" t="n">
        <v>7425</v>
      </c>
      <c r="K32" s="9" t="n">
        <v>4879</v>
      </c>
      <c r="L32" s="9" t="n">
        <v>3575</v>
      </c>
      <c r="M32" s="9" t="n">
        <v>0</v>
      </c>
      <c r="N32" s="9" t="n">
        <v>0</v>
      </c>
      <c r="O32" s="9" t="n">
        <v>26154</v>
      </c>
      <c r="P32" s="9" t="n">
        <v>276</v>
      </c>
      <c r="Q32" s="9" t="n">
        <v>12392</v>
      </c>
      <c r="R32" s="9" t="n">
        <v>613422</v>
      </c>
      <c r="S32" s="9" t="n">
        <v>923272</v>
      </c>
      <c r="T32" s="11" t="n">
        <f aca="false">R32/S32</f>
        <v>0.664400090114289</v>
      </c>
      <c r="U32" s="9" t="n">
        <f aca="false">D32+E32+G32</f>
        <v>433127</v>
      </c>
      <c r="V32" s="9" t="n">
        <f aca="false">H32+J32+K32</f>
        <v>66729</v>
      </c>
      <c r="W32" s="9" t="n">
        <f aca="false">I32+F32+L32</f>
        <v>74744</v>
      </c>
      <c r="X32" s="11" t="n">
        <f aca="false">Q32/R32</f>
        <v>0.0202014274023429</v>
      </c>
    </row>
    <row r="33" customFormat="false" ht="15" hidden="false" customHeight="false" outlineLevel="0" collapsed="false">
      <c r="A33" s="14" t="s">
        <v>38</v>
      </c>
      <c r="B33" s="14" t="n">
        <v>2018</v>
      </c>
      <c r="C33" s="14" t="s">
        <v>111</v>
      </c>
      <c r="D33" s="9" t="n">
        <v>1858431</v>
      </c>
      <c r="E33" s="9" t="n">
        <v>132707</v>
      </c>
      <c r="F33" s="9" t="n">
        <v>48902</v>
      </c>
      <c r="G33" s="9" t="n">
        <v>68071</v>
      </c>
      <c r="H33" s="9" t="n">
        <v>874559</v>
      </c>
      <c r="I33" s="9" t="n">
        <v>400821</v>
      </c>
      <c r="J33" s="9" t="n">
        <v>125908</v>
      </c>
      <c r="K33" s="9" t="n">
        <v>50132</v>
      </c>
      <c r="L33" s="9" t="n">
        <v>21590</v>
      </c>
      <c r="M33" s="9" t="n">
        <v>0</v>
      </c>
      <c r="N33" s="9" t="n">
        <v>0</v>
      </c>
      <c r="O33" s="9" t="n">
        <v>133961</v>
      </c>
      <c r="P33" s="9" t="n">
        <v>1307</v>
      </c>
      <c r="Q33" s="9" t="n">
        <v>98061</v>
      </c>
      <c r="R33" s="9" t="n">
        <v>3814450</v>
      </c>
      <c r="S33" s="9" t="n">
        <v>5781779</v>
      </c>
      <c r="T33" s="11" t="n">
        <f aca="false">R33/S33</f>
        <v>0.659736389094083</v>
      </c>
      <c r="U33" s="9" t="n">
        <f aca="false">D33+E33+G33</f>
        <v>2059209</v>
      </c>
      <c r="V33" s="9" t="n">
        <f aca="false">H33+J33+K33</f>
        <v>1050599</v>
      </c>
      <c r="W33" s="9" t="n">
        <f aca="false">I33+F33+L33</f>
        <v>471313</v>
      </c>
      <c r="X33" s="11" t="n">
        <f aca="false">Q33/R33</f>
        <v>0.0257077691410295</v>
      </c>
    </row>
    <row r="34" customFormat="false" ht="15" hidden="false" customHeight="false" outlineLevel="0" collapsed="false">
      <c r="A34" s="14" t="s">
        <v>38</v>
      </c>
      <c r="B34" s="14" t="n">
        <v>2018</v>
      </c>
      <c r="C34" s="14" t="s">
        <v>112</v>
      </c>
      <c r="D34" s="9" t="n">
        <v>389913</v>
      </c>
      <c r="E34" s="9" t="n">
        <v>46861</v>
      </c>
      <c r="F34" s="9" t="n">
        <v>21306</v>
      </c>
      <c r="G34" s="9" t="n">
        <v>18442</v>
      </c>
      <c r="H34" s="9" t="n">
        <v>288027</v>
      </c>
      <c r="I34" s="9" t="n">
        <v>288119</v>
      </c>
      <c r="J34" s="9" t="n">
        <v>18539</v>
      </c>
      <c r="K34" s="9" t="n">
        <v>13578</v>
      </c>
      <c r="L34" s="9" t="n">
        <v>14630</v>
      </c>
      <c r="M34" s="9" t="n">
        <v>0</v>
      </c>
      <c r="N34" s="9" t="n">
        <v>0</v>
      </c>
      <c r="O34" s="9" t="n">
        <v>39495</v>
      </c>
      <c r="P34" s="9" t="n">
        <v>333</v>
      </c>
      <c r="Q34" s="9" t="n">
        <v>25509</v>
      </c>
      <c r="R34" s="9" t="n">
        <v>1164752</v>
      </c>
      <c r="S34" s="9" t="n">
        <v>1539640</v>
      </c>
      <c r="T34" s="11" t="n">
        <f aca="false">R34/S34</f>
        <v>0.756509313865579</v>
      </c>
      <c r="U34" s="9" t="n">
        <f aca="false">D34+E34+G34</f>
        <v>455216</v>
      </c>
      <c r="V34" s="9" t="n">
        <f aca="false">H34+J34+K34</f>
        <v>320144</v>
      </c>
      <c r="W34" s="9" t="n">
        <f aca="false">I34+F34+L34</f>
        <v>324055</v>
      </c>
      <c r="X34" s="11" t="n">
        <f aca="false">Q34/R34</f>
        <v>0.0219007994834952</v>
      </c>
    </row>
    <row r="35" customFormat="false" ht="15" hidden="false" customHeight="false" outlineLevel="0" collapsed="false">
      <c r="A35" s="14" t="s">
        <v>38</v>
      </c>
      <c r="B35" s="14" t="n">
        <v>2018</v>
      </c>
      <c r="C35" s="14" t="s">
        <v>113</v>
      </c>
      <c r="D35" s="9" t="n">
        <v>284998</v>
      </c>
      <c r="E35" s="9" t="n">
        <v>66325</v>
      </c>
      <c r="F35" s="9" t="n">
        <v>21155</v>
      </c>
      <c r="G35" s="9" t="n">
        <v>15048</v>
      </c>
      <c r="H35" s="9" t="n">
        <v>116596</v>
      </c>
      <c r="I35" s="9" t="n">
        <v>142951</v>
      </c>
      <c r="J35" s="9" t="n">
        <v>29737</v>
      </c>
      <c r="K35" s="9" t="n">
        <v>10511</v>
      </c>
      <c r="L35" s="9" t="n">
        <v>13566</v>
      </c>
      <c r="M35" s="9" t="n">
        <v>0</v>
      </c>
      <c r="N35" s="9" t="n">
        <v>0</v>
      </c>
      <c r="O35" s="9" t="n">
        <v>36879</v>
      </c>
      <c r="P35" s="9" t="n">
        <v>299</v>
      </c>
      <c r="Q35" s="9" t="n">
        <v>23574</v>
      </c>
      <c r="R35" s="9" t="n">
        <v>761639</v>
      </c>
      <c r="S35" s="9" t="n">
        <v>1167497</v>
      </c>
      <c r="T35" s="11" t="n">
        <f aca="false">R35/S35</f>
        <v>0.65236912814337</v>
      </c>
      <c r="U35" s="9" t="n">
        <f aca="false">D35+E35+G35</f>
        <v>366371</v>
      </c>
      <c r="V35" s="9" t="n">
        <f aca="false">H35+J35+K35</f>
        <v>156844</v>
      </c>
      <c r="W35" s="9" t="n">
        <f aca="false">I35+F35+L35</f>
        <v>177672</v>
      </c>
      <c r="X35" s="11" t="n">
        <f aca="false">Q35/R35</f>
        <v>0.0309516713298557</v>
      </c>
    </row>
    <row r="36" customFormat="false" ht="15" hidden="false" customHeight="false" outlineLevel="0" collapsed="false">
      <c r="A36" s="16" t="s">
        <v>38</v>
      </c>
      <c r="B36" s="16" t="n">
        <v>2018</v>
      </c>
      <c r="C36" s="16" t="s">
        <v>4</v>
      </c>
      <c r="D36" s="22" t="n">
        <f aca="false">SUM(D4:D35)</f>
        <v>25347677</v>
      </c>
      <c r="E36" s="22" t="n">
        <f aca="false">SUM(E4:E35)</f>
        <v>3329640</v>
      </c>
      <c r="F36" s="22" t="n">
        <f aca="false">SUM(F4:F35)</f>
        <v>1002341</v>
      </c>
      <c r="G36" s="22" t="n">
        <f aca="false">SUM(G4:G35)</f>
        <v>1436166</v>
      </c>
      <c r="H36" s="22" t="n">
        <f aca="false">SUM(H4:H35)</f>
        <v>10101153</v>
      </c>
      <c r="I36" s="22" t="n">
        <f aca="false">SUM(I4:I35)</f>
        <v>7765237</v>
      </c>
      <c r="J36" s="22" t="n">
        <f aca="false">SUM(J4:J35)</f>
        <v>1555275</v>
      </c>
      <c r="K36" s="22" t="n">
        <f aca="false">SUM(K4:K35)</f>
        <v>953692</v>
      </c>
      <c r="L36" s="22" t="n">
        <f aca="false">SUM(L4:L35)</f>
        <v>522275</v>
      </c>
      <c r="M36" s="22" t="n">
        <f aca="false">SUM(M4:M35)</f>
        <v>0</v>
      </c>
      <c r="N36" s="22" t="n">
        <f aca="false">SUM(N4:N35)</f>
        <v>0</v>
      </c>
      <c r="O36" s="22" t="n">
        <f aca="false">SUM(O4:O35)</f>
        <v>2994475</v>
      </c>
      <c r="P36" s="22" t="n">
        <f aca="false">SUM(P4:P35)</f>
        <v>31982</v>
      </c>
      <c r="Q36" s="22" t="n">
        <f aca="false">SUM(Q4:Q35)</f>
        <v>1571114</v>
      </c>
      <c r="R36" s="22" t="n">
        <f aca="false">SUM(R4:R35)</f>
        <v>56611027</v>
      </c>
      <c r="S36" s="22" t="n">
        <f aca="false">SUM(S4:S35)</f>
        <v>89129689</v>
      </c>
      <c r="T36" s="17" t="n">
        <f aca="false">R36/S36</f>
        <v>0.635153422334953</v>
      </c>
      <c r="U36" s="22" t="n">
        <f aca="false">SUM(U4:U35)</f>
        <v>30113483</v>
      </c>
      <c r="V36" s="22" t="n">
        <f aca="false">SUM(V4:V35)</f>
        <v>12610120</v>
      </c>
      <c r="W36" s="22" t="n">
        <f aca="false">SUM(W4:W35)</f>
        <v>9289853</v>
      </c>
      <c r="X36" s="17" t="n">
        <f aca="false">Q36/R36</f>
        <v>0.0277527909889358</v>
      </c>
    </row>
    <row r="37" customFormat="false" ht="15" hidden="false" customHeight="false" outlineLevel="0" collapsed="false">
      <c r="A37" s="14" t="s">
        <v>38</v>
      </c>
      <c r="B37" s="14" t="n">
        <v>2024</v>
      </c>
      <c r="C37" s="14" t="s">
        <v>82</v>
      </c>
      <c r="D37" s="9" t="n">
        <v>236709</v>
      </c>
      <c r="E37" s="9" t="n">
        <v>24348</v>
      </c>
      <c r="F37" s="9" t="n">
        <v>23649</v>
      </c>
      <c r="G37" s="9" t="n">
        <v>0</v>
      </c>
      <c r="H37" s="9" t="n">
        <v>245952</v>
      </c>
      <c r="I37" s="9" t="n">
        <v>45361</v>
      </c>
      <c r="J37" s="9" t="n">
        <v>14949</v>
      </c>
      <c r="K37" s="9" t="n">
        <v>59498</v>
      </c>
      <c r="L37" s="9" t="n">
        <v>0</v>
      </c>
      <c r="M37" s="9" t="n">
        <v>0</v>
      </c>
      <c r="N37" s="9" t="n">
        <v>0</v>
      </c>
      <c r="O37" s="9" t="n">
        <v>0</v>
      </c>
      <c r="P37" s="9" t="n">
        <v>1571</v>
      </c>
      <c r="Q37" s="9" t="n">
        <v>14205</v>
      </c>
      <c r="R37" s="9" t="n">
        <v>666242</v>
      </c>
      <c r="S37" s="9" t="n">
        <v>1100142</v>
      </c>
      <c r="T37" s="11" t="n">
        <f aca="false">R37/S37</f>
        <v>0.605596368468798</v>
      </c>
      <c r="U37" s="9" t="n">
        <f aca="false">D37+E37+F37</f>
        <v>284706</v>
      </c>
      <c r="V37" s="9" t="n">
        <f aca="false">H37+I37+J37</f>
        <v>306262</v>
      </c>
      <c r="W37" s="9" t="n">
        <f aca="false">K37</f>
        <v>59498</v>
      </c>
      <c r="X37" s="11" t="n">
        <f aca="false">Q37/R37</f>
        <v>0.0213210815289339</v>
      </c>
    </row>
    <row r="38" customFormat="false" ht="15" hidden="false" customHeight="false" outlineLevel="0" collapsed="false">
      <c r="A38" s="14" t="s">
        <v>38</v>
      </c>
      <c r="B38" s="14" t="n">
        <v>2024</v>
      </c>
      <c r="C38" s="14" t="s">
        <v>83</v>
      </c>
      <c r="D38" s="9" t="n">
        <v>850746</v>
      </c>
      <c r="E38" s="9" t="n">
        <v>95297</v>
      </c>
      <c r="F38" s="9" t="n">
        <v>93930</v>
      </c>
      <c r="G38" s="9" t="n">
        <v>0</v>
      </c>
      <c r="H38" s="9" t="n">
        <v>238821</v>
      </c>
      <c r="I38" s="9" t="n">
        <v>74830</v>
      </c>
      <c r="J38" s="9" t="n">
        <v>17006</v>
      </c>
      <c r="K38" s="9" t="n">
        <v>155262</v>
      </c>
      <c r="L38" s="9" t="n">
        <v>0</v>
      </c>
      <c r="M38" s="9" t="n">
        <v>0</v>
      </c>
      <c r="N38" s="9" t="n">
        <v>0</v>
      </c>
      <c r="O38" s="9" t="n">
        <v>0</v>
      </c>
      <c r="P38" s="9" t="n">
        <v>2929</v>
      </c>
      <c r="Q38" s="9" t="n">
        <v>31512</v>
      </c>
      <c r="R38" s="9" t="n">
        <v>1560333</v>
      </c>
      <c r="S38" s="9" t="n">
        <v>3202396</v>
      </c>
      <c r="T38" s="11" t="n">
        <f aca="false">R38/S38</f>
        <v>0.487239242117465</v>
      </c>
      <c r="U38" s="9" t="n">
        <f aca="false">D38+E38+F38</f>
        <v>1039973</v>
      </c>
      <c r="V38" s="9" t="n">
        <f aca="false">H38+I38+J38</f>
        <v>330657</v>
      </c>
      <c r="W38" s="9" t="n">
        <f aca="false">K38</f>
        <v>155262</v>
      </c>
      <c r="X38" s="11" t="n">
        <f aca="false">Q38/R38</f>
        <v>0.0201956889971564</v>
      </c>
    </row>
    <row r="39" customFormat="false" ht="15" hidden="false" customHeight="false" outlineLevel="0" collapsed="false">
      <c r="A39" s="14" t="s">
        <v>38</v>
      </c>
      <c r="B39" s="14" t="n">
        <v>2024</v>
      </c>
      <c r="C39" s="14" t="s">
        <v>84</v>
      </c>
      <c r="D39" s="9" t="n">
        <v>150891</v>
      </c>
      <c r="E39" s="9" t="n">
        <v>29794</v>
      </c>
      <c r="F39" s="9" t="n">
        <v>20441</v>
      </c>
      <c r="G39" s="9" t="n">
        <v>0</v>
      </c>
      <c r="H39" s="9" t="n">
        <v>81948</v>
      </c>
      <c r="I39" s="9" t="n">
        <v>14656</v>
      </c>
      <c r="J39" s="9" t="n">
        <v>4532</v>
      </c>
      <c r="K39" s="9" t="n">
        <v>29825</v>
      </c>
      <c r="L39" s="9" t="n">
        <v>0</v>
      </c>
      <c r="M39" s="9" t="n">
        <v>0</v>
      </c>
      <c r="N39" s="9" t="n">
        <v>0</v>
      </c>
      <c r="O39" s="9" t="n">
        <v>0</v>
      </c>
      <c r="P39" s="9" t="n">
        <v>463</v>
      </c>
      <c r="Q39" s="9" t="n">
        <v>7539</v>
      </c>
      <c r="R39" s="9" t="n">
        <v>340089</v>
      </c>
      <c r="S39" s="9" t="n">
        <v>614239</v>
      </c>
      <c r="T39" s="11" t="n">
        <f aca="false">R39/S39</f>
        <v>0.553675360893724</v>
      </c>
      <c r="U39" s="9" t="n">
        <f aca="false">D39+E39+F39</f>
        <v>201126</v>
      </c>
      <c r="V39" s="9" t="n">
        <f aca="false">H39+I39+J39</f>
        <v>101136</v>
      </c>
      <c r="W39" s="9" t="n">
        <f aca="false">K39</f>
        <v>29825</v>
      </c>
      <c r="X39" s="11" t="n">
        <f aca="false">Q39/R39</f>
        <v>0.0221677266833094</v>
      </c>
    </row>
    <row r="40" customFormat="false" ht="15" hidden="false" customHeight="false" outlineLevel="0" collapsed="false">
      <c r="A40" s="14" t="s">
        <v>38</v>
      </c>
      <c r="B40" s="14" t="n">
        <v>2024</v>
      </c>
      <c r="C40" s="14" t="s">
        <v>85</v>
      </c>
      <c r="D40" s="9" t="n">
        <v>225489</v>
      </c>
      <c r="E40" s="9" t="n">
        <v>27789</v>
      </c>
      <c r="F40" s="9" t="n">
        <v>22037</v>
      </c>
      <c r="G40" s="9" t="n">
        <v>0</v>
      </c>
      <c r="H40" s="9" t="n">
        <v>25395</v>
      </c>
      <c r="I40" s="9" t="n">
        <v>41235</v>
      </c>
      <c r="J40" s="9" t="n">
        <v>2916</v>
      </c>
      <c r="K40" s="9" t="n">
        <v>94280</v>
      </c>
      <c r="L40" s="9" t="n">
        <v>0</v>
      </c>
      <c r="M40" s="9" t="n">
        <v>0</v>
      </c>
      <c r="N40" s="9" t="n">
        <v>0</v>
      </c>
      <c r="O40" s="9" t="n">
        <v>0</v>
      </c>
      <c r="P40" s="9" t="n">
        <v>432</v>
      </c>
      <c r="Q40" s="9" t="n">
        <v>9570</v>
      </c>
      <c r="R40" s="9" t="n">
        <v>449143</v>
      </c>
      <c r="S40" s="9" t="n">
        <v>695148</v>
      </c>
      <c r="T40" s="11" t="n">
        <f aca="false">R40/S40</f>
        <v>0.646111331687641</v>
      </c>
      <c r="U40" s="9" t="n">
        <f aca="false">D40+E40+F40</f>
        <v>275315</v>
      </c>
      <c r="V40" s="9" t="n">
        <f aca="false">H40+I40+J40</f>
        <v>69546</v>
      </c>
      <c r="W40" s="9" t="n">
        <f aca="false">K40</f>
        <v>94280</v>
      </c>
      <c r="X40" s="11" t="n">
        <f aca="false">Q40/R40</f>
        <v>0.0213072451312834</v>
      </c>
    </row>
    <row r="41" customFormat="false" ht="15" hidden="false" customHeight="false" outlineLevel="0" collapsed="false">
      <c r="A41" s="14" t="s">
        <v>38</v>
      </c>
      <c r="B41" s="14" t="n">
        <v>2024</v>
      </c>
      <c r="C41" s="14" t="s">
        <v>86</v>
      </c>
      <c r="D41" s="9" t="n">
        <v>695320</v>
      </c>
      <c r="E41" s="9" t="n">
        <v>79513</v>
      </c>
      <c r="F41" s="9" t="n">
        <v>78604</v>
      </c>
      <c r="G41" s="9" t="n">
        <v>0</v>
      </c>
      <c r="H41" s="9" t="n">
        <v>100352</v>
      </c>
      <c r="I41" s="9" t="n">
        <v>492975</v>
      </c>
      <c r="J41" s="9" t="n">
        <v>23881</v>
      </c>
      <c r="K41" s="9" t="n">
        <v>85857</v>
      </c>
      <c r="L41" s="9" t="n">
        <v>0</v>
      </c>
      <c r="M41" s="9" t="n">
        <v>0</v>
      </c>
      <c r="N41" s="9" t="n">
        <v>0</v>
      </c>
      <c r="O41" s="9" t="n">
        <v>0</v>
      </c>
      <c r="P41" s="9" t="n">
        <v>1203</v>
      </c>
      <c r="Q41" s="9" t="n">
        <v>31004</v>
      </c>
      <c r="R41" s="9" t="n">
        <v>1588709</v>
      </c>
      <c r="S41" s="9" t="n">
        <v>2414990</v>
      </c>
      <c r="T41" s="11" t="n">
        <f aca="false">R41/S41</f>
        <v>0.65785324162833</v>
      </c>
      <c r="U41" s="9" t="n">
        <f aca="false">D41+E41+F41</f>
        <v>853437</v>
      </c>
      <c r="V41" s="9" t="n">
        <f aca="false">H41+I41+J41</f>
        <v>617208</v>
      </c>
      <c r="W41" s="9" t="n">
        <f aca="false">K41</f>
        <v>85857</v>
      </c>
      <c r="X41" s="11" t="n">
        <f aca="false">Q41/R41</f>
        <v>0.0195152164430365</v>
      </c>
    </row>
    <row r="42" customFormat="false" ht="15" hidden="false" customHeight="false" outlineLevel="0" collapsed="false">
      <c r="A42" s="14" t="s">
        <v>38</v>
      </c>
      <c r="B42" s="14" t="n">
        <v>2024</v>
      </c>
      <c r="C42" s="14" t="s">
        <v>87</v>
      </c>
      <c r="D42" s="9" t="n">
        <v>148615</v>
      </c>
      <c r="E42" s="9" t="n">
        <v>16315</v>
      </c>
      <c r="F42" s="9" t="n">
        <v>23163</v>
      </c>
      <c r="G42" s="9" t="n">
        <v>0</v>
      </c>
      <c r="H42" s="9" t="n">
        <v>51074</v>
      </c>
      <c r="I42" s="9" t="n">
        <v>47281</v>
      </c>
      <c r="J42" s="9" t="n">
        <v>5225</v>
      </c>
      <c r="K42" s="9" t="n">
        <v>46092</v>
      </c>
      <c r="L42" s="9" t="n">
        <v>0</v>
      </c>
      <c r="M42" s="9" t="n">
        <v>0</v>
      </c>
      <c r="N42" s="9" t="n">
        <v>0</v>
      </c>
      <c r="O42" s="9" t="n">
        <v>0</v>
      </c>
      <c r="P42" s="9" t="n">
        <v>698</v>
      </c>
      <c r="Q42" s="9" t="n">
        <v>7247</v>
      </c>
      <c r="R42" s="9" t="n">
        <v>345710</v>
      </c>
      <c r="S42" s="9" t="n">
        <v>585817</v>
      </c>
      <c r="T42" s="11" t="n">
        <f aca="false">R42/S42</f>
        <v>0.590133096171671</v>
      </c>
      <c r="U42" s="9" t="n">
        <f aca="false">D42+E42+F42</f>
        <v>188093</v>
      </c>
      <c r="V42" s="9" t="n">
        <f aca="false">H42+I42+J42</f>
        <v>103580</v>
      </c>
      <c r="W42" s="9" t="n">
        <f aca="false">K42</f>
        <v>46092</v>
      </c>
      <c r="X42" s="11" t="n">
        <f aca="false">Q42/R42</f>
        <v>0.0209626565618582</v>
      </c>
    </row>
    <row r="43" customFormat="false" ht="15" hidden="false" customHeight="false" outlineLevel="0" collapsed="false">
      <c r="A43" s="14" t="s">
        <v>38</v>
      </c>
      <c r="B43" s="14" t="n">
        <v>2024</v>
      </c>
      <c r="C43" s="14" t="s">
        <v>88</v>
      </c>
      <c r="D43" s="9" t="n">
        <v>1045574</v>
      </c>
      <c r="E43" s="9" t="n">
        <v>270467</v>
      </c>
      <c r="F43" s="9" t="n">
        <v>453403</v>
      </c>
      <c r="G43" s="9" t="n">
        <v>0</v>
      </c>
      <c r="H43" s="9" t="n">
        <v>147256</v>
      </c>
      <c r="I43" s="9" t="n">
        <v>228923</v>
      </c>
      <c r="J43" s="9" t="n">
        <v>36667</v>
      </c>
      <c r="K43" s="9" t="n">
        <v>183101</v>
      </c>
      <c r="L43" s="9" t="n">
        <v>0</v>
      </c>
      <c r="M43" s="9" t="n">
        <v>0</v>
      </c>
      <c r="N43" s="9" t="n">
        <v>0</v>
      </c>
      <c r="O43" s="9" t="n">
        <v>0</v>
      </c>
      <c r="P43" s="9" t="n">
        <v>2269</v>
      </c>
      <c r="Q43" s="9" t="n">
        <v>105298</v>
      </c>
      <c r="R43" s="9" t="n">
        <v>2472958</v>
      </c>
      <c r="S43" s="9" t="n">
        <v>3948293</v>
      </c>
      <c r="T43" s="11" t="n">
        <f aca="false">R43/S43</f>
        <v>0.626335988742477</v>
      </c>
      <c r="U43" s="9" t="n">
        <f aca="false">D43+E43+F43</f>
        <v>1769444</v>
      </c>
      <c r="V43" s="9" t="n">
        <f aca="false">H43+I43+J43</f>
        <v>412846</v>
      </c>
      <c r="W43" s="9" t="n">
        <f aca="false">K43</f>
        <v>183101</v>
      </c>
      <c r="X43" s="11" t="n">
        <f aca="false">Q43/R43</f>
        <v>0.0425797769311084</v>
      </c>
    </row>
    <row r="44" customFormat="false" ht="15" hidden="false" customHeight="false" outlineLevel="0" collapsed="false">
      <c r="A44" s="14" t="s">
        <v>38</v>
      </c>
      <c r="B44" s="14" t="n">
        <v>2024</v>
      </c>
      <c r="C44" s="14" t="s">
        <v>89</v>
      </c>
      <c r="D44" s="9" t="n">
        <v>719165</v>
      </c>
      <c r="E44" s="9" t="n">
        <v>86255</v>
      </c>
      <c r="F44" s="9" t="n">
        <v>80449</v>
      </c>
      <c r="G44" s="9" t="n">
        <v>0</v>
      </c>
      <c r="H44" s="9" t="n">
        <v>388866</v>
      </c>
      <c r="I44" s="9" t="n">
        <v>146587</v>
      </c>
      <c r="J44" s="9" t="n">
        <v>24237</v>
      </c>
      <c r="K44" s="9" t="n">
        <v>157077</v>
      </c>
      <c r="L44" s="9" t="n">
        <v>0</v>
      </c>
      <c r="M44" s="9" t="n">
        <v>0</v>
      </c>
      <c r="N44" s="9" t="n">
        <v>0</v>
      </c>
      <c r="O44" s="9" t="n">
        <v>0</v>
      </c>
      <c r="P44" s="9" t="n">
        <v>2280</v>
      </c>
      <c r="Q44" s="9" t="n">
        <v>39737</v>
      </c>
      <c r="R44" s="9" t="n">
        <v>1644653</v>
      </c>
      <c r="S44" s="9" t="n">
        <v>3090113</v>
      </c>
      <c r="T44" s="11" t="n">
        <f aca="false">R44/S44</f>
        <v>0.532230698359575</v>
      </c>
      <c r="U44" s="9" t="n">
        <f aca="false">D44+E44+F44</f>
        <v>885869</v>
      </c>
      <c r="V44" s="9" t="n">
        <f aca="false">H44+I44+J44</f>
        <v>559690</v>
      </c>
      <c r="W44" s="9" t="n">
        <f aca="false">K44</f>
        <v>157077</v>
      </c>
      <c r="X44" s="11" t="n">
        <f aca="false">Q44/R44</f>
        <v>0.0241613276478382</v>
      </c>
    </row>
    <row r="45" customFormat="false" ht="15" hidden="false" customHeight="false" outlineLevel="0" collapsed="false">
      <c r="A45" s="14" t="s">
        <v>38</v>
      </c>
      <c r="B45" s="14" t="n">
        <v>2024</v>
      </c>
      <c r="C45" s="14" t="s">
        <v>90</v>
      </c>
      <c r="D45" s="9" t="n">
        <v>2510165</v>
      </c>
      <c r="E45" s="9" t="n">
        <v>287377</v>
      </c>
      <c r="F45" s="9" t="n">
        <v>297871</v>
      </c>
      <c r="G45" s="9" t="n">
        <v>0</v>
      </c>
      <c r="H45" s="9" t="n">
        <v>1391290</v>
      </c>
      <c r="I45" s="9" t="n">
        <v>416700</v>
      </c>
      <c r="J45" s="9" t="n">
        <v>129162</v>
      </c>
      <c r="K45" s="9" t="n">
        <v>467960</v>
      </c>
      <c r="L45" s="9" t="n">
        <v>0</v>
      </c>
      <c r="M45" s="9" t="n">
        <v>0</v>
      </c>
      <c r="N45" s="9" t="n">
        <v>0</v>
      </c>
      <c r="O45" s="9" t="n">
        <v>0</v>
      </c>
      <c r="P45" s="9" t="n">
        <v>9723</v>
      </c>
      <c r="Q45" s="9" t="n">
        <v>97303</v>
      </c>
      <c r="R45" s="9" t="n">
        <v>5607551</v>
      </c>
      <c r="S45" s="9" t="n">
        <v>7971324</v>
      </c>
      <c r="T45" s="11" t="n">
        <f aca="false">R45/S45</f>
        <v>0.703465446894393</v>
      </c>
      <c r="U45" s="9" t="n">
        <f aca="false">D45+E45+F45</f>
        <v>3095413</v>
      </c>
      <c r="V45" s="9" t="n">
        <f aca="false">H45+I45+J45</f>
        <v>1937152</v>
      </c>
      <c r="W45" s="9" t="n">
        <f aca="false">K45</f>
        <v>467960</v>
      </c>
      <c r="X45" s="11" t="n">
        <f aca="false">Q45/R45</f>
        <v>0.0173521382150604</v>
      </c>
    </row>
    <row r="46" customFormat="false" ht="15" hidden="false" customHeight="false" outlineLevel="0" collapsed="false">
      <c r="A46" s="14" t="s">
        <v>38</v>
      </c>
      <c r="B46" s="14" t="n">
        <v>2024</v>
      </c>
      <c r="C46" s="14" t="s">
        <v>91</v>
      </c>
      <c r="D46" s="9" t="n">
        <v>360420</v>
      </c>
      <c r="E46" s="9" t="n">
        <v>53410</v>
      </c>
      <c r="F46" s="9" t="n">
        <v>41407</v>
      </c>
      <c r="G46" s="9" t="n">
        <v>0</v>
      </c>
      <c r="H46" s="9" t="n">
        <v>98513</v>
      </c>
      <c r="I46" s="9" t="n">
        <v>138722</v>
      </c>
      <c r="J46" s="9" t="n">
        <v>13048</v>
      </c>
      <c r="K46" s="9" t="n">
        <v>56129</v>
      </c>
      <c r="L46" s="9" t="n">
        <v>0</v>
      </c>
      <c r="M46" s="9" t="n">
        <v>0</v>
      </c>
      <c r="N46" s="9" t="n">
        <v>0</v>
      </c>
      <c r="O46" s="9" t="n">
        <v>0</v>
      </c>
      <c r="P46" s="9" t="n">
        <v>698</v>
      </c>
      <c r="Q46" s="9" t="n">
        <v>16563</v>
      </c>
      <c r="R46" s="9" t="n">
        <v>778910</v>
      </c>
      <c r="S46" s="9" t="n">
        <v>1402239</v>
      </c>
      <c r="T46" s="11" t="n">
        <f aca="false">R46/S46</f>
        <v>0.555475921009186</v>
      </c>
      <c r="U46" s="9" t="n">
        <f aca="false">D46+E46+F46</f>
        <v>455237</v>
      </c>
      <c r="V46" s="9" t="n">
        <f aca="false">H46+I46+J46</f>
        <v>250283</v>
      </c>
      <c r="W46" s="9" t="n">
        <f aca="false">K46</f>
        <v>56129</v>
      </c>
      <c r="X46" s="11" t="n">
        <f aca="false">Q46/R46</f>
        <v>0.0212643309239835</v>
      </c>
    </row>
    <row r="47" customFormat="false" ht="15" hidden="false" customHeight="false" outlineLevel="0" collapsed="false">
      <c r="A47" s="14" t="s">
        <v>38</v>
      </c>
      <c r="B47" s="14" t="n">
        <v>2024</v>
      </c>
      <c r="C47" s="14" t="s">
        <v>92</v>
      </c>
      <c r="D47" s="9" t="n">
        <v>1072598</v>
      </c>
      <c r="E47" s="9" t="n">
        <v>98049</v>
      </c>
      <c r="F47" s="9" t="n">
        <v>132059</v>
      </c>
      <c r="G47" s="9" t="n">
        <v>0</v>
      </c>
      <c r="H47" s="9" t="n">
        <v>918242</v>
      </c>
      <c r="I47" s="9" t="n">
        <v>154628</v>
      </c>
      <c r="J47" s="9" t="n">
        <v>30456</v>
      </c>
      <c r="K47" s="9" t="n">
        <v>291379</v>
      </c>
      <c r="L47" s="9" t="n">
        <v>0</v>
      </c>
      <c r="M47" s="9" t="n">
        <v>0</v>
      </c>
      <c r="N47" s="9" t="n">
        <v>0</v>
      </c>
      <c r="O47" s="9" t="n">
        <v>0</v>
      </c>
      <c r="P47" s="9" t="n">
        <v>4613</v>
      </c>
      <c r="Q47" s="9" t="n">
        <v>57068</v>
      </c>
      <c r="R47" s="9" t="n">
        <v>2759092</v>
      </c>
      <c r="S47" s="9" t="n">
        <v>4843711</v>
      </c>
      <c r="T47" s="11" t="n">
        <f aca="false">R47/S47</f>
        <v>0.569623579936953</v>
      </c>
      <c r="U47" s="9" t="n">
        <f aca="false">D47+E47+F47</f>
        <v>1302706</v>
      </c>
      <c r="V47" s="9" t="n">
        <f aca="false">H47+I47+J47</f>
        <v>1103326</v>
      </c>
      <c r="W47" s="9" t="n">
        <f aca="false">K47</f>
        <v>291379</v>
      </c>
      <c r="X47" s="11" t="n">
        <f aca="false">Q47/R47</f>
        <v>0.0206836162041715</v>
      </c>
    </row>
    <row r="48" customFormat="false" ht="15" hidden="false" customHeight="false" outlineLevel="0" collapsed="false">
      <c r="A48" s="14" t="s">
        <v>38</v>
      </c>
      <c r="B48" s="14" t="n">
        <v>2024</v>
      </c>
      <c r="C48" s="14" t="s">
        <v>93</v>
      </c>
      <c r="D48" s="9" t="n">
        <v>818954</v>
      </c>
      <c r="E48" s="9" t="n">
        <v>134545</v>
      </c>
      <c r="F48" s="9" t="n">
        <v>157345</v>
      </c>
      <c r="G48" s="9" t="n">
        <v>0</v>
      </c>
      <c r="H48" s="9" t="n">
        <v>63063</v>
      </c>
      <c r="I48" s="9" t="n">
        <v>158774</v>
      </c>
      <c r="J48" s="9" t="n">
        <v>69293</v>
      </c>
      <c r="K48" s="9" t="n">
        <v>98827</v>
      </c>
      <c r="L48" s="9" t="n">
        <v>0</v>
      </c>
      <c r="M48" s="9" t="n">
        <v>0</v>
      </c>
      <c r="N48" s="9" t="n">
        <v>0</v>
      </c>
      <c r="O48" s="9" t="n">
        <v>0</v>
      </c>
      <c r="P48" s="9" t="n">
        <v>1430</v>
      </c>
      <c r="Q48" s="9" t="n">
        <v>47869</v>
      </c>
      <c r="R48" s="9" t="n">
        <v>1550100</v>
      </c>
      <c r="S48" s="9" t="n">
        <v>2651803</v>
      </c>
      <c r="T48" s="11" t="n">
        <f aca="false">R48/S48</f>
        <v>0.584545684577625</v>
      </c>
      <c r="U48" s="9" t="n">
        <f aca="false">D48+E48+F48</f>
        <v>1110844</v>
      </c>
      <c r="V48" s="9" t="n">
        <f aca="false">H48+I48+J48</f>
        <v>291130</v>
      </c>
      <c r="W48" s="9" t="n">
        <f aca="false">K48</f>
        <v>98827</v>
      </c>
      <c r="X48" s="11" t="n">
        <f aca="false">Q48/R48</f>
        <v>0.0308812334688085</v>
      </c>
    </row>
    <row r="49" customFormat="false" ht="15" hidden="false" customHeight="false" outlineLevel="0" collapsed="false">
      <c r="A49" s="14" t="s">
        <v>38</v>
      </c>
      <c r="B49" s="14" t="n">
        <v>2024</v>
      </c>
      <c r="C49" s="14" t="s">
        <v>94</v>
      </c>
      <c r="D49" s="9" t="n">
        <v>787581</v>
      </c>
      <c r="E49" s="9" t="n">
        <v>152038</v>
      </c>
      <c r="F49" s="9" t="n">
        <v>104254</v>
      </c>
      <c r="G49" s="9" t="n">
        <v>0</v>
      </c>
      <c r="H49" s="9" t="n">
        <v>127892</v>
      </c>
      <c r="I49" s="9" t="n">
        <v>158390</v>
      </c>
      <c r="J49" s="9" t="n">
        <v>20774</v>
      </c>
      <c r="K49" s="9" t="n">
        <v>159899</v>
      </c>
      <c r="L49" s="9" t="n">
        <v>0</v>
      </c>
      <c r="M49" s="9" t="n">
        <v>0</v>
      </c>
      <c r="N49" s="9" t="n">
        <v>0</v>
      </c>
      <c r="O49" s="9" t="n">
        <v>0</v>
      </c>
      <c r="P49" s="9" t="n">
        <v>1586</v>
      </c>
      <c r="Q49" s="9" t="n">
        <v>35547</v>
      </c>
      <c r="R49" s="9" t="n">
        <v>1547961</v>
      </c>
      <c r="S49" s="9" t="n">
        <v>2391872</v>
      </c>
      <c r="T49" s="11" t="n">
        <f aca="false">R49/S49</f>
        <v>0.647175517753458</v>
      </c>
      <c r="U49" s="9" t="n">
        <f aca="false">D49+E49+F49</f>
        <v>1043873</v>
      </c>
      <c r="V49" s="9" t="n">
        <f aca="false">H49+I49+J49</f>
        <v>307056</v>
      </c>
      <c r="W49" s="9" t="n">
        <f aca="false">K49</f>
        <v>159899</v>
      </c>
      <c r="X49" s="11" t="n">
        <f aca="false">Q49/R49</f>
        <v>0.0229637568388351</v>
      </c>
    </row>
    <row r="50" customFormat="false" ht="15" hidden="false" customHeight="false" outlineLevel="0" collapsed="false">
      <c r="A50" s="14" t="s">
        <v>38</v>
      </c>
      <c r="B50" s="14" t="n">
        <v>2024</v>
      </c>
      <c r="C50" s="14" t="s">
        <v>95</v>
      </c>
      <c r="D50" s="9" t="n">
        <v>1367143</v>
      </c>
      <c r="E50" s="9" t="n">
        <v>151914</v>
      </c>
      <c r="F50" s="9" t="n">
        <v>201864</v>
      </c>
      <c r="G50" s="9" t="n">
        <v>0</v>
      </c>
      <c r="H50" s="9" t="n">
        <v>919468</v>
      </c>
      <c r="I50" s="9" t="n">
        <v>406040</v>
      </c>
      <c r="J50" s="9" t="n">
        <v>59317</v>
      </c>
      <c r="K50" s="9" t="n">
        <v>670462</v>
      </c>
      <c r="L50" s="9" t="n">
        <v>0</v>
      </c>
      <c r="M50" s="9" t="n">
        <v>0</v>
      </c>
      <c r="N50" s="9" t="n">
        <v>0</v>
      </c>
      <c r="O50" s="9" t="n">
        <v>0</v>
      </c>
      <c r="P50" s="9" t="n">
        <v>8652</v>
      </c>
      <c r="Q50" s="9" t="n">
        <v>87479</v>
      </c>
      <c r="R50" s="9" t="n">
        <v>3872339</v>
      </c>
      <c r="S50" s="9" t="n">
        <v>6643371</v>
      </c>
      <c r="T50" s="11" t="n">
        <f aca="false">R50/S50</f>
        <v>0.582887663506976</v>
      </c>
      <c r="U50" s="9" t="n">
        <f aca="false">D50+E50+F50</f>
        <v>1720921</v>
      </c>
      <c r="V50" s="9" t="n">
        <f aca="false">H50+I50+J50</f>
        <v>1384825</v>
      </c>
      <c r="W50" s="9" t="n">
        <f aca="false">K50</f>
        <v>670462</v>
      </c>
      <c r="X50" s="11" t="n">
        <f aca="false">Q50/R50</f>
        <v>0.0225907390856018</v>
      </c>
    </row>
    <row r="51" customFormat="false" ht="15" hidden="false" customHeight="false" outlineLevel="0" collapsed="false">
      <c r="A51" s="14" t="s">
        <v>38</v>
      </c>
      <c r="B51" s="14" t="n">
        <v>2024</v>
      </c>
      <c r="C51" s="14" t="s">
        <v>96</v>
      </c>
      <c r="D51" s="9" t="n">
        <v>4139744</v>
      </c>
      <c r="E51" s="9" t="n">
        <v>460627</v>
      </c>
      <c r="F51" s="9" t="n">
        <v>524669</v>
      </c>
      <c r="G51" s="9" t="n">
        <v>0</v>
      </c>
      <c r="H51" s="9" t="n">
        <v>986715</v>
      </c>
      <c r="I51" s="9" t="n">
        <v>1139016</v>
      </c>
      <c r="J51" s="9" t="n">
        <v>115536</v>
      </c>
      <c r="K51" s="9" t="n">
        <v>905529</v>
      </c>
      <c r="L51" s="9" t="n">
        <v>0</v>
      </c>
      <c r="M51" s="9" t="n">
        <v>0</v>
      </c>
      <c r="N51" s="9" t="n">
        <v>0</v>
      </c>
      <c r="O51" s="9" t="n">
        <v>0</v>
      </c>
      <c r="P51" s="9" t="n">
        <v>10882</v>
      </c>
      <c r="Q51" s="9" t="n">
        <v>174459</v>
      </c>
      <c r="R51" s="9" t="n">
        <v>8457177</v>
      </c>
      <c r="S51" s="9" t="n">
        <v>13047896</v>
      </c>
      <c r="T51" s="11" t="n">
        <f aca="false">R51/S51</f>
        <v>0.648164041160353</v>
      </c>
      <c r="U51" s="9" t="n">
        <f aca="false">D51+E51+F51</f>
        <v>5125040</v>
      </c>
      <c r="V51" s="9" t="n">
        <f aca="false">H51+I51+J51</f>
        <v>2241267</v>
      </c>
      <c r="W51" s="9" t="n">
        <f aca="false">K51</f>
        <v>905529</v>
      </c>
      <c r="X51" s="11" t="n">
        <f aca="false">Q51/R51</f>
        <v>0.020628514692314</v>
      </c>
    </row>
    <row r="52" customFormat="false" ht="15" hidden="false" customHeight="false" outlineLevel="0" collapsed="false">
      <c r="A52" s="14" t="s">
        <v>38</v>
      </c>
      <c r="B52" s="14" t="n">
        <v>2024</v>
      </c>
      <c r="C52" s="14" t="s">
        <v>97</v>
      </c>
      <c r="D52" s="9" t="n">
        <v>784411</v>
      </c>
      <c r="E52" s="9" t="n">
        <v>195850</v>
      </c>
      <c r="F52" s="9" t="n">
        <v>160369</v>
      </c>
      <c r="G52" s="9" t="n">
        <v>0</v>
      </c>
      <c r="H52" s="9" t="n">
        <v>307753</v>
      </c>
      <c r="I52" s="9" t="n">
        <v>197317</v>
      </c>
      <c r="J52" s="9" t="n">
        <v>102231</v>
      </c>
      <c r="K52" s="9" t="n">
        <v>250391</v>
      </c>
      <c r="L52" s="9" t="n">
        <v>0</v>
      </c>
      <c r="M52" s="9" t="n">
        <v>0</v>
      </c>
      <c r="N52" s="9" t="n">
        <v>0</v>
      </c>
      <c r="O52" s="9" t="n">
        <v>0</v>
      </c>
      <c r="P52" s="9" t="n">
        <v>3808</v>
      </c>
      <c r="Q52" s="9" t="n">
        <v>69044</v>
      </c>
      <c r="R52" s="9" t="n">
        <v>2071174</v>
      </c>
      <c r="S52" s="9" t="n">
        <v>3709890</v>
      </c>
      <c r="T52" s="11" t="n">
        <f aca="false">R52/S52</f>
        <v>0.558284477437336</v>
      </c>
      <c r="U52" s="9" t="n">
        <f aca="false">D52+E52+F52</f>
        <v>1140630</v>
      </c>
      <c r="V52" s="9" t="n">
        <f aca="false">H52+I52+J52</f>
        <v>607301</v>
      </c>
      <c r="W52" s="9" t="n">
        <f aca="false">K52</f>
        <v>250391</v>
      </c>
      <c r="X52" s="11" t="n">
        <f aca="false">Q52/R52</f>
        <v>0.0333356830473924</v>
      </c>
    </row>
    <row r="53" customFormat="false" ht="15" hidden="false" customHeight="false" outlineLevel="0" collapsed="false">
      <c r="A53" s="14" t="s">
        <v>38</v>
      </c>
      <c r="B53" s="14" t="n">
        <v>2024</v>
      </c>
      <c r="C53" s="14" t="s">
        <v>98</v>
      </c>
      <c r="D53" s="9" t="n">
        <v>459030</v>
      </c>
      <c r="E53" s="9" t="n">
        <v>83044</v>
      </c>
      <c r="F53" s="9" t="n">
        <v>89452</v>
      </c>
      <c r="G53" s="9" t="n">
        <v>0</v>
      </c>
      <c r="H53" s="9" t="n">
        <v>137204</v>
      </c>
      <c r="I53" s="9" t="n">
        <v>57360</v>
      </c>
      <c r="J53" s="9" t="n">
        <v>16605</v>
      </c>
      <c r="K53" s="9" t="n">
        <v>126294</v>
      </c>
      <c r="L53" s="9" t="n">
        <v>0</v>
      </c>
      <c r="M53" s="9" t="n">
        <v>0</v>
      </c>
      <c r="N53" s="9" t="n">
        <v>0</v>
      </c>
      <c r="O53" s="9" t="n">
        <v>0</v>
      </c>
      <c r="P53" s="9" t="n">
        <v>1075</v>
      </c>
      <c r="Q53" s="9" t="n">
        <v>19713</v>
      </c>
      <c r="R53" s="9" t="n">
        <v>989777</v>
      </c>
      <c r="S53" s="9" t="n">
        <v>1554378</v>
      </c>
      <c r="T53" s="11" t="n">
        <f aca="false">R53/S53</f>
        <v>0.636767247091763</v>
      </c>
      <c r="U53" s="9" t="n">
        <f aca="false">D53+E53+F53</f>
        <v>631526</v>
      </c>
      <c r="V53" s="9" t="n">
        <f aca="false">H53+I53+J53</f>
        <v>211169</v>
      </c>
      <c r="W53" s="9" t="n">
        <f aca="false">K53</f>
        <v>126294</v>
      </c>
      <c r="X53" s="11" t="n">
        <f aca="false">Q53/R53</f>
        <v>0.0199166074782502</v>
      </c>
    </row>
    <row r="54" customFormat="false" ht="15" hidden="false" customHeight="false" outlineLevel="0" collapsed="false">
      <c r="A54" s="14" t="s">
        <v>38</v>
      </c>
      <c r="B54" s="14" t="n">
        <v>2024</v>
      </c>
      <c r="C54" s="14" t="s">
        <v>99</v>
      </c>
      <c r="D54" s="9" t="n">
        <v>248980</v>
      </c>
      <c r="E54" s="9" t="n">
        <v>38804</v>
      </c>
      <c r="F54" s="9" t="n">
        <v>54978</v>
      </c>
      <c r="G54" s="9" t="n">
        <v>0</v>
      </c>
      <c r="H54" s="9" t="n">
        <v>60619</v>
      </c>
      <c r="I54" s="9" t="n">
        <v>41226</v>
      </c>
      <c r="J54" s="9" t="n">
        <v>7642</v>
      </c>
      <c r="K54" s="9" t="n">
        <v>74621</v>
      </c>
      <c r="L54" s="9" t="n">
        <v>0</v>
      </c>
      <c r="M54" s="9" t="n">
        <v>0</v>
      </c>
      <c r="N54" s="9" t="n">
        <v>0</v>
      </c>
      <c r="O54" s="9" t="n">
        <v>0</v>
      </c>
      <c r="P54" s="9" t="n">
        <v>711</v>
      </c>
      <c r="Q54" s="9" t="n">
        <v>14134</v>
      </c>
      <c r="R54" s="9" t="n">
        <v>541715</v>
      </c>
      <c r="S54" s="9" t="n">
        <v>953638</v>
      </c>
      <c r="T54" s="11" t="n">
        <f aca="false">R54/S54</f>
        <v>0.568050979512142</v>
      </c>
      <c r="U54" s="9" t="n">
        <f aca="false">D54+E54+F54</f>
        <v>342762</v>
      </c>
      <c r="V54" s="9" t="n">
        <f aca="false">H54+I54+J54</f>
        <v>109487</v>
      </c>
      <c r="W54" s="9" t="n">
        <f aca="false">K54</f>
        <v>74621</v>
      </c>
      <c r="X54" s="11" t="n">
        <f aca="false">Q54/R54</f>
        <v>0.0260912103227712</v>
      </c>
    </row>
    <row r="55" customFormat="false" ht="15" hidden="false" customHeight="false" outlineLevel="0" collapsed="false">
      <c r="A55" s="14" t="s">
        <v>38</v>
      </c>
      <c r="B55" s="14" t="n">
        <v>2024</v>
      </c>
      <c r="C55" s="14" t="s">
        <v>100</v>
      </c>
      <c r="D55" s="9" t="n">
        <v>837040</v>
      </c>
      <c r="E55" s="9" t="n">
        <v>156355</v>
      </c>
      <c r="F55" s="9" t="n">
        <v>165764</v>
      </c>
      <c r="G55" s="9" t="n">
        <v>0</v>
      </c>
      <c r="H55" s="9" t="n">
        <v>566795</v>
      </c>
      <c r="I55" s="9" t="n">
        <v>288712</v>
      </c>
      <c r="J55" s="9" t="n">
        <v>32557</v>
      </c>
      <c r="K55" s="9" t="n">
        <v>463002</v>
      </c>
      <c r="L55" s="9" t="n">
        <v>0</v>
      </c>
      <c r="M55" s="9" t="n">
        <v>0</v>
      </c>
      <c r="N55" s="9" t="n">
        <v>0</v>
      </c>
      <c r="O55" s="9" t="n">
        <v>0</v>
      </c>
      <c r="P55" s="9" t="n">
        <v>3398</v>
      </c>
      <c r="Q55" s="9" t="n">
        <v>50253</v>
      </c>
      <c r="R55" s="9" t="n">
        <v>2563876</v>
      </c>
      <c r="S55" s="9" t="n">
        <v>4477542</v>
      </c>
      <c r="T55" s="11" t="n">
        <f aca="false">R55/S55</f>
        <v>0.572607917469004</v>
      </c>
      <c r="U55" s="9" t="n">
        <f aca="false">D55+E55+F55</f>
        <v>1159159</v>
      </c>
      <c r="V55" s="9" t="n">
        <f aca="false">H55+I55+J55</f>
        <v>888064</v>
      </c>
      <c r="W55" s="9" t="n">
        <f aca="false">K55</f>
        <v>463002</v>
      </c>
      <c r="X55" s="11" t="n">
        <f aca="false">Q55/R55</f>
        <v>0.0196004018915111</v>
      </c>
    </row>
    <row r="56" customFormat="false" ht="15" hidden="false" customHeight="false" outlineLevel="0" collapsed="false">
      <c r="A56" s="14" t="s">
        <v>38</v>
      </c>
      <c r="B56" s="14" t="n">
        <v>2024</v>
      </c>
      <c r="C56" s="14" t="s">
        <v>101</v>
      </c>
      <c r="D56" s="9" t="n">
        <v>1027162</v>
      </c>
      <c r="E56" s="9" t="n">
        <v>222723</v>
      </c>
      <c r="F56" s="9" t="n">
        <v>191326</v>
      </c>
      <c r="G56" s="9" t="n">
        <v>0</v>
      </c>
      <c r="H56" s="9" t="n">
        <v>89579</v>
      </c>
      <c r="I56" s="9" t="n">
        <v>145865</v>
      </c>
      <c r="J56" s="9" t="n">
        <v>36537</v>
      </c>
      <c r="K56" s="9" t="n">
        <v>124621</v>
      </c>
      <c r="L56" s="9" t="n">
        <v>0</v>
      </c>
      <c r="M56" s="9" t="n">
        <v>0</v>
      </c>
      <c r="N56" s="9" t="n">
        <v>0</v>
      </c>
      <c r="O56" s="9" t="n">
        <v>0</v>
      </c>
      <c r="P56" s="9" t="n">
        <v>1633</v>
      </c>
      <c r="Q56" s="9" t="n">
        <v>47631</v>
      </c>
      <c r="R56" s="9" t="n">
        <v>1887077</v>
      </c>
      <c r="S56" s="9" t="n">
        <v>3120558</v>
      </c>
      <c r="T56" s="11" t="n">
        <f aca="false">R56/S56</f>
        <v>0.604724219194131</v>
      </c>
      <c r="U56" s="9" t="n">
        <f aca="false">D56+E56+F56</f>
        <v>1441211</v>
      </c>
      <c r="V56" s="9" t="n">
        <f aca="false">H56+I56+J56</f>
        <v>271981</v>
      </c>
      <c r="W56" s="9" t="n">
        <f aca="false">K56</f>
        <v>124621</v>
      </c>
      <c r="X56" s="11" t="n">
        <f aca="false">Q56/R56</f>
        <v>0.0252406234615758</v>
      </c>
    </row>
    <row r="57" customFormat="false" ht="15" hidden="false" customHeight="false" outlineLevel="0" collapsed="false">
      <c r="A57" s="14" t="s">
        <v>38</v>
      </c>
      <c r="B57" s="14" t="n">
        <v>2024</v>
      </c>
      <c r="C57" s="14" t="s">
        <v>102</v>
      </c>
      <c r="D57" s="9" t="n">
        <v>1534729</v>
      </c>
      <c r="E57" s="9" t="n">
        <v>281486</v>
      </c>
      <c r="F57" s="9" t="n">
        <v>330526</v>
      </c>
      <c r="G57" s="9" t="n">
        <v>0</v>
      </c>
      <c r="H57" s="9" t="n">
        <v>463429</v>
      </c>
      <c r="I57" s="9" t="n">
        <v>212580</v>
      </c>
      <c r="J57" s="9" t="n">
        <v>40139</v>
      </c>
      <c r="K57" s="9" t="n">
        <v>332071</v>
      </c>
      <c r="L57" s="9" t="n">
        <v>0</v>
      </c>
      <c r="M57" s="9" t="n">
        <v>0</v>
      </c>
      <c r="N57" s="9" t="n">
        <v>0</v>
      </c>
      <c r="O57" s="9" t="n">
        <v>0</v>
      </c>
      <c r="P57" s="9" t="n">
        <v>4102</v>
      </c>
      <c r="Q57" s="9" t="n">
        <v>93890</v>
      </c>
      <c r="R57" s="9" t="n">
        <v>3292952</v>
      </c>
      <c r="S57" s="9" t="n">
        <v>4992480</v>
      </c>
      <c r="T57" s="11" t="n">
        <f aca="false">R57/S57</f>
        <v>0.659582411947569</v>
      </c>
      <c r="U57" s="9" t="n">
        <f aca="false">D57+E57+F57</f>
        <v>2146741</v>
      </c>
      <c r="V57" s="9" t="n">
        <f aca="false">H57+I57+J57</f>
        <v>716148</v>
      </c>
      <c r="W57" s="9" t="n">
        <f aca="false">K57</f>
        <v>332071</v>
      </c>
      <c r="X57" s="11" t="n">
        <f aca="false">Q57/R57</f>
        <v>0.028512410748775</v>
      </c>
    </row>
    <row r="58" customFormat="false" ht="15" hidden="false" customHeight="false" outlineLevel="0" collapsed="false">
      <c r="A58" s="14" t="s">
        <v>38</v>
      </c>
      <c r="B58" s="14" t="n">
        <v>2024</v>
      </c>
      <c r="C58" s="14" t="s">
        <v>103</v>
      </c>
      <c r="D58" s="9" t="n">
        <v>484191</v>
      </c>
      <c r="E58" s="9" t="n">
        <v>62628</v>
      </c>
      <c r="F58" s="9" t="n">
        <v>75516</v>
      </c>
      <c r="G58" s="9" t="n">
        <v>0</v>
      </c>
      <c r="H58" s="9" t="n">
        <v>368304</v>
      </c>
      <c r="I58" s="9" t="n">
        <v>66105</v>
      </c>
      <c r="J58" s="9" t="n">
        <v>15092</v>
      </c>
      <c r="K58" s="9" t="n">
        <v>116117</v>
      </c>
      <c r="L58" s="9" t="n">
        <v>0</v>
      </c>
      <c r="M58" s="9" t="n">
        <v>0</v>
      </c>
      <c r="N58" s="9" t="n">
        <v>0</v>
      </c>
      <c r="O58" s="9" t="n">
        <v>0</v>
      </c>
      <c r="P58" s="9" t="n">
        <v>2957</v>
      </c>
      <c r="Q58" s="9" t="n">
        <v>27548</v>
      </c>
      <c r="R58" s="9" t="n">
        <v>1218458</v>
      </c>
      <c r="S58" s="9" t="n">
        <v>1904182</v>
      </c>
      <c r="T58" s="11" t="n">
        <f aca="false">R58/S58</f>
        <v>0.639885263068341</v>
      </c>
      <c r="U58" s="9" t="n">
        <f aca="false">D58+E58+F58</f>
        <v>622335</v>
      </c>
      <c r="V58" s="9" t="n">
        <f aca="false">H58+I58+J58</f>
        <v>449501</v>
      </c>
      <c r="W58" s="9" t="n">
        <f aca="false">K58</f>
        <v>116117</v>
      </c>
      <c r="X58" s="11" t="n">
        <f aca="false">Q58/R58</f>
        <v>0.0226089040410092</v>
      </c>
    </row>
    <row r="59" customFormat="false" ht="15" hidden="false" customHeight="false" outlineLevel="0" collapsed="false">
      <c r="A59" s="14" t="s">
        <v>38</v>
      </c>
      <c r="B59" s="14" t="n">
        <v>2024</v>
      </c>
      <c r="C59" s="14" t="s">
        <v>104</v>
      </c>
      <c r="D59" s="9" t="n">
        <v>421610</v>
      </c>
      <c r="E59" s="9" t="n">
        <v>44567</v>
      </c>
      <c r="F59" s="9" t="n">
        <v>139184</v>
      </c>
      <c r="G59" s="9" t="n">
        <v>0</v>
      </c>
      <c r="H59" s="9" t="n">
        <v>93587</v>
      </c>
      <c r="I59" s="9" t="n">
        <v>34005</v>
      </c>
      <c r="J59" s="9" t="n">
        <v>11400</v>
      </c>
      <c r="K59" s="9" t="n">
        <v>63890</v>
      </c>
      <c r="L59" s="9" t="n">
        <v>0</v>
      </c>
      <c r="M59" s="9" t="n">
        <v>0</v>
      </c>
      <c r="N59" s="9" t="n">
        <v>0</v>
      </c>
      <c r="O59" s="9" t="n">
        <v>0</v>
      </c>
      <c r="P59" s="9" t="n">
        <v>1339</v>
      </c>
      <c r="Q59" s="9" t="n">
        <v>17703</v>
      </c>
      <c r="R59" s="9" t="n">
        <v>827285</v>
      </c>
      <c r="S59" s="9" t="n">
        <v>1462747</v>
      </c>
      <c r="T59" s="11" t="n">
        <f aca="false">R59/S59</f>
        <v>0.565569438870837</v>
      </c>
      <c r="U59" s="9" t="n">
        <f aca="false">D59+E59+F59</f>
        <v>605361</v>
      </c>
      <c r="V59" s="9" t="n">
        <f aca="false">H59+I59+J59</f>
        <v>138992</v>
      </c>
      <c r="W59" s="9" t="n">
        <f aca="false">K59</f>
        <v>63890</v>
      </c>
      <c r="X59" s="11" t="n">
        <f aca="false">Q59/R59</f>
        <v>0.0213989133128245</v>
      </c>
    </row>
    <row r="60" customFormat="false" ht="15" hidden="false" customHeight="false" outlineLevel="0" collapsed="false">
      <c r="A60" s="14" t="s">
        <v>38</v>
      </c>
      <c r="B60" s="14" t="n">
        <v>2024</v>
      </c>
      <c r="C60" s="14" t="s">
        <v>105</v>
      </c>
      <c r="D60" s="9" t="n">
        <v>388455</v>
      </c>
      <c r="E60" s="9" t="n">
        <v>65240</v>
      </c>
      <c r="F60" s="9" t="n">
        <v>373051</v>
      </c>
      <c r="G60" s="9" t="n">
        <v>0</v>
      </c>
      <c r="H60" s="9" t="n">
        <v>214775</v>
      </c>
      <c r="I60" s="9" t="n">
        <v>109631</v>
      </c>
      <c r="J60" s="9" t="n">
        <v>23542</v>
      </c>
      <c r="K60" s="9" t="n">
        <v>146802</v>
      </c>
      <c r="L60" s="9" t="n">
        <v>0</v>
      </c>
      <c r="M60" s="9" t="n">
        <v>0</v>
      </c>
      <c r="N60" s="9" t="n">
        <v>0</v>
      </c>
      <c r="O60" s="9" t="n">
        <v>0</v>
      </c>
      <c r="P60" s="9" t="n">
        <v>2020</v>
      </c>
      <c r="Q60" s="9" t="n">
        <v>42682</v>
      </c>
      <c r="R60" s="9" t="n">
        <v>1366198</v>
      </c>
      <c r="S60" s="9" t="n">
        <v>2191107</v>
      </c>
      <c r="T60" s="11" t="n">
        <f aca="false">R60/S60</f>
        <v>0.62351952688755</v>
      </c>
      <c r="U60" s="9" t="n">
        <f aca="false">D60+E60+F60</f>
        <v>826746</v>
      </c>
      <c r="V60" s="9" t="n">
        <f aca="false">H60+I60+J60</f>
        <v>347948</v>
      </c>
      <c r="W60" s="9" t="n">
        <f aca="false">K60</f>
        <v>146802</v>
      </c>
      <c r="X60" s="11" t="n">
        <f aca="false">Q60/R60</f>
        <v>0.031241445237074</v>
      </c>
    </row>
    <row r="61" customFormat="false" ht="15" hidden="false" customHeight="false" outlineLevel="0" collapsed="false">
      <c r="A61" s="14" t="s">
        <v>38</v>
      </c>
      <c r="B61" s="14" t="n">
        <v>2024</v>
      </c>
      <c r="C61" s="14" t="s">
        <v>106</v>
      </c>
      <c r="D61" s="9" t="n">
        <v>718337</v>
      </c>
      <c r="E61" s="9" t="n">
        <v>68061</v>
      </c>
      <c r="F61" s="9" t="n">
        <v>85851</v>
      </c>
      <c r="G61" s="9" t="n">
        <v>0</v>
      </c>
      <c r="H61" s="9" t="n">
        <v>158345</v>
      </c>
      <c r="I61" s="9" t="n">
        <v>151769</v>
      </c>
      <c r="J61" s="9" t="n">
        <v>16254</v>
      </c>
      <c r="K61" s="9" t="n">
        <v>103193</v>
      </c>
      <c r="L61" s="9" t="n">
        <v>0</v>
      </c>
      <c r="M61" s="9" t="n">
        <v>0</v>
      </c>
      <c r="N61" s="9" t="n">
        <v>0</v>
      </c>
      <c r="O61" s="9" t="n">
        <v>0</v>
      </c>
      <c r="P61" s="9" t="n">
        <v>1128</v>
      </c>
      <c r="Q61" s="9" t="n">
        <v>26868</v>
      </c>
      <c r="R61" s="9" t="n">
        <v>1329806</v>
      </c>
      <c r="S61" s="9" t="n">
        <v>2364669</v>
      </c>
      <c r="T61" s="11" t="n">
        <f aca="false">R61/S61</f>
        <v>0.562364542352439</v>
      </c>
      <c r="U61" s="9" t="n">
        <f aca="false">D61+E61+F61</f>
        <v>872249</v>
      </c>
      <c r="V61" s="9" t="n">
        <f aca="false">H61+I61+J61</f>
        <v>326368</v>
      </c>
      <c r="W61" s="9" t="n">
        <f aca="false">K61</f>
        <v>103193</v>
      </c>
      <c r="X61" s="11" t="n">
        <f aca="false">Q61/R61</f>
        <v>0.0202044508747893</v>
      </c>
    </row>
    <row r="62" customFormat="false" ht="15" hidden="false" customHeight="false" outlineLevel="0" collapsed="false">
      <c r="A62" s="14" t="s">
        <v>38</v>
      </c>
      <c r="B62" s="14" t="n">
        <v>2024</v>
      </c>
      <c r="C62" s="14" t="s">
        <v>107</v>
      </c>
      <c r="D62" s="9" t="n">
        <v>593423</v>
      </c>
      <c r="E62" s="9" t="n">
        <v>77977</v>
      </c>
      <c r="F62" s="9" t="n">
        <v>78819</v>
      </c>
      <c r="G62" s="9" t="n">
        <v>0</v>
      </c>
      <c r="H62" s="9" t="n">
        <v>146972</v>
      </c>
      <c r="I62" s="9" t="n">
        <v>127575</v>
      </c>
      <c r="J62" s="9" t="n">
        <v>16370</v>
      </c>
      <c r="K62" s="9" t="n">
        <v>107759</v>
      </c>
      <c r="L62" s="9" t="n">
        <v>0</v>
      </c>
      <c r="M62" s="9" t="n">
        <v>0</v>
      </c>
      <c r="N62" s="9" t="n">
        <v>0</v>
      </c>
      <c r="O62" s="9" t="n">
        <v>0</v>
      </c>
      <c r="P62" s="9" t="n">
        <v>1423</v>
      </c>
      <c r="Q62" s="9" t="n">
        <v>23401</v>
      </c>
      <c r="R62" s="9" t="n">
        <v>1173719</v>
      </c>
      <c r="S62" s="9" t="n">
        <v>2296076</v>
      </c>
      <c r="T62" s="11" t="n">
        <f aca="false">R62/S62</f>
        <v>0.51118473430322</v>
      </c>
      <c r="U62" s="9" t="n">
        <f aca="false">D62+E62+F62</f>
        <v>750219</v>
      </c>
      <c r="V62" s="9" t="n">
        <f aca="false">H62+I62+J62</f>
        <v>290917</v>
      </c>
      <c r="W62" s="9" t="n">
        <f aca="false">K62</f>
        <v>107759</v>
      </c>
      <c r="X62" s="11" t="n">
        <f aca="false">Q62/R62</f>
        <v>0.0199374807769151</v>
      </c>
    </row>
    <row r="63" customFormat="false" ht="15" hidden="false" customHeight="false" outlineLevel="0" collapsed="false">
      <c r="A63" s="14" t="s">
        <v>38</v>
      </c>
      <c r="B63" s="14" t="n">
        <v>2024</v>
      </c>
      <c r="C63" s="14" t="s">
        <v>108</v>
      </c>
      <c r="D63" s="9" t="n">
        <v>754575</v>
      </c>
      <c r="E63" s="9" t="n">
        <v>75577</v>
      </c>
      <c r="F63" s="9" t="n">
        <v>66991</v>
      </c>
      <c r="G63" s="9" t="n">
        <v>0</v>
      </c>
      <c r="H63" s="9" t="n">
        <v>33603</v>
      </c>
      <c r="I63" s="9" t="n">
        <v>38316</v>
      </c>
      <c r="J63" s="9" t="n">
        <v>52118</v>
      </c>
      <c r="K63" s="9" t="n">
        <v>66018</v>
      </c>
      <c r="L63" s="9" t="n">
        <v>0</v>
      </c>
      <c r="M63" s="9" t="n">
        <v>0</v>
      </c>
      <c r="N63" s="9" t="n">
        <v>0</v>
      </c>
      <c r="O63" s="9" t="n">
        <v>0</v>
      </c>
      <c r="P63" s="9" t="n">
        <v>1107</v>
      </c>
      <c r="Q63" s="9" t="n">
        <v>25696</v>
      </c>
      <c r="R63" s="9" t="n">
        <v>1114001</v>
      </c>
      <c r="S63" s="9" t="n">
        <v>1813452</v>
      </c>
      <c r="T63" s="11" t="n">
        <f aca="false">R63/S63</f>
        <v>0.614298586342511</v>
      </c>
      <c r="U63" s="9" t="n">
        <f aca="false">D63+E63+F63</f>
        <v>897143</v>
      </c>
      <c r="V63" s="9" t="n">
        <f aca="false">H63+I63+J63</f>
        <v>124037</v>
      </c>
      <c r="W63" s="9" t="n">
        <f aca="false">K63</f>
        <v>66018</v>
      </c>
      <c r="X63" s="11" t="n">
        <f aca="false">Q63/R63</f>
        <v>0.023066406583118</v>
      </c>
    </row>
    <row r="64" customFormat="false" ht="15" hidden="false" customHeight="false" outlineLevel="0" collapsed="false">
      <c r="A64" s="14" t="s">
        <v>38</v>
      </c>
      <c r="B64" s="14" t="n">
        <v>2024</v>
      </c>
      <c r="C64" s="14" t="s">
        <v>109</v>
      </c>
      <c r="D64" s="9" t="n">
        <v>851702</v>
      </c>
      <c r="E64" s="9" t="n">
        <v>71396</v>
      </c>
      <c r="F64" s="9" t="n">
        <v>90617</v>
      </c>
      <c r="G64" s="9" t="n">
        <v>0</v>
      </c>
      <c r="H64" s="9" t="n">
        <v>348712</v>
      </c>
      <c r="I64" s="9" t="n">
        <v>66233</v>
      </c>
      <c r="J64" s="9" t="n">
        <v>12283</v>
      </c>
      <c r="K64" s="9" t="n">
        <v>152528</v>
      </c>
      <c r="L64" s="9" t="n">
        <v>0</v>
      </c>
      <c r="M64" s="9" t="n">
        <v>0</v>
      </c>
      <c r="N64" s="9" t="n">
        <v>0</v>
      </c>
      <c r="O64" s="9" t="n">
        <v>0</v>
      </c>
      <c r="P64" s="9" t="n">
        <v>1865</v>
      </c>
      <c r="Q64" s="9" t="n">
        <v>30965</v>
      </c>
      <c r="R64" s="9" t="n">
        <v>1626301</v>
      </c>
      <c r="S64" s="9" t="n">
        <v>2854225</v>
      </c>
      <c r="T64" s="11" t="n">
        <f aca="false">R64/S64</f>
        <v>0.569787245224185</v>
      </c>
      <c r="U64" s="9" t="n">
        <f aca="false">D64+E64+F64</f>
        <v>1013715</v>
      </c>
      <c r="V64" s="9" t="n">
        <f aca="false">H64+I64+J64</f>
        <v>427228</v>
      </c>
      <c r="W64" s="9" t="n">
        <f aca="false">K64</f>
        <v>152528</v>
      </c>
      <c r="X64" s="11" t="n">
        <f aca="false">Q64/R64</f>
        <v>0.0190401407857463</v>
      </c>
    </row>
    <row r="65" customFormat="false" ht="15" hidden="false" customHeight="false" outlineLevel="0" collapsed="false">
      <c r="A65" s="14" t="s">
        <v>38</v>
      </c>
      <c r="B65" s="14" t="n">
        <v>2024</v>
      </c>
      <c r="C65" s="14" t="s">
        <v>110</v>
      </c>
      <c r="D65" s="9" t="n">
        <v>367218</v>
      </c>
      <c r="E65" s="9" t="n">
        <v>77515</v>
      </c>
      <c r="F65" s="9" t="n">
        <v>68041</v>
      </c>
      <c r="G65" s="9" t="n">
        <v>0</v>
      </c>
      <c r="H65" s="9" t="n">
        <v>52909</v>
      </c>
      <c r="I65" s="9" t="n">
        <v>46934</v>
      </c>
      <c r="J65" s="9" t="n">
        <v>9269</v>
      </c>
      <c r="K65" s="9" t="n">
        <v>103236</v>
      </c>
      <c r="L65" s="9" t="n">
        <v>0</v>
      </c>
      <c r="M65" s="9" t="n">
        <v>0</v>
      </c>
      <c r="N65" s="9" t="n">
        <v>0</v>
      </c>
      <c r="O65" s="9" t="n">
        <v>0</v>
      </c>
      <c r="P65" s="9" t="n">
        <v>800</v>
      </c>
      <c r="Q65" s="9" t="n">
        <v>15038</v>
      </c>
      <c r="R65" s="9" t="n">
        <v>740960</v>
      </c>
      <c r="S65" s="9" t="n">
        <v>1042938</v>
      </c>
      <c r="T65" s="11" t="n">
        <f aca="false">R65/S65</f>
        <v>0.710454504486365</v>
      </c>
      <c r="U65" s="9" t="n">
        <f aca="false">D65+E65+F65</f>
        <v>512774</v>
      </c>
      <c r="V65" s="9" t="n">
        <f aca="false">H65+I65+J65</f>
        <v>109112</v>
      </c>
      <c r="W65" s="9" t="n">
        <f aca="false">K65</f>
        <v>103236</v>
      </c>
      <c r="X65" s="11" t="n">
        <f aca="false">Q65/R65</f>
        <v>0.0202952925933924</v>
      </c>
    </row>
    <row r="66" customFormat="false" ht="15" hidden="false" customHeight="false" outlineLevel="0" collapsed="false">
      <c r="A66" s="14" t="s">
        <v>38</v>
      </c>
      <c r="B66" s="14" t="n">
        <v>2024</v>
      </c>
      <c r="C66" s="14" t="s">
        <v>111</v>
      </c>
      <c r="D66" s="9" t="n">
        <v>2030068</v>
      </c>
      <c r="E66" s="9" t="n">
        <v>171226</v>
      </c>
      <c r="F66" s="9" t="n">
        <v>240116</v>
      </c>
      <c r="G66" s="9" t="n">
        <v>0</v>
      </c>
      <c r="H66" s="9" t="n">
        <v>494974</v>
      </c>
      <c r="I66" s="9" t="n">
        <v>290524</v>
      </c>
      <c r="J66" s="9" t="n">
        <v>61344</v>
      </c>
      <c r="K66" s="9" t="n">
        <v>294613</v>
      </c>
      <c r="L66" s="9" t="n">
        <v>0</v>
      </c>
      <c r="M66" s="9" t="n">
        <v>0</v>
      </c>
      <c r="N66" s="9" t="n">
        <v>0</v>
      </c>
      <c r="O66" s="9" t="n">
        <v>0</v>
      </c>
      <c r="P66" s="9" t="n">
        <v>3769</v>
      </c>
      <c r="Q66" s="9" t="n">
        <v>87363</v>
      </c>
      <c r="R66" s="9" t="n">
        <v>3673997</v>
      </c>
      <c r="S66" s="9" t="n">
        <v>6089453</v>
      </c>
      <c r="T66" s="11" t="n">
        <f aca="false">R66/S66</f>
        <v>0.603337771060882</v>
      </c>
      <c r="U66" s="9" t="n">
        <f aca="false">D66+E66+F66</f>
        <v>2441410</v>
      </c>
      <c r="V66" s="9" t="n">
        <f aca="false">H66+I66+J66</f>
        <v>846842</v>
      </c>
      <c r="W66" s="9" t="n">
        <f aca="false">K66</f>
        <v>294613</v>
      </c>
      <c r="X66" s="11" t="n">
        <f aca="false">Q66/R66</f>
        <v>0.0237787347131748</v>
      </c>
    </row>
    <row r="67" customFormat="false" ht="15" hidden="false" customHeight="false" outlineLevel="0" collapsed="false">
      <c r="A67" s="14" t="s">
        <v>38</v>
      </c>
      <c r="B67" s="14" t="n">
        <v>2024</v>
      </c>
      <c r="C67" s="14" t="s">
        <v>112</v>
      </c>
      <c r="D67" s="9" t="n">
        <v>626969</v>
      </c>
      <c r="E67" s="9" t="n">
        <v>72096</v>
      </c>
      <c r="F67" s="9" t="n">
        <v>80786</v>
      </c>
      <c r="G67" s="9" t="n">
        <v>0</v>
      </c>
      <c r="H67" s="9" t="n">
        <v>308047</v>
      </c>
      <c r="I67" s="9" t="n">
        <v>73873</v>
      </c>
      <c r="J67" s="9" t="n">
        <v>8725</v>
      </c>
      <c r="K67" s="9" t="n">
        <v>88001</v>
      </c>
      <c r="L67" s="9" t="n">
        <v>0</v>
      </c>
      <c r="M67" s="9" t="n">
        <v>0</v>
      </c>
      <c r="N67" s="9" t="n">
        <v>0</v>
      </c>
      <c r="O67" s="9" t="n">
        <v>0</v>
      </c>
      <c r="P67" s="9" t="n">
        <v>1177</v>
      </c>
      <c r="Q67" s="9" t="n">
        <v>25301</v>
      </c>
      <c r="R67" s="9" t="n">
        <v>1284975</v>
      </c>
      <c r="S67" s="9" t="n">
        <v>1768125</v>
      </c>
      <c r="T67" s="11" t="n">
        <f aca="false">R67/S67</f>
        <v>0.726744432661718</v>
      </c>
      <c r="U67" s="9" t="n">
        <f aca="false">D67+E67+F67</f>
        <v>779851</v>
      </c>
      <c r="V67" s="9" t="n">
        <f aca="false">H67+I67+J67</f>
        <v>390645</v>
      </c>
      <c r="W67" s="9" t="n">
        <f aca="false">K67</f>
        <v>88001</v>
      </c>
      <c r="X67" s="11" t="n">
        <f aca="false">Q67/R67</f>
        <v>0.0196898772349657</v>
      </c>
    </row>
    <row r="68" customFormat="false" ht="15" hidden="false" customHeight="false" outlineLevel="0" collapsed="false">
      <c r="A68" s="14" t="s">
        <v>38</v>
      </c>
      <c r="B68" s="14" t="n">
        <v>2024</v>
      </c>
      <c r="C68" s="14" t="s">
        <v>113</v>
      </c>
      <c r="D68" s="9" t="n">
        <v>284210</v>
      </c>
      <c r="E68" s="9" t="n">
        <v>53843</v>
      </c>
      <c r="F68" s="9" t="n">
        <v>50637</v>
      </c>
      <c r="G68" s="9" t="n">
        <v>0</v>
      </c>
      <c r="H68" s="9" t="n">
        <v>85167</v>
      </c>
      <c r="I68" s="9" t="n">
        <v>119059</v>
      </c>
      <c r="J68" s="9" t="n">
        <v>26767</v>
      </c>
      <c r="K68" s="9" t="n">
        <v>130376</v>
      </c>
      <c r="L68" s="9" t="n">
        <v>0</v>
      </c>
      <c r="M68" s="9" t="n">
        <v>0</v>
      </c>
      <c r="N68" s="9" t="n">
        <v>0</v>
      </c>
      <c r="O68" s="9" t="n">
        <v>0</v>
      </c>
      <c r="P68" s="9" t="n">
        <v>1373</v>
      </c>
      <c r="Q68" s="9" t="n">
        <v>20514</v>
      </c>
      <c r="R68" s="9" t="n">
        <v>771946</v>
      </c>
      <c r="S68" s="9" t="n">
        <v>1270180</v>
      </c>
      <c r="T68" s="11" t="n">
        <f aca="false">R68/S68</f>
        <v>0.607745358925507</v>
      </c>
      <c r="U68" s="9" t="n">
        <f aca="false">D68+E68+F68</f>
        <v>388690</v>
      </c>
      <c r="V68" s="9" t="n">
        <f aca="false">H68+I68+J68</f>
        <v>230993</v>
      </c>
      <c r="W68" s="9" t="n">
        <f aca="false">K68</f>
        <v>130376</v>
      </c>
      <c r="X68" s="11" t="n">
        <f aca="false">Q68/R68</f>
        <v>0.0265743976910302</v>
      </c>
    </row>
    <row r="69" customFormat="false" ht="15" hidden="false" customHeight="false" outlineLevel="0" collapsed="false">
      <c r="A69" s="16" t="s">
        <v>38</v>
      </c>
      <c r="B69" s="16" t="n">
        <v>2024</v>
      </c>
      <c r="C69" s="16" t="s">
        <v>4</v>
      </c>
      <c r="D69" s="22" t="n">
        <f aca="false">SUM(D37:D68)</f>
        <v>27541224</v>
      </c>
      <c r="E69" s="22" t="n">
        <f aca="false">SUM(E37:E68)</f>
        <v>3786126</v>
      </c>
      <c r="F69" s="22" t="n">
        <f aca="false">SUM(F37:F68)</f>
        <v>4597169</v>
      </c>
      <c r="G69" s="22" t="n">
        <f aca="false">SUM(G37:G68)</f>
        <v>0</v>
      </c>
      <c r="H69" s="22" t="n">
        <f aca="false">SUM(H37:H68)</f>
        <v>9715621</v>
      </c>
      <c r="I69" s="22" t="n">
        <f aca="false">SUM(I37:I68)</f>
        <v>5731202</v>
      </c>
      <c r="J69" s="22" t="n">
        <f aca="false">SUM(J37:J68)</f>
        <v>1055874</v>
      </c>
      <c r="K69" s="22" t="n">
        <f aca="false">SUM(K37:K68)</f>
        <v>6204710</v>
      </c>
      <c r="L69" s="22" t="n">
        <f aca="false">SUM(L37:L68)</f>
        <v>0</v>
      </c>
      <c r="M69" s="22" t="n">
        <f aca="false">SUM(M37:M68)</f>
        <v>0</v>
      </c>
      <c r="N69" s="22" t="n">
        <f aca="false">SUM(N37:N68)</f>
        <v>0</v>
      </c>
      <c r="O69" s="22" t="n">
        <f aca="false">SUM(O37:O68)</f>
        <v>0</v>
      </c>
      <c r="P69" s="22" t="n">
        <f aca="false">SUM(P37:P68)</f>
        <v>83114</v>
      </c>
      <c r="Q69" s="22" t="n">
        <f aca="false">SUM(Q37:Q68)</f>
        <v>1400144</v>
      </c>
      <c r="R69" s="22" t="n">
        <f aca="false">SUM(R37:R68)</f>
        <v>60115184</v>
      </c>
      <c r="S69" s="22" t="n">
        <f aca="false">SUM(S37:S68)</f>
        <v>98468994</v>
      </c>
      <c r="T69" s="17" t="n">
        <f aca="false">R69/S69</f>
        <v>0.610498610354443</v>
      </c>
      <c r="U69" s="22" t="n">
        <f aca="false">SUM(U37:U68)</f>
        <v>35924519</v>
      </c>
      <c r="V69" s="22" t="n">
        <f aca="false">SUM(V37:V68)</f>
        <v>16502697</v>
      </c>
      <c r="W69" s="22" t="n">
        <f aca="false">SUM(W37:W68)</f>
        <v>6204710</v>
      </c>
      <c r="X69" s="17" t="n">
        <f aca="false">Q69/R69</f>
        <v>0.0232910207843662</v>
      </c>
    </row>
    <row r="70" customFormat="false" ht="15" hidden="false" customHeight="false" outlineLevel="0" collapsed="false">
      <c r="A70" s="14" t="s">
        <v>39</v>
      </c>
      <c r="B70" s="14" t="n">
        <v>2018</v>
      </c>
      <c r="C70" s="14" t="s">
        <v>82</v>
      </c>
      <c r="D70" s="9" t="n">
        <v>147565</v>
      </c>
      <c r="E70" s="9" t="n">
        <v>16850</v>
      </c>
      <c r="F70" s="9" t="n">
        <v>24356</v>
      </c>
      <c r="G70" s="9" t="n">
        <v>14132</v>
      </c>
      <c r="H70" s="9" t="n">
        <v>182981</v>
      </c>
      <c r="I70" s="9" t="n">
        <v>104602</v>
      </c>
      <c r="J70" s="9" t="n">
        <v>12940</v>
      </c>
      <c r="K70" s="9" t="n">
        <v>12132</v>
      </c>
      <c r="L70" s="9" t="n">
        <v>18557</v>
      </c>
      <c r="M70" s="9" t="n">
        <v>0</v>
      </c>
      <c r="N70" s="9" t="n">
        <v>0</v>
      </c>
      <c r="O70" s="9" t="n">
        <v>0</v>
      </c>
      <c r="P70" s="9" t="n">
        <v>544</v>
      </c>
      <c r="Q70" s="9" t="n">
        <v>21842</v>
      </c>
      <c r="R70" s="9" t="n">
        <v>556501</v>
      </c>
      <c r="S70" s="9" t="n">
        <v>943448</v>
      </c>
      <c r="T70" s="11" t="n">
        <f aca="false">R70/S70</f>
        <v>0.589858688555172</v>
      </c>
      <c r="U70" s="9" t="n">
        <f aca="false">D70+E70+G70</f>
        <v>178547</v>
      </c>
      <c r="V70" s="9" t="n">
        <f aca="false">H70+J70+K70</f>
        <v>208053</v>
      </c>
      <c r="W70" s="9" t="n">
        <f aca="false">I70+F70+L70</f>
        <v>147515</v>
      </c>
      <c r="X70" s="11" t="n">
        <f aca="false">Q70/R70</f>
        <v>0.0392488063813003</v>
      </c>
    </row>
    <row r="71" customFormat="false" ht="15" hidden="false" customHeight="false" outlineLevel="0" collapsed="false">
      <c r="A71" s="14" t="s">
        <v>39</v>
      </c>
      <c r="B71" s="14" t="n">
        <v>2018</v>
      </c>
      <c r="C71" s="14" t="s">
        <v>83</v>
      </c>
      <c r="D71" s="9" t="n">
        <v>725051</v>
      </c>
      <c r="E71" s="9" t="n">
        <v>70758</v>
      </c>
      <c r="F71" s="9" t="n">
        <v>49660</v>
      </c>
      <c r="G71" s="9" t="n">
        <v>48779</v>
      </c>
      <c r="H71" s="9" t="n">
        <v>272472</v>
      </c>
      <c r="I71" s="9" t="n">
        <v>130200</v>
      </c>
      <c r="J71" s="9" t="n">
        <v>23704</v>
      </c>
      <c r="K71" s="9" t="n">
        <v>38757</v>
      </c>
      <c r="L71" s="9" t="n">
        <v>31612</v>
      </c>
      <c r="M71" s="9" t="n">
        <v>0</v>
      </c>
      <c r="N71" s="9" t="n">
        <v>0</v>
      </c>
      <c r="O71" s="9" t="n">
        <v>0</v>
      </c>
      <c r="P71" s="9" t="n">
        <v>1311</v>
      </c>
      <c r="Q71" s="9" t="n">
        <v>41920</v>
      </c>
      <c r="R71" s="9" t="n">
        <v>1434224</v>
      </c>
      <c r="S71" s="9" t="n">
        <v>2731567</v>
      </c>
      <c r="T71" s="11" t="n">
        <f aca="false">R71/S71</f>
        <v>0.525055398604537</v>
      </c>
      <c r="U71" s="9" t="n">
        <f aca="false">D71+E71+G71</f>
        <v>844588</v>
      </c>
      <c r="V71" s="9" t="n">
        <f aca="false">H71+J71+K71</f>
        <v>334933</v>
      </c>
      <c r="W71" s="9" t="n">
        <f aca="false">I71+F71+L71</f>
        <v>211472</v>
      </c>
      <c r="X71" s="11" t="n">
        <f aca="false">Q71/R71</f>
        <v>0.0292283492676179</v>
      </c>
    </row>
    <row r="72" customFormat="false" ht="15" hidden="false" customHeight="false" outlineLevel="0" collapsed="false">
      <c r="A72" s="14" t="s">
        <v>39</v>
      </c>
      <c r="B72" s="14" t="n">
        <v>2018</v>
      </c>
      <c r="C72" s="14" t="s">
        <v>84</v>
      </c>
      <c r="D72" s="9" t="n">
        <v>124575</v>
      </c>
      <c r="E72" s="9" t="n">
        <v>21447</v>
      </c>
      <c r="F72" s="9" t="n">
        <v>13370</v>
      </c>
      <c r="G72" s="9" t="n">
        <v>7303</v>
      </c>
      <c r="H72" s="9" t="n">
        <v>75675</v>
      </c>
      <c r="I72" s="9" t="n">
        <v>24941</v>
      </c>
      <c r="J72" s="9" t="n">
        <v>3978</v>
      </c>
      <c r="K72" s="9" t="n">
        <v>6146</v>
      </c>
      <c r="L72" s="9" t="n">
        <v>11217</v>
      </c>
      <c r="M72" s="9" t="n">
        <v>0</v>
      </c>
      <c r="N72" s="9" t="n">
        <v>0</v>
      </c>
      <c r="O72" s="9" t="n">
        <v>0</v>
      </c>
      <c r="P72" s="9" t="n">
        <v>221</v>
      </c>
      <c r="Q72" s="9" t="n">
        <v>11094</v>
      </c>
      <c r="R72" s="9" t="n">
        <v>299967</v>
      </c>
      <c r="S72" s="9" t="n">
        <v>516146</v>
      </c>
      <c r="T72" s="11" t="n">
        <f aca="false">R72/S72</f>
        <v>0.581166956636301</v>
      </c>
      <c r="U72" s="9" t="n">
        <f aca="false">D72+E72+G72</f>
        <v>153325</v>
      </c>
      <c r="V72" s="9" t="n">
        <f aca="false">H72+J72+K72</f>
        <v>85799</v>
      </c>
      <c r="W72" s="9" t="n">
        <f aca="false">I72+F72+L72</f>
        <v>49528</v>
      </c>
      <c r="X72" s="11" t="n">
        <f aca="false">Q72/R72</f>
        <v>0.0369840682475072</v>
      </c>
    </row>
    <row r="73" customFormat="false" ht="15" hidden="false" customHeight="false" outlineLevel="0" collapsed="false">
      <c r="A73" s="14" t="s">
        <v>39</v>
      </c>
      <c r="B73" s="14" t="n">
        <v>2018</v>
      </c>
      <c r="C73" s="14" t="s">
        <v>85</v>
      </c>
      <c r="D73" s="9" t="n">
        <v>177618</v>
      </c>
      <c r="E73" s="9" t="n">
        <v>17927</v>
      </c>
      <c r="F73" s="9" t="n">
        <v>11140</v>
      </c>
      <c r="G73" s="9" t="n">
        <v>10018</v>
      </c>
      <c r="H73" s="9" t="n">
        <v>66265</v>
      </c>
      <c r="I73" s="9" t="n">
        <v>120862</v>
      </c>
      <c r="J73" s="9" t="n">
        <v>10169</v>
      </c>
      <c r="K73" s="9" t="n">
        <v>9191</v>
      </c>
      <c r="L73" s="9" t="n">
        <v>10667</v>
      </c>
      <c r="M73" s="9" t="n">
        <v>0</v>
      </c>
      <c r="N73" s="9" t="n">
        <v>0</v>
      </c>
      <c r="O73" s="9" t="n">
        <v>0</v>
      </c>
      <c r="P73" s="9" t="n">
        <v>130</v>
      </c>
      <c r="Q73" s="9" t="n">
        <v>15313</v>
      </c>
      <c r="R73" s="9" t="n">
        <v>449300</v>
      </c>
      <c r="S73" s="9" t="n">
        <v>642056</v>
      </c>
      <c r="T73" s="11" t="n">
        <f aca="false">R73/S73</f>
        <v>0.699783196481304</v>
      </c>
      <c r="U73" s="9" t="n">
        <f aca="false">D73+E73+G73</f>
        <v>205563</v>
      </c>
      <c r="V73" s="9" t="n">
        <f aca="false">H73+J73+K73</f>
        <v>85625</v>
      </c>
      <c r="W73" s="9" t="n">
        <f aca="false">I73+F73+L73</f>
        <v>142669</v>
      </c>
      <c r="X73" s="11" t="n">
        <f aca="false">Q73/R73</f>
        <v>0.0340819051858447</v>
      </c>
    </row>
    <row r="74" customFormat="false" ht="15" hidden="false" customHeight="false" outlineLevel="0" collapsed="false">
      <c r="A74" s="14" t="s">
        <v>39</v>
      </c>
      <c r="B74" s="14" t="n">
        <v>2018</v>
      </c>
      <c r="C74" s="14" t="s">
        <v>86</v>
      </c>
      <c r="D74" s="9" t="n">
        <v>416694</v>
      </c>
      <c r="E74" s="9" t="n">
        <v>34959</v>
      </c>
      <c r="F74" s="9" t="n">
        <v>30123</v>
      </c>
      <c r="G74" s="9" t="n">
        <v>18525</v>
      </c>
      <c r="H74" s="9" t="n">
        <v>345147</v>
      </c>
      <c r="I74" s="9" t="n">
        <v>408144</v>
      </c>
      <c r="J74" s="9" t="n">
        <v>23970</v>
      </c>
      <c r="K74" s="9" t="n">
        <v>34416</v>
      </c>
      <c r="L74" s="9" t="n">
        <v>19806</v>
      </c>
      <c r="M74" s="9" t="n">
        <v>0</v>
      </c>
      <c r="N74" s="9" t="n">
        <v>0</v>
      </c>
      <c r="O74" s="9" t="n">
        <v>0</v>
      </c>
      <c r="P74" s="9" t="n">
        <v>431</v>
      </c>
      <c r="Q74" s="9" t="n">
        <v>32763</v>
      </c>
      <c r="R74" s="9" t="n">
        <v>1364978</v>
      </c>
      <c r="S74" s="9" t="n">
        <v>2154098</v>
      </c>
      <c r="T74" s="11" t="n">
        <f aca="false">R74/S74</f>
        <v>0.633665692090146</v>
      </c>
      <c r="U74" s="9" t="n">
        <f aca="false">D74+E74+G74</f>
        <v>470178</v>
      </c>
      <c r="V74" s="9" t="n">
        <f aca="false">H74+J74+K74</f>
        <v>403533</v>
      </c>
      <c r="W74" s="9" t="n">
        <f aca="false">I74+F74+L74</f>
        <v>458073</v>
      </c>
      <c r="X74" s="11" t="n">
        <f aca="false">Q74/R74</f>
        <v>0.0240025846570421</v>
      </c>
    </row>
    <row r="75" customFormat="false" ht="15" hidden="false" customHeight="false" outlineLevel="0" collapsed="false">
      <c r="A75" s="14" t="s">
        <v>39</v>
      </c>
      <c r="B75" s="14" t="n">
        <v>2018</v>
      </c>
      <c r="C75" s="14" t="s">
        <v>87</v>
      </c>
      <c r="D75" s="9" t="n">
        <v>126356</v>
      </c>
      <c r="E75" s="9" t="n">
        <v>15829</v>
      </c>
      <c r="F75" s="9" t="n">
        <v>17738</v>
      </c>
      <c r="G75" s="9" t="n">
        <v>6738</v>
      </c>
      <c r="H75" s="9" t="n">
        <v>51911</v>
      </c>
      <c r="I75" s="9" t="n">
        <v>67323</v>
      </c>
      <c r="J75" s="9" t="n">
        <v>7557</v>
      </c>
      <c r="K75" s="9" t="n">
        <v>18772</v>
      </c>
      <c r="L75" s="9" t="n">
        <v>10869</v>
      </c>
      <c r="M75" s="9" t="n">
        <v>0</v>
      </c>
      <c r="N75" s="9" t="n">
        <v>0</v>
      </c>
      <c r="O75" s="9" t="n">
        <v>0</v>
      </c>
      <c r="P75" s="9" t="n">
        <v>208</v>
      </c>
      <c r="Q75" s="9" t="n">
        <v>11630</v>
      </c>
      <c r="R75" s="9" t="n">
        <v>334931</v>
      </c>
      <c r="S75" s="9" t="n">
        <v>530720</v>
      </c>
      <c r="T75" s="11" t="n">
        <f aca="false">R75/S75</f>
        <v>0.631087955984323</v>
      </c>
      <c r="U75" s="9" t="n">
        <f aca="false">D75+E75+G75</f>
        <v>148923</v>
      </c>
      <c r="V75" s="9" t="n">
        <f aca="false">H75+J75+K75</f>
        <v>78240</v>
      </c>
      <c r="W75" s="9" t="n">
        <f aca="false">I75+F75+L75</f>
        <v>95930</v>
      </c>
      <c r="X75" s="11" t="n">
        <f aca="false">Q75/R75</f>
        <v>0.0347235699293287</v>
      </c>
    </row>
    <row r="76" customFormat="false" ht="15" hidden="false" customHeight="false" outlineLevel="0" collapsed="false">
      <c r="A76" s="14" t="s">
        <v>39</v>
      </c>
      <c r="B76" s="14" t="n">
        <v>2018</v>
      </c>
      <c r="C76" s="14" t="s">
        <v>88</v>
      </c>
      <c r="D76" s="9" t="n">
        <v>1030429</v>
      </c>
      <c r="E76" s="9" t="n">
        <v>122338</v>
      </c>
      <c r="F76" s="9" t="n">
        <v>368150</v>
      </c>
      <c r="G76" s="9" t="n">
        <v>57084</v>
      </c>
      <c r="H76" s="9" t="n">
        <v>93310</v>
      </c>
      <c r="I76" s="9" t="n">
        <v>317830</v>
      </c>
      <c r="J76" s="9" t="n">
        <v>81239</v>
      </c>
      <c r="K76" s="9" t="n">
        <v>66468</v>
      </c>
      <c r="L76" s="9" t="n">
        <v>70055</v>
      </c>
      <c r="M76" s="9" t="n">
        <v>0</v>
      </c>
      <c r="N76" s="9" t="n">
        <v>0</v>
      </c>
      <c r="O76" s="9" t="n">
        <v>3452</v>
      </c>
      <c r="P76" s="9" t="n">
        <v>1350</v>
      </c>
      <c r="Q76" s="9" t="n">
        <v>195258</v>
      </c>
      <c r="R76" s="9" t="n">
        <v>2406963</v>
      </c>
      <c r="S76" s="9" t="n">
        <v>3493368</v>
      </c>
      <c r="T76" s="11" t="n">
        <f aca="false">R76/S76</f>
        <v>0.689009288457443</v>
      </c>
      <c r="U76" s="9" t="n">
        <f aca="false">D76+E76+G76</f>
        <v>1209851</v>
      </c>
      <c r="V76" s="9" t="n">
        <f aca="false">H76+J76+K76</f>
        <v>241017</v>
      </c>
      <c r="W76" s="9" t="n">
        <f aca="false">I76+F76+L76</f>
        <v>756035</v>
      </c>
      <c r="X76" s="11" t="n">
        <f aca="false">Q76/R76</f>
        <v>0.0811221443786215</v>
      </c>
    </row>
    <row r="77" customFormat="false" ht="15" hidden="false" customHeight="false" outlineLevel="0" collapsed="false">
      <c r="A77" s="14" t="s">
        <v>39</v>
      </c>
      <c r="B77" s="14" t="n">
        <v>2018</v>
      </c>
      <c r="C77" s="14" t="s">
        <v>89</v>
      </c>
      <c r="D77" s="9" t="n">
        <v>427676</v>
      </c>
      <c r="E77" s="9" t="n">
        <v>52133</v>
      </c>
      <c r="F77" s="9" t="n">
        <v>60498</v>
      </c>
      <c r="G77" s="9" t="n">
        <v>35744</v>
      </c>
      <c r="H77" s="9" t="n">
        <v>400210</v>
      </c>
      <c r="I77" s="9" t="n">
        <v>257942</v>
      </c>
      <c r="J77" s="9" t="n">
        <v>30969</v>
      </c>
      <c r="K77" s="9" t="n">
        <v>38445</v>
      </c>
      <c r="L77" s="9" t="n">
        <v>44556</v>
      </c>
      <c r="M77" s="9" t="n">
        <v>0</v>
      </c>
      <c r="N77" s="9" t="n">
        <v>0</v>
      </c>
      <c r="O77" s="9" t="n">
        <v>73066</v>
      </c>
      <c r="P77" s="9" t="n">
        <v>1042</v>
      </c>
      <c r="Q77" s="9" t="n">
        <v>67695</v>
      </c>
      <c r="R77" s="9" t="n">
        <v>1489976</v>
      </c>
      <c r="S77" s="9" t="n">
        <v>2741821</v>
      </c>
      <c r="T77" s="11" t="n">
        <f aca="false">R77/S77</f>
        <v>0.54342570138605</v>
      </c>
      <c r="U77" s="9" t="n">
        <f aca="false">D77+E77+G77</f>
        <v>515553</v>
      </c>
      <c r="V77" s="9" t="n">
        <f aca="false">H77+J77+K77</f>
        <v>469624</v>
      </c>
      <c r="W77" s="9" t="n">
        <f aca="false">I77+F77+L77</f>
        <v>362996</v>
      </c>
      <c r="X77" s="11" t="n">
        <f aca="false">Q77/R77</f>
        <v>0.0454336177227016</v>
      </c>
    </row>
    <row r="78" customFormat="false" ht="15" hidden="false" customHeight="false" outlineLevel="0" collapsed="false">
      <c r="A78" s="14" t="s">
        <v>39</v>
      </c>
      <c r="B78" s="14" t="n">
        <v>2018</v>
      </c>
      <c r="C78" s="14" t="s">
        <v>90</v>
      </c>
      <c r="D78" s="9" t="n">
        <v>2396904</v>
      </c>
      <c r="E78" s="9" t="n">
        <v>177768</v>
      </c>
      <c r="F78" s="9" t="n">
        <v>238448</v>
      </c>
      <c r="G78" s="9" t="n">
        <v>154513</v>
      </c>
      <c r="H78" s="9" t="n">
        <v>857542</v>
      </c>
      <c r="I78" s="9" t="n">
        <v>511948</v>
      </c>
      <c r="J78" s="9" t="n">
        <v>585194</v>
      </c>
      <c r="K78" s="9" t="n">
        <v>147913</v>
      </c>
      <c r="L78" s="9" t="n">
        <v>99511</v>
      </c>
      <c r="M78" s="9" t="n">
        <v>0</v>
      </c>
      <c r="N78" s="9" t="n">
        <v>0</v>
      </c>
      <c r="O78" s="9" t="n">
        <v>0</v>
      </c>
      <c r="P78" s="9" t="n">
        <v>4724</v>
      </c>
      <c r="Q78" s="9" t="n">
        <v>190816</v>
      </c>
      <c r="R78" s="9" t="n">
        <v>5365281</v>
      </c>
      <c r="S78" s="9" t="n">
        <v>7626268</v>
      </c>
      <c r="T78" s="11" t="n">
        <f aca="false">R78/S78</f>
        <v>0.703526416852909</v>
      </c>
      <c r="U78" s="9" t="n">
        <f aca="false">D78+E78+G78</f>
        <v>2729185</v>
      </c>
      <c r="V78" s="9" t="n">
        <f aca="false">H78+J78+K78</f>
        <v>1590649</v>
      </c>
      <c r="W78" s="9" t="n">
        <f aca="false">I78+F78+L78</f>
        <v>849907</v>
      </c>
      <c r="X78" s="11" t="n">
        <f aca="false">Q78/R78</f>
        <v>0.0355649592258076</v>
      </c>
    </row>
    <row r="79" customFormat="false" ht="15" hidden="false" customHeight="false" outlineLevel="0" collapsed="false">
      <c r="A79" s="14" t="s">
        <v>39</v>
      </c>
      <c r="B79" s="14" t="n">
        <v>2018</v>
      </c>
      <c r="C79" s="14" t="s">
        <v>91</v>
      </c>
      <c r="D79" s="9" t="n">
        <v>209373</v>
      </c>
      <c r="E79" s="9" t="n">
        <v>53082</v>
      </c>
      <c r="F79" s="9" t="n">
        <v>31944</v>
      </c>
      <c r="G79" s="9" t="n">
        <v>16065</v>
      </c>
      <c r="H79" s="9" t="n">
        <v>182676</v>
      </c>
      <c r="I79" s="9" t="n">
        <v>162175</v>
      </c>
      <c r="J79" s="9" t="n">
        <v>12884</v>
      </c>
      <c r="K79" s="9" t="n">
        <v>20441</v>
      </c>
      <c r="L79" s="9" t="n">
        <v>18009</v>
      </c>
      <c r="M79" s="9" t="n">
        <v>0</v>
      </c>
      <c r="N79" s="9" t="n">
        <v>0</v>
      </c>
      <c r="O79" s="9" t="n">
        <v>0</v>
      </c>
      <c r="P79" s="9" t="n">
        <v>316</v>
      </c>
      <c r="Q79" s="9" t="n">
        <v>25196</v>
      </c>
      <c r="R79" s="9" t="n">
        <v>732161</v>
      </c>
      <c r="S79" s="9" t="n">
        <v>1279679</v>
      </c>
      <c r="T79" s="11" t="n">
        <f aca="false">R79/S79</f>
        <v>0.572144264303782</v>
      </c>
      <c r="U79" s="9" t="n">
        <f aca="false">D79+E79+G79</f>
        <v>278520</v>
      </c>
      <c r="V79" s="9" t="n">
        <f aca="false">H79+J79+K79</f>
        <v>216001</v>
      </c>
      <c r="W79" s="9" t="n">
        <f aca="false">I79+F79+L79</f>
        <v>212128</v>
      </c>
      <c r="X79" s="11" t="n">
        <f aca="false">Q79/R79</f>
        <v>0.0344131960047039</v>
      </c>
    </row>
    <row r="80" customFormat="false" ht="15" hidden="false" customHeight="false" outlineLevel="0" collapsed="false">
      <c r="A80" s="14" t="s">
        <v>39</v>
      </c>
      <c r="B80" s="14" t="n">
        <v>2018</v>
      </c>
      <c r="C80" s="14" t="s">
        <v>92</v>
      </c>
      <c r="D80" s="9" t="n">
        <v>477436</v>
      </c>
      <c r="E80" s="9" t="n">
        <v>54488</v>
      </c>
      <c r="F80" s="9" t="n">
        <v>185933</v>
      </c>
      <c r="G80" s="9" t="n">
        <v>41793</v>
      </c>
      <c r="H80" s="9" t="n">
        <v>888290</v>
      </c>
      <c r="I80" s="9" t="n">
        <v>333820</v>
      </c>
      <c r="J80" s="9" t="n">
        <v>68063</v>
      </c>
      <c r="K80" s="9" t="n">
        <v>63995</v>
      </c>
      <c r="L80" s="9" t="n">
        <v>72883</v>
      </c>
      <c r="M80" s="9" t="n">
        <v>0</v>
      </c>
      <c r="N80" s="9" t="n">
        <v>0</v>
      </c>
      <c r="O80" s="9" t="n">
        <v>18442</v>
      </c>
      <c r="P80" s="9" t="n">
        <v>1593</v>
      </c>
      <c r="Q80" s="9" t="n">
        <v>100099</v>
      </c>
      <c r="R80" s="9" t="n">
        <v>2306835</v>
      </c>
      <c r="S80" s="9" t="n">
        <v>4359031</v>
      </c>
      <c r="T80" s="11" t="n">
        <f aca="false">R80/S80</f>
        <v>0.529208211641532</v>
      </c>
      <c r="U80" s="9" t="n">
        <f aca="false">D80+E80+G80</f>
        <v>573717</v>
      </c>
      <c r="V80" s="9" t="n">
        <f aca="false">H80+J80+K80</f>
        <v>1020348</v>
      </c>
      <c r="W80" s="9" t="n">
        <f aca="false">I80+F80+L80</f>
        <v>592636</v>
      </c>
      <c r="X80" s="11" t="n">
        <f aca="false">Q80/R80</f>
        <v>0.043392353592693</v>
      </c>
    </row>
    <row r="81" customFormat="false" ht="15" hidden="false" customHeight="false" outlineLevel="0" collapsed="false">
      <c r="A81" s="14" t="s">
        <v>39</v>
      </c>
      <c r="B81" s="14" t="n">
        <v>2018</v>
      </c>
      <c r="C81" s="14" t="s">
        <v>93</v>
      </c>
      <c r="D81" s="9" t="n">
        <v>642589</v>
      </c>
      <c r="E81" s="9" t="n">
        <v>99838</v>
      </c>
      <c r="F81" s="9" t="n">
        <v>73036</v>
      </c>
      <c r="G81" s="9" t="n">
        <v>35809</v>
      </c>
      <c r="H81" s="9" t="n">
        <v>71002</v>
      </c>
      <c r="I81" s="9" t="n">
        <v>291953</v>
      </c>
      <c r="J81" s="9" t="n">
        <v>208458</v>
      </c>
      <c r="K81" s="9" t="n">
        <v>61327</v>
      </c>
      <c r="L81" s="9" t="n">
        <v>27630</v>
      </c>
      <c r="M81" s="9" t="n">
        <v>0</v>
      </c>
      <c r="N81" s="9" t="n">
        <v>0</v>
      </c>
      <c r="O81" s="9" t="n">
        <v>9834</v>
      </c>
      <c r="P81" s="9" t="n">
        <v>592</v>
      </c>
      <c r="Q81" s="9" t="n">
        <v>83142</v>
      </c>
      <c r="R81" s="9" t="n">
        <v>1605210</v>
      </c>
      <c r="S81" s="9" t="n">
        <v>2503904</v>
      </c>
      <c r="T81" s="11" t="n">
        <f aca="false">R81/S81</f>
        <v>0.641082884966836</v>
      </c>
      <c r="U81" s="9" t="n">
        <f aca="false">D81+E81+G81</f>
        <v>778236</v>
      </c>
      <c r="V81" s="9" t="n">
        <f aca="false">H81+J81+K81</f>
        <v>340787</v>
      </c>
      <c r="W81" s="9" t="n">
        <f aca="false">I81+F81+L81</f>
        <v>392619</v>
      </c>
      <c r="X81" s="11" t="n">
        <f aca="false">Q81/R81</f>
        <v>0.0517950922309231</v>
      </c>
    </row>
    <row r="82" customFormat="false" ht="15" hidden="false" customHeight="false" outlineLevel="0" collapsed="false">
      <c r="A82" s="14" t="s">
        <v>39</v>
      </c>
      <c r="B82" s="14" t="n">
        <v>2018</v>
      </c>
      <c r="C82" s="14" t="s">
        <v>94</v>
      </c>
      <c r="D82" s="9" t="n">
        <v>643912</v>
      </c>
      <c r="E82" s="9" t="n">
        <v>61675</v>
      </c>
      <c r="F82" s="9" t="n">
        <v>35783</v>
      </c>
      <c r="G82" s="9" t="n">
        <v>52030</v>
      </c>
      <c r="H82" s="9" t="n">
        <v>131806</v>
      </c>
      <c r="I82" s="9" t="n">
        <v>267452</v>
      </c>
      <c r="J82" s="9" t="n">
        <v>43300</v>
      </c>
      <c r="K82" s="9" t="n">
        <v>22114</v>
      </c>
      <c r="L82" s="9" t="n">
        <v>59745</v>
      </c>
      <c r="M82" s="9" t="n">
        <v>0</v>
      </c>
      <c r="N82" s="9" t="n">
        <v>0</v>
      </c>
      <c r="O82" s="9" t="n">
        <v>4673</v>
      </c>
      <c r="P82" s="9" t="n">
        <v>465</v>
      </c>
      <c r="Q82" s="9" t="n">
        <v>64262</v>
      </c>
      <c r="R82" s="9" t="n">
        <v>1387217</v>
      </c>
      <c r="S82" s="9" t="n">
        <v>2118481</v>
      </c>
      <c r="T82" s="11" t="n">
        <f aca="false">R82/S82</f>
        <v>0.654816823941305</v>
      </c>
      <c r="U82" s="9" t="n">
        <f aca="false">D82+E82+G82</f>
        <v>757617</v>
      </c>
      <c r="V82" s="9" t="n">
        <f aca="false">H82+J82+K82</f>
        <v>197220</v>
      </c>
      <c r="W82" s="9" t="n">
        <f aca="false">I82+F82+L82</f>
        <v>362980</v>
      </c>
      <c r="X82" s="11" t="n">
        <f aca="false">Q82/R82</f>
        <v>0.0463244034639137</v>
      </c>
    </row>
    <row r="83" customFormat="false" ht="15" hidden="false" customHeight="false" outlineLevel="0" collapsed="false">
      <c r="A83" s="14" t="s">
        <v>39</v>
      </c>
      <c r="B83" s="14" t="n">
        <v>2018</v>
      </c>
      <c r="C83" s="14" t="s">
        <v>95</v>
      </c>
      <c r="D83" s="9" t="n">
        <v>858069</v>
      </c>
      <c r="E83" s="9" t="n">
        <v>79497</v>
      </c>
      <c r="F83" s="9" t="n">
        <v>159568</v>
      </c>
      <c r="G83" s="9" t="n">
        <v>74210</v>
      </c>
      <c r="H83" s="9" t="n">
        <v>552146</v>
      </c>
      <c r="I83" s="9" t="n">
        <v>514668</v>
      </c>
      <c r="J83" s="9" t="n">
        <v>52624</v>
      </c>
      <c r="K83" s="9" t="n">
        <v>830766</v>
      </c>
      <c r="L83" s="9" t="n">
        <v>88182</v>
      </c>
      <c r="M83" s="9" t="n">
        <v>0</v>
      </c>
      <c r="N83" s="9" t="n">
        <v>0</v>
      </c>
      <c r="O83" s="9" t="n">
        <v>146701</v>
      </c>
      <c r="P83" s="9" t="n">
        <v>1824</v>
      </c>
      <c r="Q83" s="9" t="n">
        <v>123165</v>
      </c>
      <c r="R83" s="9" t="n">
        <v>3481420</v>
      </c>
      <c r="S83" s="9" t="n">
        <v>5896959</v>
      </c>
      <c r="T83" s="11" t="n">
        <f aca="false">R83/S83</f>
        <v>0.590375479971965</v>
      </c>
      <c r="U83" s="9" t="n">
        <f aca="false">D83+E83+G83</f>
        <v>1011776</v>
      </c>
      <c r="V83" s="9" t="n">
        <f aca="false">H83+J83+K83</f>
        <v>1435536</v>
      </c>
      <c r="W83" s="9" t="n">
        <f aca="false">I83+F83+L83</f>
        <v>762418</v>
      </c>
      <c r="X83" s="11" t="n">
        <f aca="false">Q83/R83</f>
        <v>0.0353778056080565</v>
      </c>
    </row>
    <row r="84" customFormat="false" ht="15" hidden="false" customHeight="false" outlineLevel="0" collapsed="false">
      <c r="A84" s="14" t="s">
        <v>39</v>
      </c>
      <c r="B84" s="14" t="n">
        <v>2018</v>
      </c>
      <c r="C84" s="14" t="s">
        <v>96</v>
      </c>
      <c r="D84" s="9" t="n">
        <v>3384915</v>
      </c>
      <c r="E84" s="9" t="n">
        <v>266892</v>
      </c>
      <c r="F84" s="9" t="n">
        <v>332900</v>
      </c>
      <c r="G84" s="9" t="n">
        <v>197905</v>
      </c>
      <c r="H84" s="9" t="n">
        <v>1151816</v>
      </c>
      <c r="I84" s="9" t="n">
        <v>1579005</v>
      </c>
      <c r="J84" s="9" t="n">
        <v>466526</v>
      </c>
      <c r="K84" s="9" t="n">
        <v>186662</v>
      </c>
      <c r="L84" s="9" t="n">
        <v>200339</v>
      </c>
      <c r="M84" s="9" t="n">
        <v>0</v>
      </c>
      <c r="N84" s="9" t="n">
        <v>0</v>
      </c>
      <c r="O84" s="9" t="n">
        <v>0</v>
      </c>
      <c r="P84" s="9" t="n">
        <v>4392</v>
      </c>
      <c r="Q84" s="9" t="n">
        <v>234254</v>
      </c>
      <c r="R84" s="9" t="n">
        <v>8005606</v>
      </c>
      <c r="S84" s="9" t="n">
        <v>11832184</v>
      </c>
      <c r="T84" s="11" t="n">
        <f aca="false">R84/S84</f>
        <v>0.676595800065313</v>
      </c>
      <c r="U84" s="9" t="n">
        <f aca="false">D84+E84+G84</f>
        <v>3849712</v>
      </c>
      <c r="V84" s="9" t="n">
        <f aca="false">H84+J84+K84</f>
        <v>1805004</v>
      </c>
      <c r="W84" s="9" t="n">
        <f aca="false">I84+F84+L84</f>
        <v>2112244</v>
      </c>
      <c r="X84" s="11" t="n">
        <f aca="false">Q84/R84</f>
        <v>0.0292612451824384</v>
      </c>
    </row>
    <row r="85" customFormat="false" ht="15" hidden="false" customHeight="false" outlineLevel="0" collapsed="false">
      <c r="A85" s="14" t="s">
        <v>39</v>
      </c>
      <c r="B85" s="14" t="n">
        <v>2018</v>
      </c>
      <c r="C85" s="14" t="s">
        <v>97</v>
      </c>
      <c r="D85" s="9" t="n">
        <v>575449</v>
      </c>
      <c r="E85" s="9" t="n">
        <v>113898</v>
      </c>
      <c r="F85" s="9" t="n">
        <v>148226</v>
      </c>
      <c r="G85" s="9" t="n">
        <v>48143</v>
      </c>
      <c r="H85" s="9" t="n">
        <v>235348</v>
      </c>
      <c r="I85" s="9" t="n">
        <v>306741</v>
      </c>
      <c r="J85" s="9" t="n">
        <v>277089</v>
      </c>
      <c r="K85" s="9" t="n">
        <v>58205</v>
      </c>
      <c r="L85" s="9" t="n">
        <v>46257</v>
      </c>
      <c r="M85" s="9" t="n">
        <v>0</v>
      </c>
      <c r="N85" s="9" t="n">
        <v>0</v>
      </c>
      <c r="O85" s="9" t="n">
        <v>44208</v>
      </c>
      <c r="P85" s="9" t="n">
        <v>1182</v>
      </c>
      <c r="Q85" s="9" t="n">
        <v>118227</v>
      </c>
      <c r="R85" s="9" t="n">
        <v>1972973</v>
      </c>
      <c r="S85" s="9" t="n">
        <v>3368021</v>
      </c>
      <c r="T85" s="11" t="n">
        <f aca="false">R85/S85</f>
        <v>0.585795931794962</v>
      </c>
      <c r="U85" s="9" t="n">
        <f aca="false">D85+E85+G85</f>
        <v>737490</v>
      </c>
      <c r="V85" s="9" t="n">
        <f aca="false">H85+J85+K85</f>
        <v>570642</v>
      </c>
      <c r="W85" s="9" t="n">
        <f aca="false">I85+F85+L85</f>
        <v>501224</v>
      </c>
      <c r="X85" s="11" t="n">
        <f aca="false">Q85/R85</f>
        <v>0.059923273151736</v>
      </c>
    </row>
    <row r="86" customFormat="false" ht="15" hidden="false" customHeight="false" outlineLevel="0" collapsed="false">
      <c r="A86" s="14" t="s">
        <v>39</v>
      </c>
      <c r="B86" s="14" t="n">
        <v>2018</v>
      </c>
      <c r="C86" s="14" t="s">
        <v>98</v>
      </c>
      <c r="D86" s="9" t="n">
        <v>353392</v>
      </c>
      <c r="E86" s="9" t="n">
        <v>49627</v>
      </c>
      <c r="F86" s="9" t="n">
        <v>52331</v>
      </c>
      <c r="G86" s="9" t="n">
        <v>43868</v>
      </c>
      <c r="H86" s="9" t="n">
        <v>90504</v>
      </c>
      <c r="I86" s="9" t="n">
        <v>86841</v>
      </c>
      <c r="J86" s="9" t="n">
        <v>104451</v>
      </c>
      <c r="K86" s="9" t="n">
        <v>40151</v>
      </c>
      <c r="L86" s="9" t="n">
        <v>38082</v>
      </c>
      <c r="M86" s="9" t="n">
        <v>0</v>
      </c>
      <c r="N86" s="9" t="n">
        <v>0</v>
      </c>
      <c r="O86" s="9" t="n">
        <v>51603</v>
      </c>
      <c r="P86" s="9" t="n">
        <v>732</v>
      </c>
      <c r="Q86" s="9" t="n">
        <v>50427</v>
      </c>
      <c r="R86" s="9" t="n">
        <v>962009</v>
      </c>
      <c r="S86" s="9" t="n">
        <v>1439365</v>
      </c>
      <c r="T86" s="11" t="n">
        <f aca="false">R86/S86</f>
        <v>0.668356532220806</v>
      </c>
      <c r="U86" s="9" t="n">
        <f aca="false">D86+E86+G86</f>
        <v>446887</v>
      </c>
      <c r="V86" s="9" t="n">
        <f aca="false">H86+J86+K86</f>
        <v>235106</v>
      </c>
      <c r="W86" s="9" t="n">
        <f aca="false">I86+F86+L86</f>
        <v>177254</v>
      </c>
      <c r="X86" s="11" t="n">
        <f aca="false">Q86/R86</f>
        <v>0.0524184285178205</v>
      </c>
    </row>
    <row r="87" customFormat="false" ht="15" hidden="false" customHeight="false" outlineLevel="0" collapsed="false">
      <c r="A87" s="14" t="s">
        <v>39</v>
      </c>
      <c r="B87" s="14" t="n">
        <v>2018</v>
      </c>
      <c r="C87" s="14" t="s">
        <v>99</v>
      </c>
      <c r="D87" s="9" t="n">
        <v>217673</v>
      </c>
      <c r="E87" s="9" t="n">
        <v>25202</v>
      </c>
      <c r="F87" s="9" t="n">
        <v>9389</v>
      </c>
      <c r="G87" s="9" t="n">
        <v>11933</v>
      </c>
      <c r="H87" s="9" t="n">
        <v>76217</v>
      </c>
      <c r="I87" s="9" t="n">
        <v>62814</v>
      </c>
      <c r="J87" s="9" t="n">
        <v>20666</v>
      </c>
      <c r="K87" s="9" t="n">
        <v>27413</v>
      </c>
      <c r="L87" s="9" t="n">
        <v>11986</v>
      </c>
      <c r="M87" s="9" t="n">
        <v>0</v>
      </c>
      <c r="N87" s="9" t="n">
        <v>0</v>
      </c>
      <c r="O87" s="9" t="n">
        <v>0</v>
      </c>
      <c r="P87" s="9" t="n">
        <v>172</v>
      </c>
      <c r="Q87" s="9" t="n">
        <v>18847</v>
      </c>
      <c r="R87" s="9" t="n">
        <v>482312</v>
      </c>
      <c r="S87" s="9" t="n">
        <v>846811</v>
      </c>
      <c r="T87" s="11" t="n">
        <f aca="false">R87/S87</f>
        <v>0.569562747767802</v>
      </c>
      <c r="U87" s="9" t="n">
        <f aca="false">D87+E87+G87</f>
        <v>254808</v>
      </c>
      <c r="V87" s="9" t="n">
        <f aca="false">H87+J87+K87</f>
        <v>124296</v>
      </c>
      <c r="W87" s="9" t="n">
        <f aca="false">I87+F87+L87</f>
        <v>84189</v>
      </c>
      <c r="X87" s="11" t="n">
        <f aca="false">Q87/R87</f>
        <v>0.0390763655061454</v>
      </c>
    </row>
    <row r="88" customFormat="false" ht="15" hidden="false" customHeight="false" outlineLevel="0" collapsed="false">
      <c r="A88" s="14" t="s">
        <v>39</v>
      </c>
      <c r="B88" s="14" t="n">
        <v>2018</v>
      </c>
      <c r="C88" s="14" t="s">
        <v>100</v>
      </c>
      <c r="D88" s="9" t="n">
        <v>398618</v>
      </c>
      <c r="E88" s="9" t="n">
        <v>98754</v>
      </c>
      <c r="F88" s="9" t="n">
        <v>105443</v>
      </c>
      <c r="G88" s="9" t="n">
        <v>40124</v>
      </c>
      <c r="H88" s="9" t="n">
        <v>611652</v>
      </c>
      <c r="I88" s="9" t="n">
        <v>396298</v>
      </c>
      <c r="J88" s="9" t="n">
        <v>20796</v>
      </c>
      <c r="K88" s="9" t="n">
        <v>229675</v>
      </c>
      <c r="L88" s="9" t="n">
        <v>65362</v>
      </c>
      <c r="M88" s="9" t="n">
        <v>0</v>
      </c>
      <c r="N88" s="9" t="n">
        <v>0</v>
      </c>
      <c r="O88" s="9" t="n">
        <v>131476</v>
      </c>
      <c r="P88" s="9" t="n">
        <v>1829</v>
      </c>
      <c r="Q88" s="9" t="n">
        <v>69216</v>
      </c>
      <c r="R88" s="9" t="n">
        <v>2169243</v>
      </c>
      <c r="S88" s="9" t="n">
        <v>3899320</v>
      </c>
      <c r="T88" s="11" t="n">
        <f aca="false">R88/S88</f>
        <v>0.556313152036765</v>
      </c>
      <c r="U88" s="9" t="n">
        <f aca="false">D88+E88+G88</f>
        <v>537496</v>
      </c>
      <c r="V88" s="9" t="n">
        <f aca="false">H88+J88+K88</f>
        <v>862123</v>
      </c>
      <c r="W88" s="9" t="n">
        <f aca="false">I88+F88+L88</f>
        <v>567103</v>
      </c>
      <c r="X88" s="11" t="n">
        <f aca="false">Q88/R88</f>
        <v>0.031907905200109</v>
      </c>
    </row>
    <row r="89" customFormat="false" ht="15" hidden="false" customHeight="false" outlineLevel="0" collapsed="false">
      <c r="A89" s="14" t="s">
        <v>39</v>
      </c>
      <c r="B89" s="14" t="n">
        <v>2018</v>
      </c>
      <c r="C89" s="14" t="s">
        <v>101</v>
      </c>
      <c r="D89" s="9" t="n">
        <v>900824</v>
      </c>
      <c r="E89" s="9" t="n">
        <v>122680</v>
      </c>
      <c r="F89" s="9" t="n">
        <v>60142</v>
      </c>
      <c r="G89" s="9" t="n">
        <v>39378</v>
      </c>
      <c r="H89" s="9" t="n">
        <v>127658</v>
      </c>
      <c r="I89" s="9" t="n">
        <v>344526</v>
      </c>
      <c r="J89" s="9" t="n">
        <v>135774</v>
      </c>
      <c r="K89" s="9" t="n">
        <v>40218</v>
      </c>
      <c r="L89" s="9" t="n">
        <v>58741</v>
      </c>
      <c r="M89" s="9" t="n">
        <v>0</v>
      </c>
      <c r="N89" s="9" t="n">
        <v>0</v>
      </c>
      <c r="O89" s="9" t="n">
        <v>5218</v>
      </c>
      <c r="P89" s="9" t="n">
        <v>629</v>
      </c>
      <c r="Q89" s="9" t="n">
        <v>85821</v>
      </c>
      <c r="R89" s="9" t="n">
        <v>1921609</v>
      </c>
      <c r="S89" s="9" t="n">
        <v>2859593</v>
      </c>
      <c r="T89" s="11" t="n">
        <f aca="false">R89/S89</f>
        <v>0.6719868876445</v>
      </c>
      <c r="U89" s="9" t="n">
        <f aca="false">D89+E89+G89</f>
        <v>1062882</v>
      </c>
      <c r="V89" s="9" t="n">
        <f aca="false">H89+J89+K89</f>
        <v>303650</v>
      </c>
      <c r="W89" s="9" t="n">
        <f aca="false">I89+F89+L89</f>
        <v>463409</v>
      </c>
      <c r="X89" s="11" t="n">
        <f aca="false">Q89/R89</f>
        <v>0.0446610106426437</v>
      </c>
    </row>
    <row r="90" customFormat="false" ht="15" hidden="false" customHeight="false" outlineLevel="0" collapsed="false">
      <c r="A90" s="14" t="s">
        <v>39</v>
      </c>
      <c r="B90" s="14" t="n">
        <v>2018</v>
      </c>
      <c r="C90" s="14" t="s">
        <v>102</v>
      </c>
      <c r="D90" s="9" t="n">
        <v>1208712</v>
      </c>
      <c r="E90" s="9" t="n">
        <v>121957</v>
      </c>
      <c r="F90" s="9" t="n">
        <v>124281</v>
      </c>
      <c r="G90" s="9" t="n">
        <v>57850</v>
      </c>
      <c r="H90" s="9" t="n">
        <v>624244</v>
      </c>
      <c r="I90" s="9" t="n">
        <v>508176</v>
      </c>
      <c r="J90" s="9" t="n">
        <v>81813</v>
      </c>
      <c r="K90" s="9" t="n">
        <v>108013</v>
      </c>
      <c r="L90" s="9" t="n">
        <v>79391</v>
      </c>
      <c r="M90" s="9" t="n">
        <v>0</v>
      </c>
      <c r="N90" s="9" t="n">
        <v>0</v>
      </c>
      <c r="O90" s="9" t="n">
        <v>0</v>
      </c>
      <c r="P90" s="9" t="n">
        <v>1262</v>
      </c>
      <c r="Q90" s="9" t="n">
        <v>147783</v>
      </c>
      <c r="R90" s="9" t="n">
        <v>3063482</v>
      </c>
      <c r="S90" s="9" t="n">
        <v>4456816</v>
      </c>
      <c r="T90" s="11" t="n">
        <f aca="false">R90/S90</f>
        <v>0.687370086626866</v>
      </c>
      <c r="U90" s="9" t="n">
        <f aca="false">D90+E90+G90</f>
        <v>1388519</v>
      </c>
      <c r="V90" s="9" t="n">
        <f aca="false">H90+J90+K90</f>
        <v>814070</v>
      </c>
      <c r="W90" s="9" t="n">
        <f aca="false">I90+F90+L90</f>
        <v>711848</v>
      </c>
      <c r="X90" s="11" t="n">
        <f aca="false">Q90/R90</f>
        <v>0.0482402050999484</v>
      </c>
    </row>
    <row r="91" customFormat="false" ht="15" hidden="false" customHeight="false" outlineLevel="0" collapsed="false">
      <c r="A91" s="14" t="s">
        <v>39</v>
      </c>
      <c r="B91" s="14" t="n">
        <v>2018</v>
      </c>
      <c r="C91" s="14" t="s">
        <v>103</v>
      </c>
      <c r="D91" s="9" t="n">
        <v>281851</v>
      </c>
      <c r="E91" s="9" t="n">
        <v>28799</v>
      </c>
      <c r="F91" s="9" t="n">
        <v>49092</v>
      </c>
      <c r="G91" s="9" t="n">
        <v>26244</v>
      </c>
      <c r="H91" s="9" t="n">
        <v>320097</v>
      </c>
      <c r="I91" s="9" t="n">
        <v>182796</v>
      </c>
      <c r="J91" s="9" t="n">
        <v>22457</v>
      </c>
      <c r="K91" s="9" t="n">
        <v>22508</v>
      </c>
      <c r="L91" s="9" t="n">
        <v>22462</v>
      </c>
      <c r="M91" s="9" t="n">
        <v>0</v>
      </c>
      <c r="N91" s="9" t="n">
        <v>0</v>
      </c>
      <c r="O91" s="9" t="n">
        <v>0</v>
      </c>
      <c r="P91" s="9" t="n">
        <v>901</v>
      </c>
      <c r="Q91" s="9" t="n">
        <v>47691</v>
      </c>
      <c r="R91" s="9" t="n">
        <v>1004898</v>
      </c>
      <c r="S91" s="9" t="n">
        <v>1582953</v>
      </c>
      <c r="T91" s="11" t="n">
        <f aca="false">R91/S91</f>
        <v>0.634824912679025</v>
      </c>
      <c r="U91" s="9" t="n">
        <f aca="false">D91+E91+G91</f>
        <v>336894</v>
      </c>
      <c r="V91" s="9" t="n">
        <f aca="false">H91+J91+K91</f>
        <v>365062</v>
      </c>
      <c r="W91" s="9" t="n">
        <f aca="false">I91+F91+L91</f>
        <v>254350</v>
      </c>
      <c r="X91" s="11" t="n">
        <f aca="false">Q91/R91</f>
        <v>0.0474585480317405</v>
      </c>
    </row>
    <row r="92" customFormat="false" ht="15" hidden="false" customHeight="false" outlineLevel="0" collapsed="false">
      <c r="A92" s="14" t="s">
        <v>39</v>
      </c>
      <c r="B92" s="14" t="n">
        <v>2018</v>
      </c>
      <c r="C92" s="14" t="s">
        <v>104</v>
      </c>
      <c r="D92" s="9" t="n">
        <v>363251</v>
      </c>
      <c r="E92" s="9" t="n">
        <v>33061</v>
      </c>
      <c r="F92" s="9" t="n">
        <v>27593</v>
      </c>
      <c r="G92" s="9" t="n">
        <v>29238</v>
      </c>
      <c r="H92" s="9" t="n">
        <v>105685</v>
      </c>
      <c r="I92" s="9" t="n">
        <v>73839</v>
      </c>
      <c r="J92" s="9" t="n">
        <v>26326</v>
      </c>
      <c r="K92" s="9" t="n">
        <v>21984</v>
      </c>
      <c r="L92" s="9" t="n">
        <v>13949</v>
      </c>
      <c r="M92" s="9" t="n">
        <v>0</v>
      </c>
      <c r="N92" s="9" t="n">
        <v>0</v>
      </c>
      <c r="O92" s="9" t="n">
        <v>0</v>
      </c>
      <c r="P92" s="9" t="n">
        <v>624</v>
      </c>
      <c r="Q92" s="9" t="n">
        <v>25655</v>
      </c>
      <c r="R92" s="9" t="n">
        <v>721205</v>
      </c>
      <c r="S92" s="9" t="n">
        <v>1208666</v>
      </c>
      <c r="T92" s="11" t="n">
        <f aca="false">R92/S92</f>
        <v>0.596695034029252</v>
      </c>
      <c r="U92" s="9" t="n">
        <f aca="false">D92+E92+G92</f>
        <v>425550</v>
      </c>
      <c r="V92" s="9" t="n">
        <f aca="false">H92+J92+K92</f>
        <v>153995</v>
      </c>
      <c r="W92" s="9" t="n">
        <f aca="false">I92+F92+L92</f>
        <v>115381</v>
      </c>
      <c r="X92" s="11" t="n">
        <f aca="false">Q92/R92</f>
        <v>0.0355724100637128</v>
      </c>
    </row>
    <row r="93" customFormat="false" ht="15" hidden="false" customHeight="false" outlineLevel="0" collapsed="false">
      <c r="A93" s="14" t="s">
        <v>39</v>
      </c>
      <c r="B93" s="14" t="n">
        <v>2018</v>
      </c>
      <c r="C93" s="14" t="s">
        <v>105</v>
      </c>
      <c r="D93" s="9" t="n">
        <v>293870</v>
      </c>
      <c r="E93" s="9" t="n">
        <v>46506</v>
      </c>
      <c r="F93" s="9" t="n">
        <v>74282</v>
      </c>
      <c r="G93" s="9" t="n">
        <v>22915</v>
      </c>
      <c r="H93" s="9" t="n">
        <v>276286</v>
      </c>
      <c r="I93" s="9" t="n">
        <v>241838</v>
      </c>
      <c r="J93" s="9" t="n">
        <v>142484</v>
      </c>
      <c r="K93" s="9" t="n">
        <v>37719</v>
      </c>
      <c r="L93" s="9" t="n">
        <v>39297</v>
      </c>
      <c r="M93" s="9" t="n">
        <v>0</v>
      </c>
      <c r="N93" s="9" t="n">
        <v>0</v>
      </c>
      <c r="O93" s="9" t="n">
        <v>0</v>
      </c>
      <c r="P93" s="9" t="n">
        <v>964</v>
      </c>
      <c r="Q93" s="9" t="n">
        <v>77478</v>
      </c>
      <c r="R93" s="9" t="n">
        <v>1253639</v>
      </c>
      <c r="S93" s="9" t="n">
        <v>1974326</v>
      </c>
      <c r="T93" s="11" t="n">
        <f aca="false">R93/S93</f>
        <v>0.634970617820968</v>
      </c>
      <c r="U93" s="9" t="n">
        <f aca="false">D93+E93+G93</f>
        <v>363291</v>
      </c>
      <c r="V93" s="9" t="n">
        <f aca="false">H93+J93+K93</f>
        <v>456489</v>
      </c>
      <c r="W93" s="9" t="n">
        <f aca="false">I93+F93+L93</f>
        <v>355417</v>
      </c>
      <c r="X93" s="11" t="n">
        <f aca="false">Q93/R93</f>
        <v>0.0618024806184236</v>
      </c>
    </row>
    <row r="94" customFormat="false" ht="15" hidden="false" customHeight="false" outlineLevel="0" collapsed="false">
      <c r="A94" s="14" t="s">
        <v>39</v>
      </c>
      <c r="B94" s="14" t="n">
        <v>2018</v>
      </c>
      <c r="C94" s="14" t="s">
        <v>106</v>
      </c>
      <c r="D94" s="9" t="n">
        <v>579671</v>
      </c>
      <c r="E94" s="9" t="n">
        <v>46258</v>
      </c>
      <c r="F94" s="9" t="n">
        <v>29807</v>
      </c>
      <c r="G94" s="9" t="n">
        <v>22929</v>
      </c>
      <c r="H94" s="9" t="n">
        <v>160617</v>
      </c>
      <c r="I94" s="9" t="n">
        <v>302250</v>
      </c>
      <c r="J94" s="9" t="n">
        <v>27680</v>
      </c>
      <c r="K94" s="9" t="n">
        <v>38952</v>
      </c>
      <c r="L94" s="9" t="n">
        <v>27182</v>
      </c>
      <c r="M94" s="9" t="n">
        <v>0</v>
      </c>
      <c r="N94" s="9" t="n">
        <v>0</v>
      </c>
      <c r="O94" s="9" t="n">
        <v>18049</v>
      </c>
      <c r="P94" s="9" t="n">
        <v>419</v>
      </c>
      <c r="Q94" s="9" t="n">
        <v>38978</v>
      </c>
      <c r="R94" s="9" t="n">
        <v>1292792</v>
      </c>
      <c r="S94" s="9" t="n">
        <v>2135258</v>
      </c>
      <c r="T94" s="11" t="n">
        <f aca="false">R94/S94</f>
        <v>0.605450020559576</v>
      </c>
      <c r="U94" s="9" t="n">
        <f aca="false">D94+E94+G94</f>
        <v>648858</v>
      </c>
      <c r="V94" s="9" t="n">
        <f aca="false">H94+J94+K94</f>
        <v>227249</v>
      </c>
      <c r="W94" s="9" t="n">
        <f aca="false">I94+F94+L94</f>
        <v>359239</v>
      </c>
      <c r="X94" s="11" t="n">
        <f aca="false">Q94/R94</f>
        <v>0.0301502484545078</v>
      </c>
    </row>
    <row r="95" customFormat="false" ht="15" hidden="false" customHeight="false" outlineLevel="0" collapsed="false">
      <c r="A95" s="14" t="s">
        <v>39</v>
      </c>
      <c r="B95" s="14" t="n">
        <v>2018</v>
      </c>
      <c r="C95" s="14" t="s">
        <v>107</v>
      </c>
      <c r="D95" s="9" t="n">
        <v>451295</v>
      </c>
      <c r="E95" s="9" t="n">
        <v>41451</v>
      </c>
      <c r="F95" s="9" t="n">
        <v>26884</v>
      </c>
      <c r="G95" s="9" t="n">
        <v>16895</v>
      </c>
      <c r="H95" s="9" t="n">
        <v>148221</v>
      </c>
      <c r="I95" s="9" t="n">
        <v>253708</v>
      </c>
      <c r="J95" s="9" t="n">
        <v>19169</v>
      </c>
      <c r="K95" s="9" t="n">
        <v>52156</v>
      </c>
      <c r="L95" s="9" t="n">
        <v>22989</v>
      </c>
      <c r="M95" s="9" t="n">
        <v>0</v>
      </c>
      <c r="N95" s="9" t="n">
        <v>0</v>
      </c>
      <c r="O95" s="9" t="n">
        <v>18256</v>
      </c>
      <c r="P95" s="9" t="n">
        <v>444</v>
      </c>
      <c r="Q95" s="9" t="n">
        <v>36637</v>
      </c>
      <c r="R95" s="9" t="n">
        <v>1088105</v>
      </c>
      <c r="S95" s="9" t="n">
        <v>2093132</v>
      </c>
      <c r="T95" s="11" t="n">
        <f aca="false">R95/S95</f>
        <v>0.519845380033366</v>
      </c>
      <c r="U95" s="9" t="n">
        <f aca="false">D95+E95+G95</f>
        <v>509641</v>
      </c>
      <c r="V95" s="9" t="n">
        <f aca="false">H95+J95+K95</f>
        <v>219546</v>
      </c>
      <c r="W95" s="9" t="n">
        <f aca="false">I95+F95+L95</f>
        <v>303581</v>
      </c>
      <c r="X95" s="11" t="n">
        <f aca="false">Q95/R95</f>
        <v>0.0336704637879616</v>
      </c>
    </row>
    <row r="96" customFormat="false" ht="15" hidden="false" customHeight="false" outlineLevel="0" collapsed="false">
      <c r="A96" s="14" t="s">
        <v>39</v>
      </c>
      <c r="B96" s="14" t="n">
        <v>2018</v>
      </c>
      <c r="C96" s="14" t="s">
        <v>108</v>
      </c>
      <c r="D96" s="9" t="n">
        <v>769704</v>
      </c>
      <c r="E96" s="9" t="n">
        <v>25811</v>
      </c>
      <c r="F96" s="9" t="n">
        <v>51698</v>
      </c>
      <c r="G96" s="9" t="n">
        <v>22609</v>
      </c>
      <c r="H96" s="9" t="n">
        <v>19568</v>
      </c>
      <c r="I96" s="9" t="n">
        <v>112378</v>
      </c>
      <c r="J96" s="9" t="n">
        <v>115191</v>
      </c>
      <c r="K96" s="9" t="n">
        <v>21368</v>
      </c>
      <c r="L96" s="9" t="n">
        <v>14373</v>
      </c>
      <c r="M96" s="9" t="n">
        <v>0</v>
      </c>
      <c r="N96" s="9" t="n">
        <v>0</v>
      </c>
      <c r="O96" s="9" t="n">
        <v>6482</v>
      </c>
      <c r="P96" s="9" t="n">
        <v>476</v>
      </c>
      <c r="Q96" s="9" t="n">
        <v>41100</v>
      </c>
      <c r="R96" s="9" t="n">
        <v>1200758</v>
      </c>
      <c r="S96" s="9" t="n">
        <v>1687618</v>
      </c>
      <c r="T96" s="11" t="n">
        <f aca="false">R96/S96</f>
        <v>0.711510543262753</v>
      </c>
      <c r="U96" s="9" t="n">
        <f aca="false">D96+E96+G96</f>
        <v>818124</v>
      </c>
      <c r="V96" s="9" t="n">
        <f aca="false">H96+J96+K96</f>
        <v>156127</v>
      </c>
      <c r="W96" s="9" t="n">
        <f aca="false">I96+F96+L96</f>
        <v>178449</v>
      </c>
      <c r="X96" s="11" t="n">
        <f aca="false">Q96/R96</f>
        <v>0.034228379073885</v>
      </c>
    </row>
    <row r="97" customFormat="false" ht="15" hidden="false" customHeight="false" outlineLevel="0" collapsed="false">
      <c r="A97" s="14" t="s">
        <v>39</v>
      </c>
      <c r="B97" s="14" t="n">
        <v>2018</v>
      </c>
      <c r="C97" s="14" t="s">
        <v>109</v>
      </c>
      <c r="D97" s="9" t="n">
        <v>528573</v>
      </c>
      <c r="E97" s="9" t="n">
        <v>44226</v>
      </c>
      <c r="F97" s="9" t="n">
        <v>40094</v>
      </c>
      <c r="G97" s="9" t="n">
        <v>31444</v>
      </c>
      <c r="H97" s="9" t="n">
        <v>544541</v>
      </c>
      <c r="I97" s="9" t="n">
        <v>300747</v>
      </c>
      <c r="J97" s="9" t="n">
        <v>21750</v>
      </c>
      <c r="K97" s="9" t="n">
        <v>36557</v>
      </c>
      <c r="L97" s="9" t="n">
        <v>24499</v>
      </c>
      <c r="M97" s="9" t="n">
        <v>0</v>
      </c>
      <c r="N97" s="9" t="n">
        <v>0</v>
      </c>
      <c r="O97" s="9" t="n">
        <v>7887</v>
      </c>
      <c r="P97" s="9" t="n">
        <v>1310</v>
      </c>
      <c r="Q97" s="9" t="n">
        <v>47200</v>
      </c>
      <c r="R97" s="9" t="n">
        <v>1628828</v>
      </c>
      <c r="S97" s="9" t="n">
        <v>2628745</v>
      </c>
      <c r="T97" s="11" t="n">
        <f aca="false">R97/S97</f>
        <v>0.619621910835779</v>
      </c>
      <c r="U97" s="9" t="n">
        <f aca="false">D97+E97+G97</f>
        <v>604243</v>
      </c>
      <c r="V97" s="9" t="n">
        <f aca="false">H97+J97+K97</f>
        <v>602848</v>
      </c>
      <c r="W97" s="9" t="n">
        <f aca="false">I97+F97+L97</f>
        <v>365340</v>
      </c>
      <c r="X97" s="11" t="n">
        <f aca="false">Q97/R97</f>
        <v>0.0289778908515816</v>
      </c>
    </row>
    <row r="98" customFormat="false" ht="15" hidden="false" customHeight="false" outlineLevel="0" collapsed="false">
      <c r="A98" s="14" t="s">
        <v>39</v>
      </c>
      <c r="B98" s="14" t="n">
        <v>2018</v>
      </c>
      <c r="C98" s="14" t="s">
        <v>110</v>
      </c>
      <c r="D98" s="9" t="n">
        <v>299305</v>
      </c>
      <c r="E98" s="9" t="n">
        <v>37152</v>
      </c>
      <c r="F98" s="9" t="n">
        <v>15831</v>
      </c>
      <c r="G98" s="9" t="n">
        <v>16186</v>
      </c>
      <c r="H98" s="9" t="n">
        <v>73131</v>
      </c>
      <c r="I98" s="9" t="n">
        <v>89498</v>
      </c>
      <c r="J98" s="9" t="n">
        <v>22618</v>
      </c>
      <c r="K98" s="9" t="n">
        <v>17381</v>
      </c>
      <c r="L98" s="9" t="n">
        <v>14318</v>
      </c>
      <c r="M98" s="9" t="n">
        <v>0</v>
      </c>
      <c r="N98" s="9" t="n">
        <v>0</v>
      </c>
      <c r="O98" s="9" t="n">
        <v>0</v>
      </c>
      <c r="P98" s="9" t="n">
        <v>1179</v>
      </c>
      <c r="Q98" s="9" t="n">
        <v>23824</v>
      </c>
      <c r="R98" s="9" t="n">
        <v>610423</v>
      </c>
      <c r="S98" s="9" t="n">
        <v>922016</v>
      </c>
      <c r="T98" s="11" t="n">
        <f aca="false">R98/S98</f>
        <v>0.662052502342693</v>
      </c>
      <c r="U98" s="9" t="n">
        <f aca="false">D98+E98+G98</f>
        <v>352643</v>
      </c>
      <c r="V98" s="9" t="n">
        <f aca="false">H98+J98+K98</f>
        <v>113130</v>
      </c>
      <c r="W98" s="9" t="n">
        <f aca="false">I98+F98+L98</f>
        <v>119647</v>
      </c>
      <c r="X98" s="11" t="n">
        <f aca="false">Q98/R98</f>
        <v>0.0390286735591549</v>
      </c>
    </row>
    <row r="99" customFormat="false" ht="15" hidden="false" customHeight="false" outlineLevel="0" collapsed="false">
      <c r="A99" s="14" t="s">
        <v>39</v>
      </c>
      <c r="B99" s="14" t="n">
        <v>2018</v>
      </c>
      <c r="C99" s="14" t="s">
        <v>111</v>
      </c>
      <c r="D99" s="9" t="n">
        <v>1578466</v>
      </c>
      <c r="E99" s="9" t="n">
        <v>90254</v>
      </c>
      <c r="F99" s="9" t="n">
        <v>142786</v>
      </c>
      <c r="G99" s="9" t="n">
        <v>55575</v>
      </c>
      <c r="H99" s="9" t="n">
        <v>976385</v>
      </c>
      <c r="I99" s="9" t="n">
        <v>457069</v>
      </c>
      <c r="J99" s="9" t="n">
        <v>203134</v>
      </c>
      <c r="K99" s="9" t="n">
        <v>95710</v>
      </c>
      <c r="L99" s="9" t="n">
        <v>59554</v>
      </c>
      <c r="M99" s="9" t="n">
        <v>0</v>
      </c>
      <c r="N99" s="9" t="n">
        <v>0</v>
      </c>
      <c r="O99" s="9" t="n">
        <v>0</v>
      </c>
      <c r="P99" s="9" t="n">
        <v>1090</v>
      </c>
      <c r="Q99" s="9" t="n">
        <v>132932</v>
      </c>
      <c r="R99" s="9" t="n">
        <v>3792955</v>
      </c>
      <c r="S99" s="9" t="n">
        <v>5773780</v>
      </c>
      <c r="T99" s="11" t="n">
        <f aca="false">R99/S99</f>
        <v>0.65692752408301</v>
      </c>
      <c r="U99" s="9" t="n">
        <f aca="false">D99+E99+G99</f>
        <v>1724295</v>
      </c>
      <c r="V99" s="9" t="n">
        <f aca="false">H99+J99+K99</f>
        <v>1275229</v>
      </c>
      <c r="W99" s="9" t="n">
        <f aca="false">I99+F99+L99</f>
        <v>659409</v>
      </c>
      <c r="X99" s="11" t="n">
        <f aca="false">Q99/R99</f>
        <v>0.035047080706204</v>
      </c>
    </row>
    <row r="100" customFormat="false" ht="15" hidden="false" customHeight="false" outlineLevel="0" collapsed="false">
      <c r="A100" s="14" t="s">
        <v>39</v>
      </c>
      <c r="B100" s="14" t="n">
        <v>2018</v>
      </c>
      <c r="C100" s="14" t="s">
        <v>112</v>
      </c>
      <c r="D100" s="9" t="n">
        <v>282513</v>
      </c>
      <c r="E100" s="9" t="n">
        <v>18694</v>
      </c>
      <c r="F100" s="9" t="n">
        <v>38756</v>
      </c>
      <c r="G100" s="9" t="n">
        <v>12777</v>
      </c>
      <c r="H100" s="9" t="n">
        <v>348942</v>
      </c>
      <c r="I100" s="9" t="n">
        <v>344823</v>
      </c>
      <c r="J100" s="9" t="n">
        <v>29930</v>
      </c>
      <c r="K100" s="9" t="n">
        <v>23649</v>
      </c>
      <c r="L100" s="9" t="n">
        <v>23724</v>
      </c>
      <c r="M100" s="9" t="n">
        <v>0</v>
      </c>
      <c r="N100" s="9" t="n">
        <v>0</v>
      </c>
      <c r="O100" s="9" t="n">
        <v>0</v>
      </c>
      <c r="P100" s="9" t="n">
        <v>298</v>
      </c>
      <c r="Q100" s="9" t="n">
        <v>31966</v>
      </c>
      <c r="R100" s="9" t="n">
        <v>1156072</v>
      </c>
      <c r="S100" s="9" t="n">
        <v>1540088</v>
      </c>
      <c r="T100" s="11" t="n">
        <f aca="false">R100/S100</f>
        <v>0.750653209426994</v>
      </c>
      <c r="U100" s="9" t="n">
        <f aca="false">D100+E100+G100</f>
        <v>313984</v>
      </c>
      <c r="V100" s="9" t="n">
        <f aca="false">H100+J100+K100</f>
        <v>402521</v>
      </c>
      <c r="W100" s="9" t="n">
        <f aca="false">I100+F100+L100</f>
        <v>407303</v>
      </c>
      <c r="X100" s="11" t="n">
        <f aca="false">Q100/R100</f>
        <v>0.0276505269567985</v>
      </c>
    </row>
    <row r="101" customFormat="false" ht="15" hidden="false" customHeight="false" outlineLevel="0" collapsed="false">
      <c r="A101" s="14" t="s">
        <v>39</v>
      </c>
      <c r="B101" s="14" t="n">
        <v>2018</v>
      </c>
      <c r="C101" s="14" t="s">
        <v>113</v>
      </c>
      <c r="D101" s="9" t="n">
        <v>236407</v>
      </c>
      <c r="E101" s="9" t="n">
        <v>55995</v>
      </c>
      <c r="F101" s="9" t="n">
        <v>45227</v>
      </c>
      <c r="G101" s="9" t="n">
        <v>14969</v>
      </c>
      <c r="H101" s="9" t="n">
        <v>96571</v>
      </c>
      <c r="I101" s="9" t="n">
        <v>192521</v>
      </c>
      <c r="J101" s="9" t="n">
        <v>40259</v>
      </c>
      <c r="K101" s="9" t="n">
        <v>18473</v>
      </c>
      <c r="L101" s="9" t="n">
        <v>27263</v>
      </c>
      <c r="M101" s="9" t="n">
        <v>0</v>
      </c>
      <c r="N101" s="9" t="n">
        <v>0</v>
      </c>
      <c r="O101" s="9" t="n">
        <v>0</v>
      </c>
      <c r="P101" s="9" t="n">
        <v>305</v>
      </c>
      <c r="Q101" s="9" t="n">
        <v>30384</v>
      </c>
      <c r="R101" s="9" t="n">
        <v>758374</v>
      </c>
      <c r="S101" s="9" t="n">
        <v>1162459</v>
      </c>
      <c r="T101" s="11" t="n">
        <f aca="false">R101/S101</f>
        <v>0.652387740126749</v>
      </c>
      <c r="U101" s="9" t="n">
        <f aca="false">D101+E101+G101</f>
        <v>307371</v>
      </c>
      <c r="V101" s="9" t="n">
        <f aca="false">H101+J101+K101</f>
        <v>155303</v>
      </c>
      <c r="W101" s="9" t="n">
        <f aca="false">I101+F101+L101</f>
        <v>265011</v>
      </c>
      <c r="X101" s="11" t="n">
        <f aca="false">Q101/R101</f>
        <v>0.0400646646641367</v>
      </c>
    </row>
    <row r="102" customFormat="false" ht="15" hidden="false" customHeight="false" outlineLevel="0" collapsed="false">
      <c r="A102" s="16" t="s">
        <v>39</v>
      </c>
      <c r="B102" s="16" t="n">
        <v>2018</v>
      </c>
      <c r="C102" s="16" t="s">
        <v>4</v>
      </c>
      <c r="D102" s="22" t="n">
        <f aca="false">SUM(D70:D101)</f>
        <v>21108736</v>
      </c>
      <c r="E102" s="22" t="n">
        <f aca="false">SUM(E70:E101)</f>
        <v>2145806</v>
      </c>
      <c r="F102" s="22" t="n">
        <f aca="false">SUM(F70:F101)</f>
        <v>2674509</v>
      </c>
      <c r="G102" s="22" t="n">
        <f aca="false">SUM(G70:G101)</f>
        <v>1283725</v>
      </c>
      <c r="H102" s="22" t="n">
        <f aca="false">SUM(H70:H101)</f>
        <v>10158916</v>
      </c>
      <c r="I102" s="22" t="n">
        <f aca="false">SUM(I70:I101)</f>
        <v>9349728</v>
      </c>
      <c r="J102" s="22" t="n">
        <f aca="false">SUM(J70:J101)</f>
        <v>2943162</v>
      </c>
      <c r="K102" s="22" t="n">
        <f aca="false">SUM(K70:K101)</f>
        <v>2447677</v>
      </c>
      <c r="L102" s="22" t="n">
        <f aca="false">SUM(L70:L101)</f>
        <v>1373067</v>
      </c>
      <c r="M102" s="22" t="n">
        <f aca="false">SUM(M70:M101)</f>
        <v>0</v>
      </c>
      <c r="N102" s="22" t="n">
        <f aca="false">SUM(N70:N101)</f>
        <v>0</v>
      </c>
      <c r="O102" s="22" t="n">
        <f aca="false">SUM(O70:O101)</f>
        <v>539347</v>
      </c>
      <c r="P102" s="22" t="n">
        <f aca="false">SUM(P70:P101)</f>
        <v>32959</v>
      </c>
      <c r="Q102" s="22" t="n">
        <f aca="false">SUM(Q70:Q101)</f>
        <v>2242615</v>
      </c>
      <c r="R102" s="22" t="n">
        <f aca="false">SUM(R70:R101)</f>
        <v>56300247</v>
      </c>
      <c r="S102" s="22" t="n">
        <f aca="false">SUM(S70:S101)</f>
        <v>88948697</v>
      </c>
      <c r="T102" s="17" t="n">
        <f aca="false">R102/S102</f>
        <v>0.632951902600664</v>
      </c>
      <c r="U102" s="22" t="n">
        <f aca="false">SUM(U70:U101)</f>
        <v>24538267</v>
      </c>
      <c r="V102" s="22" t="n">
        <f aca="false">SUM(V70:V101)</f>
        <v>15549755</v>
      </c>
      <c r="W102" s="22" t="n">
        <f aca="false">SUM(W70:W101)</f>
        <v>13397304</v>
      </c>
      <c r="X102" s="17" t="n">
        <f aca="false">Q102/R102</f>
        <v>0.0398331289736615</v>
      </c>
    </row>
    <row r="103" customFormat="false" ht="15" hidden="false" customHeight="false" outlineLevel="0" collapsed="false">
      <c r="A103" s="14" t="s">
        <v>39</v>
      </c>
      <c r="B103" s="14" t="n">
        <v>2021</v>
      </c>
      <c r="C103" s="14" t="s">
        <v>82</v>
      </c>
      <c r="D103" s="9" t="n">
        <v>128811</v>
      </c>
      <c r="E103" s="9" t="n">
        <v>11971</v>
      </c>
      <c r="F103" s="9" t="n">
        <v>18360</v>
      </c>
      <c r="G103" s="9" t="n">
        <v>7860</v>
      </c>
      <c r="H103" s="9" t="n">
        <v>229291</v>
      </c>
      <c r="I103" s="9" t="n">
        <v>46596</v>
      </c>
      <c r="J103" s="9" t="n">
        <v>14254</v>
      </c>
      <c r="K103" s="9" t="n">
        <v>19961</v>
      </c>
      <c r="L103" s="9" t="n">
        <v>0</v>
      </c>
      <c r="M103" s="9" t="n">
        <v>4232</v>
      </c>
      <c r="N103" s="9" t="n">
        <v>15211</v>
      </c>
      <c r="O103" s="9" t="n">
        <v>0</v>
      </c>
      <c r="P103" s="9" t="n">
        <v>652</v>
      </c>
      <c r="Q103" s="9" t="n">
        <v>16889</v>
      </c>
      <c r="R103" s="9" t="n">
        <v>514088</v>
      </c>
      <c r="S103" s="9" t="n">
        <v>1017411</v>
      </c>
      <c r="T103" s="11" t="n">
        <f aca="false">R103/S103</f>
        <v>0.505290389036486</v>
      </c>
      <c r="U103" s="9" t="n">
        <f aca="false">D103+E103+F103</f>
        <v>159142</v>
      </c>
      <c r="V103" s="9" t="n">
        <f aca="false">H103+I103+J103</f>
        <v>290141</v>
      </c>
      <c r="W103" s="9" t="n">
        <f aca="false">K103</f>
        <v>19961</v>
      </c>
      <c r="X103" s="11" t="n">
        <f aca="false">Q103/R103</f>
        <v>0.0328523521264842</v>
      </c>
    </row>
    <row r="104" customFormat="false" ht="15" hidden="false" customHeight="false" outlineLevel="0" collapsed="false">
      <c r="A104" s="14" t="s">
        <v>39</v>
      </c>
      <c r="B104" s="14" t="n">
        <v>2021</v>
      </c>
      <c r="C104" s="14" t="s">
        <v>83</v>
      </c>
      <c r="D104" s="9" t="n">
        <v>498444</v>
      </c>
      <c r="E104" s="9" t="n">
        <v>26751</v>
      </c>
      <c r="F104" s="9" t="n">
        <v>27537</v>
      </c>
      <c r="G104" s="9" t="n">
        <v>180263</v>
      </c>
      <c r="H104" s="9" t="n">
        <v>166028</v>
      </c>
      <c r="I104" s="9" t="n">
        <v>63643</v>
      </c>
      <c r="J104" s="9" t="n">
        <v>15459</v>
      </c>
      <c r="K104" s="9" t="n">
        <v>52050</v>
      </c>
      <c r="L104" s="9" t="n">
        <v>0</v>
      </c>
      <c r="M104" s="9" t="n">
        <v>18272</v>
      </c>
      <c r="N104" s="9" t="n">
        <v>36741</v>
      </c>
      <c r="O104" s="9" t="n">
        <v>0</v>
      </c>
      <c r="P104" s="9" t="n">
        <v>1022</v>
      </c>
      <c r="Q104" s="9" t="n">
        <v>36965</v>
      </c>
      <c r="R104" s="9" t="n">
        <v>1123175</v>
      </c>
      <c r="S104" s="9" t="n">
        <v>2919186</v>
      </c>
      <c r="T104" s="11" t="n">
        <f aca="false">R104/S104</f>
        <v>0.384756229990141</v>
      </c>
      <c r="U104" s="9" t="n">
        <f aca="false">D104+E104+F104</f>
        <v>552732</v>
      </c>
      <c r="V104" s="9" t="n">
        <f aca="false">H104+I104+J104</f>
        <v>245130</v>
      </c>
      <c r="W104" s="9" t="n">
        <f aca="false">K104</f>
        <v>52050</v>
      </c>
      <c r="X104" s="11" t="n">
        <f aca="false">Q104/R104</f>
        <v>0.0329111670042513</v>
      </c>
    </row>
    <row r="105" customFormat="false" ht="15" hidden="false" customHeight="false" outlineLevel="0" collapsed="false">
      <c r="A105" s="14" t="s">
        <v>39</v>
      </c>
      <c r="B105" s="14" t="n">
        <v>2021</v>
      </c>
      <c r="C105" s="14" t="s">
        <v>84</v>
      </c>
      <c r="D105" s="9" t="n">
        <v>102450</v>
      </c>
      <c r="E105" s="9" t="n">
        <v>17580</v>
      </c>
      <c r="F105" s="9" t="n">
        <v>8686</v>
      </c>
      <c r="G105" s="9" t="n">
        <v>6399</v>
      </c>
      <c r="H105" s="9" t="n">
        <v>97108</v>
      </c>
      <c r="I105" s="9" t="n">
        <v>12518</v>
      </c>
      <c r="J105" s="9" t="n">
        <v>3027</v>
      </c>
      <c r="K105" s="9" t="n">
        <v>9177</v>
      </c>
      <c r="L105" s="9" t="n">
        <v>0</v>
      </c>
      <c r="M105" s="9" t="n">
        <v>4273</v>
      </c>
      <c r="N105" s="9" t="n">
        <v>9781</v>
      </c>
      <c r="O105" s="9" t="n">
        <v>0</v>
      </c>
      <c r="P105" s="9" t="n">
        <v>232</v>
      </c>
      <c r="Q105" s="9" t="n">
        <v>8655</v>
      </c>
      <c r="R105" s="9" t="n">
        <v>279886</v>
      </c>
      <c r="S105" s="9" t="n">
        <v>561652</v>
      </c>
      <c r="T105" s="11" t="n">
        <f aca="false">R105/S105</f>
        <v>0.498326365792341</v>
      </c>
      <c r="U105" s="9" t="n">
        <f aca="false">D105+E105+F105</f>
        <v>128716</v>
      </c>
      <c r="V105" s="9" t="n">
        <f aca="false">H105+I105+J105</f>
        <v>112653</v>
      </c>
      <c r="W105" s="9" t="n">
        <f aca="false">K105</f>
        <v>9177</v>
      </c>
      <c r="X105" s="11" t="n">
        <f aca="false">Q105/R105</f>
        <v>0.0309233044882559</v>
      </c>
    </row>
    <row r="106" customFormat="false" ht="15" hidden="false" customHeight="false" outlineLevel="0" collapsed="false">
      <c r="A106" s="14" t="s">
        <v>39</v>
      </c>
      <c r="B106" s="14" t="n">
        <v>2021</v>
      </c>
      <c r="C106" s="14" t="s">
        <v>85</v>
      </c>
      <c r="D106" s="9" t="n">
        <v>172717</v>
      </c>
      <c r="E106" s="9" t="n">
        <v>7655</v>
      </c>
      <c r="F106" s="9" t="n">
        <v>5623</v>
      </c>
      <c r="G106" s="9" t="n">
        <v>3546</v>
      </c>
      <c r="H106" s="9" t="n">
        <v>22308</v>
      </c>
      <c r="I106" s="9" t="n">
        <v>109834</v>
      </c>
      <c r="J106" s="9" t="n">
        <v>4338</v>
      </c>
      <c r="K106" s="9" t="n">
        <v>79992</v>
      </c>
      <c r="L106" s="9" t="n">
        <v>0</v>
      </c>
      <c r="M106" s="9" t="n">
        <v>4950</v>
      </c>
      <c r="N106" s="9" t="n">
        <v>2350</v>
      </c>
      <c r="O106" s="9" t="n">
        <v>0</v>
      </c>
      <c r="P106" s="9" t="n">
        <v>133</v>
      </c>
      <c r="Q106" s="9" t="n">
        <v>11008</v>
      </c>
      <c r="R106" s="9" t="n">
        <v>424454</v>
      </c>
      <c r="S106" s="9" t="n">
        <v>668750</v>
      </c>
      <c r="T106" s="11" t="n">
        <f aca="false">R106/S106</f>
        <v>0.634697570093458</v>
      </c>
      <c r="U106" s="9" t="n">
        <f aca="false">D106+E106+F106</f>
        <v>185995</v>
      </c>
      <c r="V106" s="9" t="n">
        <f aca="false">H106+I106+J106</f>
        <v>136480</v>
      </c>
      <c r="W106" s="9" t="n">
        <f aca="false">K106</f>
        <v>79992</v>
      </c>
      <c r="X106" s="11" t="n">
        <f aca="false">Q106/R106</f>
        <v>0.0259344946684446</v>
      </c>
    </row>
    <row r="107" customFormat="false" ht="15" hidden="false" customHeight="false" outlineLevel="0" collapsed="false">
      <c r="A107" s="14" t="s">
        <v>39</v>
      </c>
      <c r="B107" s="14" t="n">
        <v>2021</v>
      </c>
      <c r="C107" s="14" t="s">
        <v>86</v>
      </c>
      <c r="D107" s="9" t="n">
        <v>433684</v>
      </c>
      <c r="E107" s="9" t="n">
        <v>21351</v>
      </c>
      <c r="F107" s="9" t="n">
        <v>38810</v>
      </c>
      <c r="G107" s="9" t="n">
        <v>9012</v>
      </c>
      <c r="H107" s="9" t="n">
        <v>190669</v>
      </c>
      <c r="I107" s="9" t="n">
        <v>516245</v>
      </c>
      <c r="J107" s="9" t="n">
        <v>14922</v>
      </c>
      <c r="K107" s="9" t="n">
        <v>23497</v>
      </c>
      <c r="L107" s="9" t="n">
        <v>0</v>
      </c>
      <c r="M107" s="9" t="n">
        <v>5029</v>
      </c>
      <c r="N107" s="9" t="n">
        <v>27308</v>
      </c>
      <c r="O107" s="9" t="n">
        <v>0</v>
      </c>
      <c r="P107" s="9" t="n">
        <v>504</v>
      </c>
      <c r="Q107" s="9" t="n">
        <v>26817</v>
      </c>
      <c r="R107" s="9" t="n">
        <v>1307848</v>
      </c>
      <c r="S107" s="9" t="n">
        <v>2262060</v>
      </c>
      <c r="T107" s="11" t="n">
        <f aca="false">R107/S107</f>
        <v>0.578166803709893</v>
      </c>
      <c r="U107" s="9" t="n">
        <f aca="false">D107+E107+F107</f>
        <v>493845</v>
      </c>
      <c r="V107" s="9" t="n">
        <f aca="false">H107+I107+J107</f>
        <v>721836</v>
      </c>
      <c r="W107" s="9" t="n">
        <f aca="false">K107</f>
        <v>23497</v>
      </c>
      <c r="X107" s="11" t="n">
        <f aca="false">Q107/R107</f>
        <v>0.0205046763844116</v>
      </c>
    </row>
    <row r="108" customFormat="false" ht="15" hidden="false" customHeight="false" outlineLevel="0" collapsed="false">
      <c r="A108" s="14" t="s">
        <v>39</v>
      </c>
      <c r="B108" s="14" t="n">
        <v>2021</v>
      </c>
      <c r="C108" s="14" t="s">
        <v>87</v>
      </c>
      <c r="D108" s="9" t="n">
        <v>91504</v>
      </c>
      <c r="E108" s="9" t="n">
        <v>7273</v>
      </c>
      <c r="F108" s="9" t="n">
        <v>50286</v>
      </c>
      <c r="G108" s="9" t="n">
        <v>9167</v>
      </c>
      <c r="H108" s="9" t="n">
        <v>33078</v>
      </c>
      <c r="I108" s="9" t="n">
        <v>43615</v>
      </c>
      <c r="J108" s="9" t="n">
        <v>3041</v>
      </c>
      <c r="K108" s="9" t="n">
        <v>38349</v>
      </c>
      <c r="L108" s="9" t="n">
        <v>0</v>
      </c>
      <c r="M108" s="9" t="n">
        <v>3138</v>
      </c>
      <c r="N108" s="9" t="n">
        <v>9537</v>
      </c>
      <c r="O108" s="9" t="n">
        <v>0</v>
      </c>
      <c r="P108" s="9" t="n">
        <v>290</v>
      </c>
      <c r="Q108" s="9" t="n">
        <v>8418</v>
      </c>
      <c r="R108" s="9" t="n">
        <v>297696</v>
      </c>
      <c r="S108" s="9" t="n">
        <v>556319</v>
      </c>
      <c r="T108" s="11" t="n">
        <f aca="false">R108/S108</f>
        <v>0.535117441611737</v>
      </c>
      <c r="U108" s="9" t="n">
        <f aca="false">D108+E108+F108</f>
        <v>149063</v>
      </c>
      <c r="V108" s="9" t="n">
        <f aca="false">H108+I108+J108</f>
        <v>79734</v>
      </c>
      <c r="W108" s="9" t="n">
        <f aca="false">K108</f>
        <v>38349</v>
      </c>
      <c r="X108" s="11" t="n">
        <f aca="false">Q108/R108</f>
        <v>0.0282771686552725</v>
      </c>
    </row>
    <row r="109" customFormat="false" ht="15" hidden="false" customHeight="false" outlineLevel="0" collapsed="false">
      <c r="A109" s="14" t="s">
        <v>39</v>
      </c>
      <c r="B109" s="14" t="n">
        <v>2021</v>
      </c>
      <c r="C109" s="14" t="s">
        <v>88</v>
      </c>
      <c r="D109" s="9" t="n">
        <v>790669</v>
      </c>
      <c r="E109" s="9" t="n">
        <v>152641</v>
      </c>
      <c r="F109" s="9" t="n">
        <v>436942</v>
      </c>
      <c r="G109" s="9" t="n">
        <v>144833</v>
      </c>
      <c r="H109" s="9" t="n">
        <v>74457</v>
      </c>
      <c r="I109" s="9" t="n">
        <v>270260</v>
      </c>
      <c r="J109" s="9" t="n">
        <v>51738</v>
      </c>
      <c r="K109" s="9" t="n">
        <v>68448</v>
      </c>
      <c r="L109" s="9" t="n">
        <v>0</v>
      </c>
      <c r="M109" s="9" t="n">
        <v>78926</v>
      </c>
      <c r="N109" s="9" t="n">
        <v>33173</v>
      </c>
      <c r="O109" s="9" t="n">
        <v>0</v>
      </c>
      <c r="P109" s="9" t="n">
        <v>2108</v>
      </c>
      <c r="Q109" s="9" t="n">
        <v>140620</v>
      </c>
      <c r="R109" s="9" t="n">
        <v>2244815</v>
      </c>
      <c r="S109" s="9" t="n">
        <v>3659796</v>
      </c>
      <c r="T109" s="11" t="n">
        <f aca="false">R109/S109</f>
        <v>0.613371619620329</v>
      </c>
      <c r="U109" s="9" t="n">
        <f aca="false">D109+E109+F109</f>
        <v>1380252</v>
      </c>
      <c r="V109" s="9" t="n">
        <f aca="false">H109+I109+J109</f>
        <v>396455</v>
      </c>
      <c r="W109" s="9" t="n">
        <f aca="false">K109</f>
        <v>68448</v>
      </c>
      <c r="X109" s="11" t="n">
        <f aca="false">Q109/R109</f>
        <v>0.062642133093373</v>
      </c>
    </row>
    <row r="110" customFormat="false" ht="15" hidden="false" customHeight="false" outlineLevel="0" collapsed="false">
      <c r="A110" s="14" t="s">
        <v>39</v>
      </c>
      <c r="B110" s="14" t="n">
        <v>2021</v>
      </c>
      <c r="C110" s="14" t="s">
        <v>89</v>
      </c>
      <c r="D110" s="9" t="n">
        <v>404449</v>
      </c>
      <c r="E110" s="9" t="n">
        <v>24467</v>
      </c>
      <c r="F110" s="9" t="n">
        <v>38059</v>
      </c>
      <c r="G110" s="9" t="n">
        <v>30397</v>
      </c>
      <c r="H110" s="9" t="n">
        <v>489677</v>
      </c>
      <c r="I110" s="9" t="n">
        <v>164226</v>
      </c>
      <c r="J110" s="9" t="n">
        <v>15665</v>
      </c>
      <c r="K110" s="9" t="n">
        <v>114600</v>
      </c>
      <c r="L110" s="9" t="n">
        <v>0</v>
      </c>
      <c r="M110" s="9" t="n">
        <v>9731</v>
      </c>
      <c r="N110" s="9" t="n">
        <v>16108</v>
      </c>
      <c r="O110" s="9" t="n">
        <v>0</v>
      </c>
      <c r="P110" s="9" t="n">
        <v>737</v>
      </c>
      <c r="Q110" s="9" t="n">
        <v>44523</v>
      </c>
      <c r="R110" s="9" t="n">
        <v>1352639</v>
      </c>
      <c r="S110" s="9" t="n">
        <v>2894525</v>
      </c>
      <c r="T110" s="11" t="n">
        <f aca="false">R110/S110</f>
        <v>0.467309489467184</v>
      </c>
      <c r="U110" s="9" t="n">
        <f aca="false">D110+E110+F110</f>
        <v>466975</v>
      </c>
      <c r="V110" s="9" t="n">
        <f aca="false">H110+I110+J110</f>
        <v>669568</v>
      </c>
      <c r="W110" s="9" t="n">
        <f aca="false">K110</f>
        <v>114600</v>
      </c>
      <c r="X110" s="11" t="n">
        <f aca="false">Q110/R110</f>
        <v>0.0329156559880352</v>
      </c>
    </row>
    <row r="111" customFormat="false" ht="15" hidden="false" customHeight="false" outlineLevel="0" collapsed="false">
      <c r="A111" s="14" t="s">
        <v>39</v>
      </c>
      <c r="B111" s="14" t="n">
        <v>2021</v>
      </c>
      <c r="C111" s="14" t="s">
        <v>90</v>
      </c>
      <c r="D111" s="9" t="n">
        <v>1542840</v>
      </c>
      <c r="E111" s="9" t="n">
        <v>87269</v>
      </c>
      <c r="F111" s="9" t="n">
        <v>120993</v>
      </c>
      <c r="G111" s="9" t="n">
        <v>71264</v>
      </c>
      <c r="H111" s="9" t="n">
        <v>1052039</v>
      </c>
      <c r="I111" s="9" t="n">
        <v>592354</v>
      </c>
      <c r="J111" s="9" t="n">
        <v>198525</v>
      </c>
      <c r="K111" s="9" t="n">
        <v>146636</v>
      </c>
      <c r="L111" s="9" t="n">
        <v>0</v>
      </c>
      <c r="M111" s="9" t="n">
        <v>32427</v>
      </c>
      <c r="N111" s="9" t="n">
        <v>91841</v>
      </c>
      <c r="O111" s="9" t="n">
        <v>0</v>
      </c>
      <c r="P111" s="9" t="n">
        <v>5004</v>
      </c>
      <c r="Q111" s="9" t="n">
        <v>120351</v>
      </c>
      <c r="R111" s="9" t="n">
        <v>4061543</v>
      </c>
      <c r="S111" s="9" t="n">
        <v>7772434</v>
      </c>
      <c r="T111" s="11" t="n">
        <f aca="false">R111/S111</f>
        <v>0.522557412517109</v>
      </c>
      <c r="U111" s="9" t="n">
        <f aca="false">D111+E111+F111</f>
        <v>1751102</v>
      </c>
      <c r="V111" s="9" t="n">
        <f aca="false">H111+I111+J111</f>
        <v>1842918</v>
      </c>
      <c r="W111" s="9" t="n">
        <f aca="false">K111</f>
        <v>146636</v>
      </c>
      <c r="X111" s="11" t="n">
        <f aca="false">Q111/R111</f>
        <v>0.0296318418886615</v>
      </c>
    </row>
    <row r="112" customFormat="false" ht="15" hidden="false" customHeight="false" outlineLevel="0" collapsed="false">
      <c r="A112" s="14" t="s">
        <v>39</v>
      </c>
      <c r="B112" s="14" t="n">
        <v>2021</v>
      </c>
      <c r="C112" s="14" t="s">
        <v>91</v>
      </c>
      <c r="D112" s="9" t="n">
        <v>189578</v>
      </c>
      <c r="E112" s="9" t="n">
        <v>17498</v>
      </c>
      <c r="F112" s="9" t="n">
        <v>31233</v>
      </c>
      <c r="G112" s="9" t="n">
        <v>9764</v>
      </c>
      <c r="H112" s="9" t="n">
        <v>103414</v>
      </c>
      <c r="I112" s="9" t="n">
        <v>135974</v>
      </c>
      <c r="J112" s="9" t="n">
        <v>11119</v>
      </c>
      <c r="K112" s="9" t="n">
        <v>29462</v>
      </c>
      <c r="L112" s="9" t="n">
        <v>0</v>
      </c>
      <c r="M112" s="9" t="n">
        <v>21705</v>
      </c>
      <c r="N112" s="9" t="n">
        <v>8516</v>
      </c>
      <c r="O112" s="9" t="n">
        <v>0</v>
      </c>
      <c r="P112" s="9" t="n">
        <v>342</v>
      </c>
      <c r="Q112" s="9" t="n">
        <v>15356</v>
      </c>
      <c r="R112" s="9" t="n">
        <v>573961</v>
      </c>
      <c r="S112" s="9" t="n">
        <v>1332814</v>
      </c>
      <c r="T112" s="11" t="n">
        <f aca="false">R112/S112</f>
        <v>0.430638483689397</v>
      </c>
      <c r="U112" s="9" t="n">
        <f aca="false">D112+E112+F112</f>
        <v>238309</v>
      </c>
      <c r="V112" s="9" t="n">
        <f aca="false">H112+I112+J112</f>
        <v>250507</v>
      </c>
      <c r="W112" s="9" t="n">
        <f aca="false">K112</f>
        <v>29462</v>
      </c>
      <c r="X112" s="11" t="n">
        <f aca="false">Q112/R112</f>
        <v>0.0267544310501933</v>
      </c>
    </row>
    <row r="113" customFormat="false" ht="15" hidden="false" customHeight="false" outlineLevel="0" collapsed="false">
      <c r="A113" s="14" t="s">
        <v>39</v>
      </c>
      <c r="B113" s="14" t="n">
        <v>2021</v>
      </c>
      <c r="C113" s="14" t="s">
        <v>92</v>
      </c>
      <c r="D113" s="9" t="n">
        <v>487462</v>
      </c>
      <c r="E113" s="9" t="n">
        <v>37877</v>
      </c>
      <c r="F113" s="9" t="n">
        <v>109173</v>
      </c>
      <c r="G113" s="9" t="n">
        <v>33596</v>
      </c>
      <c r="H113" s="9" t="n">
        <v>852179</v>
      </c>
      <c r="I113" s="9" t="n">
        <v>245000</v>
      </c>
      <c r="J113" s="9" t="n">
        <v>44173</v>
      </c>
      <c r="K113" s="9" t="n">
        <v>88093</v>
      </c>
      <c r="L113" s="9" t="n">
        <v>0</v>
      </c>
      <c r="M113" s="9" t="n">
        <v>34390</v>
      </c>
      <c r="N113" s="9" t="n">
        <v>33976</v>
      </c>
      <c r="O113" s="9" t="n">
        <v>0</v>
      </c>
      <c r="P113" s="9" t="n">
        <v>1611</v>
      </c>
      <c r="Q113" s="9" t="n">
        <v>59286</v>
      </c>
      <c r="R113" s="9" t="n">
        <v>2026816</v>
      </c>
      <c r="S113" s="9" t="n">
        <v>4583856</v>
      </c>
      <c r="T113" s="11" t="n">
        <f aca="false">R113/S113</f>
        <v>0.442163977227906</v>
      </c>
      <c r="U113" s="9" t="n">
        <f aca="false">D113+E113+F113</f>
        <v>634512</v>
      </c>
      <c r="V113" s="9" t="n">
        <f aca="false">H113+I113+J113</f>
        <v>1141352</v>
      </c>
      <c r="W113" s="9" t="n">
        <f aca="false">K113</f>
        <v>88093</v>
      </c>
      <c r="X113" s="11" t="n">
        <f aca="false">Q113/R113</f>
        <v>0.0292508052038271</v>
      </c>
    </row>
    <row r="114" customFormat="false" ht="15" hidden="false" customHeight="false" outlineLevel="0" collapsed="false">
      <c r="A114" s="14" t="s">
        <v>39</v>
      </c>
      <c r="B114" s="14" t="n">
        <v>2021</v>
      </c>
      <c r="C114" s="14" t="s">
        <v>93</v>
      </c>
      <c r="D114" s="9" t="n">
        <v>587605</v>
      </c>
      <c r="E114" s="9" t="n">
        <v>59756</v>
      </c>
      <c r="F114" s="9" t="n">
        <v>52496</v>
      </c>
      <c r="G114" s="9" t="n">
        <v>27604</v>
      </c>
      <c r="H114" s="9" t="n">
        <v>47037</v>
      </c>
      <c r="I114" s="9" t="n">
        <v>373460</v>
      </c>
      <c r="J114" s="9" t="n">
        <v>194175</v>
      </c>
      <c r="K114" s="9" t="n">
        <v>43185</v>
      </c>
      <c r="L114" s="9" t="n">
        <v>0</v>
      </c>
      <c r="M114" s="9" t="n">
        <v>16014</v>
      </c>
      <c r="N114" s="9" t="n">
        <v>21833</v>
      </c>
      <c r="O114" s="9" t="n">
        <v>0</v>
      </c>
      <c r="P114" s="9" t="n">
        <v>4631</v>
      </c>
      <c r="Q114" s="9" t="n">
        <v>54489</v>
      </c>
      <c r="R114" s="9" t="n">
        <v>1482285</v>
      </c>
      <c r="S114" s="9" t="n">
        <v>2563067</v>
      </c>
      <c r="T114" s="11" t="n">
        <f aca="false">R114/S114</f>
        <v>0.57832471800386</v>
      </c>
      <c r="U114" s="9" t="n">
        <f aca="false">D114+E114+F114</f>
        <v>699857</v>
      </c>
      <c r="V114" s="9" t="n">
        <f aca="false">H114+I114+J114</f>
        <v>614672</v>
      </c>
      <c r="W114" s="9" t="n">
        <f aca="false">K114</f>
        <v>43185</v>
      </c>
      <c r="X114" s="11" t="n">
        <f aca="false">Q114/R114</f>
        <v>0.036760137220575</v>
      </c>
    </row>
    <row r="115" customFormat="false" ht="15" hidden="false" customHeight="false" outlineLevel="0" collapsed="false">
      <c r="A115" s="14" t="s">
        <v>39</v>
      </c>
      <c r="B115" s="14" t="n">
        <v>2021</v>
      </c>
      <c r="C115" s="14" t="s">
        <v>94</v>
      </c>
      <c r="D115" s="9" t="n">
        <v>457550</v>
      </c>
      <c r="E115" s="9" t="n">
        <v>22173</v>
      </c>
      <c r="F115" s="9" t="n">
        <v>25952</v>
      </c>
      <c r="G115" s="9" t="n">
        <v>29137</v>
      </c>
      <c r="H115" s="9" t="n">
        <v>87052</v>
      </c>
      <c r="I115" s="9" t="n">
        <v>292781</v>
      </c>
      <c r="J115" s="9" t="n">
        <v>34174</v>
      </c>
      <c r="K115" s="9" t="n">
        <v>22839</v>
      </c>
      <c r="L115" s="9" t="n">
        <v>0</v>
      </c>
      <c r="M115" s="9" t="n">
        <v>18096</v>
      </c>
      <c r="N115" s="9" t="n">
        <v>19830</v>
      </c>
      <c r="O115" s="9" t="n">
        <v>0</v>
      </c>
      <c r="P115" s="9" t="n">
        <v>560</v>
      </c>
      <c r="Q115" s="9" t="n">
        <v>37007</v>
      </c>
      <c r="R115" s="9" t="n">
        <v>1047151</v>
      </c>
      <c r="S115" s="9" t="n">
        <v>2239916</v>
      </c>
      <c r="T115" s="11" t="n">
        <f aca="false">R115/S115</f>
        <v>0.467495656087103</v>
      </c>
      <c r="U115" s="9" t="n">
        <f aca="false">D115+E115+F115</f>
        <v>505675</v>
      </c>
      <c r="V115" s="9" t="n">
        <f aca="false">H115+I115+J115</f>
        <v>414007</v>
      </c>
      <c r="W115" s="9" t="n">
        <f aca="false">K115</f>
        <v>22839</v>
      </c>
      <c r="X115" s="11" t="n">
        <f aca="false">Q115/R115</f>
        <v>0.0353406528762327</v>
      </c>
    </row>
    <row r="116" customFormat="false" ht="15" hidden="false" customHeight="false" outlineLevel="0" collapsed="false">
      <c r="A116" s="14" t="s">
        <v>39</v>
      </c>
      <c r="B116" s="14" t="n">
        <v>2021</v>
      </c>
      <c r="C116" s="14" t="s">
        <v>95</v>
      </c>
      <c r="D116" s="9" t="n">
        <v>699812</v>
      </c>
      <c r="E116" s="9" t="n">
        <v>47041</v>
      </c>
      <c r="F116" s="9" t="n">
        <v>107329</v>
      </c>
      <c r="G116" s="9" t="n">
        <v>72924</v>
      </c>
      <c r="H116" s="9" t="n">
        <v>489475</v>
      </c>
      <c r="I116" s="9" t="n">
        <v>420358</v>
      </c>
      <c r="J116" s="9" t="n">
        <v>28320</v>
      </c>
      <c r="K116" s="9" t="n">
        <v>950006</v>
      </c>
      <c r="L116" s="9" t="n">
        <v>0</v>
      </c>
      <c r="M116" s="9" t="n">
        <v>29586</v>
      </c>
      <c r="N116" s="9" t="n">
        <v>70209</v>
      </c>
      <c r="O116" s="9" t="n">
        <v>4097</v>
      </c>
      <c r="P116" s="9" t="n">
        <v>2368</v>
      </c>
      <c r="Q116" s="9" t="n">
        <v>75537</v>
      </c>
      <c r="R116" s="9" t="n">
        <v>2997062</v>
      </c>
      <c r="S116" s="9" t="n">
        <v>6204848</v>
      </c>
      <c r="T116" s="11" t="n">
        <f aca="false">R116/S116</f>
        <v>0.483019406760649</v>
      </c>
      <c r="U116" s="9" t="n">
        <f aca="false">D116+E116+F116</f>
        <v>854182</v>
      </c>
      <c r="V116" s="9" t="n">
        <f aca="false">H116+I116+J116</f>
        <v>938153</v>
      </c>
      <c r="W116" s="9" t="n">
        <f aca="false">K116</f>
        <v>950006</v>
      </c>
      <c r="X116" s="11" t="n">
        <f aca="false">Q116/R116</f>
        <v>0.0252036828066954</v>
      </c>
    </row>
    <row r="117" customFormat="false" ht="15" hidden="false" customHeight="false" outlineLevel="0" collapsed="false">
      <c r="A117" s="14" t="s">
        <v>39</v>
      </c>
      <c r="B117" s="14" t="n">
        <v>2021</v>
      </c>
      <c r="C117" s="14" t="s">
        <v>96</v>
      </c>
      <c r="D117" s="9" t="n">
        <v>2403703</v>
      </c>
      <c r="E117" s="9" t="n">
        <v>129018</v>
      </c>
      <c r="F117" s="9" t="n">
        <v>336737</v>
      </c>
      <c r="G117" s="9" t="n">
        <v>139763</v>
      </c>
      <c r="H117" s="9" t="n">
        <v>911897</v>
      </c>
      <c r="I117" s="9" t="n">
        <v>1784803</v>
      </c>
      <c r="J117" s="9" t="n">
        <v>225998</v>
      </c>
      <c r="K117" s="9" t="n">
        <v>329731</v>
      </c>
      <c r="L117" s="9" t="n">
        <v>0</v>
      </c>
      <c r="M117" s="9" t="n">
        <v>94493</v>
      </c>
      <c r="N117" s="9" t="n">
        <v>166588</v>
      </c>
      <c r="O117" s="9" t="n">
        <v>0</v>
      </c>
      <c r="P117" s="9" t="n">
        <v>5993</v>
      </c>
      <c r="Q117" s="9" t="n">
        <v>191794</v>
      </c>
      <c r="R117" s="9" t="n">
        <v>6720518</v>
      </c>
      <c r="S117" s="9" t="n">
        <v>12376578</v>
      </c>
      <c r="T117" s="11" t="n">
        <f aca="false">R117/S117</f>
        <v>0.543002920516479</v>
      </c>
      <c r="U117" s="9" t="n">
        <f aca="false">D117+E117+F117</f>
        <v>2869458</v>
      </c>
      <c r="V117" s="9" t="n">
        <f aca="false">H117+I117+J117</f>
        <v>2922698</v>
      </c>
      <c r="W117" s="9" t="n">
        <f aca="false">K117</f>
        <v>329731</v>
      </c>
      <c r="X117" s="11" t="n">
        <f aca="false">Q117/R117</f>
        <v>0.0285385739611143</v>
      </c>
    </row>
    <row r="118" customFormat="false" ht="15" hidden="false" customHeight="false" outlineLevel="0" collapsed="false">
      <c r="A118" s="14" t="s">
        <v>39</v>
      </c>
      <c r="B118" s="14" t="n">
        <v>2021</v>
      </c>
      <c r="C118" s="14" t="s">
        <v>97</v>
      </c>
      <c r="D118" s="9" t="n">
        <v>542463</v>
      </c>
      <c r="E118" s="9" t="n">
        <v>99634</v>
      </c>
      <c r="F118" s="9" t="n">
        <v>127761</v>
      </c>
      <c r="G118" s="9" t="n">
        <v>58383</v>
      </c>
      <c r="H118" s="9" t="n">
        <v>226627</v>
      </c>
      <c r="I118" s="9" t="n">
        <v>252847</v>
      </c>
      <c r="J118" s="9" t="n">
        <v>208531</v>
      </c>
      <c r="K118" s="9" t="n">
        <v>68833</v>
      </c>
      <c r="L118" s="9" t="n">
        <v>0</v>
      </c>
      <c r="M118" s="9" t="n">
        <v>26608</v>
      </c>
      <c r="N118" s="9" t="n">
        <v>46512</v>
      </c>
      <c r="O118" s="9" t="n">
        <v>9286</v>
      </c>
      <c r="P118" s="9" t="n">
        <v>1348</v>
      </c>
      <c r="Q118" s="9" t="n">
        <v>80691</v>
      </c>
      <c r="R118" s="9" t="n">
        <v>1749524</v>
      </c>
      <c r="S118" s="9" t="n">
        <v>3520473</v>
      </c>
      <c r="T118" s="11" t="n">
        <f aca="false">R118/S118</f>
        <v>0.496957085028063</v>
      </c>
      <c r="U118" s="9" t="n">
        <f aca="false">D118+E118+F118</f>
        <v>769858</v>
      </c>
      <c r="V118" s="9" t="n">
        <f aca="false">H118+I118+J118</f>
        <v>688005</v>
      </c>
      <c r="W118" s="9" t="n">
        <f aca="false">K118</f>
        <v>68833</v>
      </c>
      <c r="X118" s="11" t="n">
        <f aca="false">Q118/R118</f>
        <v>0.046121687956267</v>
      </c>
    </row>
    <row r="119" customFormat="false" ht="15" hidden="false" customHeight="false" outlineLevel="0" collapsed="false">
      <c r="A119" s="14" t="s">
        <v>39</v>
      </c>
      <c r="B119" s="14" t="n">
        <v>2021</v>
      </c>
      <c r="C119" s="14" t="s">
        <v>98</v>
      </c>
      <c r="D119" s="9" t="n">
        <v>251866</v>
      </c>
      <c r="E119" s="9" t="n">
        <v>40856</v>
      </c>
      <c r="F119" s="9" t="n">
        <v>31477</v>
      </c>
      <c r="G119" s="9" t="n">
        <v>39794</v>
      </c>
      <c r="H119" s="9" t="n">
        <v>109615</v>
      </c>
      <c r="I119" s="9" t="n">
        <v>72429</v>
      </c>
      <c r="J119" s="9" t="n">
        <v>24824</v>
      </c>
      <c r="K119" s="9" t="n">
        <v>53549</v>
      </c>
      <c r="L119" s="9" t="n">
        <v>0</v>
      </c>
      <c r="M119" s="9" t="n">
        <v>61898</v>
      </c>
      <c r="N119" s="9" t="n">
        <v>70272</v>
      </c>
      <c r="O119" s="9" t="n">
        <v>0</v>
      </c>
      <c r="P119" s="9" t="n">
        <v>851</v>
      </c>
      <c r="Q119" s="9" t="n">
        <v>38572</v>
      </c>
      <c r="R119" s="9" t="n">
        <v>796003</v>
      </c>
      <c r="S119" s="9" t="n">
        <v>1496083</v>
      </c>
      <c r="T119" s="11" t="n">
        <f aca="false">R119/S119</f>
        <v>0.532058047581585</v>
      </c>
      <c r="U119" s="9" t="n">
        <f aca="false">D119+E119+F119</f>
        <v>324199</v>
      </c>
      <c r="V119" s="9" t="n">
        <f aca="false">H119+I119+J119</f>
        <v>206868</v>
      </c>
      <c r="W119" s="9" t="n">
        <f aca="false">K119</f>
        <v>53549</v>
      </c>
      <c r="X119" s="11" t="n">
        <f aca="false">Q119/R119</f>
        <v>0.0484571038048852</v>
      </c>
    </row>
    <row r="120" customFormat="false" ht="15" hidden="false" customHeight="false" outlineLevel="0" collapsed="false">
      <c r="A120" s="14" t="s">
        <v>39</v>
      </c>
      <c r="B120" s="14" t="n">
        <v>2021</v>
      </c>
      <c r="C120" s="14" t="s">
        <v>99</v>
      </c>
      <c r="D120" s="9" t="n">
        <v>179536</v>
      </c>
      <c r="E120" s="9" t="n">
        <v>26356</v>
      </c>
      <c r="F120" s="9" t="n">
        <v>23852</v>
      </c>
      <c r="G120" s="9" t="n">
        <v>13593</v>
      </c>
      <c r="H120" s="9" t="n">
        <v>51499</v>
      </c>
      <c r="I120" s="9" t="n">
        <v>45764</v>
      </c>
      <c r="J120" s="9" t="n">
        <v>12362</v>
      </c>
      <c r="K120" s="9" t="n">
        <v>75319</v>
      </c>
      <c r="L120" s="9" t="n">
        <v>0</v>
      </c>
      <c r="M120" s="9" t="n">
        <v>13717</v>
      </c>
      <c r="N120" s="9" t="n">
        <v>14192</v>
      </c>
      <c r="O120" s="9" t="n">
        <v>0</v>
      </c>
      <c r="P120" s="9" t="n">
        <v>240</v>
      </c>
      <c r="Q120" s="9" t="n">
        <v>20364</v>
      </c>
      <c r="R120" s="9" t="n">
        <v>476794</v>
      </c>
      <c r="S120" s="9" t="n">
        <v>891508</v>
      </c>
      <c r="T120" s="11" t="n">
        <f aca="false">R120/S120</f>
        <v>0.534817410499962</v>
      </c>
      <c r="U120" s="9" t="n">
        <f aca="false">D120+E120+F120</f>
        <v>229744</v>
      </c>
      <c r="V120" s="9" t="n">
        <f aca="false">H120+I120+J120</f>
        <v>109625</v>
      </c>
      <c r="W120" s="9" t="n">
        <f aca="false">K120</f>
        <v>75319</v>
      </c>
      <c r="X120" s="11" t="n">
        <f aca="false">Q120/R120</f>
        <v>0.042710269005063</v>
      </c>
    </row>
    <row r="121" customFormat="false" ht="15" hidden="false" customHeight="false" outlineLevel="0" collapsed="false">
      <c r="A121" s="14" t="s">
        <v>39</v>
      </c>
      <c r="B121" s="14" t="n">
        <v>2021</v>
      </c>
      <c r="C121" s="14" t="s">
        <v>100</v>
      </c>
      <c r="D121" s="9" t="n">
        <v>310962</v>
      </c>
      <c r="E121" s="9" t="n">
        <v>40772</v>
      </c>
      <c r="F121" s="9" t="n">
        <v>57203</v>
      </c>
      <c r="G121" s="9" t="n">
        <v>18268</v>
      </c>
      <c r="H121" s="9" t="n">
        <v>642778</v>
      </c>
      <c r="I121" s="9" t="n">
        <v>554422</v>
      </c>
      <c r="J121" s="9" t="n">
        <v>12762</v>
      </c>
      <c r="K121" s="9" t="n">
        <v>414573</v>
      </c>
      <c r="L121" s="9" t="n">
        <v>0</v>
      </c>
      <c r="M121" s="9" t="n">
        <v>15390</v>
      </c>
      <c r="N121" s="9" t="n">
        <v>22684</v>
      </c>
      <c r="O121" s="9" t="n">
        <v>0</v>
      </c>
      <c r="P121" s="9" t="n">
        <v>1211</v>
      </c>
      <c r="Q121" s="9" t="n">
        <v>53384</v>
      </c>
      <c r="R121" s="9" t="n">
        <v>2144409</v>
      </c>
      <c r="S121" s="9" t="n">
        <v>4189695</v>
      </c>
      <c r="T121" s="11" t="n">
        <f aca="false">R121/S121</f>
        <v>0.511829381375017</v>
      </c>
      <c r="U121" s="9" t="n">
        <f aca="false">D121+E121+F121</f>
        <v>408937</v>
      </c>
      <c r="V121" s="9" t="n">
        <f aca="false">H121+I121+J121</f>
        <v>1209962</v>
      </c>
      <c r="W121" s="9" t="n">
        <f aca="false">K121</f>
        <v>414573</v>
      </c>
      <c r="X121" s="11" t="n">
        <f aca="false">Q121/R121</f>
        <v>0.0248945047330057</v>
      </c>
    </row>
    <row r="122" customFormat="false" ht="15" hidden="false" customHeight="false" outlineLevel="0" collapsed="false">
      <c r="A122" s="14" t="s">
        <v>39</v>
      </c>
      <c r="B122" s="14" t="n">
        <v>2021</v>
      </c>
      <c r="C122" s="14" t="s">
        <v>101</v>
      </c>
      <c r="D122" s="9" t="n">
        <v>765564</v>
      </c>
      <c r="E122" s="9" t="n">
        <v>116077</v>
      </c>
      <c r="F122" s="9" t="n">
        <v>64156</v>
      </c>
      <c r="G122" s="9" t="n">
        <v>42121</v>
      </c>
      <c r="H122" s="9" t="n">
        <v>83050</v>
      </c>
      <c r="I122" s="9" t="n">
        <v>357753</v>
      </c>
      <c r="J122" s="9" t="n">
        <v>68023</v>
      </c>
      <c r="K122" s="9" t="n">
        <v>44873</v>
      </c>
      <c r="L122" s="9" t="n">
        <v>0</v>
      </c>
      <c r="M122" s="9" t="n">
        <v>34158</v>
      </c>
      <c r="N122" s="9" t="n">
        <v>54365</v>
      </c>
      <c r="O122" s="9" t="n">
        <v>0</v>
      </c>
      <c r="P122" s="9" t="n">
        <v>879</v>
      </c>
      <c r="Q122" s="9" t="n">
        <v>66620</v>
      </c>
      <c r="R122" s="9" t="n">
        <v>1697639</v>
      </c>
      <c r="S122" s="9" t="n">
        <v>2997803</v>
      </c>
      <c r="T122" s="11" t="n">
        <f aca="false">R122/S122</f>
        <v>0.566294382919758</v>
      </c>
      <c r="U122" s="9" t="n">
        <f aca="false">D122+E122+F122</f>
        <v>945797</v>
      </c>
      <c r="V122" s="9" t="n">
        <f aca="false">H122+I122+J122</f>
        <v>508826</v>
      </c>
      <c r="W122" s="9" t="n">
        <f aca="false">K122</f>
        <v>44873</v>
      </c>
      <c r="X122" s="11" t="n">
        <f aca="false">Q122/R122</f>
        <v>0.039242736529969</v>
      </c>
    </row>
    <row r="123" customFormat="false" ht="15" hidden="false" customHeight="false" outlineLevel="0" collapsed="false">
      <c r="A123" s="14" t="s">
        <v>39</v>
      </c>
      <c r="B123" s="14" t="n">
        <v>2021</v>
      </c>
      <c r="C123" s="14" t="s">
        <v>102</v>
      </c>
      <c r="D123" s="9" t="n">
        <v>876983</v>
      </c>
      <c r="E123" s="9" t="n">
        <v>138975</v>
      </c>
      <c r="F123" s="9" t="n">
        <v>143024</v>
      </c>
      <c r="G123" s="9" t="n">
        <v>83720</v>
      </c>
      <c r="H123" s="9" t="n">
        <v>504086</v>
      </c>
      <c r="I123" s="9" t="n">
        <v>425023</v>
      </c>
      <c r="J123" s="9" t="n">
        <v>70107</v>
      </c>
      <c r="K123" s="9" t="n">
        <v>148629</v>
      </c>
      <c r="L123" s="9" t="n">
        <v>0</v>
      </c>
      <c r="M123" s="9" t="n">
        <v>60368</v>
      </c>
      <c r="N123" s="9" t="n">
        <v>93670</v>
      </c>
      <c r="O123" s="9" t="n">
        <v>0</v>
      </c>
      <c r="P123" s="9" t="n">
        <v>2391</v>
      </c>
      <c r="Q123" s="9" t="n">
        <v>118313</v>
      </c>
      <c r="R123" s="9" t="n">
        <v>2665289</v>
      </c>
      <c r="S123" s="9" t="n">
        <v>4739937</v>
      </c>
      <c r="T123" s="11" t="n">
        <f aca="false">R123/S123</f>
        <v>0.562304731054442</v>
      </c>
      <c r="U123" s="9" t="n">
        <f aca="false">D123+E123+F123</f>
        <v>1158982</v>
      </c>
      <c r="V123" s="9" t="n">
        <f aca="false">H123+I123+J123</f>
        <v>999216</v>
      </c>
      <c r="W123" s="9" t="n">
        <f aca="false">K123</f>
        <v>148629</v>
      </c>
      <c r="X123" s="11" t="n">
        <f aca="false">Q123/R123</f>
        <v>0.0443903081429444</v>
      </c>
    </row>
    <row r="124" customFormat="false" ht="15" hidden="false" customHeight="false" outlineLevel="0" collapsed="false">
      <c r="A124" s="14" t="s">
        <v>39</v>
      </c>
      <c r="B124" s="14" t="n">
        <v>2021</v>
      </c>
      <c r="C124" s="14" t="s">
        <v>103</v>
      </c>
      <c r="D124" s="9" t="n">
        <v>221827</v>
      </c>
      <c r="E124" s="9" t="n">
        <v>9557</v>
      </c>
      <c r="F124" s="9" t="n">
        <v>33688</v>
      </c>
      <c r="G124" s="9" t="n">
        <v>13085</v>
      </c>
      <c r="H124" s="9" t="n">
        <v>410525</v>
      </c>
      <c r="I124" s="9" t="n">
        <v>129396</v>
      </c>
      <c r="J124" s="9" t="n">
        <v>9947</v>
      </c>
      <c r="K124" s="9" t="n">
        <v>16594</v>
      </c>
      <c r="L124" s="9" t="n">
        <v>0</v>
      </c>
      <c r="M124" s="9" t="n">
        <v>13595</v>
      </c>
      <c r="N124" s="9" t="n">
        <v>19137</v>
      </c>
      <c r="O124" s="9" t="n">
        <v>0</v>
      </c>
      <c r="P124" s="9" t="n">
        <v>512</v>
      </c>
      <c r="Q124" s="9" t="n">
        <v>27368</v>
      </c>
      <c r="R124" s="9" t="n">
        <v>905231</v>
      </c>
      <c r="S124" s="9" t="n">
        <v>1736378</v>
      </c>
      <c r="T124" s="11" t="n">
        <f aca="false">R124/S124</f>
        <v>0.521332912534022</v>
      </c>
      <c r="U124" s="9" t="n">
        <f aca="false">D124+E124+F124</f>
        <v>265072</v>
      </c>
      <c r="V124" s="9" t="n">
        <f aca="false">H124+I124+J124</f>
        <v>549868</v>
      </c>
      <c r="W124" s="9" t="n">
        <f aca="false">K124</f>
        <v>16594</v>
      </c>
      <c r="X124" s="11" t="n">
        <f aca="false">Q124/R124</f>
        <v>0.0302331670037814</v>
      </c>
    </row>
    <row r="125" customFormat="false" ht="15" hidden="false" customHeight="false" outlineLevel="0" collapsed="false">
      <c r="A125" s="14" t="s">
        <v>39</v>
      </c>
      <c r="B125" s="14" t="n">
        <v>2021</v>
      </c>
      <c r="C125" s="14" t="s">
        <v>104</v>
      </c>
      <c r="D125" s="9" t="n">
        <v>238822</v>
      </c>
      <c r="E125" s="9" t="n">
        <v>18793</v>
      </c>
      <c r="F125" s="9" t="n">
        <v>31455</v>
      </c>
      <c r="G125" s="9" t="n">
        <v>21341</v>
      </c>
      <c r="H125" s="9" t="n">
        <v>93116</v>
      </c>
      <c r="I125" s="9" t="n">
        <v>61716</v>
      </c>
      <c r="J125" s="9" t="n">
        <v>18417</v>
      </c>
      <c r="K125" s="9" t="n">
        <v>22334</v>
      </c>
      <c r="L125" s="9" t="n">
        <v>0</v>
      </c>
      <c r="M125" s="9" t="n">
        <v>11259</v>
      </c>
      <c r="N125" s="9" t="n">
        <v>46268</v>
      </c>
      <c r="O125" s="9" t="n">
        <v>0</v>
      </c>
      <c r="P125" s="9" t="n">
        <v>1036</v>
      </c>
      <c r="Q125" s="9" t="n">
        <v>23256</v>
      </c>
      <c r="R125" s="9" t="n">
        <v>587813</v>
      </c>
      <c r="S125" s="9" t="n">
        <v>1322571</v>
      </c>
      <c r="T125" s="11" t="n">
        <f aca="false">R125/S125</f>
        <v>0.444447216822386</v>
      </c>
      <c r="U125" s="9" t="n">
        <f aca="false">D125+E125+F125</f>
        <v>289070</v>
      </c>
      <c r="V125" s="9" t="n">
        <f aca="false">H125+I125+J125</f>
        <v>173249</v>
      </c>
      <c r="W125" s="9" t="n">
        <f aca="false">K125</f>
        <v>22334</v>
      </c>
      <c r="X125" s="11" t="n">
        <f aca="false">Q125/R125</f>
        <v>0.0395636027103858</v>
      </c>
    </row>
    <row r="126" customFormat="false" ht="15" hidden="false" customHeight="false" outlineLevel="0" collapsed="false">
      <c r="A126" s="14" t="s">
        <v>39</v>
      </c>
      <c r="B126" s="14" t="n">
        <v>2021</v>
      </c>
      <c r="C126" s="14" t="s">
        <v>105</v>
      </c>
      <c r="D126" s="9" t="n">
        <v>215618</v>
      </c>
      <c r="E126" s="9" t="n">
        <v>46068</v>
      </c>
      <c r="F126" s="9" t="n">
        <v>306836</v>
      </c>
      <c r="G126" s="9" t="n">
        <v>28843</v>
      </c>
      <c r="H126" s="9" t="n">
        <v>223505</v>
      </c>
      <c r="I126" s="9" t="n">
        <v>173114</v>
      </c>
      <c r="J126" s="9" t="n">
        <v>30790</v>
      </c>
      <c r="K126" s="9" t="n">
        <v>51680</v>
      </c>
      <c r="L126" s="9" t="n">
        <v>0</v>
      </c>
      <c r="M126" s="9" t="n">
        <v>56387</v>
      </c>
      <c r="N126" s="9" t="n">
        <v>19232</v>
      </c>
      <c r="O126" s="9" t="n">
        <v>0</v>
      </c>
      <c r="P126" s="9" t="n">
        <v>1065</v>
      </c>
      <c r="Q126" s="9" t="n">
        <v>66791</v>
      </c>
      <c r="R126" s="9" t="n">
        <v>1219929</v>
      </c>
      <c r="S126" s="9" t="n">
        <v>2068300</v>
      </c>
      <c r="T126" s="11" t="n">
        <f aca="false">R126/S126</f>
        <v>0.589822076101146</v>
      </c>
      <c r="U126" s="9" t="n">
        <f aca="false">D126+E126+F126</f>
        <v>568522</v>
      </c>
      <c r="V126" s="9" t="n">
        <f aca="false">H126+I126+J126</f>
        <v>427409</v>
      </c>
      <c r="W126" s="9" t="n">
        <f aca="false">K126</f>
        <v>51680</v>
      </c>
      <c r="X126" s="11" t="n">
        <f aca="false">Q126/R126</f>
        <v>0.0547499075765885</v>
      </c>
    </row>
    <row r="127" customFormat="false" ht="15" hidden="false" customHeight="false" outlineLevel="0" collapsed="false">
      <c r="A127" s="14" t="s">
        <v>39</v>
      </c>
      <c r="B127" s="14" t="n">
        <v>2021</v>
      </c>
      <c r="C127" s="14" t="s">
        <v>106</v>
      </c>
      <c r="D127" s="9" t="n">
        <v>528289</v>
      </c>
      <c r="E127" s="9" t="n">
        <v>36321</v>
      </c>
      <c r="F127" s="9" t="n">
        <v>23150</v>
      </c>
      <c r="G127" s="9" t="n">
        <v>25741</v>
      </c>
      <c r="H127" s="9" t="n">
        <v>93558</v>
      </c>
      <c r="I127" s="9" t="n">
        <v>266350</v>
      </c>
      <c r="J127" s="9" t="n">
        <v>18235</v>
      </c>
      <c r="K127" s="9" t="n">
        <v>46469</v>
      </c>
      <c r="L127" s="9" t="n">
        <v>0</v>
      </c>
      <c r="M127" s="9" t="n">
        <v>14499</v>
      </c>
      <c r="N127" s="9" t="n">
        <v>19986</v>
      </c>
      <c r="O127" s="9" t="n">
        <v>0</v>
      </c>
      <c r="P127" s="9" t="n">
        <v>517</v>
      </c>
      <c r="Q127" s="9" t="n">
        <v>33109</v>
      </c>
      <c r="R127" s="9" t="n">
        <v>1106224</v>
      </c>
      <c r="S127" s="9" t="n">
        <v>2252154</v>
      </c>
      <c r="T127" s="11" t="n">
        <f aca="false">R127/S127</f>
        <v>0.491184883449356</v>
      </c>
      <c r="U127" s="9" t="n">
        <f aca="false">D127+E127+F127</f>
        <v>587760</v>
      </c>
      <c r="V127" s="9" t="n">
        <f aca="false">H127+I127+J127</f>
        <v>378143</v>
      </c>
      <c r="W127" s="9" t="n">
        <f aca="false">K127</f>
        <v>46469</v>
      </c>
      <c r="X127" s="11" t="n">
        <f aca="false">Q127/R127</f>
        <v>0.02992974298153</v>
      </c>
    </row>
    <row r="128" customFormat="false" ht="15" hidden="false" customHeight="false" outlineLevel="0" collapsed="false">
      <c r="A128" s="14" t="s">
        <v>39</v>
      </c>
      <c r="B128" s="14" t="n">
        <v>2021</v>
      </c>
      <c r="C128" s="14" t="s">
        <v>107</v>
      </c>
      <c r="D128" s="9" t="n">
        <v>403959</v>
      </c>
      <c r="E128" s="9" t="n">
        <v>45339</v>
      </c>
      <c r="F128" s="9" t="n">
        <v>26871</v>
      </c>
      <c r="G128" s="9" t="n">
        <v>24856</v>
      </c>
      <c r="H128" s="9" t="n">
        <v>101744</v>
      </c>
      <c r="I128" s="9" t="n">
        <v>204989</v>
      </c>
      <c r="J128" s="9" t="n">
        <v>13139</v>
      </c>
      <c r="K128" s="9" t="n">
        <v>76597</v>
      </c>
      <c r="L128" s="9" t="n">
        <v>0</v>
      </c>
      <c r="M128" s="9" t="n">
        <v>11526</v>
      </c>
      <c r="N128" s="9" t="n">
        <v>20290</v>
      </c>
      <c r="O128" s="9" t="n">
        <v>0</v>
      </c>
      <c r="P128" s="9" t="n">
        <v>1048</v>
      </c>
      <c r="Q128" s="9" t="n">
        <v>28281</v>
      </c>
      <c r="R128" s="9" t="n">
        <v>958639</v>
      </c>
      <c r="S128" s="9" t="n">
        <v>2187744</v>
      </c>
      <c r="T128" s="11" t="n">
        <f aca="false">R128/S128</f>
        <v>0.438186094899586</v>
      </c>
      <c r="U128" s="9" t="n">
        <f aca="false">D128+E128+F128</f>
        <v>476169</v>
      </c>
      <c r="V128" s="9" t="n">
        <f aca="false">H128+I128+J128</f>
        <v>319872</v>
      </c>
      <c r="W128" s="9" t="n">
        <f aca="false">K128</f>
        <v>76597</v>
      </c>
      <c r="X128" s="11" t="n">
        <f aca="false">Q128/R128</f>
        <v>0.0295011990958014</v>
      </c>
    </row>
    <row r="129" customFormat="false" ht="15" hidden="false" customHeight="false" outlineLevel="0" collapsed="false">
      <c r="A129" s="14" t="s">
        <v>39</v>
      </c>
      <c r="B129" s="14" t="n">
        <v>2021</v>
      </c>
      <c r="C129" s="14" t="s">
        <v>108</v>
      </c>
      <c r="D129" s="9" t="n">
        <v>544878</v>
      </c>
      <c r="E129" s="9" t="n">
        <v>20930</v>
      </c>
      <c r="F129" s="9" t="n">
        <v>53041</v>
      </c>
      <c r="G129" s="9" t="n">
        <v>21895</v>
      </c>
      <c r="H129" s="9" t="n">
        <v>12173</v>
      </c>
      <c r="I129" s="9" t="n">
        <v>71371</v>
      </c>
      <c r="J129" s="9" t="n">
        <v>110555</v>
      </c>
      <c r="K129" s="9" t="n">
        <v>30959</v>
      </c>
      <c r="L129" s="9" t="n">
        <v>0</v>
      </c>
      <c r="M129" s="9" t="n">
        <v>20663</v>
      </c>
      <c r="N129" s="9" t="n">
        <v>22219</v>
      </c>
      <c r="O129" s="9" t="n">
        <v>0</v>
      </c>
      <c r="P129" s="9" t="n">
        <v>649</v>
      </c>
      <c r="Q129" s="9" t="n">
        <v>27694</v>
      </c>
      <c r="R129" s="9" t="n">
        <v>937027</v>
      </c>
      <c r="S129" s="9" t="n">
        <v>1752765</v>
      </c>
      <c r="T129" s="11" t="n">
        <f aca="false">R129/S129</f>
        <v>0.534599333053775</v>
      </c>
      <c r="U129" s="9" t="n">
        <f aca="false">D129+E129+F129</f>
        <v>618849</v>
      </c>
      <c r="V129" s="9" t="n">
        <f aca="false">H129+I129+J129</f>
        <v>194099</v>
      </c>
      <c r="W129" s="9" t="n">
        <f aca="false">K129</f>
        <v>30959</v>
      </c>
      <c r="X129" s="11" t="n">
        <f aca="false">Q129/R129</f>
        <v>0.029555178239261</v>
      </c>
    </row>
    <row r="130" customFormat="false" ht="15" hidden="false" customHeight="false" outlineLevel="0" collapsed="false">
      <c r="A130" s="14" t="s">
        <v>39</v>
      </c>
      <c r="B130" s="14" t="n">
        <v>2021</v>
      </c>
      <c r="C130" s="14" t="s">
        <v>109</v>
      </c>
      <c r="D130" s="9" t="n">
        <v>574825</v>
      </c>
      <c r="E130" s="9" t="n">
        <v>35922</v>
      </c>
      <c r="F130" s="9" t="n">
        <v>31848</v>
      </c>
      <c r="G130" s="9" t="n">
        <v>29057</v>
      </c>
      <c r="H130" s="9" t="n">
        <v>515984</v>
      </c>
      <c r="I130" s="9" t="n">
        <v>131853</v>
      </c>
      <c r="J130" s="9" t="n">
        <v>13644</v>
      </c>
      <c r="K130" s="9" t="n">
        <v>44657</v>
      </c>
      <c r="L130" s="9" t="n">
        <v>0</v>
      </c>
      <c r="M130" s="9" t="n">
        <v>16153</v>
      </c>
      <c r="N130" s="9" t="n">
        <v>15049</v>
      </c>
      <c r="O130" s="9" t="n">
        <v>0</v>
      </c>
      <c r="P130" s="9" t="n">
        <v>703</v>
      </c>
      <c r="Q130" s="9" t="n">
        <v>31677</v>
      </c>
      <c r="R130" s="9" t="n">
        <v>1441372</v>
      </c>
      <c r="S130" s="9" t="n">
        <v>2735987</v>
      </c>
      <c r="T130" s="11" t="n">
        <f aca="false">R130/S130</f>
        <v>0.526819754626027</v>
      </c>
      <c r="U130" s="9" t="n">
        <f aca="false">D130+E130+F130</f>
        <v>642595</v>
      </c>
      <c r="V130" s="9" t="n">
        <f aca="false">H130+I130+J130</f>
        <v>661481</v>
      </c>
      <c r="W130" s="9" t="n">
        <f aca="false">K130</f>
        <v>44657</v>
      </c>
      <c r="X130" s="11" t="n">
        <f aca="false">Q130/R130</f>
        <v>0.0219769774908906</v>
      </c>
    </row>
    <row r="131" customFormat="false" ht="15" hidden="false" customHeight="false" outlineLevel="0" collapsed="false">
      <c r="A131" s="14" t="s">
        <v>39</v>
      </c>
      <c r="B131" s="14" t="n">
        <v>2021</v>
      </c>
      <c r="C131" s="14" t="s">
        <v>110</v>
      </c>
      <c r="D131" s="9" t="n">
        <v>231149</v>
      </c>
      <c r="E131" s="9" t="n">
        <v>38991</v>
      </c>
      <c r="F131" s="9" t="n">
        <v>24662</v>
      </c>
      <c r="G131" s="9" t="n">
        <v>16115</v>
      </c>
      <c r="H131" s="9" t="n">
        <v>67824</v>
      </c>
      <c r="I131" s="9" t="n">
        <v>91496</v>
      </c>
      <c r="J131" s="9" t="n">
        <v>29388</v>
      </c>
      <c r="K131" s="9" t="n">
        <v>24181</v>
      </c>
      <c r="L131" s="9" t="n">
        <v>0</v>
      </c>
      <c r="M131" s="9" t="n">
        <v>30903</v>
      </c>
      <c r="N131" s="9" t="n">
        <v>27699</v>
      </c>
      <c r="O131" s="9" t="n">
        <v>30928</v>
      </c>
      <c r="P131" s="9" t="n">
        <v>340</v>
      </c>
      <c r="Q131" s="9" t="n">
        <v>33490</v>
      </c>
      <c r="R131" s="9" t="n">
        <v>647166</v>
      </c>
      <c r="S131" s="9" t="n">
        <v>973398</v>
      </c>
      <c r="T131" s="11" t="n">
        <f aca="false">R131/S131</f>
        <v>0.664852403641676</v>
      </c>
      <c r="U131" s="9" t="n">
        <f aca="false">D131+E131+F131</f>
        <v>294802</v>
      </c>
      <c r="V131" s="9" t="n">
        <f aca="false">H131+I131+J131</f>
        <v>188708</v>
      </c>
      <c r="W131" s="9" t="n">
        <f aca="false">K131</f>
        <v>24181</v>
      </c>
      <c r="X131" s="11" t="n">
        <f aca="false">Q131/R131</f>
        <v>0.051748701260573</v>
      </c>
    </row>
    <row r="132" customFormat="false" ht="15" hidden="false" customHeight="false" outlineLevel="0" collapsed="false">
      <c r="A132" s="14" t="s">
        <v>39</v>
      </c>
      <c r="B132" s="14" t="n">
        <v>2021</v>
      </c>
      <c r="C132" s="14" t="s">
        <v>111</v>
      </c>
      <c r="D132" s="9" t="n">
        <v>1414845</v>
      </c>
      <c r="E132" s="9" t="n">
        <v>112553</v>
      </c>
      <c r="F132" s="9" t="n">
        <v>210083</v>
      </c>
      <c r="G132" s="9" t="n">
        <v>101316</v>
      </c>
      <c r="H132" s="9" t="n">
        <v>559744</v>
      </c>
      <c r="I132" s="9" t="n">
        <v>404008</v>
      </c>
      <c r="J132" s="9" t="n">
        <v>208993</v>
      </c>
      <c r="K132" s="9" t="n">
        <v>258129</v>
      </c>
      <c r="L132" s="9" t="n">
        <v>0</v>
      </c>
      <c r="M132" s="9" t="n">
        <v>95155</v>
      </c>
      <c r="N132" s="9" t="n">
        <v>121824</v>
      </c>
      <c r="O132" s="9" t="n">
        <v>0</v>
      </c>
      <c r="P132" s="9" t="n">
        <v>2242</v>
      </c>
      <c r="Q132" s="9" t="n">
        <v>122329</v>
      </c>
      <c r="R132" s="9" t="n">
        <v>3611221</v>
      </c>
      <c r="S132" s="9" t="n">
        <v>5979659</v>
      </c>
      <c r="T132" s="11" t="n">
        <f aca="false">R132/S132</f>
        <v>0.603917547806656</v>
      </c>
      <c r="U132" s="9" t="n">
        <f aca="false">D132+E132+F132</f>
        <v>1737481</v>
      </c>
      <c r="V132" s="9" t="n">
        <f aca="false">H132+I132+J132</f>
        <v>1172745</v>
      </c>
      <c r="W132" s="9" t="n">
        <f aca="false">K132</f>
        <v>258129</v>
      </c>
      <c r="X132" s="11" t="n">
        <f aca="false">Q132/R132</f>
        <v>0.0338746922439806</v>
      </c>
    </row>
    <row r="133" customFormat="false" ht="15" hidden="false" customHeight="false" outlineLevel="0" collapsed="false">
      <c r="A133" s="14" t="s">
        <v>39</v>
      </c>
      <c r="B133" s="14" t="n">
        <v>2021</v>
      </c>
      <c r="C133" s="14" t="s">
        <v>112</v>
      </c>
      <c r="D133" s="9" t="n">
        <v>282224</v>
      </c>
      <c r="E133" s="9" t="n">
        <v>16297</v>
      </c>
      <c r="F133" s="9" t="n">
        <v>27062</v>
      </c>
      <c r="G133" s="9" t="n">
        <v>15076</v>
      </c>
      <c r="H133" s="9" t="n">
        <v>365491</v>
      </c>
      <c r="I133" s="9" t="n">
        <v>248663</v>
      </c>
      <c r="J133" s="9" t="n">
        <v>23988</v>
      </c>
      <c r="K133" s="9" t="n">
        <v>31827</v>
      </c>
      <c r="L133" s="9" t="n">
        <v>0</v>
      </c>
      <c r="M133" s="9" t="n">
        <v>5319</v>
      </c>
      <c r="N133" s="9" t="n">
        <v>15332</v>
      </c>
      <c r="O133" s="9" t="n">
        <v>0</v>
      </c>
      <c r="P133" s="9" t="n">
        <v>362</v>
      </c>
      <c r="Q133" s="9" t="n">
        <v>27839</v>
      </c>
      <c r="R133" s="9" t="n">
        <v>1059480</v>
      </c>
      <c r="S133" s="9" t="n">
        <v>1660064</v>
      </c>
      <c r="T133" s="11" t="n">
        <f aca="false">R133/S133</f>
        <v>0.63821635792355</v>
      </c>
      <c r="U133" s="9" t="n">
        <f aca="false">D133+E133+F133</f>
        <v>325583</v>
      </c>
      <c r="V133" s="9" t="n">
        <f aca="false">H133+I133+J133</f>
        <v>638142</v>
      </c>
      <c r="W133" s="9" t="n">
        <f aca="false">K133</f>
        <v>31827</v>
      </c>
      <c r="X133" s="11" t="n">
        <f aca="false">Q133/R133</f>
        <v>0.0262760977083097</v>
      </c>
    </row>
    <row r="134" customFormat="false" ht="15" hidden="false" customHeight="false" outlineLevel="0" collapsed="false">
      <c r="A134" s="14" t="s">
        <v>39</v>
      </c>
      <c r="B134" s="14" t="n">
        <v>2021</v>
      </c>
      <c r="C134" s="14" t="s">
        <v>113</v>
      </c>
      <c r="D134" s="9" t="n">
        <v>223733</v>
      </c>
      <c r="E134" s="9" t="n">
        <v>56342</v>
      </c>
      <c r="F134" s="9" t="n">
        <v>32432</v>
      </c>
      <c r="G134" s="9" t="n">
        <v>23811</v>
      </c>
      <c r="H134" s="9" t="n">
        <v>72120</v>
      </c>
      <c r="I134" s="9" t="n">
        <v>171317</v>
      </c>
      <c r="J134" s="9" t="n">
        <v>31928</v>
      </c>
      <c r="K134" s="9" t="n">
        <v>24753</v>
      </c>
      <c r="L134" s="9" t="n">
        <v>0</v>
      </c>
      <c r="M134" s="9" t="n">
        <v>5655</v>
      </c>
      <c r="N134" s="9" t="n">
        <v>25351</v>
      </c>
      <c r="O134" s="9" t="n">
        <v>0</v>
      </c>
      <c r="P134" s="9" t="n">
        <v>352</v>
      </c>
      <c r="Q134" s="9" t="n">
        <v>25829</v>
      </c>
      <c r="R134" s="9" t="n">
        <v>693623</v>
      </c>
      <c r="S134" s="9" t="n">
        <v>1211040</v>
      </c>
      <c r="T134" s="11" t="n">
        <f aca="false">R134/S134</f>
        <v>0.572749867882151</v>
      </c>
      <c r="U134" s="9" t="n">
        <f aca="false">D134+E134+F134</f>
        <v>312507</v>
      </c>
      <c r="V134" s="9" t="n">
        <f aca="false">H134+I134+J134</f>
        <v>275365</v>
      </c>
      <c r="W134" s="9" t="n">
        <f aca="false">K134</f>
        <v>24753</v>
      </c>
      <c r="X134" s="11" t="n">
        <f aca="false">Q134/R134</f>
        <v>0.0372378078581593</v>
      </c>
    </row>
    <row r="135" customFormat="false" ht="15" hidden="false" customHeight="false" outlineLevel="0" collapsed="false">
      <c r="A135" s="16" t="s">
        <v>39</v>
      </c>
      <c r="B135" s="16" t="n">
        <v>2021</v>
      </c>
      <c r="C135" s="16" t="s">
        <v>4</v>
      </c>
      <c r="D135" s="22" t="n">
        <f aca="false">SUM(D103:D134)</f>
        <v>16798821</v>
      </c>
      <c r="E135" s="22" t="n">
        <f aca="false">SUM(E103:E134)</f>
        <v>1570104</v>
      </c>
      <c r="F135" s="22" t="n">
        <f aca="false">SUM(F103:F134)</f>
        <v>2656817</v>
      </c>
      <c r="G135" s="22" t="n">
        <f aca="false">SUM(G103:G134)</f>
        <v>1352544</v>
      </c>
      <c r="H135" s="22" t="n">
        <f aca="false">SUM(H103:H134)</f>
        <v>8979148</v>
      </c>
      <c r="I135" s="22" t="n">
        <f aca="false">SUM(I103:I134)</f>
        <v>8734178</v>
      </c>
      <c r="J135" s="22" t="n">
        <f aca="false">SUM(J103:J134)</f>
        <v>1764561</v>
      </c>
      <c r="K135" s="22" t="n">
        <f aca="false">SUM(K103:K134)</f>
        <v>3449982</v>
      </c>
      <c r="L135" s="22" t="n">
        <f aca="false">SUM(L103:L134)</f>
        <v>0</v>
      </c>
      <c r="M135" s="22" t="n">
        <f aca="false">SUM(M103:M134)</f>
        <v>868515</v>
      </c>
      <c r="N135" s="22" t="n">
        <f aca="false">SUM(N103:N134)</f>
        <v>1217084</v>
      </c>
      <c r="O135" s="22" t="n">
        <f aca="false">SUM(O103:O134)</f>
        <v>44311</v>
      </c>
      <c r="P135" s="22" t="n">
        <f aca="false">SUM(P103:P134)</f>
        <v>41933</v>
      </c>
      <c r="Q135" s="22" t="n">
        <f aca="false">SUM(Q103:Q134)</f>
        <v>1673322</v>
      </c>
      <c r="R135" s="22" t="n">
        <f aca="false">SUM(R103:R134)</f>
        <v>49151320</v>
      </c>
      <c r="S135" s="22" t="n">
        <f aca="false">SUM(S103:S134)</f>
        <v>93328771</v>
      </c>
      <c r="T135" s="17" t="n">
        <f aca="false">R135/S135</f>
        <v>0.52664702934961</v>
      </c>
      <c r="U135" s="22" t="n">
        <f aca="false">SUM(U103:U134)</f>
        <v>21025742</v>
      </c>
      <c r="V135" s="22" t="n">
        <f aca="false">SUM(V103:V134)</f>
        <v>19477887</v>
      </c>
      <c r="W135" s="22" t="n">
        <f aca="false">SUM(W103:W134)</f>
        <v>3449982</v>
      </c>
      <c r="X135" s="17" t="n">
        <f aca="false">Q135/R135</f>
        <v>0.0340442942325862</v>
      </c>
    </row>
    <row r="136" customFormat="false" ht="15" hidden="false" customHeight="false" outlineLevel="0" collapsed="false">
      <c r="A136" s="14" t="s">
        <v>39</v>
      </c>
      <c r="B136" s="14" t="n">
        <v>2024</v>
      </c>
      <c r="C136" s="14" t="s">
        <v>82</v>
      </c>
      <c r="D136" s="9" t="n">
        <v>203071</v>
      </c>
      <c r="E136" s="9" t="n">
        <v>17423</v>
      </c>
      <c r="F136" s="9" t="n">
        <v>24194</v>
      </c>
      <c r="G136" s="9" t="n">
        <v>0</v>
      </c>
      <c r="H136" s="9" t="n">
        <v>271617</v>
      </c>
      <c r="I136" s="9" t="n">
        <v>49694</v>
      </c>
      <c r="J136" s="9" t="n">
        <v>16335</v>
      </c>
      <c r="K136" s="9" t="n">
        <v>52943</v>
      </c>
      <c r="L136" s="9" t="n">
        <v>0</v>
      </c>
      <c r="M136" s="9" t="n">
        <v>0</v>
      </c>
      <c r="N136" s="9" t="n">
        <v>0</v>
      </c>
      <c r="O136" s="9" t="n">
        <v>0</v>
      </c>
      <c r="P136" s="9" t="n">
        <v>585</v>
      </c>
      <c r="Q136" s="9" t="n">
        <v>20860</v>
      </c>
      <c r="R136" s="9" t="n">
        <v>656722</v>
      </c>
      <c r="S136" s="9" t="n">
        <v>1097367</v>
      </c>
      <c r="T136" s="11" t="n">
        <f aca="false">R136/S136</f>
        <v>0.598452477612321</v>
      </c>
      <c r="U136" s="9" t="n">
        <f aca="false">D136+E136+F136</f>
        <v>244688</v>
      </c>
      <c r="V136" s="9" t="n">
        <f aca="false">H136+I136+J136</f>
        <v>337646</v>
      </c>
      <c r="W136" s="9" t="n">
        <f aca="false">K136</f>
        <v>52943</v>
      </c>
      <c r="X136" s="11" t="n">
        <f aca="false">Q136/R136</f>
        <v>0.0317638209166131</v>
      </c>
    </row>
    <row r="137" customFormat="false" ht="15" hidden="false" customHeight="false" outlineLevel="0" collapsed="false">
      <c r="A137" s="14" t="s">
        <v>39</v>
      </c>
      <c r="B137" s="14" t="n">
        <v>2024</v>
      </c>
      <c r="C137" s="14" t="s">
        <v>83</v>
      </c>
      <c r="D137" s="9" t="n">
        <v>800032</v>
      </c>
      <c r="E137" s="9" t="n">
        <v>85432</v>
      </c>
      <c r="F137" s="9" t="n">
        <v>100576</v>
      </c>
      <c r="G137" s="9" t="n">
        <v>0</v>
      </c>
      <c r="H137" s="9" t="n">
        <v>238687</v>
      </c>
      <c r="I137" s="9" t="n">
        <v>76858</v>
      </c>
      <c r="J137" s="9" t="n">
        <v>18756</v>
      </c>
      <c r="K137" s="9" t="n">
        <v>139375</v>
      </c>
      <c r="L137" s="9" t="n">
        <v>0</v>
      </c>
      <c r="M137" s="9" t="n">
        <v>0</v>
      </c>
      <c r="N137" s="9" t="n">
        <v>0</v>
      </c>
      <c r="O137" s="9" t="n">
        <v>0</v>
      </c>
      <c r="P137" s="9" t="n">
        <v>2073</v>
      </c>
      <c r="Q137" s="9" t="n">
        <v>80640</v>
      </c>
      <c r="R137" s="9" t="n">
        <v>1542429</v>
      </c>
      <c r="S137" s="9" t="n">
        <v>3197828</v>
      </c>
      <c r="T137" s="11" t="n">
        <f aca="false">R137/S137</f>
        <v>0.482336448364327</v>
      </c>
      <c r="U137" s="9" t="n">
        <f aca="false">D137+E137+F137</f>
        <v>986040</v>
      </c>
      <c r="V137" s="9" t="n">
        <f aca="false">H137+I137+J137</f>
        <v>334301</v>
      </c>
      <c r="W137" s="9" t="n">
        <f aca="false">K137</f>
        <v>139375</v>
      </c>
      <c r="X137" s="11" t="n">
        <f aca="false">Q137/R137</f>
        <v>0.0522811746926439</v>
      </c>
    </row>
    <row r="138" customFormat="false" ht="15" hidden="false" customHeight="false" outlineLevel="0" collapsed="false">
      <c r="A138" s="14" t="s">
        <v>39</v>
      </c>
      <c r="B138" s="14" t="n">
        <v>2024</v>
      </c>
      <c r="C138" s="14" t="s">
        <v>84</v>
      </c>
      <c r="D138" s="9" t="n">
        <v>140589</v>
      </c>
      <c r="E138" s="9" t="n">
        <v>28943</v>
      </c>
      <c r="F138" s="9" t="n">
        <v>20604</v>
      </c>
      <c r="G138" s="9" t="n">
        <v>0</v>
      </c>
      <c r="H138" s="9" t="n">
        <v>90559</v>
      </c>
      <c r="I138" s="9" t="n">
        <v>14138</v>
      </c>
      <c r="J138" s="9" t="n">
        <v>4867</v>
      </c>
      <c r="K138" s="9" t="n">
        <v>24420</v>
      </c>
      <c r="L138" s="9" t="n">
        <v>0</v>
      </c>
      <c r="M138" s="9" t="n">
        <v>0</v>
      </c>
      <c r="N138" s="9" t="n">
        <v>0</v>
      </c>
      <c r="O138" s="9" t="n">
        <v>0</v>
      </c>
      <c r="P138" s="9" t="n">
        <v>323</v>
      </c>
      <c r="Q138" s="9" t="n">
        <v>10798</v>
      </c>
      <c r="R138" s="9" t="n">
        <v>335241</v>
      </c>
      <c r="S138" s="9" t="n">
        <v>613630</v>
      </c>
      <c r="T138" s="11" t="n">
        <f aca="false">R138/S138</f>
        <v>0.546324332252335</v>
      </c>
      <c r="U138" s="9" t="n">
        <f aca="false">D138+E138+F138</f>
        <v>190136</v>
      </c>
      <c r="V138" s="9" t="n">
        <f aca="false">H138+I138+J138</f>
        <v>109564</v>
      </c>
      <c r="W138" s="9" t="n">
        <f aca="false">K138</f>
        <v>24420</v>
      </c>
      <c r="X138" s="11" t="n">
        <f aca="false">Q138/R138</f>
        <v>0.0322096640923992</v>
      </c>
    </row>
    <row r="139" customFormat="false" ht="15" hidden="false" customHeight="false" outlineLevel="0" collapsed="false">
      <c r="A139" s="14" t="s">
        <v>39</v>
      </c>
      <c r="B139" s="14" t="n">
        <v>2024</v>
      </c>
      <c r="C139" s="14" t="s">
        <v>85</v>
      </c>
      <c r="D139" s="9" t="n">
        <v>185873</v>
      </c>
      <c r="E139" s="9" t="n">
        <v>19376</v>
      </c>
      <c r="F139" s="9" t="n">
        <v>18046</v>
      </c>
      <c r="G139" s="9" t="n">
        <v>0</v>
      </c>
      <c r="H139" s="9" t="n">
        <v>20395</v>
      </c>
      <c r="I139" s="9" t="n">
        <v>44501</v>
      </c>
      <c r="J139" s="9" t="n">
        <v>3018</v>
      </c>
      <c r="K139" s="9" t="n">
        <v>141316</v>
      </c>
      <c r="L139" s="9" t="n">
        <v>0</v>
      </c>
      <c r="M139" s="9" t="n">
        <v>0</v>
      </c>
      <c r="N139" s="9" t="n">
        <v>0</v>
      </c>
      <c r="O139" s="9" t="n">
        <v>0</v>
      </c>
      <c r="P139" s="9" t="n">
        <v>269</v>
      </c>
      <c r="Q139" s="9" t="n">
        <v>13043</v>
      </c>
      <c r="R139" s="9" t="n">
        <v>445837</v>
      </c>
      <c r="S139" s="9" t="n">
        <v>694618</v>
      </c>
      <c r="T139" s="11" t="n">
        <f aca="false">R139/S139</f>
        <v>0.641844870130057</v>
      </c>
      <c r="U139" s="9" t="n">
        <f aca="false">D139+E139+F139</f>
        <v>223295</v>
      </c>
      <c r="V139" s="9" t="n">
        <f aca="false">H139+I139+J139</f>
        <v>67914</v>
      </c>
      <c r="W139" s="9" t="n">
        <f aca="false">K139</f>
        <v>141316</v>
      </c>
      <c r="X139" s="11" t="n">
        <f aca="false">Q139/R139</f>
        <v>0.0292550865002232</v>
      </c>
    </row>
    <row r="140" customFormat="false" ht="15" hidden="false" customHeight="false" outlineLevel="0" collapsed="false">
      <c r="A140" s="14" t="s">
        <v>39</v>
      </c>
      <c r="B140" s="14" t="n">
        <v>2024</v>
      </c>
      <c r="C140" s="14" t="s">
        <v>86</v>
      </c>
      <c r="D140" s="9" t="n">
        <v>608354</v>
      </c>
      <c r="E140" s="9" t="n">
        <v>64753</v>
      </c>
      <c r="F140" s="9" t="n">
        <v>71397</v>
      </c>
      <c r="G140" s="9" t="n">
        <v>0</v>
      </c>
      <c r="H140" s="9" t="n">
        <v>98305</v>
      </c>
      <c r="I140" s="9" t="n">
        <v>610257</v>
      </c>
      <c r="J140" s="9" t="n">
        <v>27399</v>
      </c>
      <c r="K140" s="9" t="n">
        <v>61004</v>
      </c>
      <c r="L140" s="9" t="n">
        <v>0</v>
      </c>
      <c r="M140" s="9" t="n">
        <v>0</v>
      </c>
      <c r="N140" s="9" t="n">
        <v>0</v>
      </c>
      <c r="O140" s="9" t="n">
        <v>0</v>
      </c>
      <c r="P140" s="9" t="n">
        <v>526</v>
      </c>
      <c r="Q140" s="9" t="n">
        <v>34620</v>
      </c>
      <c r="R140" s="9" t="n">
        <v>1576615</v>
      </c>
      <c r="S140" s="9" t="n">
        <v>2410804</v>
      </c>
      <c r="T140" s="11" t="n">
        <f aca="false">R140/S140</f>
        <v>0.653978921554801</v>
      </c>
      <c r="U140" s="9" t="n">
        <f aca="false">D140+E140+F140</f>
        <v>744504</v>
      </c>
      <c r="V140" s="9" t="n">
        <f aca="false">H140+I140+J140</f>
        <v>735961</v>
      </c>
      <c r="W140" s="9" t="n">
        <f aca="false">K140</f>
        <v>61004</v>
      </c>
      <c r="X140" s="11" t="n">
        <f aca="false">Q140/R140</f>
        <v>0.0219584362701103</v>
      </c>
    </row>
    <row r="141" customFormat="false" ht="15" hidden="false" customHeight="false" outlineLevel="0" collapsed="false">
      <c r="A141" s="14" t="s">
        <v>39</v>
      </c>
      <c r="B141" s="14" t="n">
        <v>2024</v>
      </c>
      <c r="C141" s="14" t="s">
        <v>87</v>
      </c>
      <c r="D141" s="9" t="n">
        <v>127500</v>
      </c>
      <c r="E141" s="9" t="n">
        <v>14235</v>
      </c>
      <c r="F141" s="9" t="n">
        <v>24167</v>
      </c>
      <c r="G141" s="9" t="n">
        <v>0</v>
      </c>
      <c r="H141" s="9" t="n">
        <v>49614</v>
      </c>
      <c r="I141" s="9" t="n">
        <v>50610</v>
      </c>
      <c r="J141" s="9" t="n">
        <v>7304</v>
      </c>
      <c r="K141" s="9" t="n">
        <v>54143</v>
      </c>
      <c r="L141" s="9" t="n">
        <v>0</v>
      </c>
      <c r="M141" s="9" t="n">
        <v>0</v>
      </c>
      <c r="N141" s="9" t="n">
        <v>0</v>
      </c>
      <c r="O141" s="9" t="n">
        <v>0</v>
      </c>
      <c r="P141" s="9" t="n">
        <v>305</v>
      </c>
      <c r="Q141" s="9" t="n">
        <v>10704</v>
      </c>
      <c r="R141" s="9" t="n">
        <v>338582</v>
      </c>
      <c r="S141" s="9" t="n">
        <v>584287</v>
      </c>
      <c r="T141" s="11" t="n">
        <f aca="false">R141/S141</f>
        <v>0.579478920462033</v>
      </c>
      <c r="U141" s="9" t="n">
        <f aca="false">D141+E141+F141</f>
        <v>165902</v>
      </c>
      <c r="V141" s="9" t="n">
        <f aca="false">H141+I141+J141</f>
        <v>107528</v>
      </c>
      <c r="W141" s="9" t="n">
        <f aca="false">K141</f>
        <v>54143</v>
      </c>
      <c r="X141" s="11" t="n">
        <f aca="false">Q141/R141</f>
        <v>0.0316142027632892</v>
      </c>
    </row>
    <row r="142" customFormat="false" ht="15" hidden="false" customHeight="false" outlineLevel="0" collapsed="false">
      <c r="A142" s="14" t="s">
        <v>39</v>
      </c>
      <c r="B142" s="14" t="n">
        <v>2024</v>
      </c>
      <c r="C142" s="14" t="s">
        <v>88</v>
      </c>
      <c r="D142" s="9" t="n">
        <v>979469</v>
      </c>
      <c r="E142" s="9" t="n">
        <v>270091</v>
      </c>
      <c r="F142" s="9" t="n">
        <v>494754</v>
      </c>
      <c r="G142" s="9" t="n">
        <v>0</v>
      </c>
      <c r="H142" s="9" t="n">
        <v>113544</v>
      </c>
      <c r="I142" s="9" t="n">
        <v>225488</v>
      </c>
      <c r="J142" s="9" t="n">
        <v>39165</v>
      </c>
      <c r="K142" s="9" t="n">
        <v>149057</v>
      </c>
      <c r="L142" s="9" t="n">
        <v>0</v>
      </c>
      <c r="M142" s="9" t="n">
        <v>0</v>
      </c>
      <c r="N142" s="9" t="n">
        <v>0</v>
      </c>
      <c r="O142" s="9" t="n">
        <v>10032</v>
      </c>
      <c r="P142" s="9" t="n">
        <v>1812</v>
      </c>
      <c r="Q142" s="9" t="n">
        <v>172347</v>
      </c>
      <c r="R142" s="9" t="n">
        <v>2455759</v>
      </c>
      <c r="S142" s="9" t="n">
        <v>3944561</v>
      </c>
      <c r="T142" s="11" t="n">
        <f aca="false">R142/S142</f>
        <v>0.622568392274831</v>
      </c>
      <c r="U142" s="9" t="n">
        <f aca="false">D142+E142+F142</f>
        <v>1744314</v>
      </c>
      <c r="V142" s="9" t="n">
        <f aca="false">H142+I142+J142</f>
        <v>378197</v>
      </c>
      <c r="W142" s="9" t="n">
        <f aca="false">K142</f>
        <v>149057</v>
      </c>
      <c r="X142" s="11" t="n">
        <f aca="false">Q142/R142</f>
        <v>0.0701807465634861</v>
      </c>
    </row>
    <row r="143" customFormat="false" ht="15" hidden="false" customHeight="false" outlineLevel="0" collapsed="false">
      <c r="A143" s="14" t="s">
        <v>39</v>
      </c>
      <c r="B143" s="14" t="n">
        <v>2024</v>
      </c>
      <c r="C143" s="14" t="s">
        <v>89</v>
      </c>
      <c r="D143" s="9" t="n">
        <v>680831</v>
      </c>
      <c r="E143" s="9" t="n">
        <v>67538</v>
      </c>
      <c r="F143" s="9" t="n">
        <v>80384</v>
      </c>
      <c r="G143" s="9" t="n">
        <v>0</v>
      </c>
      <c r="H143" s="9" t="n">
        <v>411819</v>
      </c>
      <c r="I143" s="9" t="n">
        <v>170786</v>
      </c>
      <c r="J143" s="9" t="n">
        <v>27610</v>
      </c>
      <c r="K143" s="9" t="n">
        <v>138729</v>
      </c>
      <c r="L143" s="9" t="n">
        <v>0</v>
      </c>
      <c r="M143" s="9" t="n">
        <v>0</v>
      </c>
      <c r="N143" s="9" t="n">
        <v>0</v>
      </c>
      <c r="O143" s="9" t="n">
        <v>0</v>
      </c>
      <c r="P143" s="9" t="n">
        <v>1056</v>
      </c>
      <c r="Q143" s="9" t="n">
        <v>46866</v>
      </c>
      <c r="R143" s="9" t="n">
        <v>1625619</v>
      </c>
      <c r="S143" s="9" t="n">
        <v>3082424</v>
      </c>
      <c r="T143" s="11" t="n">
        <f aca="false">R143/S143</f>
        <v>0.527383319102109</v>
      </c>
      <c r="U143" s="9" t="n">
        <f aca="false">D143+E143+F143</f>
        <v>828753</v>
      </c>
      <c r="V143" s="9" t="n">
        <f aca="false">H143+I143+J143</f>
        <v>610215</v>
      </c>
      <c r="W143" s="9" t="n">
        <f aca="false">K143</f>
        <v>138729</v>
      </c>
      <c r="X143" s="11" t="n">
        <f aca="false">Q143/R143</f>
        <v>0.0288296335119115</v>
      </c>
    </row>
    <row r="144" customFormat="false" ht="15" hidden="false" customHeight="false" outlineLevel="0" collapsed="false">
      <c r="A144" s="14" t="s">
        <v>39</v>
      </c>
      <c r="B144" s="14" t="n">
        <v>2024</v>
      </c>
      <c r="C144" s="14" t="s">
        <v>90</v>
      </c>
      <c r="D144" s="9" t="n">
        <v>2254877</v>
      </c>
      <c r="E144" s="9" t="n">
        <v>244683</v>
      </c>
      <c r="F144" s="9" t="n">
        <v>340821</v>
      </c>
      <c r="G144" s="9" t="n">
        <v>0</v>
      </c>
      <c r="H144" s="9" t="n">
        <v>1393748</v>
      </c>
      <c r="I144" s="9" t="n">
        <v>499948</v>
      </c>
      <c r="J144" s="9" t="n">
        <v>182565</v>
      </c>
      <c r="K144" s="9" t="n">
        <v>473754</v>
      </c>
      <c r="L144" s="9" t="n">
        <v>0</v>
      </c>
      <c r="M144" s="9" t="n">
        <v>0</v>
      </c>
      <c r="N144" s="9" t="n">
        <v>0</v>
      </c>
      <c r="O144" s="9" t="n">
        <v>0</v>
      </c>
      <c r="P144" s="9" t="n">
        <v>6549</v>
      </c>
      <c r="Q144" s="9" t="n">
        <v>127438</v>
      </c>
      <c r="R144" s="9" t="n">
        <v>5524383</v>
      </c>
      <c r="S144" s="9" t="n">
        <v>7919037</v>
      </c>
      <c r="T144" s="11" t="n">
        <f aca="false">R144/S144</f>
        <v>0.697607928842863</v>
      </c>
      <c r="U144" s="9" t="n">
        <f aca="false">D144+E144+F144</f>
        <v>2840381</v>
      </c>
      <c r="V144" s="9" t="n">
        <f aca="false">H144+I144+J144</f>
        <v>2076261</v>
      </c>
      <c r="W144" s="9" t="n">
        <f aca="false">K144</f>
        <v>473754</v>
      </c>
      <c r="X144" s="11" t="n">
        <f aca="false">Q144/R144</f>
        <v>0.0230682774890879</v>
      </c>
    </row>
    <row r="145" customFormat="false" ht="15" hidden="false" customHeight="false" outlineLevel="0" collapsed="false">
      <c r="A145" s="14" t="s">
        <v>39</v>
      </c>
      <c r="B145" s="14" t="n">
        <v>2024</v>
      </c>
      <c r="C145" s="14" t="s">
        <v>91</v>
      </c>
      <c r="D145" s="9" t="n">
        <v>305359</v>
      </c>
      <c r="E145" s="9" t="n">
        <v>45269</v>
      </c>
      <c r="F145" s="9" t="n">
        <v>42761</v>
      </c>
      <c r="G145" s="9" t="n">
        <v>0</v>
      </c>
      <c r="H145" s="9" t="n">
        <v>104268</v>
      </c>
      <c r="I145" s="9" t="n">
        <v>180476</v>
      </c>
      <c r="J145" s="9" t="n">
        <v>17575</v>
      </c>
      <c r="K145" s="9" t="n">
        <v>53349</v>
      </c>
      <c r="L145" s="9" t="n">
        <v>0</v>
      </c>
      <c r="M145" s="9" t="n">
        <v>0</v>
      </c>
      <c r="N145" s="9" t="n">
        <v>0</v>
      </c>
      <c r="O145" s="9" t="n">
        <v>0</v>
      </c>
      <c r="P145" s="9" t="n">
        <v>399</v>
      </c>
      <c r="Q145" s="9" t="n">
        <v>21183</v>
      </c>
      <c r="R145" s="9" t="n">
        <v>770639</v>
      </c>
      <c r="S145" s="9" t="n">
        <v>1397618</v>
      </c>
      <c r="T145" s="11" t="n">
        <f aca="false">R145/S145</f>
        <v>0.551394587076011</v>
      </c>
      <c r="U145" s="9" t="n">
        <f aca="false">D145+E145+F145</f>
        <v>393389</v>
      </c>
      <c r="V145" s="9" t="n">
        <f aca="false">H145+I145+J145</f>
        <v>302319</v>
      </c>
      <c r="W145" s="9" t="n">
        <f aca="false">K145</f>
        <v>53349</v>
      </c>
      <c r="X145" s="11" t="n">
        <f aca="false">Q145/R145</f>
        <v>0.0274875784900583</v>
      </c>
    </row>
    <row r="146" customFormat="false" ht="15" hidden="false" customHeight="false" outlineLevel="0" collapsed="false">
      <c r="A146" s="14" t="s">
        <v>39</v>
      </c>
      <c r="B146" s="14" t="n">
        <v>2024</v>
      </c>
      <c r="C146" s="14" t="s">
        <v>92</v>
      </c>
      <c r="D146" s="9" t="n">
        <v>962332</v>
      </c>
      <c r="E146" s="9" t="n">
        <v>70223</v>
      </c>
      <c r="F146" s="9" t="n">
        <v>154931</v>
      </c>
      <c r="G146" s="9" t="n">
        <v>0</v>
      </c>
      <c r="H146" s="9" t="n">
        <v>1040473</v>
      </c>
      <c r="I146" s="9" t="n">
        <v>181011</v>
      </c>
      <c r="J146" s="9" t="n">
        <v>31848</v>
      </c>
      <c r="K146" s="9" t="n">
        <v>209268</v>
      </c>
      <c r="L146" s="9" t="n">
        <v>0</v>
      </c>
      <c r="M146" s="9" t="n">
        <v>0</v>
      </c>
      <c r="N146" s="9" t="n">
        <v>0</v>
      </c>
      <c r="O146" s="9" t="n">
        <v>0</v>
      </c>
      <c r="P146" s="9" t="n">
        <v>1845</v>
      </c>
      <c r="Q146" s="9" t="n">
        <v>72736</v>
      </c>
      <c r="R146" s="9" t="n">
        <v>2724667</v>
      </c>
      <c r="S146" s="9" t="n">
        <v>4831304</v>
      </c>
      <c r="T146" s="11" t="n">
        <f aca="false">R146/S146</f>
        <v>0.563960992725773</v>
      </c>
      <c r="U146" s="9" t="n">
        <f aca="false">D146+E146+F146</f>
        <v>1187486</v>
      </c>
      <c r="V146" s="9" t="n">
        <f aca="false">H146+I146+J146</f>
        <v>1253332</v>
      </c>
      <c r="W146" s="9" t="n">
        <f aca="false">K146</f>
        <v>209268</v>
      </c>
      <c r="X146" s="11" t="n">
        <f aca="false">Q146/R146</f>
        <v>0.0266953723152224</v>
      </c>
    </row>
    <row r="147" customFormat="false" ht="15" hidden="false" customHeight="false" outlineLevel="0" collapsed="false">
      <c r="A147" s="14" t="s">
        <v>39</v>
      </c>
      <c r="B147" s="14" t="n">
        <v>2024</v>
      </c>
      <c r="C147" s="14" t="s">
        <v>93</v>
      </c>
      <c r="D147" s="9" t="n">
        <v>736925</v>
      </c>
      <c r="E147" s="9" t="n">
        <v>109202</v>
      </c>
      <c r="F147" s="9" t="n">
        <v>153848</v>
      </c>
      <c r="G147" s="9" t="n">
        <v>0</v>
      </c>
      <c r="H147" s="9" t="n">
        <v>58924</v>
      </c>
      <c r="I147" s="9" t="n">
        <v>187838</v>
      </c>
      <c r="J147" s="9" t="n">
        <v>93286</v>
      </c>
      <c r="K147" s="9" t="n">
        <v>116383</v>
      </c>
      <c r="L147" s="9" t="n">
        <v>0</v>
      </c>
      <c r="M147" s="9" t="n">
        <v>0</v>
      </c>
      <c r="N147" s="9" t="n">
        <v>0</v>
      </c>
      <c r="O147" s="9" t="n">
        <v>0</v>
      </c>
      <c r="P147" s="9" t="n">
        <v>1801</v>
      </c>
      <c r="Q147" s="9" t="n">
        <v>77264</v>
      </c>
      <c r="R147" s="9" t="n">
        <v>1535471</v>
      </c>
      <c r="S147" s="9" t="n">
        <v>2643422</v>
      </c>
      <c r="T147" s="11" t="n">
        <f aca="false">R147/S147</f>
        <v>0.580864878933443</v>
      </c>
      <c r="U147" s="9" t="n">
        <f aca="false">D147+E147+F147</f>
        <v>999975</v>
      </c>
      <c r="V147" s="9" t="n">
        <f aca="false">H147+I147+J147</f>
        <v>340048</v>
      </c>
      <c r="W147" s="9" t="n">
        <f aca="false">K147</f>
        <v>116383</v>
      </c>
      <c r="X147" s="11" t="n">
        <f aca="false">Q147/R147</f>
        <v>0.0503194133917215</v>
      </c>
    </row>
    <row r="148" customFormat="false" ht="15" hidden="false" customHeight="false" outlineLevel="0" collapsed="false">
      <c r="A148" s="14" t="s">
        <v>39</v>
      </c>
      <c r="B148" s="14" t="n">
        <v>2024</v>
      </c>
      <c r="C148" s="14" t="s">
        <v>94</v>
      </c>
      <c r="D148" s="9" t="n">
        <v>708111</v>
      </c>
      <c r="E148" s="9" t="n">
        <v>170532</v>
      </c>
      <c r="F148" s="9" t="n">
        <v>125496</v>
      </c>
      <c r="G148" s="9" t="n">
        <v>0</v>
      </c>
      <c r="H148" s="9" t="n">
        <v>113057</v>
      </c>
      <c r="I148" s="9" t="n">
        <v>181792</v>
      </c>
      <c r="J148" s="9" t="n">
        <v>23621</v>
      </c>
      <c r="K148" s="9" t="n">
        <v>135293</v>
      </c>
      <c r="L148" s="9" t="n">
        <v>0</v>
      </c>
      <c r="M148" s="9" t="n">
        <v>0</v>
      </c>
      <c r="N148" s="9" t="n">
        <v>0</v>
      </c>
      <c r="O148" s="9" t="n">
        <v>0</v>
      </c>
      <c r="P148" s="9" t="n">
        <v>1139</v>
      </c>
      <c r="Q148" s="9" t="n">
        <v>76440</v>
      </c>
      <c r="R148" s="9" t="n">
        <v>1535481</v>
      </c>
      <c r="S148" s="9" t="n">
        <v>2386371</v>
      </c>
      <c r="T148" s="11" t="n">
        <f aca="false">R148/S148</f>
        <v>0.643437671678042</v>
      </c>
      <c r="U148" s="9" t="n">
        <f aca="false">D148+E148+F148</f>
        <v>1004139</v>
      </c>
      <c r="V148" s="9" t="n">
        <f aca="false">H148+I148+J148</f>
        <v>318470</v>
      </c>
      <c r="W148" s="9" t="n">
        <f aca="false">K148</f>
        <v>135293</v>
      </c>
      <c r="X148" s="11" t="n">
        <f aca="false">Q148/R148</f>
        <v>0.0497824460218003</v>
      </c>
    </row>
    <row r="149" customFormat="false" ht="15" hidden="false" customHeight="false" outlineLevel="0" collapsed="false">
      <c r="A149" s="14" t="s">
        <v>39</v>
      </c>
      <c r="B149" s="14" t="n">
        <v>2024</v>
      </c>
      <c r="C149" s="14" t="s">
        <v>95</v>
      </c>
      <c r="D149" s="9" t="n">
        <v>1174608</v>
      </c>
      <c r="E149" s="9" t="n">
        <v>111301</v>
      </c>
      <c r="F149" s="9" t="n">
        <v>230843</v>
      </c>
      <c r="G149" s="9" t="n">
        <v>0</v>
      </c>
      <c r="H149" s="9" t="n">
        <v>690336</v>
      </c>
      <c r="I149" s="9" t="n">
        <v>356945</v>
      </c>
      <c r="J149" s="9" t="n">
        <v>42898</v>
      </c>
      <c r="K149" s="9" t="n">
        <v>1109336</v>
      </c>
      <c r="L149" s="9" t="n">
        <v>0</v>
      </c>
      <c r="M149" s="9" t="n">
        <v>0</v>
      </c>
      <c r="N149" s="9" t="n">
        <v>0</v>
      </c>
      <c r="O149" s="9" t="n">
        <v>0</v>
      </c>
      <c r="P149" s="9" t="n">
        <v>3300</v>
      </c>
      <c r="Q149" s="9" t="n">
        <v>107224</v>
      </c>
      <c r="R149" s="9" t="n">
        <v>3826791</v>
      </c>
      <c r="S149" s="9" t="n">
        <v>6619608</v>
      </c>
      <c r="T149" s="11" t="n">
        <f aca="false">R149/S149</f>
        <v>0.578099337604281</v>
      </c>
      <c r="U149" s="9" t="n">
        <f aca="false">D149+E149+F149</f>
        <v>1516752</v>
      </c>
      <c r="V149" s="9" t="n">
        <f aca="false">H149+I149+J149</f>
        <v>1090179</v>
      </c>
      <c r="W149" s="9" t="n">
        <f aca="false">K149</f>
        <v>1109336</v>
      </c>
      <c r="X149" s="11" t="n">
        <f aca="false">Q149/R149</f>
        <v>0.028019298676097</v>
      </c>
    </row>
    <row r="150" customFormat="false" ht="15" hidden="false" customHeight="false" outlineLevel="0" collapsed="false">
      <c r="A150" s="14" t="s">
        <v>39</v>
      </c>
      <c r="B150" s="14" t="n">
        <v>2024</v>
      </c>
      <c r="C150" s="14" t="s">
        <v>96</v>
      </c>
      <c r="D150" s="9" t="n">
        <v>3673357</v>
      </c>
      <c r="E150" s="9" t="n">
        <v>367902</v>
      </c>
      <c r="F150" s="9" t="n">
        <v>614912</v>
      </c>
      <c r="G150" s="9" t="n">
        <v>0</v>
      </c>
      <c r="H150" s="9" t="n">
        <v>1050170</v>
      </c>
      <c r="I150" s="9" t="n">
        <v>1394078</v>
      </c>
      <c r="J150" s="9" t="n">
        <v>171211</v>
      </c>
      <c r="K150" s="9" t="n">
        <v>844075</v>
      </c>
      <c r="L150" s="9" t="n">
        <v>0</v>
      </c>
      <c r="M150" s="9" t="n">
        <v>0</v>
      </c>
      <c r="N150" s="9" t="n">
        <v>0</v>
      </c>
      <c r="O150" s="9" t="n">
        <v>0</v>
      </c>
      <c r="P150" s="9" t="n">
        <v>6969</v>
      </c>
      <c r="Q150" s="9" t="n">
        <v>272496</v>
      </c>
      <c r="R150" s="9" t="n">
        <v>8395170</v>
      </c>
      <c r="S150" s="9" t="n">
        <v>13026931</v>
      </c>
      <c r="T150" s="11" t="n">
        <f aca="false">R150/S150</f>
        <v>0.644447260832195</v>
      </c>
      <c r="U150" s="9" t="n">
        <f aca="false">D150+E150+F150</f>
        <v>4656171</v>
      </c>
      <c r="V150" s="9" t="n">
        <f aca="false">H150+I150+J150</f>
        <v>2615459</v>
      </c>
      <c r="W150" s="9" t="n">
        <f aca="false">K150</f>
        <v>844075</v>
      </c>
      <c r="X150" s="11" t="n">
        <f aca="false">Q150/R150</f>
        <v>0.0324586637316457</v>
      </c>
    </row>
    <row r="151" customFormat="false" ht="15" hidden="false" customHeight="false" outlineLevel="0" collapsed="false">
      <c r="A151" s="14" t="s">
        <v>39</v>
      </c>
      <c r="B151" s="14" t="n">
        <v>2024</v>
      </c>
      <c r="C151" s="14" t="s">
        <v>97</v>
      </c>
      <c r="D151" s="9" t="n">
        <v>653003</v>
      </c>
      <c r="E151" s="9" t="n">
        <v>169458</v>
      </c>
      <c r="F151" s="9" t="n">
        <v>172226</v>
      </c>
      <c r="G151" s="9" t="n">
        <v>0</v>
      </c>
      <c r="H151" s="9" t="n">
        <v>318325</v>
      </c>
      <c r="I151" s="9" t="n">
        <v>208681</v>
      </c>
      <c r="J151" s="9" t="n">
        <v>137655</v>
      </c>
      <c r="K151" s="9" t="n">
        <v>220166</v>
      </c>
      <c r="L151" s="9" t="n">
        <v>0</v>
      </c>
      <c r="M151" s="9" t="n">
        <v>0</v>
      </c>
      <c r="N151" s="9" t="n">
        <v>0</v>
      </c>
      <c r="O151" s="9" t="n">
        <v>61980</v>
      </c>
      <c r="P151" s="9" t="n">
        <v>2485</v>
      </c>
      <c r="Q151" s="9" t="n">
        <v>103429</v>
      </c>
      <c r="R151" s="9" t="n">
        <v>2047408</v>
      </c>
      <c r="S151" s="9" t="n">
        <v>3695978</v>
      </c>
      <c r="T151" s="11" t="n">
        <f aca="false">R151/S151</f>
        <v>0.553955678307609</v>
      </c>
      <c r="U151" s="9" t="n">
        <f aca="false">D151+E151+F151</f>
        <v>994687</v>
      </c>
      <c r="V151" s="9" t="n">
        <f aca="false">H151+I151+J151</f>
        <v>664661</v>
      </c>
      <c r="W151" s="9" t="n">
        <f aca="false">K151</f>
        <v>220166</v>
      </c>
      <c r="X151" s="11" t="n">
        <f aca="false">Q151/R151</f>
        <v>0.0505170439892782</v>
      </c>
    </row>
    <row r="152" customFormat="false" ht="15" hidden="false" customHeight="false" outlineLevel="0" collapsed="false">
      <c r="A152" s="14" t="s">
        <v>39</v>
      </c>
      <c r="B152" s="14" t="n">
        <v>2024</v>
      </c>
      <c r="C152" s="14" t="s">
        <v>98</v>
      </c>
      <c r="D152" s="9" t="n">
        <v>401896</v>
      </c>
      <c r="E152" s="9" t="n">
        <v>75714</v>
      </c>
      <c r="F152" s="9" t="n">
        <v>96041</v>
      </c>
      <c r="G152" s="9" t="n">
        <v>0</v>
      </c>
      <c r="H152" s="9" t="n">
        <v>144467</v>
      </c>
      <c r="I152" s="9" t="n">
        <v>65795</v>
      </c>
      <c r="J152" s="9" t="n">
        <v>28447</v>
      </c>
      <c r="K152" s="9" t="n">
        <v>123489</v>
      </c>
      <c r="L152" s="9" t="n">
        <v>0</v>
      </c>
      <c r="M152" s="9" t="n">
        <v>0</v>
      </c>
      <c r="N152" s="9" t="n">
        <v>0</v>
      </c>
      <c r="O152" s="9" t="n">
        <v>0</v>
      </c>
      <c r="P152" s="9" t="n">
        <v>850</v>
      </c>
      <c r="Q152" s="9" t="n">
        <v>39891</v>
      </c>
      <c r="R152" s="9" t="n">
        <v>976590</v>
      </c>
      <c r="S152" s="9" t="n">
        <v>1549670</v>
      </c>
      <c r="T152" s="11" t="n">
        <f aca="false">R152/S152</f>
        <v>0.630192234475727</v>
      </c>
      <c r="U152" s="9" t="n">
        <f aca="false">D152+E152+F152</f>
        <v>573651</v>
      </c>
      <c r="V152" s="9" t="n">
        <f aca="false">H152+I152+J152</f>
        <v>238709</v>
      </c>
      <c r="W152" s="9" t="n">
        <f aca="false">K152</f>
        <v>123489</v>
      </c>
      <c r="X152" s="11" t="n">
        <f aca="false">Q152/R152</f>
        <v>0.0408472337418978</v>
      </c>
    </row>
    <row r="153" customFormat="false" ht="15" hidden="false" customHeight="false" outlineLevel="0" collapsed="false">
      <c r="A153" s="14" t="s">
        <v>39</v>
      </c>
      <c r="B153" s="14" t="n">
        <v>2024</v>
      </c>
      <c r="C153" s="14" t="s">
        <v>99</v>
      </c>
      <c r="D153" s="9" t="n">
        <v>218680</v>
      </c>
      <c r="E153" s="9" t="n">
        <v>31337</v>
      </c>
      <c r="F153" s="9" t="n">
        <v>52608</v>
      </c>
      <c r="G153" s="9" t="n">
        <v>0</v>
      </c>
      <c r="H153" s="9" t="n">
        <v>61462</v>
      </c>
      <c r="I153" s="9" t="n">
        <v>43071</v>
      </c>
      <c r="J153" s="9" t="n">
        <v>9686</v>
      </c>
      <c r="K153" s="9" t="n">
        <v>92707</v>
      </c>
      <c r="L153" s="9" t="n">
        <v>0</v>
      </c>
      <c r="M153" s="9" t="n">
        <v>0</v>
      </c>
      <c r="N153" s="9" t="n">
        <v>0</v>
      </c>
      <c r="O153" s="9" t="n">
        <v>0</v>
      </c>
      <c r="P153" s="9" t="n">
        <v>502</v>
      </c>
      <c r="Q153" s="9" t="n">
        <v>23034</v>
      </c>
      <c r="R153" s="9" t="n">
        <v>533087</v>
      </c>
      <c r="S153" s="9" t="n">
        <v>950703</v>
      </c>
      <c r="T153" s="11" t="n">
        <f aca="false">R153/S153</f>
        <v>0.560729270865875</v>
      </c>
      <c r="U153" s="9" t="n">
        <f aca="false">D153+E153+F153</f>
        <v>302625</v>
      </c>
      <c r="V153" s="9" t="n">
        <f aca="false">H153+I153+J153</f>
        <v>114219</v>
      </c>
      <c r="W153" s="9" t="n">
        <f aca="false">K153</f>
        <v>92707</v>
      </c>
      <c r="X153" s="11" t="n">
        <f aca="false">Q153/R153</f>
        <v>0.0432087070215556</v>
      </c>
    </row>
    <row r="154" customFormat="false" ht="15" hidden="false" customHeight="false" outlineLevel="0" collapsed="false">
      <c r="A154" s="14" t="s">
        <v>39</v>
      </c>
      <c r="B154" s="14" t="n">
        <v>2024</v>
      </c>
      <c r="C154" s="14" t="s">
        <v>100</v>
      </c>
      <c r="D154" s="9" t="n">
        <v>642563</v>
      </c>
      <c r="E154" s="9" t="n">
        <v>96787</v>
      </c>
      <c r="F154" s="9" t="n">
        <v>136505</v>
      </c>
      <c r="G154" s="9" t="n">
        <v>0</v>
      </c>
      <c r="H154" s="9" t="n">
        <v>557258</v>
      </c>
      <c r="I154" s="9" t="n">
        <v>345955</v>
      </c>
      <c r="J154" s="9" t="n">
        <v>26143</v>
      </c>
      <c r="K154" s="9" t="n">
        <v>658651</v>
      </c>
      <c r="L154" s="9" t="n">
        <v>0</v>
      </c>
      <c r="M154" s="9" t="n">
        <v>0</v>
      </c>
      <c r="N154" s="9" t="n">
        <v>0</v>
      </c>
      <c r="O154" s="9" t="n">
        <v>0</v>
      </c>
      <c r="P154" s="9" t="n">
        <v>1699</v>
      </c>
      <c r="Q154" s="9" t="n">
        <v>62233</v>
      </c>
      <c r="R154" s="9" t="n">
        <v>2527794</v>
      </c>
      <c r="S154" s="9" t="n">
        <v>4465849</v>
      </c>
      <c r="T154" s="11" t="n">
        <f aca="false">R154/S154</f>
        <v>0.566027646702788</v>
      </c>
      <c r="U154" s="9" t="n">
        <f aca="false">D154+E154+F154</f>
        <v>875855</v>
      </c>
      <c r="V154" s="9" t="n">
        <f aca="false">H154+I154+J154</f>
        <v>929356</v>
      </c>
      <c r="W154" s="9" t="n">
        <f aca="false">K154</f>
        <v>658651</v>
      </c>
      <c r="X154" s="11" t="n">
        <f aca="false">Q154/R154</f>
        <v>0.0246194903540399</v>
      </c>
    </row>
    <row r="155" customFormat="false" ht="15" hidden="false" customHeight="false" outlineLevel="0" collapsed="false">
      <c r="A155" s="14" t="s">
        <v>39</v>
      </c>
      <c r="B155" s="14" t="n">
        <v>2024</v>
      </c>
      <c r="C155" s="14" t="s">
        <v>101</v>
      </c>
      <c r="D155" s="9" t="n">
        <v>902423</v>
      </c>
      <c r="E155" s="9" t="n">
        <v>218432</v>
      </c>
      <c r="F155" s="9" t="n">
        <v>210441</v>
      </c>
      <c r="G155" s="9" t="n">
        <v>0</v>
      </c>
      <c r="H155" s="9" t="n">
        <v>81858</v>
      </c>
      <c r="I155" s="9" t="n">
        <v>155722</v>
      </c>
      <c r="J155" s="9" t="n">
        <v>53973</v>
      </c>
      <c r="K155" s="9" t="n">
        <v>142479</v>
      </c>
      <c r="L155" s="9" t="n">
        <v>0</v>
      </c>
      <c r="M155" s="9" t="n">
        <v>0</v>
      </c>
      <c r="N155" s="9" t="n">
        <v>0</v>
      </c>
      <c r="O155" s="9" t="n">
        <v>0</v>
      </c>
      <c r="P155" s="9" t="n">
        <v>1459</v>
      </c>
      <c r="Q155" s="9" t="n">
        <v>99399</v>
      </c>
      <c r="R155" s="9" t="n">
        <v>1866186</v>
      </c>
      <c r="S155" s="9" t="n">
        <v>3111986</v>
      </c>
      <c r="T155" s="11" t="n">
        <f aca="false">R155/S155</f>
        <v>0.599676862299509</v>
      </c>
      <c r="U155" s="9" t="n">
        <f aca="false">D155+E155+F155</f>
        <v>1331296</v>
      </c>
      <c r="V155" s="9" t="n">
        <f aca="false">H155+I155+J155</f>
        <v>291553</v>
      </c>
      <c r="W155" s="9" t="n">
        <f aca="false">K155</f>
        <v>142479</v>
      </c>
      <c r="X155" s="11" t="n">
        <f aca="false">Q155/R155</f>
        <v>0.0532631795544496</v>
      </c>
    </row>
    <row r="156" customFormat="false" ht="15" hidden="false" customHeight="false" outlineLevel="0" collapsed="false">
      <c r="A156" s="14" t="s">
        <v>39</v>
      </c>
      <c r="B156" s="14" t="n">
        <v>2024</v>
      </c>
      <c r="C156" s="14" t="s">
        <v>102</v>
      </c>
      <c r="D156" s="9" t="n">
        <v>1400689</v>
      </c>
      <c r="E156" s="9" t="n">
        <v>222205</v>
      </c>
      <c r="F156" s="9" t="n">
        <v>326572</v>
      </c>
      <c r="G156" s="9" t="n">
        <v>0</v>
      </c>
      <c r="H156" s="9" t="n">
        <v>549184</v>
      </c>
      <c r="I156" s="9" t="n">
        <v>267395</v>
      </c>
      <c r="J156" s="9" t="n">
        <v>55254</v>
      </c>
      <c r="K156" s="9" t="n">
        <v>281911</v>
      </c>
      <c r="L156" s="9" t="n">
        <v>0</v>
      </c>
      <c r="M156" s="9" t="n">
        <v>0</v>
      </c>
      <c r="N156" s="9" t="n">
        <v>0</v>
      </c>
      <c r="O156" s="9" t="n">
        <v>0</v>
      </c>
      <c r="P156" s="9" t="n">
        <v>2189</v>
      </c>
      <c r="Q156" s="9" t="n">
        <v>146289</v>
      </c>
      <c r="R156" s="9" t="n">
        <v>3251688</v>
      </c>
      <c r="S156" s="9" t="n">
        <v>4978736</v>
      </c>
      <c r="T156" s="11" t="n">
        <f aca="false">R156/S156</f>
        <v>0.653115168187267</v>
      </c>
      <c r="U156" s="9" t="n">
        <f aca="false">D156+E156+F156</f>
        <v>1949466</v>
      </c>
      <c r="V156" s="9" t="n">
        <f aca="false">H156+I156+J156</f>
        <v>871833</v>
      </c>
      <c r="W156" s="9" t="n">
        <f aca="false">K156</f>
        <v>281911</v>
      </c>
      <c r="X156" s="11" t="n">
        <f aca="false">Q156/R156</f>
        <v>0.0449886335958431</v>
      </c>
    </row>
    <row r="157" customFormat="false" ht="15" hidden="false" customHeight="false" outlineLevel="0" collapsed="false">
      <c r="A157" s="14" t="s">
        <v>39</v>
      </c>
      <c r="B157" s="14" t="n">
        <v>2024</v>
      </c>
      <c r="C157" s="14" t="s">
        <v>103</v>
      </c>
      <c r="D157" s="9" t="n">
        <v>421228</v>
      </c>
      <c r="E157" s="9" t="n">
        <v>34546</v>
      </c>
      <c r="F157" s="9" t="n">
        <v>73747</v>
      </c>
      <c r="G157" s="9" t="n">
        <v>0</v>
      </c>
      <c r="H157" s="9" t="n">
        <v>438028</v>
      </c>
      <c r="I157" s="9" t="n">
        <v>78621</v>
      </c>
      <c r="J157" s="9" t="n">
        <v>15742</v>
      </c>
      <c r="K157" s="9" t="n">
        <v>77468</v>
      </c>
      <c r="L157" s="9" t="n">
        <v>0</v>
      </c>
      <c r="M157" s="9" t="n">
        <v>0</v>
      </c>
      <c r="N157" s="9" t="n">
        <v>0</v>
      </c>
      <c r="O157" s="9" t="n">
        <v>0</v>
      </c>
      <c r="P157" s="9" t="n">
        <v>1044</v>
      </c>
      <c r="Q157" s="9" t="n">
        <v>44358</v>
      </c>
      <c r="R157" s="9" t="n">
        <v>1184782</v>
      </c>
      <c r="S157" s="9" t="n">
        <v>1899151</v>
      </c>
      <c r="T157" s="11" t="n">
        <f aca="false">R157/S157</f>
        <v>0.623848235343056</v>
      </c>
      <c r="U157" s="9" t="n">
        <f aca="false">D157+E157+F157</f>
        <v>529521</v>
      </c>
      <c r="V157" s="9" t="n">
        <f aca="false">H157+I157+J157</f>
        <v>532391</v>
      </c>
      <c r="W157" s="9" t="n">
        <f aca="false">K157</f>
        <v>77468</v>
      </c>
      <c r="X157" s="11" t="n">
        <f aca="false">Q157/R157</f>
        <v>0.0374397990516399</v>
      </c>
    </row>
    <row r="158" customFormat="false" ht="15" hidden="false" customHeight="false" outlineLevel="0" collapsed="false">
      <c r="A158" s="14" t="s">
        <v>39</v>
      </c>
      <c r="B158" s="14" t="n">
        <v>2024</v>
      </c>
      <c r="C158" s="14" t="s">
        <v>104</v>
      </c>
      <c r="D158" s="9" t="n">
        <v>379362</v>
      </c>
      <c r="E158" s="9" t="n">
        <v>32584</v>
      </c>
      <c r="F158" s="9" t="n">
        <v>139406</v>
      </c>
      <c r="G158" s="9" t="n">
        <v>0</v>
      </c>
      <c r="H158" s="9" t="n">
        <v>96565</v>
      </c>
      <c r="I158" s="9" t="n">
        <v>41646</v>
      </c>
      <c r="J158" s="9" t="n">
        <v>17217</v>
      </c>
      <c r="K158" s="9" t="n">
        <v>75353</v>
      </c>
      <c r="L158" s="9" t="n">
        <v>0</v>
      </c>
      <c r="M158" s="9" t="n">
        <v>0</v>
      </c>
      <c r="N158" s="9" t="n">
        <v>0</v>
      </c>
      <c r="O158" s="9" t="n">
        <v>0</v>
      </c>
      <c r="P158" s="9" t="n">
        <v>1023</v>
      </c>
      <c r="Q158" s="9" t="n">
        <v>34652</v>
      </c>
      <c r="R158" s="9" t="n">
        <v>817808</v>
      </c>
      <c r="S158" s="9" t="n">
        <v>1460102</v>
      </c>
      <c r="T158" s="11" t="n">
        <f aca="false">R158/S158</f>
        <v>0.560103335246442</v>
      </c>
      <c r="U158" s="9" t="n">
        <f aca="false">D158+E158+F158</f>
        <v>551352</v>
      </c>
      <c r="V158" s="9" t="n">
        <f aca="false">H158+I158+J158</f>
        <v>155428</v>
      </c>
      <c r="W158" s="9" t="n">
        <f aca="false">K158</f>
        <v>75353</v>
      </c>
      <c r="X158" s="11" t="n">
        <f aca="false">Q158/R158</f>
        <v>0.0423718036507346</v>
      </c>
    </row>
    <row r="159" customFormat="false" ht="15" hidden="false" customHeight="false" outlineLevel="0" collapsed="false">
      <c r="A159" s="14" t="s">
        <v>39</v>
      </c>
      <c r="B159" s="14" t="n">
        <v>2024</v>
      </c>
      <c r="C159" s="14" t="s">
        <v>105</v>
      </c>
      <c r="D159" s="9" t="n">
        <v>300603</v>
      </c>
      <c r="E159" s="9" t="n">
        <v>41085</v>
      </c>
      <c r="F159" s="9" t="n">
        <v>442856</v>
      </c>
      <c r="G159" s="9" t="n">
        <v>0</v>
      </c>
      <c r="H159" s="9" t="n">
        <v>217374</v>
      </c>
      <c r="I159" s="9" t="n">
        <v>114985</v>
      </c>
      <c r="J159" s="9" t="n">
        <v>35925</v>
      </c>
      <c r="K159" s="9" t="n">
        <v>129635</v>
      </c>
      <c r="L159" s="9" t="n">
        <v>0</v>
      </c>
      <c r="M159" s="9" t="n">
        <v>0</v>
      </c>
      <c r="N159" s="9" t="n">
        <v>0</v>
      </c>
      <c r="O159" s="9" t="n">
        <v>0</v>
      </c>
      <c r="P159" s="9" t="n">
        <v>1307</v>
      </c>
      <c r="Q159" s="9" t="n">
        <v>69305</v>
      </c>
      <c r="R159" s="9" t="n">
        <v>1353075</v>
      </c>
      <c r="S159" s="9" t="n">
        <v>2185539</v>
      </c>
      <c r="T159" s="11" t="n">
        <f aca="false">R159/S159</f>
        <v>0.619103571247184</v>
      </c>
      <c r="U159" s="9" t="n">
        <f aca="false">D159+E159+F159</f>
        <v>784544</v>
      </c>
      <c r="V159" s="9" t="n">
        <f aca="false">H159+I159+J159</f>
        <v>368284</v>
      </c>
      <c r="W159" s="9" t="n">
        <f aca="false">K159</f>
        <v>129635</v>
      </c>
      <c r="X159" s="11" t="n">
        <f aca="false">Q159/R159</f>
        <v>0.0512203684200802</v>
      </c>
    </row>
    <row r="160" customFormat="false" ht="15" hidden="false" customHeight="false" outlineLevel="0" collapsed="false">
      <c r="A160" s="14" t="s">
        <v>39</v>
      </c>
      <c r="B160" s="14" t="n">
        <v>2024</v>
      </c>
      <c r="C160" s="14" t="s">
        <v>106</v>
      </c>
      <c r="D160" s="9" t="n">
        <v>683077</v>
      </c>
      <c r="E160" s="9" t="n">
        <v>57958</v>
      </c>
      <c r="F160" s="9" t="n">
        <v>94640</v>
      </c>
      <c r="G160" s="9" t="n">
        <v>0</v>
      </c>
      <c r="H160" s="9" t="n">
        <v>158102</v>
      </c>
      <c r="I160" s="9" t="n">
        <v>170234</v>
      </c>
      <c r="J160" s="9" t="n">
        <v>19011</v>
      </c>
      <c r="K160" s="9" t="n">
        <v>91070</v>
      </c>
      <c r="L160" s="9" t="n">
        <v>0</v>
      </c>
      <c r="M160" s="9" t="n">
        <v>0</v>
      </c>
      <c r="N160" s="9" t="n">
        <v>0</v>
      </c>
      <c r="O160" s="9" t="n">
        <v>0</v>
      </c>
      <c r="P160" s="9" t="n">
        <v>841</v>
      </c>
      <c r="Q160" s="9" t="n">
        <v>46593</v>
      </c>
      <c r="R160" s="9" t="n">
        <v>1321526</v>
      </c>
      <c r="S160" s="9" t="n">
        <v>2360732</v>
      </c>
      <c r="T160" s="11" t="n">
        <f aca="false">R160/S160</f>
        <v>0.559795012733339</v>
      </c>
      <c r="U160" s="9" t="n">
        <f aca="false">D160+E160+F160</f>
        <v>835675</v>
      </c>
      <c r="V160" s="9" t="n">
        <f aca="false">H160+I160+J160</f>
        <v>347347</v>
      </c>
      <c r="W160" s="9" t="n">
        <f aca="false">K160</f>
        <v>91070</v>
      </c>
      <c r="X160" s="11" t="n">
        <f aca="false">Q160/R160</f>
        <v>0.0352569680808399</v>
      </c>
    </row>
    <row r="161" customFormat="false" ht="15" hidden="false" customHeight="false" outlineLevel="0" collapsed="false">
      <c r="A161" s="14" t="s">
        <v>39</v>
      </c>
      <c r="B161" s="14" t="n">
        <v>2024</v>
      </c>
      <c r="C161" s="14" t="s">
        <v>107</v>
      </c>
      <c r="D161" s="9" t="n">
        <v>547570</v>
      </c>
      <c r="E161" s="9" t="n">
        <v>72852</v>
      </c>
      <c r="F161" s="9" t="n">
        <v>68522</v>
      </c>
      <c r="G161" s="9" t="n">
        <v>0</v>
      </c>
      <c r="H161" s="9" t="n">
        <v>145527</v>
      </c>
      <c r="I161" s="9" t="n">
        <v>148287</v>
      </c>
      <c r="J161" s="9" t="n">
        <v>19956</v>
      </c>
      <c r="K161" s="9" t="n">
        <v>125677</v>
      </c>
      <c r="L161" s="9" t="n">
        <v>0</v>
      </c>
      <c r="M161" s="9" t="n">
        <v>0</v>
      </c>
      <c r="N161" s="9" t="n">
        <v>0</v>
      </c>
      <c r="O161" s="9" t="n">
        <v>0</v>
      </c>
      <c r="P161" s="9" t="n">
        <v>827</v>
      </c>
      <c r="Q161" s="9" t="n">
        <v>33447</v>
      </c>
      <c r="R161" s="9" t="n">
        <v>1162665</v>
      </c>
      <c r="S161" s="9" t="n">
        <v>2291158</v>
      </c>
      <c r="T161" s="11" t="n">
        <f aca="false">R161/S161</f>
        <v>0.507457364354619</v>
      </c>
      <c r="U161" s="9" t="n">
        <f aca="false">D161+E161+F161</f>
        <v>688944</v>
      </c>
      <c r="V161" s="9" t="n">
        <f aca="false">H161+I161+J161</f>
        <v>313770</v>
      </c>
      <c r="W161" s="9" t="n">
        <f aca="false">K161</f>
        <v>125677</v>
      </c>
      <c r="X161" s="11" t="n">
        <f aca="false">Q161/R161</f>
        <v>0.0287675297699681</v>
      </c>
    </row>
    <row r="162" customFormat="false" ht="15" hidden="false" customHeight="false" outlineLevel="0" collapsed="false">
      <c r="A162" s="14" t="s">
        <v>39</v>
      </c>
      <c r="B162" s="14" t="n">
        <v>2024</v>
      </c>
      <c r="C162" s="14" t="s">
        <v>108</v>
      </c>
      <c r="D162" s="9" t="n">
        <v>674689</v>
      </c>
      <c r="E162" s="9" t="n">
        <v>63519</v>
      </c>
      <c r="F162" s="9" t="n">
        <v>72809</v>
      </c>
      <c r="G162" s="9" t="n">
        <v>0</v>
      </c>
      <c r="H162" s="9" t="n">
        <v>25319</v>
      </c>
      <c r="I162" s="9" t="n">
        <v>37706</v>
      </c>
      <c r="J162" s="9" t="n">
        <v>82062</v>
      </c>
      <c r="K162" s="9" t="n">
        <v>81247</v>
      </c>
      <c r="L162" s="9" t="n">
        <v>0</v>
      </c>
      <c r="M162" s="9" t="n">
        <v>0</v>
      </c>
      <c r="N162" s="9" t="n">
        <v>0</v>
      </c>
      <c r="O162" s="9" t="n">
        <v>0</v>
      </c>
      <c r="P162" s="9" t="n">
        <v>743</v>
      </c>
      <c r="Q162" s="9" t="n">
        <v>69661</v>
      </c>
      <c r="R162" s="9" t="n">
        <v>1107755</v>
      </c>
      <c r="S162" s="9" t="n">
        <v>1811627</v>
      </c>
      <c r="T162" s="11" t="n">
        <f aca="false">R162/S162</f>
        <v>0.611469689952733</v>
      </c>
      <c r="U162" s="9" t="n">
        <f aca="false">D162+E162+F162</f>
        <v>811017</v>
      </c>
      <c r="V162" s="9" t="n">
        <f aca="false">H162+I162+J162</f>
        <v>145087</v>
      </c>
      <c r="W162" s="9" t="n">
        <f aca="false">K162</f>
        <v>81247</v>
      </c>
      <c r="X162" s="11" t="n">
        <f aca="false">Q162/R162</f>
        <v>0.0628848436703062</v>
      </c>
    </row>
    <row r="163" customFormat="false" ht="15" hidden="false" customHeight="false" outlineLevel="0" collapsed="false">
      <c r="A163" s="14" t="s">
        <v>39</v>
      </c>
      <c r="B163" s="14" t="n">
        <v>2024</v>
      </c>
      <c r="C163" s="14" t="s">
        <v>109</v>
      </c>
      <c r="D163" s="9" t="n">
        <v>777195</v>
      </c>
      <c r="E163" s="9" t="n">
        <v>55111</v>
      </c>
      <c r="F163" s="9" t="n">
        <v>100481</v>
      </c>
      <c r="G163" s="9" t="n">
        <v>0</v>
      </c>
      <c r="H163" s="9" t="n">
        <v>418566</v>
      </c>
      <c r="I163" s="9" t="n">
        <v>74412</v>
      </c>
      <c r="J163" s="9" t="n">
        <v>17434</v>
      </c>
      <c r="K163" s="9" t="n">
        <v>126754</v>
      </c>
      <c r="L163" s="9" t="n">
        <v>0</v>
      </c>
      <c r="M163" s="9" t="n">
        <v>0</v>
      </c>
      <c r="N163" s="9" t="n">
        <v>0</v>
      </c>
      <c r="O163" s="9" t="n">
        <v>0</v>
      </c>
      <c r="P163" s="9" t="n">
        <v>1282</v>
      </c>
      <c r="Q163" s="9" t="n">
        <v>42847</v>
      </c>
      <c r="R163" s="9" t="n">
        <v>1614082</v>
      </c>
      <c r="S163" s="9" t="n">
        <v>2849003</v>
      </c>
      <c r="T163" s="11" t="n">
        <f aca="false">R163/S163</f>
        <v>0.566542751973234</v>
      </c>
      <c r="U163" s="9" t="n">
        <f aca="false">D163+E163+F163</f>
        <v>932787</v>
      </c>
      <c r="V163" s="9" t="n">
        <f aca="false">H163+I163+J163</f>
        <v>510412</v>
      </c>
      <c r="W163" s="9" t="n">
        <f aca="false">K163</f>
        <v>126754</v>
      </c>
      <c r="X163" s="11" t="n">
        <f aca="false">Q163/R163</f>
        <v>0.0265457393118813</v>
      </c>
    </row>
    <row r="164" customFormat="false" ht="15" hidden="false" customHeight="false" outlineLevel="0" collapsed="false">
      <c r="A164" s="14" t="s">
        <v>39</v>
      </c>
      <c r="B164" s="14" t="n">
        <v>2024</v>
      </c>
      <c r="C164" s="14" t="s">
        <v>110</v>
      </c>
      <c r="D164" s="9" t="n">
        <v>292288</v>
      </c>
      <c r="E164" s="9" t="n">
        <v>64239</v>
      </c>
      <c r="F164" s="9" t="n">
        <v>73584</v>
      </c>
      <c r="G164" s="9" t="n">
        <v>0</v>
      </c>
      <c r="H164" s="9" t="n">
        <v>65729</v>
      </c>
      <c r="I164" s="9" t="n">
        <v>61243</v>
      </c>
      <c r="J164" s="9" t="n">
        <v>30932</v>
      </c>
      <c r="K164" s="9" t="n">
        <v>105374</v>
      </c>
      <c r="L164" s="9" t="n">
        <v>0</v>
      </c>
      <c r="M164" s="9" t="n">
        <v>0</v>
      </c>
      <c r="N164" s="9" t="n">
        <v>0</v>
      </c>
      <c r="O164" s="9" t="n">
        <v>0</v>
      </c>
      <c r="P164" s="9" t="n">
        <v>612</v>
      </c>
      <c r="Q164" s="9" t="n">
        <v>41304</v>
      </c>
      <c r="R164" s="9" t="n">
        <v>735305</v>
      </c>
      <c r="S164" s="9" t="n">
        <v>1041394</v>
      </c>
      <c r="T164" s="11" t="n">
        <f aca="false">R164/S164</f>
        <v>0.706077622878565</v>
      </c>
      <c r="U164" s="9" t="n">
        <f aca="false">D164+E164+F164</f>
        <v>430111</v>
      </c>
      <c r="V164" s="9" t="n">
        <f aca="false">H164+I164+J164</f>
        <v>157904</v>
      </c>
      <c r="W164" s="9" t="n">
        <f aca="false">K164</f>
        <v>105374</v>
      </c>
      <c r="X164" s="11" t="n">
        <f aca="false">Q164/R164</f>
        <v>0.0561726086453921</v>
      </c>
    </row>
    <row r="165" customFormat="false" ht="15" hidden="false" customHeight="false" outlineLevel="0" collapsed="false">
      <c r="A165" s="14" t="s">
        <v>39</v>
      </c>
      <c r="B165" s="14" t="n">
        <v>2024</v>
      </c>
      <c r="C165" s="14" t="s">
        <v>111</v>
      </c>
      <c r="D165" s="9" t="n">
        <v>1806621</v>
      </c>
      <c r="E165" s="9" t="n">
        <v>145779</v>
      </c>
      <c r="F165" s="9" t="n">
        <v>249741</v>
      </c>
      <c r="G165" s="9" t="n">
        <v>0</v>
      </c>
      <c r="H165" s="9" t="n">
        <v>580167</v>
      </c>
      <c r="I165" s="9" t="n">
        <v>336608</v>
      </c>
      <c r="J165" s="9" t="n">
        <v>89229</v>
      </c>
      <c r="K165" s="9" t="n">
        <v>305092</v>
      </c>
      <c r="L165" s="9" t="n">
        <v>0</v>
      </c>
      <c r="M165" s="9" t="n">
        <v>0</v>
      </c>
      <c r="N165" s="9" t="n">
        <v>0</v>
      </c>
      <c r="O165" s="9" t="n">
        <v>0</v>
      </c>
      <c r="P165" s="9" t="n">
        <v>2187</v>
      </c>
      <c r="Q165" s="9" t="n">
        <v>121603</v>
      </c>
      <c r="R165" s="9" t="n">
        <v>3637027</v>
      </c>
      <c r="S165" s="9" t="n">
        <v>6080765</v>
      </c>
      <c r="T165" s="11" t="n">
        <f aca="false">R165/S165</f>
        <v>0.598119973391506</v>
      </c>
      <c r="U165" s="9" t="n">
        <f aca="false">D165+E165+F165</f>
        <v>2202141</v>
      </c>
      <c r="V165" s="9" t="n">
        <f aca="false">H165+I165+J165</f>
        <v>1006004</v>
      </c>
      <c r="W165" s="9" t="n">
        <f aca="false">K165</f>
        <v>305092</v>
      </c>
      <c r="X165" s="11" t="n">
        <f aca="false">Q165/R165</f>
        <v>0.0334347256701696</v>
      </c>
    </row>
    <row r="166" customFormat="false" ht="15" hidden="false" customHeight="false" outlineLevel="0" collapsed="false">
      <c r="A166" s="14" t="s">
        <v>39</v>
      </c>
      <c r="B166" s="14" t="n">
        <v>2024</v>
      </c>
      <c r="C166" s="14" t="s">
        <v>112</v>
      </c>
      <c r="D166" s="9" t="n">
        <v>528273</v>
      </c>
      <c r="E166" s="9" t="n">
        <v>47250</v>
      </c>
      <c r="F166" s="9" t="n">
        <v>72015</v>
      </c>
      <c r="G166" s="9" t="n">
        <v>0</v>
      </c>
      <c r="H166" s="9" t="n">
        <v>410829</v>
      </c>
      <c r="I166" s="9" t="n">
        <v>104235</v>
      </c>
      <c r="J166" s="9" t="n">
        <v>12018</v>
      </c>
      <c r="K166" s="9" t="n">
        <v>65587</v>
      </c>
      <c r="L166" s="9" t="n">
        <v>0</v>
      </c>
      <c r="M166" s="9" t="n">
        <v>0</v>
      </c>
      <c r="N166" s="9" t="n">
        <v>0</v>
      </c>
      <c r="O166" s="9" t="n">
        <v>0</v>
      </c>
      <c r="P166" s="9" t="n">
        <v>617</v>
      </c>
      <c r="Q166" s="9" t="n">
        <v>36561</v>
      </c>
      <c r="R166" s="9" t="n">
        <v>1277385</v>
      </c>
      <c r="S166" s="9" t="n">
        <v>1766109</v>
      </c>
      <c r="T166" s="11" t="n">
        <f aca="false">R166/S166</f>
        <v>0.723276422916139</v>
      </c>
      <c r="U166" s="9" t="n">
        <f aca="false">D166+E166+F166</f>
        <v>647538</v>
      </c>
      <c r="V166" s="9" t="n">
        <f aca="false">H166+I166+J166</f>
        <v>527082</v>
      </c>
      <c r="W166" s="9" t="n">
        <f aca="false">K166</f>
        <v>65587</v>
      </c>
      <c r="X166" s="11" t="n">
        <f aca="false">Q166/R166</f>
        <v>0.0286217546002184</v>
      </c>
    </row>
    <row r="167" customFormat="false" ht="15" hidden="false" customHeight="false" outlineLevel="0" collapsed="false">
      <c r="A167" s="14" t="s">
        <v>39</v>
      </c>
      <c r="B167" s="14" t="n">
        <v>2024</v>
      </c>
      <c r="C167" s="14" t="s">
        <v>113</v>
      </c>
      <c r="D167" s="9" t="n">
        <v>257499</v>
      </c>
      <c r="E167" s="9" t="n">
        <v>53095</v>
      </c>
      <c r="F167" s="9" t="n">
        <v>57294</v>
      </c>
      <c r="G167" s="9" t="n">
        <v>0</v>
      </c>
      <c r="H167" s="9" t="n">
        <v>91731</v>
      </c>
      <c r="I167" s="9" t="n">
        <v>143507</v>
      </c>
      <c r="J167" s="9" t="n">
        <v>36159</v>
      </c>
      <c r="K167" s="9" t="n">
        <v>92299</v>
      </c>
      <c r="L167" s="9" t="n">
        <v>0</v>
      </c>
      <c r="M167" s="9" t="n">
        <v>0</v>
      </c>
      <c r="N167" s="9" t="n">
        <v>0</v>
      </c>
      <c r="O167" s="9" t="n">
        <v>0</v>
      </c>
      <c r="P167" s="9" t="n">
        <v>711</v>
      </c>
      <c r="Q167" s="9" t="n">
        <v>30604</v>
      </c>
      <c r="R167" s="9" t="n">
        <v>762899</v>
      </c>
      <c r="S167" s="9" t="n">
        <v>1265977</v>
      </c>
      <c r="T167" s="11" t="n">
        <f aca="false">R167/S167</f>
        <v>0.602616793196085</v>
      </c>
      <c r="U167" s="9" t="n">
        <f aca="false">D167+E167+F167</f>
        <v>367888</v>
      </c>
      <c r="V167" s="9" t="n">
        <f aca="false">H167+I167+J167</f>
        <v>271397</v>
      </c>
      <c r="W167" s="9" t="n">
        <f aca="false">K167</f>
        <v>92299</v>
      </c>
      <c r="X167" s="11" t="n">
        <f aca="false">Q167/R167</f>
        <v>0.040115401907723</v>
      </c>
    </row>
    <row r="168" customFormat="false" ht="15" hidden="false" customHeight="false" outlineLevel="0" collapsed="false">
      <c r="A168" s="16" t="s">
        <v>39</v>
      </c>
      <c r="B168" s="16" t="n">
        <v>2024</v>
      </c>
      <c r="C168" s="16" t="s">
        <v>4</v>
      </c>
      <c r="D168" s="22" t="n">
        <f aca="false">SUM(D136:D167)</f>
        <v>24428947</v>
      </c>
      <c r="E168" s="22" t="n">
        <f aca="false">SUM(E136:E167)</f>
        <v>3168854</v>
      </c>
      <c r="F168" s="22" t="n">
        <f aca="false">SUM(F136:F167)</f>
        <v>4937222</v>
      </c>
      <c r="G168" s="22" t="n">
        <f aca="false">SUM(G136:G167)</f>
        <v>0</v>
      </c>
      <c r="H168" s="22" t="n">
        <f aca="false">SUM(H136:H167)</f>
        <v>10106007</v>
      </c>
      <c r="I168" s="22" t="n">
        <f aca="false">SUM(I136:I167)</f>
        <v>6622523</v>
      </c>
      <c r="J168" s="22" t="n">
        <f aca="false">SUM(J136:J167)</f>
        <v>1394301</v>
      </c>
      <c r="K168" s="22" t="n">
        <f aca="false">SUM(K136:K167)</f>
        <v>6497404</v>
      </c>
      <c r="L168" s="22" t="n">
        <f aca="false">SUM(L136:L167)</f>
        <v>0</v>
      </c>
      <c r="M168" s="22" t="n">
        <f aca="false">SUM(M136:M167)</f>
        <v>0</v>
      </c>
      <c r="N168" s="22" t="n">
        <f aca="false">SUM(N136:N167)</f>
        <v>0</v>
      </c>
      <c r="O168" s="22" t="n">
        <f aca="false">SUM(O136:O167)</f>
        <v>72012</v>
      </c>
      <c r="P168" s="22" t="n">
        <f aca="false">SUM(P136:P167)</f>
        <v>49329</v>
      </c>
      <c r="Q168" s="22" t="n">
        <f aca="false">SUM(Q136:Q167)</f>
        <v>2189869</v>
      </c>
      <c r="R168" s="22" t="n">
        <f aca="false">SUM(R136:R167)</f>
        <v>59466468</v>
      </c>
      <c r="S168" s="22" t="n">
        <f aca="false">SUM(S136:S167)</f>
        <v>98214289</v>
      </c>
      <c r="T168" s="17" t="n">
        <f aca="false">R168/S168</f>
        <v>0.60547674483496</v>
      </c>
      <c r="U168" s="22" t="n">
        <f aca="false">SUM(U136:U167)</f>
        <v>32535023</v>
      </c>
      <c r="V168" s="22" t="n">
        <f aca="false">SUM(V136:V167)</f>
        <v>18122831</v>
      </c>
      <c r="W168" s="22" t="n">
        <f aca="false">SUM(W136:W167)</f>
        <v>6497404</v>
      </c>
      <c r="X168" s="17" t="n">
        <f aca="false">Q168/R168</f>
        <v>0.0368252743714323</v>
      </c>
    </row>
    <row r="169" customFormat="false" ht="15" hidden="false" customHeight="false" outlineLevel="0" collapsed="false">
      <c r="A169" s="14" t="s">
        <v>40</v>
      </c>
      <c r="B169" s="14" t="n">
        <v>2018</v>
      </c>
      <c r="C169" s="14" t="s">
        <v>82</v>
      </c>
      <c r="D169" s="9" t="n">
        <v>134381</v>
      </c>
      <c r="E169" s="9" t="n">
        <v>15098</v>
      </c>
      <c r="F169" s="9" t="n">
        <v>18531</v>
      </c>
      <c r="G169" s="9" t="n">
        <v>12189</v>
      </c>
      <c r="H169" s="9" t="n">
        <v>178680</v>
      </c>
      <c r="I169" s="9" t="n">
        <v>144846</v>
      </c>
      <c r="J169" s="9" t="n">
        <v>11266</v>
      </c>
      <c r="K169" s="9" t="n">
        <v>10393</v>
      </c>
      <c r="L169" s="9" t="n">
        <v>14284</v>
      </c>
      <c r="M169" s="9" t="n">
        <v>0</v>
      </c>
      <c r="N169" s="9" t="n">
        <v>0</v>
      </c>
      <c r="O169" s="9" t="n">
        <v>0</v>
      </c>
      <c r="P169" s="9" t="n">
        <v>412</v>
      </c>
      <c r="Q169" s="9" t="n">
        <v>20838</v>
      </c>
      <c r="R169" s="9" t="n">
        <v>560918</v>
      </c>
      <c r="S169" s="9" t="n">
        <v>945131</v>
      </c>
      <c r="T169" s="11" t="n">
        <f aca="false">R169/S169</f>
        <v>0.593481750148921</v>
      </c>
      <c r="U169" s="9" t="n">
        <f aca="false">D169+E169+G169</f>
        <v>161668</v>
      </c>
      <c r="V169" s="9" t="n">
        <f aca="false">H169+J169+K169</f>
        <v>200339</v>
      </c>
      <c r="W169" s="9" t="n">
        <f aca="false">I169+F169+L169</f>
        <v>177661</v>
      </c>
      <c r="X169" s="11" t="n">
        <f aca="false">Q169/R169</f>
        <v>0.0371498151244924</v>
      </c>
    </row>
    <row r="170" customFormat="false" ht="15" hidden="false" customHeight="false" outlineLevel="0" collapsed="false">
      <c r="A170" s="14" t="s">
        <v>40</v>
      </c>
      <c r="B170" s="14" t="n">
        <v>2018</v>
      </c>
      <c r="C170" s="14" t="s">
        <v>83</v>
      </c>
      <c r="D170" s="9" t="n">
        <v>721785</v>
      </c>
      <c r="E170" s="9" t="n">
        <v>68734</v>
      </c>
      <c r="F170" s="9" t="n">
        <v>44884</v>
      </c>
      <c r="G170" s="9" t="n">
        <v>46321</v>
      </c>
      <c r="H170" s="9" t="n">
        <v>279948</v>
      </c>
      <c r="I170" s="9" t="n">
        <v>149689</v>
      </c>
      <c r="J170" s="9" t="n">
        <v>23598</v>
      </c>
      <c r="K170" s="9" t="n">
        <v>38489</v>
      </c>
      <c r="L170" s="9" t="n">
        <v>29714</v>
      </c>
      <c r="M170" s="9" t="n">
        <v>0</v>
      </c>
      <c r="N170" s="9" t="n">
        <v>0</v>
      </c>
      <c r="O170" s="9" t="n">
        <v>0</v>
      </c>
      <c r="P170" s="9" t="n">
        <v>1343</v>
      </c>
      <c r="Q170" s="9" t="n">
        <v>43451</v>
      </c>
      <c r="R170" s="9" t="n">
        <v>1447956</v>
      </c>
      <c r="S170" s="9" t="n">
        <v>2734195</v>
      </c>
      <c r="T170" s="11" t="n">
        <f aca="false">R170/S170</f>
        <v>0.529573055323413</v>
      </c>
      <c r="U170" s="9" t="n">
        <f aca="false">D170+E170+G170</f>
        <v>836840</v>
      </c>
      <c r="V170" s="9" t="n">
        <f aca="false">H170+J170+K170</f>
        <v>342035</v>
      </c>
      <c r="W170" s="9" t="n">
        <f aca="false">I170+F170+L170</f>
        <v>224287</v>
      </c>
      <c r="X170" s="11" t="n">
        <f aca="false">Q170/R170</f>
        <v>0.0300085085458398</v>
      </c>
    </row>
    <row r="171" customFormat="false" ht="15" hidden="false" customHeight="false" outlineLevel="0" collapsed="false">
      <c r="A171" s="14" t="s">
        <v>40</v>
      </c>
      <c r="B171" s="14" t="n">
        <v>2018</v>
      </c>
      <c r="C171" s="14" t="s">
        <v>84</v>
      </c>
      <c r="D171" s="9" t="n">
        <v>122583</v>
      </c>
      <c r="E171" s="9" t="n">
        <v>19920</v>
      </c>
      <c r="F171" s="9" t="n">
        <v>11095</v>
      </c>
      <c r="G171" s="9" t="n">
        <v>6094</v>
      </c>
      <c r="H171" s="9" t="n">
        <v>77273</v>
      </c>
      <c r="I171" s="9" t="n">
        <v>24463</v>
      </c>
      <c r="J171" s="9" t="n">
        <v>3522</v>
      </c>
      <c r="K171" s="9" t="n">
        <v>4729</v>
      </c>
      <c r="L171" s="9" t="n">
        <v>8020</v>
      </c>
      <c r="M171" s="9" t="n">
        <v>0</v>
      </c>
      <c r="N171" s="9" t="n">
        <v>0</v>
      </c>
      <c r="O171" s="9" t="n">
        <v>14740</v>
      </c>
      <c r="P171" s="9" t="n">
        <v>255</v>
      </c>
      <c r="Q171" s="9" t="n">
        <v>10573</v>
      </c>
      <c r="R171" s="9" t="n">
        <v>303267</v>
      </c>
      <c r="S171" s="9" t="n">
        <v>516365</v>
      </c>
      <c r="T171" s="11" t="n">
        <f aca="false">R171/S171</f>
        <v>0.587311301114522</v>
      </c>
      <c r="U171" s="9" t="n">
        <f aca="false">D171+E171+G171</f>
        <v>148597</v>
      </c>
      <c r="V171" s="9" t="n">
        <f aca="false">H171+J171+K171</f>
        <v>85524</v>
      </c>
      <c r="W171" s="9" t="n">
        <f aca="false">I171+F171+L171</f>
        <v>43578</v>
      </c>
      <c r="X171" s="11" t="n">
        <f aca="false">Q171/R171</f>
        <v>0.0348636679889338</v>
      </c>
    </row>
    <row r="172" customFormat="false" ht="15" hidden="false" customHeight="false" outlineLevel="0" collapsed="false">
      <c r="A172" s="14" t="s">
        <v>40</v>
      </c>
      <c r="B172" s="14" t="n">
        <v>2018</v>
      </c>
      <c r="C172" s="14" t="s">
        <v>85</v>
      </c>
      <c r="D172" s="9" t="n">
        <v>180014</v>
      </c>
      <c r="E172" s="9" t="n">
        <v>18127</v>
      </c>
      <c r="F172" s="9" t="n">
        <v>11187</v>
      </c>
      <c r="G172" s="9" t="n">
        <v>10169</v>
      </c>
      <c r="H172" s="9" t="n">
        <v>70708</v>
      </c>
      <c r="I172" s="9" t="n">
        <v>116144</v>
      </c>
      <c r="J172" s="9" t="n">
        <v>9673</v>
      </c>
      <c r="K172" s="9" t="n">
        <v>9226</v>
      </c>
      <c r="L172" s="9" t="n">
        <v>10097</v>
      </c>
      <c r="M172" s="9" t="n">
        <v>0</v>
      </c>
      <c r="N172" s="9" t="n">
        <v>0</v>
      </c>
      <c r="O172" s="9" t="n">
        <v>0</v>
      </c>
      <c r="P172" s="9" t="n">
        <v>158</v>
      </c>
      <c r="Q172" s="9" t="n">
        <v>15837</v>
      </c>
      <c r="R172" s="9" t="n">
        <v>451340</v>
      </c>
      <c r="S172" s="9" t="n">
        <v>642407</v>
      </c>
      <c r="T172" s="11" t="n">
        <f aca="false">R172/S172</f>
        <v>0.702576404055373</v>
      </c>
      <c r="U172" s="9" t="n">
        <f aca="false">D172+E172+G172</f>
        <v>208310</v>
      </c>
      <c r="V172" s="9" t="n">
        <f aca="false">H172+J172+K172</f>
        <v>89607</v>
      </c>
      <c r="W172" s="9" t="n">
        <f aca="false">I172+F172+L172</f>
        <v>137428</v>
      </c>
      <c r="X172" s="11" t="n">
        <f aca="false">Q172/R172</f>
        <v>0.0350888465458413</v>
      </c>
    </row>
    <row r="173" customFormat="false" ht="15" hidden="false" customHeight="false" outlineLevel="0" collapsed="false">
      <c r="A173" s="14" t="s">
        <v>40</v>
      </c>
      <c r="B173" s="14" t="n">
        <v>2018</v>
      </c>
      <c r="C173" s="14" t="s">
        <v>86</v>
      </c>
      <c r="D173" s="9" t="n">
        <v>443311</v>
      </c>
      <c r="E173" s="9" t="n">
        <v>37534</v>
      </c>
      <c r="F173" s="9" t="n">
        <v>30229</v>
      </c>
      <c r="G173" s="9" t="n">
        <v>19290</v>
      </c>
      <c r="H173" s="9" t="n">
        <v>347059</v>
      </c>
      <c r="I173" s="9" t="n">
        <v>394229</v>
      </c>
      <c r="J173" s="9" t="n">
        <v>20310</v>
      </c>
      <c r="K173" s="9" t="n">
        <v>28476</v>
      </c>
      <c r="L173" s="9" t="n">
        <v>19598</v>
      </c>
      <c r="M173" s="9" t="n">
        <v>0</v>
      </c>
      <c r="N173" s="9" t="n">
        <v>0</v>
      </c>
      <c r="O173" s="9" t="n">
        <v>0</v>
      </c>
      <c r="P173" s="9" t="n">
        <v>435</v>
      </c>
      <c r="Q173" s="9" t="n">
        <v>34589</v>
      </c>
      <c r="R173" s="9" t="n">
        <v>1375060</v>
      </c>
      <c r="S173" s="9" t="n">
        <v>2157244</v>
      </c>
      <c r="T173" s="11" t="n">
        <f aca="false">R173/S173</f>
        <v>0.637415146362674</v>
      </c>
      <c r="U173" s="9" t="n">
        <f aca="false">D173+E173+G173</f>
        <v>500135</v>
      </c>
      <c r="V173" s="9" t="n">
        <f aca="false">H173+J173+K173</f>
        <v>395845</v>
      </c>
      <c r="W173" s="9" t="n">
        <f aca="false">I173+F173+L173</f>
        <v>444056</v>
      </c>
      <c r="X173" s="11" t="n">
        <f aca="false">Q173/R173</f>
        <v>0.0251545387110381</v>
      </c>
    </row>
    <row r="174" customFormat="false" ht="15" hidden="false" customHeight="false" outlineLevel="0" collapsed="false">
      <c r="A174" s="14" t="s">
        <v>40</v>
      </c>
      <c r="B174" s="14" t="n">
        <v>2018</v>
      </c>
      <c r="C174" s="14" t="s">
        <v>87</v>
      </c>
      <c r="D174" s="9" t="n">
        <v>126201</v>
      </c>
      <c r="E174" s="9" t="n">
        <v>17317</v>
      </c>
      <c r="F174" s="9" t="n">
        <v>20470</v>
      </c>
      <c r="G174" s="9" t="n">
        <v>6519</v>
      </c>
      <c r="H174" s="9" t="n">
        <v>50418</v>
      </c>
      <c r="I174" s="9" t="n">
        <v>68284</v>
      </c>
      <c r="J174" s="9" t="n">
        <v>5069</v>
      </c>
      <c r="K174" s="9" t="n">
        <v>23756</v>
      </c>
      <c r="L174" s="9" t="n">
        <v>9973</v>
      </c>
      <c r="M174" s="9" t="n">
        <v>0</v>
      </c>
      <c r="N174" s="9" t="n">
        <v>0</v>
      </c>
      <c r="O174" s="9" t="n">
        <v>0</v>
      </c>
      <c r="P174" s="9" t="n">
        <v>196</v>
      </c>
      <c r="Q174" s="9" t="n">
        <v>12612</v>
      </c>
      <c r="R174" s="9" t="n">
        <v>340815</v>
      </c>
      <c r="S174" s="9" t="n">
        <v>531888</v>
      </c>
      <c r="T174" s="11" t="n">
        <f aca="false">R174/S174</f>
        <v>0.640764597058027</v>
      </c>
      <c r="U174" s="9" t="n">
        <f aca="false">D174+E174+G174</f>
        <v>150037</v>
      </c>
      <c r="V174" s="9" t="n">
        <f aca="false">H174+J174+K174</f>
        <v>79243</v>
      </c>
      <c r="W174" s="9" t="n">
        <f aca="false">I174+F174+L174</f>
        <v>98727</v>
      </c>
      <c r="X174" s="11" t="n">
        <f aca="false">Q174/R174</f>
        <v>0.0370054134941244</v>
      </c>
    </row>
    <row r="175" customFormat="false" ht="15" hidden="false" customHeight="false" outlineLevel="0" collapsed="false">
      <c r="A175" s="14" t="s">
        <v>40</v>
      </c>
      <c r="B175" s="14" t="n">
        <v>2018</v>
      </c>
      <c r="C175" s="14" t="s">
        <v>88</v>
      </c>
      <c r="D175" s="9" t="n">
        <v>995803</v>
      </c>
      <c r="E175" s="9" t="n">
        <v>114261</v>
      </c>
      <c r="F175" s="9" t="n">
        <v>346183</v>
      </c>
      <c r="G175" s="9" t="n">
        <v>57392</v>
      </c>
      <c r="H175" s="9" t="n">
        <v>89443</v>
      </c>
      <c r="I175" s="9" t="n">
        <v>299846</v>
      </c>
      <c r="J175" s="9" t="n">
        <v>82039</v>
      </c>
      <c r="K175" s="9" t="n">
        <v>68341</v>
      </c>
      <c r="L175" s="9" t="n">
        <v>62861</v>
      </c>
      <c r="M175" s="9" t="n">
        <v>0</v>
      </c>
      <c r="N175" s="9" t="n">
        <v>0</v>
      </c>
      <c r="O175" s="9" t="n">
        <v>98459</v>
      </c>
      <c r="P175" s="9" t="n">
        <v>1407</v>
      </c>
      <c r="Q175" s="9" t="n">
        <v>195923</v>
      </c>
      <c r="R175" s="9" t="n">
        <v>2411958</v>
      </c>
      <c r="S175" s="9" t="n">
        <v>3496664</v>
      </c>
      <c r="T175" s="11" t="n">
        <f aca="false">R175/S175</f>
        <v>0.689788323956777</v>
      </c>
      <c r="U175" s="9" t="n">
        <f aca="false">D175+E175+G175</f>
        <v>1167456</v>
      </c>
      <c r="V175" s="9" t="n">
        <f aca="false">H175+J175+K175</f>
        <v>239823</v>
      </c>
      <c r="W175" s="9" t="n">
        <f aca="false">I175+F175+L175</f>
        <v>708890</v>
      </c>
      <c r="X175" s="11" t="n">
        <f aca="false">Q175/R175</f>
        <v>0.0812298555779164</v>
      </c>
    </row>
    <row r="176" customFormat="false" ht="15" hidden="false" customHeight="false" outlineLevel="0" collapsed="false">
      <c r="A176" s="14" t="s">
        <v>40</v>
      </c>
      <c r="B176" s="14" t="n">
        <v>2018</v>
      </c>
      <c r="C176" s="14" t="s">
        <v>89</v>
      </c>
      <c r="D176" s="9" t="n">
        <v>450021</v>
      </c>
      <c r="E176" s="9" t="n">
        <v>52390</v>
      </c>
      <c r="F176" s="9" t="n">
        <v>56823</v>
      </c>
      <c r="G176" s="9" t="n">
        <v>42126</v>
      </c>
      <c r="H176" s="9" t="n">
        <v>382218</v>
      </c>
      <c r="I176" s="9" t="n">
        <v>327624</v>
      </c>
      <c r="J176" s="9" t="n">
        <v>27800</v>
      </c>
      <c r="K176" s="9" t="n">
        <v>41352</v>
      </c>
      <c r="L176" s="9" t="n">
        <v>43929</v>
      </c>
      <c r="M176" s="9" t="n">
        <v>0</v>
      </c>
      <c r="N176" s="9" t="n">
        <v>0</v>
      </c>
      <c r="O176" s="9" t="n">
        <v>0</v>
      </c>
      <c r="P176" s="9" t="n">
        <v>1275</v>
      </c>
      <c r="Q176" s="9" t="n">
        <v>73578</v>
      </c>
      <c r="R176" s="9" t="n">
        <v>1499136</v>
      </c>
      <c r="S176" s="9" t="n">
        <v>2746512</v>
      </c>
      <c r="T176" s="11" t="n">
        <f aca="false">R176/S176</f>
        <v>0.545832677956623</v>
      </c>
      <c r="U176" s="9" t="n">
        <f aca="false">D176+E176+G176</f>
        <v>544537</v>
      </c>
      <c r="V176" s="9" t="n">
        <f aca="false">H176+J176+K176</f>
        <v>451370</v>
      </c>
      <c r="W176" s="9" t="n">
        <f aca="false">I176+F176+L176</f>
        <v>428376</v>
      </c>
      <c r="X176" s="11" t="n">
        <f aca="false">Q176/R176</f>
        <v>0.0490802702356557</v>
      </c>
    </row>
    <row r="177" customFormat="false" ht="15" hidden="false" customHeight="false" outlineLevel="0" collapsed="false">
      <c r="A177" s="14" t="s">
        <v>40</v>
      </c>
      <c r="B177" s="14" t="n">
        <v>2018</v>
      </c>
      <c r="C177" s="14" t="s">
        <v>90</v>
      </c>
      <c r="D177" s="9" t="n">
        <v>2443115</v>
      </c>
      <c r="E177" s="9" t="n">
        <v>177837</v>
      </c>
      <c r="F177" s="9" t="n">
        <v>245475</v>
      </c>
      <c r="G177" s="9" t="n">
        <v>154651</v>
      </c>
      <c r="H177" s="9" t="n">
        <v>872386</v>
      </c>
      <c r="I177" s="9" t="n">
        <v>523380</v>
      </c>
      <c r="J177" s="9" t="n">
        <v>540156</v>
      </c>
      <c r="K177" s="9" t="n">
        <v>149857</v>
      </c>
      <c r="L177" s="9" t="n">
        <v>92224</v>
      </c>
      <c r="M177" s="9" t="n">
        <v>0</v>
      </c>
      <c r="N177" s="9" t="n">
        <v>0</v>
      </c>
      <c r="O177" s="9" t="n">
        <v>0</v>
      </c>
      <c r="P177" s="9" t="n">
        <v>4556</v>
      </c>
      <c r="Q177" s="9" t="n">
        <v>205589</v>
      </c>
      <c r="R177" s="9" t="n">
        <v>5409226</v>
      </c>
      <c r="S177" s="9" t="n">
        <v>7655601</v>
      </c>
      <c r="T177" s="11" t="n">
        <f aca="false">R177/S177</f>
        <v>0.706571045173331</v>
      </c>
      <c r="U177" s="9" t="n">
        <f aca="false">D177+E177+G177</f>
        <v>2775603</v>
      </c>
      <c r="V177" s="9" t="n">
        <f aca="false">H177+J177+K177</f>
        <v>1562399</v>
      </c>
      <c r="W177" s="9" t="n">
        <f aca="false">I177+F177+L177</f>
        <v>861079</v>
      </c>
      <c r="X177" s="11" t="n">
        <f aca="false">Q177/R177</f>
        <v>0.0380071012008003</v>
      </c>
    </row>
    <row r="178" customFormat="false" ht="15" hidden="false" customHeight="false" outlineLevel="0" collapsed="false">
      <c r="A178" s="14" t="s">
        <v>40</v>
      </c>
      <c r="B178" s="14" t="n">
        <v>2018</v>
      </c>
      <c r="C178" s="14" t="s">
        <v>91</v>
      </c>
      <c r="D178" s="9" t="n">
        <v>210748</v>
      </c>
      <c r="E178" s="9" t="n">
        <v>60037</v>
      </c>
      <c r="F178" s="9" t="n">
        <v>26753</v>
      </c>
      <c r="G178" s="9" t="n">
        <v>16226</v>
      </c>
      <c r="H178" s="9" t="n">
        <v>182785</v>
      </c>
      <c r="I178" s="9" t="n">
        <v>157529</v>
      </c>
      <c r="J178" s="9" t="n">
        <v>13808</v>
      </c>
      <c r="K178" s="9" t="n">
        <v>28135</v>
      </c>
      <c r="L178" s="9" t="n">
        <v>14710</v>
      </c>
      <c r="M178" s="9" t="n">
        <v>0</v>
      </c>
      <c r="N178" s="9" t="n">
        <v>0</v>
      </c>
      <c r="O178" s="9" t="n">
        <v>0</v>
      </c>
      <c r="P178" s="9" t="n">
        <v>295</v>
      </c>
      <c r="Q178" s="9" t="n">
        <v>25958</v>
      </c>
      <c r="R178" s="9" t="n">
        <v>736984</v>
      </c>
      <c r="S178" s="9" t="n">
        <v>1284462</v>
      </c>
      <c r="T178" s="11" t="n">
        <f aca="false">R178/S178</f>
        <v>0.573768628421861</v>
      </c>
      <c r="U178" s="9" t="n">
        <f aca="false">D178+E178+G178</f>
        <v>287011</v>
      </c>
      <c r="V178" s="9" t="n">
        <f aca="false">H178+J178+K178</f>
        <v>224728</v>
      </c>
      <c r="W178" s="9" t="n">
        <f aca="false">I178+F178+L178</f>
        <v>198992</v>
      </c>
      <c r="X178" s="11" t="n">
        <f aca="false">Q178/R178</f>
        <v>0.035221931548039</v>
      </c>
    </row>
    <row r="179" customFormat="false" ht="15" hidden="false" customHeight="false" outlineLevel="0" collapsed="false">
      <c r="A179" s="14" t="s">
        <v>40</v>
      </c>
      <c r="B179" s="14" t="n">
        <v>2018</v>
      </c>
      <c r="C179" s="14" t="s">
        <v>92</v>
      </c>
      <c r="D179" s="9" t="n">
        <v>500933</v>
      </c>
      <c r="E179" s="9" t="n">
        <v>55399</v>
      </c>
      <c r="F179" s="9" t="n">
        <v>191002</v>
      </c>
      <c r="G179" s="9" t="n">
        <v>45612</v>
      </c>
      <c r="H179" s="9" t="n">
        <v>887746</v>
      </c>
      <c r="I179" s="9" t="n">
        <v>324062</v>
      </c>
      <c r="J179" s="9" t="n">
        <v>66964</v>
      </c>
      <c r="K179" s="9" t="n">
        <v>67747</v>
      </c>
      <c r="L179" s="9" t="n">
        <v>71826</v>
      </c>
      <c r="M179" s="9" t="n">
        <v>0</v>
      </c>
      <c r="N179" s="9" t="n">
        <v>0</v>
      </c>
      <c r="O179" s="9" t="n">
        <v>0</v>
      </c>
      <c r="P179" s="9" t="n">
        <v>1726</v>
      </c>
      <c r="Q179" s="9" t="n">
        <v>112823</v>
      </c>
      <c r="R179" s="9" t="n">
        <v>2325840</v>
      </c>
      <c r="S179" s="9" t="n">
        <v>4369877</v>
      </c>
      <c r="T179" s="11" t="n">
        <f aca="false">R179/S179</f>
        <v>0.53224381372748</v>
      </c>
      <c r="U179" s="9" t="n">
        <f aca="false">D179+E179+G179</f>
        <v>601944</v>
      </c>
      <c r="V179" s="9" t="n">
        <f aca="false">H179+J179+K179</f>
        <v>1022457</v>
      </c>
      <c r="W179" s="9" t="n">
        <f aca="false">I179+F179+L179</f>
        <v>586890</v>
      </c>
      <c r="X179" s="11" t="n">
        <f aca="false">Q179/R179</f>
        <v>0.0485084958552609</v>
      </c>
    </row>
    <row r="180" customFormat="false" ht="15" hidden="false" customHeight="false" outlineLevel="0" collapsed="false">
      <c r="A180" s="14" t="s">
        <v>40</v>
      </c>
      <c r="B180" s="14" t="n">
        <v>2018</v>
      </c>
      <c r="C180" s="14" t="s">
        <v>93</v>
      </c>
      <c r="D180" s="9" t="n">
        <v>647656</v>
      </c>
      <c r="E180" s="9" t="n">
        <v>93815</v>
      </c>
      <c r="F180" s="9" t="n">
        <v>66396</v>
      </c>
      <c r="G180" s="9" t="n">
        <v>34573</v>
      </c>
      <c r="H180" s="9" t="n">
        <v>76829</v>
      </c>
      <c r="I180" s="9" t="n">
        <v>280891</v>
      </c>
      <c r="J180" s="9" t="n">
        <v>222650</v>
      </c>
      <c r="K180" s="9" t="n">
        <v>62420</v>
      </c>
      <c r="L180" s="9" t="n">
        <v>23134</v>
      </c>
      <c r="M180" s="9" t="n">
        <v>0</v>
      </c>
      <c r="N180" s="9" t="n">
        <v>0</v>
      </c>
      <c r="O180" s="9" t="n">
        <v>20801</v>
      </c>
      <c r="P180" s="9" t="n">
        <v>753</v>
      </c>
      <c r="Q180" s="9" t="n">
        <v>86952</v>
      </c>
      <c r="R180" s="9" t="n">
        <v>1616870</v>
      </c>
      <c r="S180" s="9" t="n">
        <v>2513278</v>
      </c>
      <c r="T180" s="11" t="n">
        <f aca="false">R180/S180</f>
        <v>0.643331139651085</v>
      </c>
      <c r="U180" s="9" t="n">
        <f aca="false">D180+E180+G180</f>
        <v>776044</v>
      </c>
      <c r="V180" s="9" t="n">
        <f aca="false">H180+J180+K180</f>
        <v>361899</v>
      </c>
      <c r="W180" s="9" t="n">
        <f aca="false">I180+F180+L180</f>
        <v>370421</v>
      </c>
      <c r="X180" s="11" t="n">
        <f aca="false">Q180/R180</f>
        <v>0.0537779784398251</v>
      </c>
    </row>
    <row r="181" customFormat="false" ht="15" hidden="false" customHeight="false" outlineLevel="0" collapsed="false">
      <c r="A181" s="14" t="s">
        <v>40</v>
      </c>
      <c r="B181" s="14" t="n">
        <v>2018</v>
      </c>
      <c r="C181" s="14" t="s">
        <v>94</v>
      </c>
      <c r="D181" s="9" t="n">
        <v>665902</v>
      </c>
      <c r="E181" s="9" t="n">
        <v>51474</v>
      </c>
      <c r="F181" s="9" t="n">
        <v>35752</v>
      </c>
      <c r="G181" s="9" t="n">
        <v>28981</v>
      </c>
      <c r="H181" s="9" t="n">
        <v>137263</v>
      </c>
      <c r="I181" s="9" t="n">
        <v>271803</v>
      </c>
      <c r="J181" s="9" t="n">
        <v>40439</v>
      </c>
      <c r="K181" s="9" t="n">
        <v>24960</v>
      </c>
      <c r="L181" s="9" t="n">
        <v>69042</v>
      </c>
      <c r="M181" s="9" t="n">
        <v>0</v>
      </c>
      <c r="N181" s="9" t="n">
        <v>0</v>
      </c>
      <c r="O181" s="9" t="n">
        <v>0</v>
      </c>
      <c r="P181" s="9" t="n">
        <v>527</v>
      </c>
      <c r="Q181" s="9" t="n">
        <v>69013</v>
      </c>
      <c r="R181" s="9" t="n">
        <v>1395156</v>
      </c>
      <c r="S181" s="9" t="n">
        <v>2122657</v>
      </c>
      <c r="T181" s="11" t="n">
        <f aca="false">R181/S181</f>
        <v>0.657268696732444</v>
      </c>
      <c r="U181" s="9" t="n">
        <f aca="false">D181+E181+G181</f>
        <v>746357</v>
      </c>
      <c r="V181" s="9" t="n">
        <f aca="false">H181+J181+K181</f>
        <v>202662</v>
      </c>
      <c r="W181" s="9" t="n">
        <f aca="false">I181+F181+L181</f>
        <v>376597</v>
      </c>
      <c r="X181" s="11" t="n">
        <f aca="false">Q181/R181</f>
        <v>0.0494661528889959</v>
      </c>
    </row>
    <row r="182" customFormat="false" ht="15" hidden="false" customHeight="false" outlineLevel="0" collapsed="false">
      <c r="A182" s="14" t="s">
        <v>40</v>
      </c>
      <c r="B182" s="14" t="n">
        <v>2018</v>
      </c>
      <c r="C182" s="14" t="s">
        <v>95</v>
      </c>
      <c r="D182" s="9" t="n">
        <v>723898</v>
      </c>
      <c r="E182" s="9" t="n">
        <v>73723</v>
      </c>
      <c r="F182" s="9" t="n">
        <v>120401</v>
      </c>
      <c r="G182" s="9" t="n">
        <v>51321</v>
      </c>
      <c r="H182" s="9" t="n">
        <v>453801</v>
      </c>
      <c r="I182" s="9" t="n">
        <v>425304</v>
      </c>
      <c r="J182" s="9" t="n">
        <v>43953</v>
      </c>
      <c r="K182" s="9" t="n">
        <v>660904</v>
      </c>
      <c r="L182" s="9" t="n">
        <v>63703</v>
      </c>
      <c r="M182" s="9" t="n">
        <v>0</v>
      </c>
      <c r="N182" s="9" t="n">
        <v>0</v>
      </c>
      <c r="O182" s="9" t="n">
        <v>761812</v>
      </c>
      <c r="P182" s="9" t="n">
        <v>2156</v>
      </c>
      <c r="Q182" s="9" t="n">
        <v>125703</v>
      </c>
      <c r="R182" s="9" t="n">
        <v>3506679</v>
      </c>
      <c r="S182" s="9" t="n">
        <v>5912865</v>
      </c>
      <c r="T182" s="11" t="n">
        <f aca="false">R182/S182</f>
        <v>0.593059202264892</v>
      </c>
      <c r="U182" s="9" t="n">
        <f aca="false">D182+E182+G182</f>
        <v>848942</v>
      </c>
      <c r="V182" s="9" t="n">
        <f aca="false">H182+J182+K182</f>
        <v>1158658</v>
      </c>
      <c r="W182" s="9" t="n">
        <f aca="false">I182+F182+L182</f>
        <v>609408</v>
      </c>
      <c r="X182" s="11" t="n">
        <f aca="false">Q182/R182</f>
        <v>0.0358467370409439</v>
      </c>
    </row>
    <row r="183" customFormat="false" ht="15" hidden="false" customHeight="false" outlineLevel="0" collapsed="false">
      <c r="A183" s="14" t="s">
        <v>40</v>
      </c>
      <c r="B183" s="14" t="n">
        <v>2018</v>
      </c>
      <c r="C183" s="14" t="s">
        <v>96</v>
      </c>
      <c r="D183" s="9" t="n">
        <v>3401267</v>
      </c>
      <c r="E183" s="9" t="n">
        <v>261890</v>
      </c>
      <c r="F183" s="9" t="n">
        <v>320941</v>
      </c>
      <c r="G183" s="9" t="n">
        <v>193531</v>
      </c>
      <c r="H183" s="9" t="n">
        <v>1190427</v>
      </c>
      <c r="I183" s="9" t="n">
        <v>1444015</v>
      </c>
      <c r="J183" s="9" t="n">
        <v>598182</v>
      </c>
      <c r="K183" s="9" t="n">
        <v>200345</v>
      </c>
      <c r="L183" s="9" t="n">
        <v>183480</v>
      </c>
      <c r="M183" s="9" t="n">
        <v>0</v>
      </c>
      <c r="N183" s="9" t="n">
        <v>0</v>
      </c>
      <c r="O183" s="9" t="n">
        <v>0</v>
      </c>
      <c r="P183" s="9" t="n">
        <v>4237</v>
      </c>
      <c r="Q183" s="9" t="n">
        <v>247203</v>
      </c>
      <c r="R183" s="9" t="n">
        <v>8045518</v>
      </c>
      <c r="S183" s="9" t="n">
        <v>11842184</v>
      </c>
      <c r="T183" s="11" t="n">
        <f aca="false">R183/S183</f>
        <v>0.67939478055737</v>
      </c>
      <c r="U183" s="9" t="n">
        <f aca="false">D183+E183+G183</f>
        <v>3856688</v>
      </c>
      <c r="V183" s="9" t="n">
        <f aca="false">H183+J183+K183</f>
        <v>1988954</v>
      </c>
      <c r="W183" s="9" t="n">
        <f aca="false">I183+F183+L183</f>
        <v>1948436</v>
      </c>
      <c r="X183" s="11" t="n">
        <f aca="false">Q183/R183</f>
        <v>0.0307255542775493</v>
      </c>
    </row>
    <row r="184" customFormat="false" ht="15" hidden="false" customHeight="false" outlineLevel="0" collapsed="false">
      <c r="A184" s="14" t="s">
        <v>40</v>
      </c>
      <c r="B184" s="14" t="n">
        <v>2018</v>
      </c>
      <c r="C184" s="14" t="s">
        <v>97</v>
      </c>
      <c r="D184" s="9" t="n">
        <v>594404</v>
      </c>
      <c r="E184" s="9" t="n">
        <v>108054</v>
      </c>
      <c r="F184" s="9" t="n">
        <v>137491</v>
      </c>
      <c r="G184" s="9" t="n">
        <v>50718</v>
      </c>
      <c r="H184" s="9" t="n">
        <v>232579</v>
      </c>
      <c r="I184" s="9" t="n">
        <v>341601</v>
      </c>
      <c r="J184" s="9" t="n">
        <v>285878</v>
      </c>
      <c r="K184" s="9" t="n">
        <v>58680</v>
      </c>
      <c r="L184" s="9" t="n">
        <v>46713</v>
      </c>
      <c r="M184" s="9" t="n">
        <v>0</v>
      </c>
      <c r="N184" s="9" t="n">
        <v>0</v>
      </c>
      <c r="O184" s="9" t="n">
        <v>0</v>
      </c>
      <c r="P184" s="9" t="n">
        <v>1292</v>
      </c>
      <c r="Q184" s="9" t="n">
        <v>128206</v>
      </c>
      <c r="R184" s="9" t="n">
        <v>1985616</v>
      </c>
      <c r="S184" s="9" t="n">
        <v>3381606</v>
      </c>
      <c r="T184" s="11" t="n">
        <f aca="false">R184/S184</f>
        <v>0.587181357023852</v>
      </c>
      <c r="U184" s="9" t="n">
        <f aca="false">D184+E184+G184</f>
        <v>753176</v>
      </c>
      <c r="V184" s="9" t="n">
        <f aca="false">H184+J184+K184</f>
        <v>577137</v>
      </c>
      <c r="W184" s="9" t="n">
        <f aca="false">I184+F184+L184</f>
        <v>525805</v>
      </c>
      <c r="X184" s="11" t="n">
        <f aca="false">Q184/R184</f>
        <v>0.0645673685143552</v>
      </c>
    </row>
    <row r="185" customFormat="false" ht="15" hidden="false" customHeight="false" outlineLevel="0" collapsed="false">
      <c r="A185" s="14" t="s">
        <v>40</v>
      </c>
      <c r="B185" s="14" t="n">
        <v>2018</v>
      </c>
      <c r="C185" s="14" t="s">
        <v>98</v>
      </c>
      <c r="D185" s="9" t="n">
        <v>397371</v>
      </c>
      <c r="E185" s="9" t="n">
        <v>51432</v>
      </c>
      <c r="F185" s="9" t="n">
        <v>59385</v>
      </c>
      <c r="G185" s="9" t="n">
        <v>48486</v>
      </c>
      <c r="H185" s="9" t="n">
        <v>92002</v>
      </c>
      <c r="I185" s="9" t="n">
        <v>82035</v>
      </c>
      <c r="J185" s="9" t="n">
        <v>80098</v>
      </c>
      <c r="K185" s="9" t="n">
        <v>44778</v>
      </c>
      <c r="L185" s="9" t="n">
        <v>53968</v>
      </c>
      <c r="M185" s="9" t="n">
        <v>0</v>
      </c>
      <c r="N185" s="9" t="n">
        <v>0</v>
      </c>
      <c r="O185" s="9" t="n">
        <v>0</v>
      </c>
      <c r="P185" s="9" t="n">
        <v>814</v>
      </c>
      <c r="Q185" s="9" t="n">
        <v>58939</v>
      </c>
      <c r="R185" s="9" t="n">
        <v>969308</v>
      </c>
      <c r="S185" s="9" t="n">
        <v>1442849</v>
      </c>
      <c r="T185" s="11" t="n">
        <f aca="false">R185/S185</f>
        <v>0.671801415116897</v>
      </c>
      <c r="U185" s="9" t="n">
        <f aca="false">D185+E185+G185</f>
        <v>497289</v>
      </c>
      <c r="V185" s="9" t="n">
        <f aca="false">H185+J185+K185</f>
        <v>216878</v>
      </c>
      <c r="W185" s="9" t="n">
        <f aca="false">I185+F185+L185</f>
        <v>195388</v>
      </c>
      <c r="X185" s="11" t="n">
        <f aca="false">Q185/R185</f>
        <v>0.0608052342495884</v>
      </c>
    </row>
    <row r="186" customFormat="false" ht="15" hidden="false" customHeight="false" outlineLevel="0" collapsed="false">
      <c r="A186" s="14" t="s">
        <v>40</v>
      </c>
      <c r="B186" s="14" t="n">
        <v>2018</v>
      </c>
      <c r="C186" s="14" t="s">
        <v>99</v>
      </c>
      <c r="D186" s="9" t="n">
        <v>230437</v>
      </c>
      <c r="E186" s="9" t="n">
        <v>26962</v>
      </c>
      <c r="F186" s="9" t="n">
        <v>11154</v>
      </c>
      <c r="G186" s="9" t="n">
        <v>13743</v>
      </c>
      <c r="H186" s="9" t="n">
        <v>70421</v>
      </c>
      <c r="I186" s="9" t="n">
        <v>68667</v>
      </c>
      <c r="J186" s="9" t="n">
        <v>19459</v>
      </c>
      <c r="K186" s="9" t="n">
        <v>16961</v>
      </c>
      <c r="L186" s="9" t="n">
        <v>10331</v>
      </c>
      <c r="M186" s="9" t="n">
        <v>0</v>
      </c>
      <c r="N186" s="9" t="n">
        <v>0</v>
      </c>
      <c r="O186" s="9" t="n">
        <v>0</v>
      </c>
      <c r="P186" s="9" t="n">
        <v>210</v>
      </c>
      <c r="Q186" s="9" t="n">
        <v>17595</v>
      </c>
      <c r="R186" s="9" t="n">
        <v>485940</v>
      </c>
      <c r="S186" s="9" t="n">
        <v>848895</v>
      </c>
      <c r="T186" s="11" t="n">
        <f aca="false">R186/S186</f>
        <v>0.572438287420706</v>
      </c>
      <c r="U186" s="9" t="n">
        <f aca="false">D186+E186+G186</f>
        <v>271142</v>
      </c>
      <c r="V186" s="9" t="n">
        <f aca="false">H186+J186+K186</f>
        <v>106841</v>
      </c>
      <c r="W186" s="9" t="n">
        <f aca="false">I186+F186+L186</f>
        <v>90152</v>
      </c>
      <c r="X186" s="11" t="n">
        <f aca="false">Q186/R186</f>
        <v>0.0362081738486233</v>
      </c>
    </row>
    <row r="187" customFormat="false" ht="15" hidden="false" customHeight="false" outlineLevel="0" collapsed="false">
      <c r="A187" s="14" t="s">
        <v>40</v>
      </c>
      <c r="B187" s="14" t="n">
        <v>2018</v>
      </c>
      <c r="C187" s="14" t="s">
        <v>100</v>
      </c>
      <c r="D187" s="9" t="n">
        <v>358681</v>
      </c>
      <c r="E187" s="9" t="n">
        <v>88170</v>
      </c>
      <c r="F187" s="9" t="n">
        <v>83915</v>
      </c>
      <c r="G187" s="9" t="n">
        <v>32614</v>
      </c>
      <c r="H187" s="9" t="n">
        <v>516863</v>
      </c>
      <c r="I187" s="9" t="n">
        <v>332510</v>
      </c>
      <c r="J187" s="9" t="n">
        <v>16849</v>
      </c>
      <c r="K187" s="9" t="n">
        <v>528877</v>
      </c>
      <c r="L187" s="9" t="n">
        <v>59004</v>
      </c>
      <c r="M187" s="9" t="n">
        <v>0</v>
      </c>
      <c r="N187" s="9" t="n">
        <v>0</v>
      </c>
      <c r="O187" s="9" t="n">
        <v>105422</v>
      </c>
      <c r="P187" s="9" t="n">
        <v>1207</v>
      </c>
      <c r="Q187" s="9" t="n">
        <v>67469</v>
      </c>
      <c r="R187" s="9" t="n">
        <v>2191581</v>
      </c>
      <c r="S187" s="9" t="n">
        <v>3905494</v>
      </c>
      <c r="T187" s="11" t="n">
        <f aca="false">R187/S187</f>
        <v>0.561153339372689</v>
      </c>
      <c r="U187" s="9" t="n">
        <f aca="false">D187+E187+G187</f>
        <v>479465</v>
      </c>
      <c r="V187" s="9" t="n">
        <f aca="false">H187+J187+K187</f>
        <v>1062589</v>
      </c>
      <c r="W187" s="9" t="n">
        <f aca="false">I187+F187+L187</f>
        <v>475429</v>
      </c>
      <c r="X187" s="11" t="n">
        <f aca="false">Q187/R187</f>
        <v>0.0307855379290111</v>
      </c>
    </row>
    <row r="188" customFormat="false" ht="15" hidden="false" customHeight="false" outlineLevel="0" collapsed="false">
      <c r="A188" s="14" t="s">
        <v>40</v>
      </c>
      <c r="B188" s="14" t="n">
        <v>2018</v>
      </c>
      <c r="C188" s="14" t="s">
        <v>101</v>
      </c>
      <c r="D188" s="9" t="n">
        <v>938578</v>
      </c>
      <c r="E188" s="9" t="n">
        <v>120772</v>
      </c>
      <c r="F188" s="9" t="n">
        <v>57786</v>
      </c>
      <c r="G188" s="9" t="n">
        <v>40721</v>
      </c>
      <c r="H188" s="9" t="n">
        <v>135843</v>
      </c>
      <c r="I188" s="9" t="n">
        <v>328316</v>
      </c>
      <c r="J188" s="9" t="n">
        <v>126664</v>
      </c>
      <c r="K188" s="9" t="n">
        <v>42704</v>
      </c>
      <c r="L188" s="9" t="n">
        <v>53751</v>
      </c>
      <c r="M188" s="9" t="n">
        <v>0</v>
      </c>
      <c r="N188" s="9" t="n">
        <v>0</v>
      </c>
      <c r="O188" s="9" t="n">
        <v>0</v>
      </c>
      <c r="P188" s="9" t="n">
        <v>563</v>
      </c>
      <c r="Q188" s="9" t="n">
        <v>88353</v>
      </c>
      <c r="R188" s="9" t="n">
        <v>1934051</v>
      </c>
      <c r="S188" s="9" t="n">
        <v>2867315</v>
      </c>
      <c r="T188" s="11" t="n">
        <f aca="false">R188/S188</f>
        <v>0.674516402976304</v>
      </c>
      <c r="U188" s="9" t="n">
        <f aca="false">D188+E188+G188</f>
        <v>1100071</v>
      </c>
      <c r="V188" s="9" t="n">
        <f aca="false">H188+J188+K188</f>
        <v>305211</v>
      </c>
      <c r="W188" s="9" t="n">
        <f aca="false">I188+F188+L188</f>
        <v>439853</v>
      </c>
      <c r="X188" s="11" t="n">
        <f aca="false">Q188/R188</f>
        <v>0.0456828697898866</v>
      </c>
    </row>
    <row r="189" customFormat="false" ht="15" hidden="false" customHeight="false" outlineLevel="0" collapsed="false">
      <c r="A189" s="14" t="s">
        <v>40</v>
      </c>
      <c r="B189" s="14" t="n">
        <v>2018</v>
      </c>
      <c r="C189" s="14" t="s">
        <v>102</v>
      </c>
      <c r="D189" s="9" t="n">
        <v>1268290</v>
      </c>
      <c r="E189" s="9" t="n">
        <v>122279</v>
      </c>
      <c r="F189" s="9" t="n">
        <v>134086</v>
      </c>
      <c r="G189" s="9" t="n">
        <v>60890</v>
      </c>
      <c r="H189" s="9" t="n">
        <v>597296</v>
      </c>
      <c r="I189" s="9" t="n">
        <v>469099</v>
      </c>
      <c r="J189" s="9" t="n">
        <v>78467</v>
      </c>
      <c r="K189" s="9" t="n">
        <v>105792</v>
      </c>
      <c r="L189" s="9" t="n">
        <v>82297</v>
      </c>
      <c r="M189" s="9" t="n">
        <v>0</v>
      </c>
      <c r="N189" s="9" t="n">
        <v>0</v>
      </c>
      <c r="O189" s="9" t="n">
        <v>0</v>
      </c>
      <c r="P189" s="9" t="n">
        <v>1385</v>
      </c>
      <c r="Q189" s="9" t="n">
        <v>158313</v>
      </c>
      <c r="R189" s="9" t="n">
        <v>3078194</v>
      </c>
      <c r="S189" s="9" t="n">
        <v>4468274</v>
      </c>
      <c r="T189" s="11" t="n">
        <f aca="false">R189/S189</f>
        <v>0.688900009265323</v>
      </c>
      <c r="U189" s="9" t="n">
        <f aca="false">D189+E189+G189</f>
        <v>1451459</v>
      </c>
      <c r="V189" s="9" t="n">
        <f aca="false">H189+J189+K189</f>
        <v>781555</v>
      </c>
      <c r="W189" s="9" t="n">
        <f aca="false">I189+F189+L189</f>
        <v>685482</v>
      </c>
      <c r="X189" s="11" t="n">
        <f aca="false">Q189/R189</f>
        <v>0.0514304816395588</v>
      </c>
    </row>
    <row r="190" customFormat="false" ht="15" hidden="false" customHeight="false" outlineLevel="0" collapsed="false">
      <c r="A190" s="14" t="s">
        <v>40</v>
      </c>
      <c r="B190" s="14" t="n">
        <v>2018</v>
      </c>
      <c r="C190" s="14" t="s">
        <v>103</v>
      </c>
      <c r="D190" s="9" t="n">
        <v>305736</v>
      </c>
      <c r="E190" s="9" t="n">
        <v>31962</v>
      </c>
      <c r="F190" s="9" t="n">
        <v>41721</v>
      </c>
      <c r="G190" s="9" t="n">
        <v>28672</v>
      </c>
      <c r="H190" s="9" t="n">
        <v>352579</v>
      </c>
      <c r="I190" s="9" t="n">
        <v>148682</v>
      </c>
      <c r="J190" s="9" t="n">
        <v>22751</v>
      </c>
      <c r="K190" s="9" t="n">
        <v>23548</v>
      </c>
      <c r="L190" s="9" t="n">
        <v>21501</v>
      </c>
      <c r="M190" s="9" t="n">
        <v>0</v>
      </c>
      <c r="N190" s="9" t="n">
        <v>0</v>
      </c>
      <c r="O190" s="9" t="n">
        <v>0</v>
      </c>
      <c r="P190" s="9" t="n">
        <v>796</v>
      </c>
      <c r="Q190" s="9" t="n">
        <v>50137</v>
      </c>
      <c r="R190" s="9" t="n">
        <v>1028085</v>
      </c>
      <c r="S190" s="9" t="n">
        <v>1585370</v>
      </c>
      <c r="T190" s="11" t="n">
        <f aca="false">R190/S190</f>
        <v>0.648482688583738</v>
      </c>
      <c r="U190" s="9" t="n">
        <f aca="false">D190+E190+G190</f>
        <v>366370</v>
      </c>
      <c r="V190" s="9" t="n">
        <f aca="false">H190+J190+K190</f>
        <v>398878</v>
      </c>
      <c r="W190" s="9" t="n">
        <f aca="false">I190+F190+L190</f>
        <v>211904</v>
      </c>
      <c r="X190" s="11" t="n">
        <f aca="false">Q190/R190</f>
        <v>0.0487673684568883</v>
      </c>
    </row>
    <row r="191" customFormat="false" ht="15" hidden="false" customHeight="false" outlineLevel="0" collapsed="false">
      <c r="A191" s="14" t="s">
        <v>40</v>
      </c>
      <c r="B191" s="14" t="n">
        <v>2018</v>
      </c>
      <c r="C191" s="14" t="s">
        <v>104</v>
      </c>
      <c r="D191" s="9" t="n">
        <v>371004</v>
      </c>
      <c r="E191" s="9" t="n">
        <v>32159</v>
      </c>
      <c r="F191" s="9" t="n">
        <v>26400</v>
      </c>
      <c r="G191" s="9" t="n">
        <v>30797</v>
      </c>
      <c r="H191" s="9" t="n">
        <v>106158</v>
      </c>
      <c r="I191" s="9" t="n">
        <v>71765</v>
      </c>
      <c r="J191" s="9" t="n">
        <v>26980</v>
      </c>
      <c r="K191" s="9" t="n">
        <v>19962</v>
      </c>
      <c r="L191" s="9" t="n">
        <v>15711</v>
      </c>
      <c r="M191" s="9" t="n">
        <v>0</v>
      </c>
      <c r="N191" s="9" t="n">
        <v>0</v>
      </c>
      <c r="O191" s="9" t="n">
        <v>0</v>
      </c>
      <c r="P191" s="9" t="n">
        <v>774</v>
      </c>
      <c r="Q191" s="9" t="n">
        <v>27619</v>
      </c>
      <c r="R191" s="9" t="n">
        <v>729329</v>
      </c>
      <c r="S191" s="9" t="n">
        <v>1209354</v>
      </c>
      <c r="T191" s="11" t="n">
        <f aca="false">R191/S191</f>
        <v>0.603073210987023</v>
      </c>
      <c r="U191" s="9" t="n">
        <f aca="false">D191+E191+G191</f>
        <v>433960</v>
      </c>
      <c r="V191" s="9" t="n">
        <f aca="false">H191+J191+K191</f>
        <v>153100</v>
      </c>
      <c r="W191" s="9" t="n">
        <f aca="false">I191+F191+L191</f>
        <v>113876</v>
      </c>
      <c r="X191" s="11" t="n">
        <f aca="false">Q191/R191</f>
        <v>0.037869054980674</v>
      </c>
    </row>
    <row r="192" customFormat="false" ht="15" hidden="false" customHeight="false" outlineLevel="0" collapsed="false">
      <c r="A192" s="14" t="s">
        <v>40</v>
      </c>
      <c r="B192" s="14" t="n">
        <v>2018</v>
      </c>
      <c r="C192" s="14" t="s">
        <v>105</v>
      </c>
      <c r="D192" s="9" t="n">
        <v>314993</v>
      </c>
      <c r="E192" s="9" t="n">
        <v>47852</v>
      </c>
      <c r="F192" s="9" t="n">
        <v>76796</v>
      </c>
      <c r="G192" s="9" t="n">
        <v>23072</v>
      </c>
      <c r="H192" s="9" t="n">
        <v>265982</v>
      </c>
      <c r="I192" s="9" t="n">
        <v>242054</v>
      </c>
      <c r="J192" s="9" t="n">
        <v>127448</v>
      </c>
      <c r="K192" s="9" t="n">
        <v>38984</v>
      </c>
      <c r="L192" s="9" t="n">
        <v>37753</v>
      </c>
      <c r="M192" s="9" t="n">
        <v>0</v>
      </c>
      <c r="N192" s="9" t="n">
        <v>0</v>
      </c>
      <c r="O192" s="9" t="n">
        <v>0</v>
      </c>
      <c r="P192" s="9" t="n">
        <v>1014</v>
      </c>
      <c r="Q192" s="9" t="n">
        <v>82743</v>
      </c>
      <c r="R192" s="9" t="n">
        <v>1258691</v>
      </c>
      <c r="S192" s="9" t="n">
        <v>1979480</v>
      </c>
      <c r="T192" s="11" t="n">
        <f aca="false">R192/S192</f>
        <v>0.635869521288419</v>
      </c>
      <c r="U192" s="9" t="n">
        <f aca="false">D192+E192+G192</f>
        <v>385917</v>
      </c>
      <c r="V192" s="9" t="n">
        <f aca="false">H192+J192+K192</f>
        <v>432414</v>
      </c>
      <c r="W192" s="9" t="n">
        <f aca="false">I192+F192+L192</f>
        <v>356603</v>
      </c>
      <c r="X192" s="11" t="n">
        <f aca="false">Q192/R192</f>
        <v>0.0657373414126263</v>
      </c>
    </row>
    <row r="193" customFormat="false" ht="15" hidden="false" customHeight="false" outlineLevel="0" collapsed="false">
      <c r="A193" s="14" t="s">
        <v>40</v>
      </c>
      <c r="B193" s="14" t="n">
        <v>2018</v>
      </c>
      <c r="C193" s="14" t="s">
        <v>106</v>
      </c>
      <c r="D193" s="9" t="n">
        <v>544364</v>
      </c>
      <c r="E193" s="9" t="n">
        <v>45652</v>
      </c>
      <c r="F193" s="9" t="n">
        <v>24060</v>
      </c>
      <c r="G193" s="9" t="n">
        <v>21107</v>
      </c>
      <c r="H193" s="9" t="n">
        <v>164850</v>
      </c>
      <c r="I193" s="9" t="n">
        <v>262950</v>
      </c>
      <c r="J193" s="9" t="n">
        <v>29792</v>
      </c>
      <c r="K193" s="9" t="n">
        <v>52000</v>
      </c>
      <c r="L193" s="9" t="n">
        <v>21498</v>
      </c>
      <c r="M193" s="9" t="n">
        <v>0</v>
      </c>
      <c r="N193" s="9" t="n">
        <v>0</v>
      </c>
      <c r="O193" s="9" t="n">
        <v>93894</v>
      </c>
      <c r="P193" s="9" t="n">
        <v>456</v>
      </c>
      <c r="Q193" s="9" t="n">
        <v>38088</v>
      </c>
      <c r="R193" s="9" t="n">
        <v>1298711</v>
      </c>
      <c r="S193" s="9" t="n">
        <v>2138197</v>
      </c>
      <c r="T193" s="11" t="n">
        <f aca="false">R193/S193</f>
        <v>0.607386035992006</v>
      </c>
      <c r="U193" s="9" t="n">
        <f aca="false">D193+E193+G193</f>
        <v>611123</v>
      </c>
      <c r="V193" s="9" t="n">
        <f aca="false">H193+J193+K193</f>
        <v>246642</v>
      </c>
      <c r="W193" s="9" t="n">
        <f aca="false">I193+F193+L193</f>
        <v>308508</v>
      </c>
      <c r="X193" s="11" t="n">
        <f aca="false">Q193/R193</f>
        <v>0.0293275409232693</v>
      </c>
    </row>
    <row r="194" customFormat="false" ht="15" hidden="false" customHeight="false" outlineLevel="0" collapsed="false">
      <c r="A194" s="14" t="s">
        <v>40</v>
      </c>
      <c r="B194" s="14" t="n">
        <v>2018</v>
      </c>
      <c r="C194" s="14" t="s">
        <v>107</v>
      </c>
      <c r="D194" s="9" t="n">
        <v>461700</v>
      </c>
      <c r="E194" s="9" t="n">
        <v>38909</v>
      </c>
      <c r="F194" s="9" t="n">
        <v>25680</v>
      </c>
      <c r="G194" s="9" t="n">
        <v>16734</v>
      </c>
      <c r="H194" s="9" t="n">
        <v>162676</v>
      </c>
      <c r="I194" s="9" t="n">
        <v>255510</v>
      </c>
      <c r="J194" s="9" t="n">
        <v>20266</v>
      </c>
      <c r="K194" s="9" t="n">
        <v>55982</v>
      </c>
      <c r="L194" s="9" t="n">
        <v>22687</v>
      </c>
      <c r="M194" s="9" t="n">
        <v>0</v>
      </c>
      <c r="N194" s="9" t="n">
        <v>0</v>
      </c>
      <c r="O194" s="9" t="n">
        <v>0</v>
      </c>
      <c r="P194" s="9" t="n">
        <v>390</v>
      </c>
      <c r="Q194" s="9" t="n">
        <v>36822</v>
      </c>
      <c r="R194" s="9" t="n">
        <v>1097356</v>
      </c>
      <c r="S194" s="9" t="n">
        <v>2093671</v>
      </c>
      <c r="T194" s="11" t="n">
        <f aca="false">R194/S194</f>
        <v>0.524130104491107</v>
      </c>
      <c r="U194" s="9" t="n">
        <f aca="false">D194+E194+G194</f>
        <v>517343</v>
      </c>
      <c r="V194" s="9" t="n">
        <f aca="false">H194+J194+K194</f>
        <v>238924</v>
      </c>
      <c r="W194" s="9" t="n">
        <f aca="false">I194+F194+L194</f>
        <v>303877</v>
      </c>
      <c r="X194" s="11" t="n">
        <f aca="false">Q194/R194</f>
        <v>0.0335551999533424</v>
      </c>
    </row>
    <row r="195" customFormat="false" ht="15" hidden="false" customHeight="false" outlineLevel="0" collapsed="false">
      <c r="A195" s="14" t="s">
        <v>40</v>
      </c>
      <c r="B195" s="14" t="n">
        <v>2018</v>
      </c>
      <c r="C195" s="14" t="s">
        <v>108</v>
      </c>
      <c r="D195" s="9" t="n">
        <v>770445</v>
      </c>
      <c r="E195" s="9" t="n">
        <v>25756</v>
      </c>
      <c r="F195" s="9" t="n">
        <v>41822</v>
      </c>
      <c r="G195" s="9" t="n">
        <v>21282</v>
      </c>
      <c r="H195" s="9" t="n">
        <v>18300</v>
      </c>
      <c r="I195" s="9" t="n">
        <v>140943</v>
      </c>
      <c r="J195" s="9" t="n">
        <v>111200</v>
      </c>
      <c r="K195" s="9" t="n">
        <v>21288</v>
      </c>
      <c r="L195" s="9" t="n">
        <v>12164</v>
      </c>
      <c r="M195" s="9" t="n">
        <v>0</v>
      </c>
      <c r="N195" s="9" t="n">
        <v>0</v>
      </c>
      <c r="O195" s="9" t="n">
        <v>0</v>
      </c>
      <c r="P195" s="9" t="n">
        <v>389</v>
      </c>
      <c r="Q195" s="9" t="n">
        <v>42130</v>
      </c>
      <c r="R195" s="9" t="n">
        <v>1205719</v>
      </c>
      <c r="S195" s="9" t="n">
        <v>1688647</v>
      </c>
      <c r="T195" s="11" t="n">
        <f aca="false">R195/S195</f>
        <v>0.714014829623953</v>
      </c>
      <c r="U195" s="9" t="n">
        <f aca="false">D195+E195+G195</f>
        <v>817483</v>
      </c>
      <c r="V195" s="9" t="n">
        <f aca="false">H195+J195+K195</f>
        <v>150788</v>
      </c>
      <c r="W195" s="9" t="n">
        <f aca="false">I195+F195+L195</f>
        <v>194929</v>
      </c>
      <c r="X195" s="11" t="n">
        <f aca="false">Q195/R195</f>
        <v>0.0349418065071547</v>
      </c>
    </row>
    <row r="196" customFormat="false" ht="15" hidden="false" customHeight="false" outlineLevel="0" collapsed="false">
      <c r="A196" s="14" t="s">
        <v>40</v>
      </c>
      <c r="B196" s="14" t="n">
        <v>2018</v>
      </c>
      <c r="C196" s="14" t="s">
        <v>109</v>
      </c>
      <c r="D196" s="9" t="n">
        <v>544390</v>
      </c>
      <c r="E196" s="9" t="n">
        <v>44135</v>
      </c>
      <c r="F196" s="9" t="n">
        <v>38241</v>
      </c>
      <c r="G196" s="9" t="n">
        <v>31109</v>
      </c>
      <c r="H196" s="9" t="n">
        <v>553765</v>
      </c>
      <c r="I196" s="9" t="n">
        <v>295875</v>
      </c>
      <c r="J196" s="9" t="n">
        <v>21710</v>
      </c>
      <c r="K196" s="9" t="n">
        <v>35169</v>
      </c>
      <c r="L196" s="9" t="n">
        <v>25694</v>
      </c>
      <c r="M196" s="9" t="n">
        <v>0</v>
      </c>
      <c r="N196" s="9" t="n">
        <v>0</v>
      </c>
      <c r="O196" s="9" t="n">
        <v>0</v>
      </c>
      <c r="P196" s="9" t="n">
        <v>608</v>
      </c>
      <c r="Q196" s="9" t="n">
        <v>49212</v>
      </c>
      <c r="R196" s="9" t="n">
        <v>1639908</v>
      </c>
      <c r="S196" s="9" t="n">
        <v>2633030</v>
      </c>
      <c r="T196" s="11" t="n">
        <f aca="false">R196/S196</f>
        <v>0.622821616160849</v>
      </c>
      <c r="U196" s="9" t="n">
        <f aca="false">D196+E196+G196</f>
        <v>619634</v>
      </c>
      <c r="V196" s="9" t="n">
        <f aca="false">H196+J196+K196</f>
        <v>610644</v>
      </c>
      <c r="W196" s="9" t="n">
        <f aca="false">I196+F196+L196</f>
        <v>359810</v>
      </c>
      <c r="X196" s="11" t="n">
        <f aca="false">Q196/R196</f>
        <v>0.0300090005049064</v>
      </c>
    </row>
    <row r="197" customFormat="false" ht="15" hidden="false" customHeight="false" outlineLevel="0" collapsed="false">
      <c r="A197" s="14" t="s">
        <v>40</v>
      </c>
      <c r="B197" s="14" t="n">
        <v>2018</v>
      </c>
      <c r="C197" s="14" t="s">
        <v>110</v>
      </c>
      <c r="D197" s="9" t="n">
        <v>312413</v>
      </c>
      <c r="E197" s="9" t="n">
        <v>32594</v>
      </c>
      <c r="F197" s="9" t="n">
        <v>14474</v>
      </c>
      <c r="G197" s="9" t="n">
        <v>15560</v>
      </c>
      <c r="H197" s="9" t="n">
        <v>67107</v>
      </c>
      <c r="I197" s="9" t="n">
        <v>81923</v>
      </c>
      <c r="J197" s="9" t="n">
        <v>26280</v>
      </c>
      <c r="K197" s="9" t="n">
        <v>15445</v>
      </c>
      <c r="L197" s="9" t="n">
        <v>10489</v>
      </c>
      <c r="M197" s="9" t="n">
        <v>0</v>
      </c>
      <c r="N197" s="9" t="n">
        <v>0</v>
      </c>
      <c r="O197" s="9" t="n">
        <v>14021</v>
      </c>
      <c r="P197" s="9" t="n">
        <v>532</v>
      </c>
      <c r="Q197" s="9" t="n">
        <v>24865</v>
      </c>
      <c r="R197" s="9" t="n">
        <v>615703</v>
      </c>
      <c r="S197" s="9" t="n">
        <v>923272</v>
      </c>
      <c r="T197" s="11" t="n">
        <f aca="false">R197/S197</f>
        <v>0.666870651335684</v>
      </c>
      <c r="U197" s="9" t="n">
        <f aca="false">D197+E197+G197</f>
        <v>360567</v>
      </c>
      <c r="V197" s="9" t="n">
        <f aca="false">H197+J197+K197</f>
        <v>108832</v>
      </c>
      <c r="W197" s="9" t="n">
        <f aca="false">I197+F197+L197</f>
        <v>106886</v>
      </c>
      <c r="X197" s="11" t="n">
        <f aca="false">Q197/R197</f>
        <v>0.0403847309498248</v>
      </c>
    </row>
    <row r="198" customFormat="false" ht="15" hidden="false" customHeight="false" outlineLevel="0" collapsed="false">
      <c r="A198" s="14" t="s">
        <v>40</v>
      </c>
      <c r="B198" s="14" t="n">
        <v>2018</v>
      </c>
      <c r="C198" s="14" t="s">
        <v>111</v>
      </c>
      <c r="D198" s="9" t="n">
        <v>1686221</v>
      </c>
      <c r="E198" s="9" t="n">
        <v>92669</v>
      </c>
      <c r="F198" s="9" t="n">
        <v>101593</v>
      </c>
      <c r="G198" s="9" t="n">
        <v>62438</v>
      </c>
      <c r="H198" s="9" t="n">
        <v>989461</v>
      </c>
      <c r="I198" s="9" t="n">
        <v>430178</v>
      </c>
      <c r="J198" s="9" t="n">
        <v>185849</v>
      </c>
      <c r="K198" s="9" t="n">
        <v>93292</v>
      </c>
      <c r="L198" s="9" t="n">
        <v>48164</v>
      </c>
      <c r="M198" s="9" t="n">
        <v>0</v>
      </c>
      <c r="N198" s="9" t="n">
        <v>0</v>
      </c>
      <c r="O198" s="9" t="n">
        <v>0</v>
      </c>
      <c r="P198" s="9" t="n">
        <v>1114</v>
      </c>
      <c r="Q198" s="9" t="n">
        <v>128194</v>
      </c>
      <c r="R198" s="9" t="n">
        <v>3819173</v>
      </c>
      <c r="S198" s="9" t="n">
        <v>5781779</v>
      </c>
      <c r="T198" s="11" t="n">
        <f aca="false">R198/S198</f>
        <v>0.660553265699018</v>
      </c>
      <c r="U198" s="9" t="n">
        <f aca="false">D198+E198+G198</f>
        <v>1841328</v>
      </c>
      <c r="V198" s="9" t="n">
        <f aca="false">H198+J198+K198</f>
        <v>1268602</v>
      </c>
      <c r="W198" s="9" t="n">
        <f aca="false">I198+F198+L198</f>
        <v>579935</v>
      </c>
      <c r="X198" s="11" t="n">
        <f aca="false">Q198/R198</f>
        <v>0.0335659054983893</v>
      </c>
    </row>
    <row r="199" customFormat="false" ht="15" hidden="false" customHeight="false" outlineLevel="0" collapsed="false">
      <c r="A199" s="14" t="s">
        <v>40</v>
      </c>
      <c r="B199" s="14" t="n">
        <v>2018</v>
      </c>
      <c r="C199" s="14" t="s">
        <v>112</v>
      </c>
      <c r="D199" s="9" t="n">
        <v>280777</v>
      </c>
      <c r="E199" s="9" t="n">
        <v>18399</v>
      </c>
      <c r="F199" s="9" t="n">
        <v>39231</v>
      </c>
      <c r="G199" s="9" t="n">
        <v>13136</v>
      </c>
      <c r="H199" s="9" t="n">
        <v>332548</v>
      </c>
      <c r="I199" s="9" t="n">
        <v>366991</v>
      </c>
      <c r="J199" s="9" t="n">
        <v>28983</v>
      </c>
      <c r="K199" s="9" t="n">
        <v>25167</v>
      </c>
      <c r="L199" s="9" t="n">
        <v>23398</v>
      </c>
      <c r="M199" s="9" t="n">
        <v>0</v>
      </c>
      <c r="N199" s="9" t="n">
        <v>0</v>
      </c>
      <c r="O199" s="9" t="n">
        <v>0</v>
      </c>
      <c r="P199" s="9" t="n">
        <v>287</v>
      </c>
      <c r="Q199" s="9" t="n">
        <v>33040</v>
      </c>
      <c r="R199" s="9" t="n">
        <v>1161957</v>
      </c>
      <c r="S199" s="9" t="n">
        <v>1541166</v>
      </c>
      <c r="T199" s="11" t="n">
        <f aca="false">R199/S199</f>
        <v>0.753946687118714</v>
      </c>
      <c r="U199" s="9" t="n">
        <f aca="false">D199+E199+G199</f>
        <v>312312</v>
      </c>
      <c r="V199" s="9" t="n">
        <f aca="false">H199+J199+K199</f>
        <v>386698</v>
      </c>
      <c r="W199" s="9" t="n">
        <f aca="false">I199+F199+L199</f>
        <v>429620</v>
      </c>
      <c r="X199" s="11" t="n">
        <f aca="false">Q199/R199</f>
        <v>0.0284347871737078</v>
      </c>
    </row>
    <row r="200" customFormat="false" ht="15" hidden="false" customHeight="false" outlineLevel="0" collapsed="false">
      <c r="A200" s="14" t="s">
        <v>40</v>
      </c>
      <c r="B200" s="14" t="n">
        <v>2018</v>
      </c>
      <c r="C200" s="14" t="s">
        <v>113</v>
      </c>
      <c r="D200" s="9" t="n">
        <v>250466</v>
      </c>
      <c r="E200" s="9" t="n">
        <v>52885</v>
      </c>
      <c r="F200" s="9" t="n">
        <v>45290</v>
      </c>
      <c r="G200" s="9" t="n">
        <v>14419</v>
      </c>
      <c r="H200" s="9" t="n">
        <v>98638</v>
      </c>
      <c r="I200" s="9" t="n">
        <v>183630</v>
      </c>
      <c r="J200" s="9" t="n">
        <v>42845</v>
      </c>
      <c r="K200" s="9" t="n">
        <v>18358</v>
      </c>
      <c r="L200" s="9" t="n">
        <v>27045</v>
      </c>
      <c r="M200" s="9" t="n">
        <v>0</v>
      </c>
      <c r="N200" s="9" t="n">
        <v>0</v>
      </c>
      <c r="O200" s="9" t="n">
        <v>0</v>
      </c>
      <c r="P200" s="9" t="n">
        <v>258</v>
      </c>
      <c r="Q200" s="9" t="n">
        <v>31990</v>
      </c>
      <c r="R200" s="9" t="n">
        <v>765824</v>
      </c>
      <c r="S200" s="9" t="n">
        <v>1167497</v>
      </c>
      <c r="T200" s="11" t="n">
        <f aca="false">R200/S200</f>
        <v>0.655953719795426</v>
      </c>
      <c r="U200" s="9" t="n">
        <f aca="false">D200+E200+G200</f>
        <v>317770</v>
      </c>
      <c r="V200" s="9" t="n">
        <f aca="false">H200+J200+K200</f>
        <v>159841</v>
      </c>
      <c r="W200" s="9" t="n">
        <f aca="false">I200+F200+L200</f>
        <v>255965</v>
      </c>
      <c r="X200" s="11" t="n">
        <f aca="false">Q200/R200</f>
        <v>0.0417719998328598</v>
      </c>
    </row>
    <row r="201" customFormat="false" ht="15" hidden="false" customHeight="false" outlineLevel="0" collapsed="false">
      <c r="A201" s="16" t="s">
        <v>40</v>
      </c>
      <c r="B201" s="16" t="n">
        <v>2018</v>
      </c>
      <c r="C201" s="16" t="s">
        <v>4</v>
      </c>
      <c r="D201" s="22" t="n">
        <f aca="false">SUM(D169:D200)</f>
        <v>21397888</v>
      </c>
      <c r="E201" s="22" t="n">
        <f aca="false">SUM(E169:E200)</f>
        <v>2098197</v>
      </c>
      <c r="F201" s="22" t="n">
        <f aca="false">SUM(F169:F200)</f>
        <v>2505247</v>
      </c>
      <c r="G201" s="22" t="n">
        <f aca="false">SUM(G169:G200)</f>
        <v>1250493</v>
      </c>
      <c r="H201" s="22" t="n">
        <f aca="false">SUM(H169:H200)</f>
        <v>10034052</v>
      </c>
      <c r="I201" s="22" t="n">
        <f aca="false">SUM(I169:I200)</f>
        <v>9054838</v>
      </c>
      <c r="J201" s="22" t="n">
        <f aca="false">SUM(J169:J200)</f>
        <v>2960948</v>
      </c>
      <c r="K201" s="22" t="n">
        <f aca="false">SUM(K169:K200)</f>
        <v>2616117</v>
      </c>
      <c r="L201" s="22" t="n">
        <f aca="false">SUM(L169:L200)</f>
        <v>1288763</v>
      </c>
      <c r="M201" s="22" t="n">
        <f aca="false">SUM(M169:M200)</f>
        <v>0</v>
      </c>
      <c r="N201" s="22" t="n">
        <f aca="false">SUM(N169:N200)</f>
        <v>0</v>
      </c>
      <c r="O201" s="22" t="n">
        <f aca="false">SUM(O169:O200)</f>
        <v>1109149</v>
      </c>
      <c r="P201" s="22" t="n">
        <f aca="false">SUM(P169:P200)</f>
        <v>31820</v>
      </c>
      <c r="Q201" s="22" t="n">
        <f aca="false">SUM(Q169:Q200)</f>
        <v>2344357</v>
      </c>
      <c r="R201" s="22" t="n">
        <f aca="false">SUM(R169:R200)</f>
        <v>56691869</v>
      </c>
      <c r="S201" s="22" t="n">
        <f aca="false">SUM(S169:S200)</f>
        <v>89127226</v>
      </c>
      <c r="T201" s="17" t="n">
        <f aca="false">R201/S201</f>
        <v>0.636078015038861</v>
      </c>
      <c r="U201" s="22" t="n">
        <f aca="false">SUM(U169:U200)</f>
        <v>24746578</v>
      </c>
      <c r="V201" s="22" t="n">
        <f aca="false">SUM(V169:V200)</f>
        <v>15611117</v>
      </c>
      <c r="W201" s="22" t="n">
        <f aca="false">SUM(W169:W200)</f>
        <v>12848848</v>
      </c>
      <c r="X201" s="17" t="n">
        <f aca="false">Q201/R201</f>
        <v>0.0413526144287111</v>
      </c>
    </row>
    <row r="202" customFormat="false" ht="15" hidden="false" customHeight="false" outlineLevel="0" collapsed="false">
      <c r="A202" s="14" t="s">
        <v>40</v>
      </c>
      <c r="B202" s="14" t="n">
        <v>2024</v>
      </c>
      <c r="C202" s="14" t="s">
        <v>82</v>
      </c>
      <c r="D202" s="9" t="n">
        <v>204525</v>
      </c>
      <c r="E202" s="9" t="n">
        <v>17747</v>
      </c>
      <c r="F202" s="9" t="n">
        <v>24499</v>
      </c>
      <c r="G202" s="9" t="n">
        <v>0</v>
      </c>
      <c r="H202" s="9" t="n">
        <v>288771</v>
      </c>
      <c r="I202" s="9" t="n">
        <v>49605</v>
      </c>
      <c r="J202" s="9" t="n">
        <v>17081</v>
      </c>
      <c r="K202" s="9" t="n">
        <v>44686</v>
      </c>
      <c r="L202" s="9" t="n">
        <v>0</v>
      </c>
      <c r="M202" s="9" t="n">
        <v>0</v>
      </c>
      <c r="N202" s="9" t="n">
        <v>0</v>
      </c>
      <c r="O202" s="9" t="n">
        <v>0</v>
      </c>
      <c r="P202" s="9" t="n">
        <v>506</v>
      </c>
      <c r="Q202" s="9" t="n">
        <v>17062</v>
      </c>
      <c r="R202" s="9" t="n">
        <v>664482</v>
      </c>
      <c r="S202" s="9" t="n">
        <v>1099895</v>
      </c>
      <c r="T202" s="11" t="n">
        <f aca="false">R202/S202</f>
        <v>0.604132212620296</v>
      </c>
      <c r="U202" s="9" t="n">
        <f aca="false">D202+E202+F202</f>
        <v>246771</v>
      </c>
      <c r="V202" s="9" t="n">
        <f aca="false">H202+I202+J202</f>
        <v>355457</v>
      </c>
      <c r="W202" s="9" t="n">
        <f aca="false">K202</f>
        <v>44686</v>
      </c>
      <c r="X202" s="11" t="n">
        <f aca="false">Q202/R202</f>
        <v>0.0256771440008909</v>
      </c>
    </row>
    <row r="203" customFormat="false" ht="15" hidden="false" customHeight="false" outlineLevel="0" collapsed="false">
      <c r="A203" s="14" t="s">
        <v>40</v>
      </c>
      <c r="B203" s="14" t="n">
        <v>2024</v>
      </c>
      <c r="C203" s="14" t="s">
        <v>83</v>
      </c>
      <c r="D203" s="9" t="n">
        <v>784547</v>
      </c>
      <c r="E203" s="9" t="n">
        <v>77496</v>
      </c>
      <c r="F203" s="9" t="n">
        <v>160834</v>
      </c>
      <c r="G203" s="9" t="n">
        <v>0</v>
      </c>
      <c r="H203" s="9" t="n">
        <v>234674</v>
      </c>
      <c r="I203" s="9" t="n">
        <v>68100</v>
      </c>
      <c r="J203" s="9" t="n">
        <v>16863</v>
      </c>
      <c r="K203" s="9" t="n">
        <v>129202</v>
      </c>
      <c r="L203" s="9" t="n">
        <v>0</v>
      </c>
      <c r="M203" s="9" t="n">
        <v>0</v>
      </c>
      <c r="N203" s="9" t="n">
        <v>0</v>
      </c>
      <c r="O203" s="9" t="n">
        <v>0</v>
      </c>
      <c r="P203" s="9" t="n">
        <v>1685</v>
      </c>
      <c r="Q203" s="9" t="n">
        <v>84366</v>
      </c>
      <c r="R203" s="9" t="n">
        <v>1557767</v>
      </c>
      <c r="S203" s="9" t="n">
        <v>3201669</v>
      </c>
      <c r="T203" s="11" t="n">
        <f aca="false">R203/S203</f>
        <v>0.486548422088604</v>
      </c>
      <c r="U203" s="9" t="n">
        <f aca="false">D203+E203+F203</f>
        <v>1022877</v>
      </c>
      <c r="V203" s="9" t="n">
        <f aca="false">H203+I203+J203</f>
        <v>319637</v>
      </c>
      <c r="W203" s="9" t="n">
        <f aca="false">K203</f>
        <v>129202</v>
      </c>
      <c r="X203" s="11" t="n">
        <f aca="false">Q203/R203</f>
        <v>0.0541582919653581</v>
      </c>
    </row>
    <row r="204" customFormat="false" ht="15" hidden="false" customHeight="false" outlineLevel="0" collapsed="false">
      <c r="A204" s="14" t="s">
        <v>40</v>
      </c>
      <c r="B204" s="14" t="n">
        <v>2024</v>
      </c>
      <c r="C204" s="14" t="s">
        <v>84</v>
      </c>
      <c r="D204" s="9" t="n">
        <v>141411</v>
      </c>
      <c r="E204" s="9" t="n">
        <v>23462</v>
      </c>
      <c r="F204" s="9" t="n">
        <v>18300</v>
      </c>
      <c r="G204" s="9" t="n">
        <v>0</v>
      </c>
      <c r="H204" s="9" t="n">
        <v>96741</v>
      </c>
      <c r="I204" s="9" t="n">
        <v>15861</v>
      </c>
      <c r="J204" s="9" t="n">
        <v>4963</v>
      </c>
      <c r="K204" s="9" t="n">
        <v>28612</v>
      </c>
      <c r="L204" s="9" t="n">
        <v>0</v>
      </c>
      <c r="M204" s="9" t="n">
        <v>0</v>
      </c>
      <c r="N204" s="9" t="n">
        <v>0</v>
      </c>
      <c r="O204" s="9" t="n">
        <v>0</v>
      </c>
      <c r="P204" s="9" t="n">
        <v>280</v>
      </c>
      <c r="Q204" s="9" t="n">
        <v>11087</v>
      </c>
      <c r="R204" s="9" t="n">
        <v>340717</v>
      </c>
      <c r="S204" s="9" t="n">
        <v>614054</v>
      </c>
      <c r="T204" s="11" t="n">
        <f aca="false">R204/S204</f>
        <v>0.554864881590218</v>
      </c>
      <c r="U204" s="9" t="n">
        <f aca="false">D204+E204+F204</f>
        <v>183173</v>
      </c>
      <c r="V204" s="9" t="n">
        <f aca="false">H204+I204+J204</f>
        <v>117565</v>
      </c>
      <c r="W204" s="9" t="n">
        <f aca="false">K204</f>
        <v>28612</v>
      </c>
      <c r="X204" s="11" t="n">
        <f aca="false">Q204/R204</f>
        <v>0.0325402019858123</v>
      </c>
    </row>
    <row r="205" customFormat="false" ht="15" hidden="false" customHeight="false" outlineLevel="0" collapsed="false">
      <c r="A205" s="14" t="s">
        <v>40</v>
      </c>
      <c r="B205" s="14" t="n">
        <v>2024</v>
      </c>
      <c r="C205" s="14" t="s">
        <v>85</v>
      </c>
      <c r="D205" s="9" t="n">
        <v>182971</v>
      </c>
      <c r="E205" s="9" t="n">
        <v>18898</v>
      </c>
      <c r="F205" s="9" t="n">
        <v>17240</v>
      </c>
      <c r="G205" s="9" t="n">
        <v>0</v>
      </c>
      <c r="H205" s="9" t="n">
        <v>20324</v>
      </c>
      <c r="I205" s="9" t="n">
        <v>42636</v>
      </c>
      <c r="J205" s="9" t="n">
        <v>2879</v>
      </c>
      <c r="K205" s="9" t="n">
        <v>152483</v>
      </c>
      <c r="L205" s="9" t="n">
        <v>0</v>
      </c>
      <c r="M205" s="9" t="n">
        <v>0</v>
      </c>
      <c r="N205" s="9" t="n">
        <v>0</v>
      </c>
      <c r="O205" s="9" t="n">
        <v>0</v>
      </c>
      <c r="P205" s="9" t="n">
        <v>237</v>
      </c>
      <c r="Q205" s="9" t="n">
        <v>13001</v>
      </c>
      <c r="R205" s="9" t="n">
        <v>450669</v>
      </c>
      <c r="S205" s="9" t="n">
        <v>695055</v>
      </c>
      <c r="T205" s="11" t="n">
        <f aca="false">R205/S205</f>
        <v>0.648393292617131</v>
      </c>
      <c r="U205" s="9" t="n">
        <f aca="false">D205+E205+F205</f>
        <v>219109</v>
      </c>
      <c r="V205" s="9" t="n">
        <f aca="false">H205+I205+J205</f>
        <v>65839</v>
      </c>
      <c r="W205" s="9" t="n">
        <f aca="false">K205</f>
        <v>152483</v>
      </c>
      <c r="X205" s="11" t="n">
        <f aca="false">Q205/R205</f>
        <v>0.0288482234189616</v>
      </c>
    </row>
    <row r="206" customFormat="false" ht="15" hidden="false" customHeight="false" outlineLevel="0" collapsed="false">
      <c r="A206" s="14" t="s">
        <v>40</v>
      </c>
      <c r="B206" s="14" t="n">
        <v>2024</v>
      </c>
      <c r="C206" s="14" t="s">
        <v>86</v>
      </c>
      <c r="D206" s="9" t="n">
        <v>619759</v>
      </c>
      <c r="E206" s="9" t="n">
        <v>64691</v>
      </c>
      <c r="F206" s="9" t="n">
        <v>71448</v>
      </c>
      <c r="G206" s="9" t="n">
        <v>0</v>
      </c>
      <c r="H206" s="9" t="n">
        <v>92784</v>
      </c>
      <c r="I206" s="9" t="n">
        <v>611975</v>
      </c>
      <c r="J206" s="9" t="n">
        <v>27337</v>
      </c>
      <c r="K206" s="9" t="n">
        <v>64401</v>
      </c>
      <c r="L206" s="9" t="n">
        <v>0</v>
      </c>
      <c r="M206" s="9" t="n">
        <v>0</v>
      </c>
      <c r="N206" s="9" t="n">
        <v>0</v>
      </c>
      <c r="O206" s="9" t="n">
        <v>0</v>
      </c>
      <c r="P206" s="9" t="n">
        <v>534</v>
      </c>
      <c r="Q206" s="9" t="n">
        <v>35281</v>
      </c>
      <c r="R206" s="9" t="n">
        <v>1588210</v>
      </c>
      <c r="S206" s="9" t="n">
        <v>2414779</v>
      </c>
      <c r="T206" s="11" t="n">
        <f aca="false">R206/S206</f>
        <v>0.657704079752226</v>
      </c>
      <c r="U206" s="9" t="n">
        <f aca="false">D206+E206+F206</f>
        <v>755898</v>
      </c>
      <c r="V206" s="9" t="n">
        <f aca="false">H206+I206+J206</f>
        <v>732096</v>
      </c>
      <c r="W206" s="9" t="n">
        <f aca="false">K206</f>
        <v>64401</v>
      </c>
      <c r="X206" s="11" t="n">
        <f aca="false">Q206/R206</f>
        <v>0.022214316746526</v>
      </c>
    </row>
    <row r="207" customFormat="false" ht="15" hidden="false" customHeight="false" outlineLevel="0" collapsed="false">
      <c r="A207" s="14" t="s">
        <v>40</v>
      </c>
      <c r="B207" s="14" t="n">
        <v>2024</v>
      </c>
      <c r="C207" s="14" t="s">
        <v>87</v>
      </c>
      <c r="D207" s="9" t="n">
        <v>121139</v>
      </c>
      <c r="E207" s="9" t="n">
        <v>12587</v>
      </c>
      <c r="F207" s="9" t="n">
        <v>24711</v>
      </c>
      <c r="G207" s="9" t="n">
        <v>0</v>
      </c>
      <c r="H207" s="9" t="n">
        <v>51578</v>
      </c>
      <c r="I207" s="9" t="n">
        <v>53901</v>
      </c>
      <c r="J207" s="9" t="n">
        <v>7777</v>
      </c>
      <c r="K207" s="9" t="n">
        <v>63904</v>
      </c>
      <c r="L207" s="9" t="n">
        <v>0</v>
      </c>
      <c r="M207" s="9" t="n">
        <v>0</v>
      </c>
      <c r="N207" s="9" t="n">
        <v>0</v>
      </c>
      <c r="O207" s="9" t="n">
        <v>0</v>
      </c>
      <c r="P207" s="9" t="n">
        <v>250</v>
      </c>
      <c r="Q207" s="9" t="n">
        <v>10523</v>
      </c>
      <c r="R207" s="9" t="n">
        <v>346370</v>
      </c>
      <c r="S207" s="9" t="n">
        <v>585647</v>
      </c>
      <c r="T207" s="11" t="n">
        <f aca="false">R207/S207</f>
        <v>0.591431357114439</v>
      </c>
      <c r="U207" s="9" t="n">
        <f aca="false">D207+E207+F207</f>
        <v>158437</v>
      </c>
      <c r="V207" s="9" t="n">
        <f aca="false">H207+I207+J207</f>
        <v>113256</v>
      </c>
      <c r="W207" s="9" t="n">
        <f aca="false">K207</f>
        <v>63904</v>
      </c>
      <c r="X207" s="11" t="n">
        <f aca="false">Q207/R207</f>
        <v>0.0303808066518463</v>
      </c>
    </row>
    <row r="208" customFormat="false" ht="15" hidden="false" customHeight="false" outlineLevel="0" collapsed="false">
      <c r="A208" s="14" t="s">
        <v>40</v>
      </c>
      <c r="B208" s="14" t="n">
        <v>2024</v>
      </c>
      <c r="C208" s="14" t="s">
        <v>88</v>
      </c>
      <c r="D208" s="9" t="n">
        <v>942872</v>
      </c>
      <c r="E208" s="9" t="n">
        <v>259450</v>
      </c>
      <c r="F208" s="9" t="n">
        <v>524408</v>
      </c>
      <c r="G208" s="9" t="n">
        <v>0</v>
      </c>
      <c r="H208" s="9" t="n">
        <v>123517</v>
      </c>
      <c r="I208" s="9" t="n">
        <v>236275</v>
      </c>
      <c r="J208" s="9" t="n">
        <v>39363</v>
      </c>
      <c r="K208" s="9" t="n">
        <v>139562</v>
      </c>
      <c r="L208" s="9" t="n">
        <v>0</v>
      </c>
      <c r="M208" s="9" t="n">
        <v>0</v>
      </c>
      <c r="N208" s="9" t="n">
        <v>0</v>
      </c>
      <c r="O208" s="9" t="n">
        <v>0</v>
      </c>
      <c r="P208" s="9" t="n">
        <v>1556</v>
      </c>
      <c r="Q208" s="9" t="n">
        <v>194358</v>
      </c>
      <c r="R208" s="9" t="n">
        <v>2461361</v>
      </c>
      <c r="S208" s="9" t="n">
        <v>3947162</v>
      </c>
      <c r="T208" s="11" t="n">
        <f aca="false">R208/S208</f>
        <v>0.623577395607274</v>
      </c>
      <c r="U208" s="9" t="n">
        <f aca="false">D208+E208+F208</f>
        <v>1726730</v>
      </c>
      <c r="V208" s="9" t="n">
        <f aca="false">H208+I208+J208</f>
        <v>399155</v>
      </c>
      <c r="W208" s="9" t="n">
        <f aca="false">K208</f>
        <v>139562</v>
      </c>
      <c r="X208" s="11" t="n">
        <f aca="false">Q208/R208</f>
        <v>0.0789636302842208</v>
      </c>
    </row>
    <row r="209" customFormat="false" ht="15" hidden="false" customHeight="false" outlineLevel="0" collapsed="false">
      <c r="A209" s="14" t="s">
        <v>40</v>
      </c>
      <c r="B209" s="14" t="n">
        <v>2024</v>
      </c>
      <c r="C209" s="14" t="s">
        <v>89</v>
      </c>
      <c r="D209" s="9" t="n">
        <v>711305</v>
      </c>
      <c r="E209" s="9" t="n">
        <v>72037</v>
      </c>
      <c r="F209" s="9" t="n">
        <v>84213</v>
      </c>
      <c r="G209" s="9" t="n">
        <v>0</v>
      </c>
      <c r="H209" s="9" t="n">
        <v>411970</v>
      </c>
      <c r="I209" s="9" t="n">
        <v>162650</v>
      </c>
      <c r="J209" s="9" t="n">
        <v>25780</v>
      </c>
      <c r="K209" s="9" t="n">
        <v>128583</v>
      </c>
      <c r="L209" s="9" t="n">
        <v>0</v>
      </c>
      <c r="M209" s="9" t="n">
        <v>0</v>
      </c>
      <c r="N209" s="9" t="n">
        <v>0</v>
      </c>
      <c r="O209" s="9" t="n">
        <v>0</v>
      </c>
      <c r="P209" s="9" t="n">
        <v>995</v>
      </c>
      <c r="Q209" s="9" t="n">
        <v>47187</v>
      </c>
      <c r="R209" s="9" t="n">
        <v>1644720</v>
      </c>
      <c r="S209" s="9" t="n">
        <v>3089200</v>
      </c>
      <c r="T209" s="11" t="n">
        <f aca="false">R209/S209</f>
        <v>0.532409685355432</v>
      </c>
      <c r="U209" s="9" t="n">
        <f aca="false">D209+E209+F209</f>
        <v>867555</v>
      </c>
      <c r="V209" s="9" t="n">
        <f aca="false">H209+I209+J209</f>
        <v>600400</v>
      </c>
      <c r="W209" s="9" t="n">
        <f aca="false">K209</f>
        <v>128583</v>
      </c>
      <c r="X209" s="11" t="n">
        <f aca="false">Q209/R209</f>
        <v>0.0286899897854954</v>
      </c>
    </row>
    <row r="210" customFormat="false" ht="15" hidden="false" customHeight="false" outlineLevel="0" collapsed="false">
      <c r="A210" s="14" t="s">
        <v>40</v>
      </c>
      <c r="B210" s="14" t="n">
        <v>2024</v>
      </c>
      <c r="C210" s="14" t="s">
        <v>90</v>
      </c>
      <c r="D210" s="9" t="n">
        <v>2292724</v>
      </c>
      <c r="E210" s="9" t="n">
        <v>270797</v>
      </c>
      <c r="F210" s="9" t="n">
        <v>467460</v>
      </c>
      <c r="G210" s="9" t="n">
        <v>0</v>
      </c>
      <c r="H210" s="9" t="n">
        <v>1376594</v>
      </c>
      <c r="I210" s="9" t="n">
        <v>485673</v>
      </c>
      <c r="J210" s="9" t="n">
        <v>166657</v>
      </c>
      <c r="K210" s="9" t="n">
        <v>402941</v>
      </c>
      <c r="L210" s="9" t="n">
        <v>0</v>
      </c>
      <c r="M210" s="9" t="n">
        <v>0</v>
      </c>
      <c r="N210" s="9" t="n">
        <v>0</v>
      </c>
      <c r="O210" s="9" t="n">
        <v>0</v>
      </c>
      <c r="P210" s="9" t="n">
        <v>5561</v>
      </c>
      <c r="Q210" s="9" t="n">
        <v>121626</v>
      </c>
      <c r="R210" s="9" t="n">
        <v>5590033</v>
      </c>
      <c r="S210" s="9" t="n">
        <v>7969314</v>
      </c>
      <c r="T210" s="11" t="n">
        <f aca="false">R210/S210</f>
        <v>0.701444691475327</v>
      </c>
      <c r="U210" s="9" t="n">
        <f aca="false">D210+E210+F210</f>
        <v>3030981</v>
      </c>
      <c r="V210" s="9" t="n">
        <f aca="false">H210+I210+J210</f>
        <v>2028924</v>
      </c>
      <c r="W210" s="9" t="n">
        <f aca="false">K210</f>
        <v>402941</v>
      </c>
      <c r="X210" s="11" t="n">
        <f aca="false">Q210/R210</f>
        <v>0.0217576533090234</v>
      </c>
    </row>
    <row r="211" customFormat="false" ht="15" hidden="false" customHeight="false" outlineLevel="0" collapsed="false">
      <c r="A211" s="14" t="s">
        <v>40</v>
      </c>
      <c r="B211" s="14" t="n">
        <v>2024</v>
      </c>
      <c r="C211" s="14" t="s">
        <v>91</v>
      </c>
      <c r="D211" s="9" t="n">
        <v>307158</v>
      </c>
      <c r="E211" s="9" t="n">
        <v>46064</v>
      </c>
      <c r="F211" s="9" t="n">
        <v>40637</v>
      </c>
      <c r="G211" s="9" t="n">
        <v>0</v>
      </c>
      <c r="H211" s="9" t="n">
        <v>106254</v>
      </c>
      <c r="I211" s="9" t="n">
        <v>190078</v>
      </c>
      <c r="J211" s="9" t="n">
        <v>17100</v>
      </c>
      <c r="K211" s="9" t="n">
        <v>49477</v>
      </c>
      <c r="L211" s="9" t="n">
        <v>0</v>
      </c>
      <c r="M211" s="9" t="n">
        <v>0</v>
      </c>
      <c r="N211" s="9" t="n">
        <v>0</v>
      </c>
      <c r="O211" s="9" t="n">
        <v>0</v>
      </c>
      <c r="P211" s="9" t="n">
        <v>365</v>
      </c>
      <c r="Q211" s="9" t="n">
        <v>20599</v>
      </c>
      <c r="R211" s="9" t="n">
        <v>777732</v>
      </c>
      <c r="S211" s="9" t="n">
        <v>1401054</v>
      </c>
      <c r="T211" s="11" t="n">
        <f aca="false">R211/S211</f>
        <v>0.55510494242192</v>
      </c>
      <c r="U211" s="9" t="n">
        <f aca="false">D211+E211+F211</f>
        <v>393859</v>
      </c>
      <c r="V211" s="9" t="n">
        <f aca="false">H211+I211+J211</f>
        <v>313432</v>
      </c>
      <c r="W211" s="9" t="n">
        <f aca="false">K211</f>
        <v>49477</v>
      </c>
      <c r="X211" s="11" t="n">
        <f aca="false">Q211/R211</f>
        <v>0.0264859874609763</v>
      </c>
    </row>
    <row r="212" customFormat="false" ht="15" hidden="false" customHeight="false" outlineLevel="0" collapsed="false">
      <c r="A212" s="14" t="s">
        <v>40</v>
      </c>
      <c r="B212" s="14" t="n">
        <v>2024</v>
      </c>
      <c r="C212" s="14" t="s">
        <v>92</v>
      </c>
      <c r="D212" s="9" t="n">
        <v>970292</v>
      </c>
      <c r="E212" s="9" t="n">
        <v>69685</v>
      </c>
      <c r="F212" s="9" t="n">
        <v>150067</v>
      </c>
      <c r="G212" s="9" t="n">
        <v>0</v>
      </c>
      <c r="H212" s="9" t="n">
        <v>1083431</v>
      </c>
      <c r="I212" s="9" t="n">
        <v>163808</v>
      </c>
      <c r="J212" s="9" t="n">
        <v>27018</v>
      </c>
      <c r="K212" s="9" t="n">
        <v>196448</v>
      </c>
      <c r="L212" s="9" t="n">
        <v>0</v>
      </c>
      <c r="M212" s="9" t="n">
        <v>0</v>
      </c>
      <c r="N212" s="9" t="n">
        <v>0</v>
      </c>
      <c r="O212" s="9" t="n">
        <v>0</v>
      </c>
      <c r="P212" s="9" t="n">
        <v>1681</v>
      </c>
      <c r="Q212" s="9" t="n">
        <v>88410</v>
      </c>
      <c r="R212" s="9" t="n">
        <v>2750840</v>
      </c>
      <c r="S212" s="9" t="n">
        <v>4843368</v>
      </c>
      <c r="T212" s="11" t="n">
        <f aca="false">R212/S212</f>
        <v>0.567960146740863</v>
      </c>
      <c r="U212" s="9" t="n">
        <f aca="false">D212+E212+F212</f>
        <v>1190044</v>
      </c>
      <c r="V212" s="9" t="n">
        <f aca="false">H212+I212+J212</f>
        <v>1274257</v>
      </c>
      <c r="W212" s="9" t="n">
        <f aca="false">K212</f>
        <v>196448</v>
      </c>
      <c r="X212" s="11" t="n">
        <f aca="false">Q212/R212</f>
        <v>0.0321392738218144</v>
      </c>
    </row>
    <row r="213" customFormat="false" ht="15" hidden="false" customHeight="false" outlineLevel="0" collapsed="false">
      <c r="A213" s="14" t="s">
        <v>40</v>
      </c>
      <c r="B213" s="14" t="n">
        <v>2024</v>
      </c>
      <c r="C213" s="14" t="s">
        <v>93</v>
      </c>
      <c r="D213" s="9" t="n">
        <v>675365</v>
      </c>
      <c r="E213" s="9" t="n">
        <v>96045</v>
      </c>
      <c r="F213" s="9" t="n">
        <v>141956</v>
      </c>
      <c r="G213" s="9" t="n">
        <v>0</v>
      </c>
      <c r="H213" s="9" t="n">
        <v>54082</v>
      </c>
      <c r="I213" s="9" t="n">
        <v>178749</v>
      </c>
      <c r="J213" s="9" t="n">
        <v>85594</v>
      </c>
      <c r="K213" s="9" t="n">
        <v>197363</v>
      </c>
      <c r="L213" s="9" t="n">
        <v>0</v>
      </c>
      <c r="M213" s="9" t="n">
        <v>0</v>
      </c>
      <c r="N213" s="9" t="n">
        <v>0</v>
      </c>
      <c r="O213" s="9" t="n">
        <v>0</v>
      </c>
      <c r="P213" s="9" t="n">
        <v>3566</v>
      </c>
      <c r="Q213" s="9" t="n">
        <v>117758</v>
      </c>
      <c r="R213" s="9" t="n">
        <v>1550478</v>
      </c>
      <c r="S213" s="9" t="n">
        <v>2651380</v>
      </c>
      <c r="T213" s="11" t="n">
        <f aca="false">R213/S213</f>
        <v>0.58478151000611</v>
      </c>
      <c r="U213" s="9" t="n">
        <f aca="false">D213+E213+F213</f>
        <v>913366</v>
      </c>
      <c r="V213" s="9" t="n">
        <f aca="false">H213+I213+J213</f>
        <v>318425</v>
      </c>
      <c r="W213" s="9" t="n">
        <f aca="false">K213</f>
        <v>197363</v>
      </c>
      <c r="X213" s="11" t="n">
        <f aca="false">Q213/R213</f>
        <v>0.0759494813857404</v>
      </c>
    </row>
    <row r="214" customFormat="false" ht="15" hidden="false" customHeight="false" outlineLevel="0" collapsed="false">
      <c r="A214" s="14" t="s">
        <v>40</v>
      </c>
      <c r="B214" s="14" t="n">
        <v>2024</v>
      </c>
      <c r="C214" s="14" t="s">
        <v>94</v>
      </c>
      <c r="D214" s="9" t="n">
        <v>723005</v>
      </c>
      <c r="E214" s="9" t="n">
        <v>163512</v>
      </c>
      <c r="F214" s="9" t="n">
        <v>123920</v>
      </c>
      <c r="G214" s="9" t="n">
        <v>0</v>
      </c>
      <c r="H214" s="9" t="n">
        <v>112892</v>
      </c>
      <c r="I214" s="9" t="n">
        <v>182116</v>
      </c>
      <c r="J214" s="9" t="n">
        <v>22820</v>
      </c>
      <c r="K214" s="9" t="n">
        <v>138000</v>
      </c>
      <c r="L214" s="9" t="n">
        <v>0</v>
      </c>
      <c r="M214" s="9" t="n">
        <v>0</v>
      </c>
      <c r="N214" s="9" t="n">
        <v>0</v>
      </c>
      <c r="O214" s="9" t="n">
        <v>0</v>
      </c>
      <c r="P214" s="9" t="n">
        <v>964</v>
      </c>
      <c r="Q214" s="9" t="n">
        <v>79563</v>
      </c>
      <c r="R214" s="9" t="n">
        <v>1546792</v>
      </c>
      <c r="S214" s="9" t="n">
        <v>2390948</v>
      </c>
      <c r="T214" s="11" t="n">
        <f aca="false">R214/S214</f>
        <v>0.646936696239316</v>
      </c>
      <c r="U214" s="9" t="n">
        <f aca="false">D214+E214+F214</f>
        <v>1010437</v>
      </c>
      <c r="V214" s="9" t="n">
        <f aca="false">H214+I214+J214</f>
        <v>317828</v>
      </c>
      <c r="W214" s="9" t="n">
        <f aca="false">K214</f>
        <v>138000</v>
      </c>
      <c r="X214" s="11" t="n">
        <f aca="false">Q214/R214</f>
        <v>0.0514374266223254</v>
      </c>
    </row>
    <row r="215" customFormat="false" ht="15" hidden="false" customHeight="false" outlineLevel="0" collapsed="false">
      <c r="A215" s="14" t="s">
        <v>40</v>
      </c>
      <c r="B215" s="14" t="n">
        <v>2024</v>
      </c>
      <c r="C215" s="14" t="s">
        <v>95</v>
      </c>
      <c r="D215" s="9" t="n">
        <v>1210913</v>
      </c>
      <c r="E215" s="9" t="n">
        <v>112858</v>
      </c>
      <c r="F215" s="9" t="n">
        <v>234386</v>
      </c>
      <c r="G215" s="9" t="n">
        <v>0</v>
      </c>
      <c r="H215" s="9" t="n">
        <v>749623</v>
      </c>
      <c r="I215" s="9" t="n">
        <v>350441</v>
      </c>
      <c r="J215" s="9" t="n">
        <v>42300</v>
      </c>
      <c r="K215" s="9" t="n">
        <v>1052491</v>
      </c>
      <c r="L215" s="9" t="n">
        <v>0</v>
      </c>
      <c r="M215" s="9" t="n">
        <v>0</v>
      </c>
      <c r="N215" s="9" t="n">
        <v>0</v>
      </c>
      <c r="O215" s="9" t="n">
        <v>0</v>
      </c>
      <c r="P215" s="9" t="n">
        <v>3408</v>
      </c>
      <c r="Q215" s="9" t="n">
        <v>104242</v>
      </c>
      <c r="R215" s="9" t="n">
        <v>3860662</v>
      </c>
      <c r="S215" s="9" t="n">
        <v>6640163</v>
      </c>
      <c r="T215" s="11" t="n">
        <f aca="false">R215/S215</f>
        <v>0.581410727417384</v>
      </c>
      <c r="U215" s="9" t="n">
        <f aca="false">D215+E215+F215</f>
        <v>1558157</v>
      </c>
      <c r="V215" s="9" t="n">
        <f aca="false">H215+I215+J215</f>
        <v>1142364</v>
      </c>
      <c r="W215" s="9" t="n">
        <f aca="false">K215</f>
        <v>1052491</v>
      </c>
      <c r="X215" s="11" t="n">
        <f aca="false">Q215/R215</f>
        <v>0.0270010687286274</v>
      </c>
    </row>
    <row r="216" customFormat="false" ht="15" hidden="false" customHeight="false" outlineLevel="0" collapsed="false">
      <c r="A216" s="14" t="s">
        <v>40</v>
      </c>
      <c r="B216" s="14" t="n">
        <v>2024</v>
      </c>
      <c r="C216" s="14" t="s">
        <v>96</v>
      </c>
      <c r="D216" s="9" t="n">
        <v>3793610</v>
      </c>
      <c r="E216" s="9" t="n">
        <v>364793</v>
      </c>
      <c r="F216" s="9" t="n">
        <v>588420</v>
      </c>
      <c r="G216" s="9" t="n">
        <v>0</v>
      </c>
      <c r="H216" s="9" t="n">
        <v>1079305</v>
      </c>
      <c r="I216" s="9" t="n">
        <v>1368672</v>
      </c>
      <c r="J216" s="9" t="n">
        <v>155754</v>
      </c>
      <c r="K216" s="9" t="n">
        <v>840278</v>
      </c>
      <c r="L216" s="9" t="n">
        <v>0</v>
      </c>
      <c r="M216" s="9" t="n">
        <v>0</v>
      </c>
      <c r="N216" s="9" t="n">
        <v>0</v>
      </c>
      <c r="O216" s="9" t="n">
        <v>0</v>
      </c>
      <c r="P216" s="9" t="n">
        <v>6700</v>
      </c>
      <c r="Q216" s="9" t="n">
        <v>232249</v>
      </c>
      <c r="R216" s="9" t="n">
        <v>8429781</v>
      </c>
      <c r="S216" s="9" t="n">
        <v>13042882</v>
      </c>
      <c r="T216" s="11" t="n">
        <f aca="false">R216/S216</f>
        <v>0.646312755110412</v>
      </c>
      <c r="U216" s="9" t="n">
        <f aca="false">D216+E216+F216</f>
        <v>4746823</v>
      </c>
      <c r="V216" s="9" t="n">
        <f aca="false">H216+I216+J216</f>
        <v>2603731</v>
      </c>
      <c r="W216" s="9" t="n">
        <f aca="false">K216</f>
        <v>840278</v>
      </c>
      <c r="X216" s="11" t="n">
        <f aca="false">Q216/R216</f>
        <v>0.027551012297947</v>
      </c>
    </row>
    <row r="217" customFormat="false" ht="15" hidden="false" customHeight="false" outlineLevel="0" collapsed="false">
      <c r="A217" s="14" t="s">
        <v>40</v>
      </c>
      <c r="B217" s="14" t="n">
        <v>2024</v>
      </c>
      <c r="C217" s="14" t="s">
        <v>97</v>
      </c>
      <c r="D217" s="9" t="n">
        <v>706922</v>
      </c>
      <c r="E217" s="9" t="n">
        <v>159269</v>
      </c>
      <c r="F217" s="9" t="n">
        <v>170375</v>
      </c>
      <c r="G217" s="9" t="n">
        <v>0</v>
      </c>
      <c r="H217" s="9" t="n">
        <v>315087</v>
      </c>
      <c r="I217" s="9" t="n">
        <v>211821</v>
      </c>
      <c r="J217" s="9" t="n">
        <v>136737</v>
      </c>
      <c r="K217" s="9" t="n">
        <v>257578</v>
      </c>
      <c r="L217" s="9" t="n">
        <v>0</v>
      </c>
      <c r="M217" s="9" t="n">
        <v>0</v>
      </c>
      <c r="N217" s="9" t="n">
        <v>0</v>
      </c>
      <c r="O217" s="9" t="n">
        <v>0</v>
      </c>
      <c r="P217" s="9" t="n">
        <v>2654</v>
      </c>
      <c r="Q217" s="9" t="n">
        <v>101644</v>
      </c>
      <c r="R217" s="9" t="n">
        <v>2062087</v>
      </c>
      <c r="S217" s="9" t="n">
        <v>3708926</v>
      </c>
      <c r="T217" s="11" t="n">
        <f aca="false">R217/S217</f>
        <v>0.555979547718127</v>
      </c>
      <c r="U217" s="9" t="n">
        <f aca="false">D217+E217+F217</f>
        <v>1036566</v>
      </c>
      <c r="V217" s="9" t="n">
        <f aca="false">H217+I217+J217</f>
        <v>663645</v>
      </c>
      <c r="W217" s="9" t="n">
        <f aca="false">K217</f>
        <v>257578</v>
      </c>
      <c r="X217" s="11" t="n">
        <f aca="false">Q217/R217</f>
        <v>0.0492918097054101</v>
      </c>
    </row>
    <row r="218" customFormat="false" ht="15" hidden="false" customHeight="false" outlineLevel="0" collapsed="false">
      <c r="A218" s="14" t="s">
        <v>40</v>
      </c>
      <c r="B218" s="14" t="n">
        <v>2024</v>
      </c>
      <c r="C218" s="14" t="s">
        <v>98</v>
      </c>
      <c r="D218" s="9" t="n">
        <v>398390</v>
      </c>
      <c r="E218" s="9" t="n">
        <v>63883</v>
      </c>
      <c r="F218" s="9" t="n">
        <v>90738</v>
      </c>
      <c r="G218" s="9" t="n">
        <v>0</v>
      </c>
      <c r="H218" s="9" t="n">
        <v>155043</v>
      </c>
      <c r="I218" s="9" t="n">
        <v>77094</v>
      </c>
      <c r="J218" s="9" t="n">
        <v>28059</v>
      </c>
      <c r="K218" s="9" t="n">
        <v>128974</v>
      </c>
      <c r="L218" s="9" t="n">
        <v>0</v>
      </c>
      <c r="M218" s="9" t="n">
        <v>0</v>
      </c>
      <c r="N218" s="9" t="n">
        <v>0</v>
      </c>
      <c r="O218" s="9" t="n">
        <v>0</v>
      </c>
      <c r="P218" s="9" t="n">
        <v>924</v>
      </c>
      <c r="Q218" s="9" t="n">
        <v>43691</v>
      </c>
      <c r="R218" s="9" t="n">
        <v>986796</v>
      </c>
      <c r="S218" s="9" t="n">
        <v>1553630</v>
      </c>
      <c r="T218" s="11" t="n">
        <f aca="false">R218/S218</f>
        <v>0.635155088405862</v>
      </c>
      <c r="U218" s="9" t="n">
        <f aca="false">D218+E218+F218</f>
        <v>553011</v>
      </c>
      <c r="V218" s="9" t="n">
        <f aca="false">H218+I218+J218</f>
        <v>260196</v>
      </c>
      <c r="W218" s="9" t="n">
        <f aca="false">K218</f>
        <v>128974</v>
      </c>
      <c r="X218" s="11" t="n">
        <f aca="false">Q218/R218</f>
        <v>0.0442756152234099</v>
      </c>
    </row>
    <row r="219" customFormat="false" ht="15" hidden="false" customHeight="false" outlineLevel="0" collapsed="false">
      <c r="A219" s="14" t="s">
        <v>40</v>
      </c>
      <c r="B219" s="14" t="n">
        <v>2024</v>
      </c>
      <c r="C219" s="14" t="s">
        <v>99</v>
      </c>
      <c r="D219" s="9" t="n">
        <v>214823</v>
      </c>
      <c r="E219" s="9" t="n">
        <v>30023</v>
      </c>
      <c r="F219" s="9" t="n">
        <v>56456</v>
      </c>
      <c r="G219" s="9" t="n">
        <v>0</v>
      </c>
      <c r="H219" s="9" t="n">
        <v>69032</v>
      </c>
      <c r="I219" s="9" t="n">
        <v>43431</v>
      </c>
      <c r="J219" s="9" t="n">
        <v>10404</v>
      </c>
      <c r="K219" s="9" t="n">
        <v>97514</v>
      </c>
      <c r="L219" s="9" t="n">
        <v>0</v>
      </c>
      <c r="M219" s="9" t="n">
        <v>0</v>
      </c>
      <c r="N219" s="9" t="n">
        <v>0</v>
      </c>
      <c r="O219" s="9" t="n">
        <v>0</v>
      </c>
      <c r="P219" s="9" t="n">
        <v>492</v>
      </c>
      <c r="Q219" s="9" t="n">
        <v>21554</v>
      </c>
      <c r="R219" s="9" t="n">
        <v>543729</v>
      </c>
      <c r="S219" s="9" t="n">
        <v>952808</v>
      </c>
      <c r="T219" s="11" t="n">
        <f aca="false">R219/S219</f>
        <v>0.570659566250493</v>
      </c>
      <c r="U219" s="9" t="n">
        <f aca="false">D219+E219+F219</f>
        <v>301302</v>
      </c>
      <c r="V219" s="9" t="n">
        <f aca="false">H219+I219+J219</f>
        <v>122867</v>
      </c>
      <c r="W219" s="9" t="n">
        <f aca="false">K219</f>
        <v>97514</v>
      </c>
      <c r="X219" s="11" t="n">
        <f aca="false">Q219/R219</f>
        <v>0.0396410711953933</v>
      </c>
    </row>
    <row r="220" customFormat="false" ht="15" hidden="false" customHeight="false" outlineLevel="0" collapsed="false">
      <c r="A220" s="14" t="s">
        <v>40</v>
      </c>
      <c r="B220" s="14" t="n">
        <v>2024</v>
      </c>
      <c r="C220" s="14" t="s">
        <v>100</v>
      </c>
      <c r="D220" s="9" t="n">
        <v>649170</v>
      </c>
      <c r="E220" s="9" t="n">
        <v>96062</v>
      </c>
      <c r="F220" s="9" t="n">
        <v>124818</v>
      </c>
      <c r="G220" s="9" t="n">
        <v>0</v>
      </c>
      <c r="H220" s="9" t="n">
        <v>481468</v>
      </c>
      <c r="I220" s="9" t="n">
        <v>307625</v>
      </c>
      <c r="J220" s="9" t="n">
        <v>21530</v>
      </c>
      <c r="K220" s="9" t="n">
        <v>818838</v>
      </c>
      <c r="L220" s="9" t="n">
        <v>0</v>
      </c>
      <c r="M220" s="9" t="n">
        <v>0</v>
      </c>
      <c r="N220" s="9" t="n">
        <v>0</v>
      </c>
      <c r="O220" s="9" t="n">
        <v>0</v>
      </c>
      <c r="P220" s="9" t="n">
        <v>1384</v>
      </c>
      <c r="Q220" s="9" t="n">
        <v>60330</v>
      </c>
      <c r="R220" s="9" t="n">
        <v>2561225</v>
      </c>
      <c r="S220" s="9" t="n">
        <v>4475131</v>
      </c>
      <c r="T220" s="11" t="n">
        <f aca="false">R220/S220</f>
        <v>0.572324028056385</v>
      </c>
      <c r="U220" s="9" t="n">
        <f aca="false">D220+E220+F220</f>
        <v>870050</v>
      </c>
      <c r="V220" s="9" t="n">
        <f aca="false">H220+I220+J220</f>
        <v>810623</v>
      </c>
      <c r="W220" s="9" t="n">
        <f aca="false">K220</f>
        <v>818838</v>
      </c>
      <c r="X220" s="11" t="n">
        <f aca="false">Q220/R220</f>
        <v>0.0235551347499732</v>
      </c>
    </row>
    <row r="221" customFormat="false" ht="15" hidden="false" customHeight="false" outlineLevel="0" collapsed="false">
      <c r="A221" s="14" t="s">
        <v>40</v>
      </c>
      <c r="B221" s="14" t="n">
        <v>2024</v>
      </c>
      <c r="C221" s="14" t="s">
        <v>101</v>
      </c>
      <c r="D221" s="9" t="n">
        <v>904385</v>
      </c>
      <c r="E221" s="9" t="n">
        <v>218345</v>
      </c>
      <c r="F221" s="9" t="n">
        <v>241986</v>
      </c>
      <c r="G221" s="9" t="n">
        <v>0</v>
      </c>
      <c r="H221" s="9" t="n">
        <v>78376</v>
      </c>
      <c r="I221" s="9" t="n">
        <v>156254</v>
      </c>
      <c r="J221" s="9" t="n">
        <v>49701</v>
      </c>
      <c r="K221" s="9" t="n">
        <v>112010</v>
      </c>
      <c r="L221" s="9" t="n">
        <v>0</v>
      </c>
      <c r="M221" s="9" t="n">
        <v>0</v>
      </c>
      <c r="N221" s="9" t="n">
        <v>0</v>
      </c>
      <c r="O221" s="9" t="n">
        <v>0</v>
      </c>
      <c r="P221" s="9" t="n">
        <v>1441</v>
      </c>
      <c r="Q221" s="9" t="n">
        <v>127231</v>
      </c>
      <c r="R221" s="9" t="n">
        <v>1889729</v>
      </c>
      <c r="S221" s="9" t="n">
        <v>3119594</v>
      </c>
      <c r="T221" s="11" t="n">
        <f aca="false">R221/S221</f>
        <v>0.605761198412358</v>
      </c>
      <c r="U221" s="9" t="n">
        <f aca="false">D221+E221+F221</f>
        <v>1364716</v>
      </c>
      <c r="V221" s="9" t="n">
        <f aca="false">H221+I221+J221</f>
        <v>284331</v>
      </c>
      <c r="W221" s="9" t="n">
        <f aca="false">K221</f>
        <v>112010</v>
      </c>
      <c r="X221" s="11" t="n">
        <f aca="false">Q221/R221</f>
        <v>0.0673276432758348</v>
      </c>
    </row>
    <row r="222" customFormat="false" ht="15" hidden="false" customHeight="false" outlineLevel="0" collapsed="false">
      <c r="A222" s="14" t="s">
        <v>40</v>
      </c>
      <c r="B222" s="14" t="n">
        <v>2024</v>
      </c>
      <c r="C222" s="14" t="s">
        <v>102</v>
      </c>
      <c r="D222" s="9" t="n">
        <v>1438376</v>
      </c>
      <c r="E222" s="9" t="n">
        <v>223689</v>
      </c>
      <c r="F222" s="9" t="n">
        <v>323207</v>
      </c>
      <c r="G222" s="9" t="n">
        <v>0</v>
      </c>
      <c r="H222" s="9" t="n">
        <v>550112</v>
      </c>
      <c r="I222" s="9" t="n">
        <v>268619</v>
      </c>
      <c r="J222" s="9" t="n">
        <v>51797</v>
      </c>
      <c r="K222" s="9" t="n">
        <v>274448</v>
      </c>
      <c r="L222" s="9" t="n">
        <v>0</v>
      </c>
      <c r="M222" s="9" t="n">
        <v>0</v>
      </c>
      <c r="N222" s="9" t="n">
        <v>0</v>
      </c>
      <c r="O222" s="9" t="n">
        <v>0</v>
      </c>
      <c r="P222" s="9" t="n">
        <v>2240</v>
      </c>
      <c r="Q222" s="9" t="n">
        <v>149189</v>
      </c>
      <c r="R222" s="9" t="n">
        <v>3281677</v>
      </c>
      <c r="S222" s="9" t="n">
        <v>4990849</v>
      </c>
      <c r="T222" s="11" t="n">
        <f aca="false">R222/S222</f>
        <v>0.657538827562204</v>
      </c>
      <c r="U222" s="9" t="n">
        <f aca="false">D222+E222+F222</f>
        <v>1985272</v>
      </c>
      <c r="V222" s="9" t="n">
        <f aca="false">H222+I222+J222</f>
        <v>870528</v>
      </c>
      <c r="W222" s="9" t="n">
        <f aca="false">K222</f>
        <v>274448</v>
      </c>
      <c r="X222" s="11" t="n">
        <f aca="false">Q222/R222</f>
        <v>0.0454612077910166</v>
      </c>
    </row>
    <row r="223" customFormat="false" ht="15" hidden="false" customHeight="false" outlineLevel="0" collapsed="false">
      <c r="A223" s="14" t="s">
        <v>40</v>
      </c>
      <c r="B223" s="14" t="n">
        <v>2024</v>
      </c>
      <c r="C223" s="14" t="s">
        <v>103</v>
      </c>
      <c r="D223" s="9" t="n">
        <v>437134</v>
      </c>
      <c r="E223" s="9" t="n">
        <v>26866</v>
      </c>
      <c r="F223" s="9" t="n">
        <v>68025</v>
      </c>
      <c r="G223" s="9" t="n">
        <v>0</v>
      </c>
      <c r="H223" s="9" t="n">
        <v>452866</v>
      </c>
      <c r="I223" s="9" t="n">
        <v>75769</v>
      </c>
      <c r="J223" s="9" t="n">
        <v>15164</v>
      </c>
      <c r="K223" s="9" t="n">
        <v>77603</v>
      </c>
      <c r="L223" s="9" t="n">
        <v>0</v>
      </c>
      <c r="M223" s="9" t="n">
        <v>0</v>
      </c>
      <c r="N223" s="9" t="n">
        <v>0</v>
      </c>
      <c r="O223" s="9" t="n">
        <v>0</v>
      </c>
      <c r="P223" s="9" t="n">
        <v>1071</v>
      </c>
      <c r="Q223" s="9" t="n">
        <v>61504</v>
      </c>
      <c r="R223" s="9" t="n">
        <v>1216002</v>
      </c>
      <c r="S223" s="9" t="n">
        <v>1904027</v>
      </c>
      <c r="T223" s="11" t="n">
        <f aca="false">R223/S223</f>
        <v>0.638647456154771</v>
      </c>
      <c r="U223" s="9" t="n">
        <f aca="false">D223+E223+F223</f>
        <v>532025</v>
      </c>
      <c r="V223" s="9" t="n">
        <f aca="false">H223+I223+J223</f>
        <v>543799</v>
      </c>
      <c r="W223" s="9" t="n">
        <f aca="false">K223</f>
        <v>77603</v>
      </c>
      <c r="X223" s="11" t="n">
        <f aca="false">Q223/R223</f>
        <v>0.0505788641794997</v>
      </c>
    </row>
    <row r="224" customFormat="false" ht="15" hidden="false" customHeight="false" outlineLevel="0" collapsed="false">
      <c r="A224" s="14" t="s">
        <v>40</v>
      </c>
      <c r="B224" s="14" t="n">
        <v>2024</v>
      </c>
      <c r="C224" s="14" t="s">
        <v>104</v>
      </c>
      <c r="D224" s="9" t="n">
        <v>387511</v>
      </c>
      <c r="E224" s="9" t="n">
        <v>35055</v>
      </c>
      <c r="F224" s="9" t="n">
        <v>139196</v>
      </c>
      <c r="G224" s="9" t="n">
        <v>0</v>
      </c>
      <c r="H224" s="9" t="n">
        <v>97997</v>
      </c>
      <c r="I224" s="9" t="n">
        <v>37582</v>
      </c>
      <c r="J224" s="9" t="n">
        <v>16974</v>
      </c>
      <c r="K224" s="9" t="n">
        <v>83183</v>
      </c>
      <c r="L224" s="9" t="n">
        <v>0</v>
      </c>
      <c r="M224" s="9" t="n">
        <v>0</v>
      </c>
      <c r="N224" s="9" t="n">
        <v>0</v>
      </c>
      <c r="O224" s="9" t="n">
        <v>0</v>
      </c>
      <c r="P224" s="9" t="n">
        <v>843</v>
      </c>
      <c r="Q224" s="9" t="n">
        <v>27920</v>
      </c>
      <c r="R224" s="9" t="n">
        <v>826261</v>
      </c>
      <c r="S224" s="9" t="n">
        <v>1461855</v>
      </c>
      <c r="T224" s="11" t="n">
        <f aca="false">R224/S224</f>
        <v>0.565214060218011</v>
      </c>
      <c r="U224" s="9" t="n">
        <f aca="false">D224+E224+F224</f>
        <v>561762</v>
      </c>
      <c r="V224" s="9" t="n">
        <f aca="false">H224+I224+J224</f>
        <v>152553</v>
      </c>
      <c r="W224" s="9" t="n">
        <f aca="false">K224</f>
        <v>83183</v>
      </c>
      <c r="X224" s="11" t="n">
        <f aca="false">Q224/R224</f>
        <v>0.0337907755539715</v>
      </c>
    </row>
    <row r="225" customFormat="false" ht="15" hidden="false" customHeight="false" outlineLevel="0" collapsed="false">
      <c r="A225" s="14" t="s">
        <v>40</v>
      </c>
      <c r="B225" s="14" t="n">
        <v>2024</v>
      </c>
      <c r="C225" s="14" t="s">
        <v>105</v>
      </c>
      <c r="D225" s="9" t="n">
        <v>276459</v>
      </c>
      <c r="E225" s="9" t="n">
        <v>29357</v>
      </c>
      <c r="F225" s="9" t="n">
        <v>526706</v>
      </c>
      <c r="G225" s="9" t="n">
        <v>0</v>
      </c>
      <c r="H225" s="9" t="n">
        <v>208840</v>
      </c>
      <c r="I225" s="9" t="n">
        <v>104739</v>
      </c>
      <c r="J225" s="9" t="n">
        <v>26943</v>
      </c>
      <c r="K225" s="9" t="n">
        <v>101286</v>
      </c>
      <c r="L225" s="9" t="n">
        <v>0</v>
      </c>
      <c r="M225" s="9" t="n">
        <v>0</v>
      </c>
      <c r="N225" s="9" t="n">
        <v>0</v>
      </c>
      <c r="O225" s="9" t="n">
        <v>0</v>
      </c>
      <c r="P225" s="9" t="n">
        <v>1092</v>
      </c>
      <c r="Q225" s="9" t="n">
        <v>89281</v>
      </c>
      <c r="R225" s="9" t="n">
        <v>1364703</v>
      </c>
      <c r="S225" s="9" t="n">
        <v>2190293</v>
      </c>
      <c r="T225" s="11" t="n">
        <f aca="false">R225/S225</f>
        <v>0.623068694462339</v>
      </c>
      <c r="U225" s="9" t="n">
        <f aca="false">D225+E225+F225</f>
        <v>832522</v>
      </c>
      <c r="V225" s="9" t="n">
        <f aca="false">H225+I225+J225</f>
        <v>340522</v>
      </c>
      <c r="W225" s="9" t="n">
        <f aca="false">K225</f>
        <v>101286</v>
      </c>
      <c r="X225" s="11" t="n">
        <f aca="false">Q225/R225</f>
        <v>0.0654215605886409</v>
      </c>
    </row>
    <row r="226" customFormat="false" ht="15" hidden="false" customHeight="false" outlineLevel="0" collapsed="false">
      <c r="A226" s="14" t="s">
        <v>40</v>
      </c>
      <c r="B226" s="14" t="n">
        <v>2024</v>
      </c>
      <c r="C226" s="14" t="s">
        <v>106</v>
      </c>
      <c r="D226" s="9" t="n">
        <v>652774</v>
      </c>
      <c r="E226" s="9" t="n">
        <v>64226</v>
      </c>
      <c r="F226" s="9" t="n">
        <v>119514</v>
      </c>
      <c r="G226" s="9" t="n">
        <v>0</v>
      </c>
      <c r="H226" s="9" t="n">
        <v>154844</v>
      </c>
      <c r="I226" s="9" t="n">
        <v>163699</v>
      </c>
      <c r="J226" s="9" t="n">
        <v>17202</v>
      </c>
      <c r="K226" s="9" t="n">
        <v>85853</v>
      </c>
      <c r="L226" s="9" t="n">
        <v>0</v>
      </c>
      <c r="M226" s="9" t="n">
        <v>0</v>
      </c>
      <c r="N226" s="9" t="n">
        <v>0</v>
      </c>
      <c r="O226" s="9" t="n">
        <v>0</v>
      </c>
      <c r="P226" s="9" t="n">
        <v>652</v>
      </c>
      <c r="Q226" s="9" t="n">
        <v>71139</v>
      </c>
      <c r="R226" s="9" t="n">
        <v>1329903</v>
      </c>
      <c r="S226" s="9" t="n">
        <v>2364053</v>
      </c>
      <c r="T226" s="11" t="n">
        <f aca="false">R226/S226</f>
        <v>0.562552108603318</v>
      </c>
      <c r="U226" s="9" t="n">
        <f aca="false">D226+E226+F226</f>
        <v>836514</v>
      </c>
      <c r="V226" s="9" t="n">
        <f aca="false">H226+I226+J226</f>
        <v>335745</v>
      </c>
      <c r="W226" s="9" t="n">
        <f aca="false">K226</f>
        <v>85853</v>
      </c>
      <c r="X226" s="11" t="n">
        <f aca="false">Q226/R226</f>
        <v>0.0534918712116598</v>
      </c>
    </row>
    <row r="227" customFormat="false" ht="15" hidden="false" customHeight="false" outlineLevel="0" collapsed="false">
      <c r="A227" s="14" t="s">
        <v>40</v>
      </c>
      <c r="B227" s="14" t="n">
        <v>2024</v>
      </c>
      <c r="C227" s="14" t="s">
        <v>107</v>
      </c>
      <c r="D227" s="9" t="n">
        <v>513623</v>
      </c>
      <c r="E227" s="9" t="n">
        <v>107220</v>
      </c>
      <c r="F227" s="9" t="n">
        <v>51787</v>
      </c>
      <c r="G227" s="9" t="n">
        <v>0</v>
      </c>
      <c r="H227" s="9" t="n">
        <v>132822</v>
      </c>
      <c r="I227" s="9" t="n">
        <v>156334</v>
      </c>
      <c r="J227" s="9" t="n">
        <v>16807</v>
      </c>
      <c r="K227" s="9" t="n">
        <v>127029</v>
      </c>
      <c r="L227" s="9" t="n">
        <v>0</v>
      </c>
      <c r="M227" s="9" t="n">
        <v>0</v>
      </c>
      <c r="N227" s="9" t="n">
        <v>0</v>
      </c>
      <c r="O227" s="9" t="n">
        <v>0</v>
      </c>
      <c r="P227" s="9" t="n">
        <v>671</v>
      </c>
      <c r="Q227" s="9" t="n">
        <v>64112</v>
      </c>
      <c r="R227" s="9" t="n">
        <v>1170405</v>
      </c>
      <c r="S227" s="9" t="n">
        <v>2294040</v>
      </c>
      <c r="T227" s="11" t="n">
        <f aca="false">R227/S227</f>
        <v>0.510193806559607</v>
      </c>
      <c r="U227" s="9" t="n">
        <f aca="false">D227+E227+F227</f>
        <v>672630</v>
      </c>
      <c r="V227" s="9" t="n">
        <f aca="false">H227+I227+J227</f>
        <v>305963</v>
      </c>
      <c r="W227" s="9" t="n">
        <f aca="false">K227</f>
        <v>127029</v>
      </c>
      <c r="X227" s="11" t="n">
        <f aca="false">Q227/R227</f>
        <v>0.0547776197128344</v>
      </c>
    </row>
    <row r="228" customFormat="false" ht="15" hidden="false" customHeight="false" outlineLevel="0" collapsed="false">
      <c r="A228" s="14" t="s">
        <v>40</v>
      </c>
      <c r="B228" s="14" t="n">
        <v>2024</v>
      </c>
      <c r="C228" s="14" t="s">
        <v>108</v>
      </c>
      <c r="D228" s="9" t="n">
        <v>664508</v>
      </c>
      <c r="E228" s="9" t="n">
        <v>63286</v>
      </c>
      <c r="F228" s="9" t="n">
        <v>78370</v>
      </c>
      <c r="G228" s="9" t="n">
        <v>0</v>
      </c>
      <c r="H228" s="9" t="n">
        <v>25769</v>
      </c>
      <c r="I228" s="9" t="n">
        <v>38156</v>
      </c>
      <c r="J228" s="9" t="n">
        <v>88149</v>
      </c>
      <c r="K228" s="9" t="n">
        <v>84537</v>
      </c>
      <c r="L228" s="9" t="n">
        <v>0</v>
      </c>
      <c r="M228" s="9" t="n">
        <v>0</v>
      </c>
      <c r="N228" s="9" t="n">
        <v>0</v>
      </c>
      <c r="O228" s="9" t="n">
        <v>0</v>
      </c>
      <c r="P228" s="9" t="n">
        <v>683</v>
      </c>
      <c r="Q228" s="9" t="n">
        <v>69679</v>
      </c>
      <c r="R228" s="9" t="n">
        <v>1113137</v>
      </c>
      <c r="S228" s="9" t="n">
        <v>1812804</v>
      </c>
      <c r="T228" s="11" t="n">
        <f aca="false">R228/S228</f>
        <v>0.614041562132475</v>
      </c>
      <c r="U228" s="9" t="n">
        <f aca="false">D228+E228+F228</f>
        <v>806164</v>
      </c>
      <c r="V228" s="9" t="n">
        <f aca="false">H228+I228+J228</f>
        <v>152074</v>
      </c>
      <c r="W228" s="9" t="n">
        <f aca="false">K228</f>
        <v>84537</v>
      </c>
      <c r="X228" s="11" t="n">
        <f aca="false">Q228/R228</f>
        <v>0.0625969669501598</v>
      </c>
    </row>
    <row r="229" customFormat="false" ht="15" hidden="false" customHeight="false" outlineLevel="0" collapsed="false">
      <c r="A229" s="14" t="s">
        <v>40</v>
      </c>
      <c r="B229" s="14" t="n">
        <v>2024</v>
      </c>
      <c r="C229" s="14" t="s">
        <v>109</v>
      </c>
      <c r="D229" s="9" t="n">
        <v>742661</v>
      </c>
      <c r="E229" s="9" t="n">
        <v>49394</v>
      </c>
      <c r="F229" s="9" t="n">
        <v>185163</v>
      </c>
      <c r="G229" s="9" t="n">
        <v>0</v>
      </c>
      <c r="H229" s="9" t="n">
        <v>376695</v>
      </c>
      <c r="I229" s="9" t="n">
        <v>64751</v>
      </c>
      <c r="J229" s="9" t="n">
        <v>15132</v>
      </c>
      <c r="K229" s="9" t="n">
        <v>113027</v>
      </c>
      <c r="L229" s="9" t="n">
        <v>0</v>
      </c>
      <c r="M229" s="9" t="n">
        <v>0</v>
      </c>
      <c r="N229" s="9" t="n">
        <v>0</v>
      </c>
      <c r="O229" s="9" t="n">
        <v>0</v>
      </c>
      <c r="P229" s="9" t="n">
        <v>910</v>
      </c>
      <c r="Q229" s="9" t="n">
        <v>78268</v>
      </c>
      <c r="R229" s="9" t="n">
        <v>1626001</v>
      </c>
      <c r="S229" s="9" t="n">
        <v>2853592</v>
      </c>
      <c r="T229" s="11" t="n">
        <f aca="false">R229/S229</f>
        <v>0.56980850801376</v>
      </c>
      <c r="U229" s="9" t="n">
        <f aca="false">D229+E229+F229</f>
        <v>977218</v>
      </c>
      <c r="V229" s="9" t="n">
        <f aca="false">H229+I229+J229</f>
        <v>456578</v>
      </c>
      <c r="W229" s="9" t="n">
        <f aca="false">K229</f>
        <v>113027</v>
      </c>
      <c r="X229" s="11" t="n">
        <f aca="false">Q229/R229</f>
        <v>0.0481352717495254</v>
      </c>
    </row>
    <row r="230" customFormat="false" ht="15" hidden="false" customHeight="false" outlineLevel="0" collapsed="false">
      <c r="A230" s="14" t="s">
        <v>40</v>
      </c>
      <c r="B230" s="14" t="n">
        <v>2024</v>
      </c>
      <c r="C230" s="14" t="s">
        <v>110</v>
      </c>
      <c r="D230" s="9" t="n">
        <v>298928</v>
      </c>
      <c r="E230" s="9" t="n">
        <v>67532</v>
      </c>
      <c r="F230" s="9" t="n">
        <v>88038</v>
      </c>
      <c r="G230" s="9" t="n">
        <v>0</v>
      </c>
      <c r="H230" s="9" t="n">
        <v>66328</v>
      </c>
      <c r="I230" s="9" t="n">
        <v>69346</v>
      </c>
      <c r="J230" s="9" t="n">
        <v>22646</v>
      </c>
      <c r="K230" s="9" t="n">
        <v>77904</v>
      </c>
      <c r="L230" s="9" t="n">
        <v>0</v>
      </c>
      <c r="M230" s="9" t="n">
        <v>0</v>
      </c>
      <c r="N230" s="9" t="n">
        <v>0</v>
      </c>
      <c r="O230" s="9" t="n">
        <v>0</v>
      </c>
      <c r="P230" s="9" t="n">
        <v>436</v>
      </c>
      <c r="Q230" s="9" t="n">
        <v>48155</v>
      </c>
      <c r="R230" s="9" t="n">
        <v>739313</v>
      </c>
      <c r="S230" s="9" t="n">
        <v>1042685</v>
      </c>
      <c r="T230" s="11" t="n">
        <f aca="false">R230/S230</f>
        <v>0.709047315344519</v>
      </c>
      <c r="U230" s="9" t="n">
        <f aca="false">D230+E230+F230</f>
        <v>454498</v>
      </c>
      <c r="V230" s="9" t="n">
        <f aca="false">H230+I230+J230</f>
        <v>158320</v>
      </c>
      <c r="W230" s="9" t="n">
        <f aca="false">K230</f>
        <v>77904</v>
      </c>
      <c r="X230" s="11" t="n">
        <f aca="false">Q230/R230</f>
        <v>0.0651347940588087</v>
      </c>
    </row>
    <row r="231" customFormat="false" ht="15" hidden="false" customHeight="false" outlineLevel="0" collapsed="false">
      <c r="A231" s="14" t="s">
        <v>40</v>
      </c>
      <c r="B231" s="14" t="n">
        <v>2024</v>
      </c>
      <c r="C231" s="14" t="s">
        <v>111</v>
      </c>
      <c r="D231" s="9" t="n">
        <v>1846956</v>
      </c>
      <c r="E231" s="9" t="n">
        <v>143521</v>
      </c>
      <c r="F231" s="9" t="n">
        <v>239077</v>
      </c>
      <c r="G231" s="9" t="n">
        <v>0</v>
      </c>
      <c r="H231" s="9" t="n">
        <v>632953</v>
      </c>
      <c r="I231" s="9" t="n">
        <v>336767</v>
      </c>
      <c r="J231" s="9" t="n">
        <v>84522</v>
      </c>
      <c r="K231" s="9" t="n">
        <v>282822</v>
      </c>
      <c r="L231" s="9" t="n">
        <v>0</v>
      </c>
      <c r="M231" s="9" t="n">
        <v>0</v>
      </c>
      <c r="N231" s="9" t="n">
        <v>0</v>
      </c>
      <c r="O231" s="9" t="n">
        <v>0</v>
      </c>
      <c r="P231" s="9" t="n">
        <v>1929</v>
      </c>
      <c r="Q231" s="9" t="n">
        <v>109977</v>
      </c>
      <c r="R231" s="9" t="n">
        <v>3678524</v>
      </c>
      <c r="S231" s="9" t="n">
        <v>6089181</v>
      </c>
      <c r="T231" s="11" t="n">
        <f aca="false">R231/S231</f>
        <v>0.604108171525859</v>
      </c>
      <c r="U231" s="9" t="n">
        <f aca="false">D231+E231+F231</f>
        <v>2229554</v>
      </c>
      <c r="V231" s="9" t="n">
        <f aca="false">H231+I231+J231</f>
        <v>1054242</v>
      </c>
      <c r="W231" s="9" t="n">
        <f aca="false">K231</f>
        <v>282822</v>
      </c>
      <c r="X231" s="11" t="n">
        <f aca="false">Q231/R231</f>
        <v>0.02989704566288</v>
      </c>
    </row>
    <row r="232" customFormat="false" ht="15" hidden="false" customHeight="false" outlineLevel="0" collapsed="false">
      <c r="A232" s="14" t="s">
        <v>40</v>
      </c>
      <c r="B232" s="14" t="n">
        <v>2024</v>
      </c>
      <c r="C232" s="14" t="s">
        <v>112</v>
      </c>
      <c r="D232" s="9" t="n">
        <v>536894</v>
      </c>
      <c r="E232" s="9" t="n">
        <v>47508</v>
      </c>
      <c r="F232" s="9" t="n">
        <v>77312</v>
      </c>
      <c r="G232" s="9" t="n">
        <v>0</v>
      </c>
      <c r="H232" s="9" t="n">
        <v>388037</v>
      </c>
      <c r="I232" s="9" t="n">
        <v>111785</v>
      </c>
      <c r="J232" s="9" t="n">
        <v>11444</v>
      </c>
      <c r="K232" s="9" t="n">
        <v>72043</v>
      </c>
      <c r="L232" s="9" t="n">
        <v>0</v>
      </c>
      <c r="M232" s="9" t="n">
        <v>0</v>
      </c>
      <c r="N232" s="9" t="n">
        <v>0</v>
      </c>
      <c r="O232" s="9" t="n">
        <v>0</v>
      </c>
      <c r="P232" s="9" t="n">
        <v>605</v>
      </c>
      <c r="Q232" s="9" t="n">
        <v>37396</v>
      </c>
      <c r="R232" s="9" t="n">
        <v>1283024</v>
      </c>
      <c r="S232" s="9" t="n">
        <v>1768125</v>
      </c>
      <c r="T232" s="11" t="n">
        <f aca="false">R232/S232</f>
        <v>0.7256410038883</v>
      </c>
      <c r="U232" s="9" t="n">
        <f aca="false">D232+E232+F232</f>
        <v>661714</v>
      </c>
      <c r="V232" s="9" t="n">
        <f aca="false">H232+I232+J232</f>
        <v>511266</v>
      </c>
      <c r="W232" s="9" t="n">
        <f aca="false">K232</f>
        <v>72043</v>
      </c>
      <c r="X232" s="11" t="n">
        <f aca="false">Q232/R232</f>
        <v>0.0291467657658781</v>
      </c>
    </row>
    <row r="233" customFormat="false" ht="15" hidden="false" customHeight="false" outlineLevel="0" collapsed="false">
      <c r="A233" s="14" t="s">
        <v>40</v>
      </c>
      <c r="B233" s="14" t="n">
        <v>2024</v>
      </c>
      <c r="C233" s="14" t="s">
        <v>113</v>
      </c>
      <c r="D233" s="9" t="n">
        <v>254346</v>
      </c>
      <c r="E233" s="9" t="n">
        <v>47807</v>
      </c>
      <c r="F233" s="9" t="n">
        <v>55722</v>
      </c>
      <c r="G233" s="9" t="n">
        <v>0</v>
      </c>
      <c r="H233" s="9" t="n">
        <v>91311</v>
      </c>
      <c r="I233" s="9" t="n">
        <v>146164</v>
      </c>
      <c r="J233" s="9" t="n">
        <v>37761</v>
      </c>
      <c r="K233" s="9" t="n">
        <v>105158</v>
      </c>
      <c r="L233" s="9" t="n">
        <v>0</v>
      </c>
      <c r="M233" s="9" t="n">
        <v>0</v>
      </c>
      <c r="N233" s="9" t="n">
        <v>0</v>
      </c>
      <c r="O233" s="9" t="n">
        <v>0</v>
      </c>
      <c r="P233" s="9" t="n">
        <v>777</v>
      </c>
      <c r="Q233" s="9" t="n">
        <v>31550</v>
      </c>
      <c r="R233" s="9" t="n">
        <v>770596</v>
      </c>
      <c r="S233" s="9" t="n">
        <v>1270087</v>
      </c>
      <c r="T233" s="11" t="n">
        <f aca="false">R233/S233</f>
        <v>0.606726940752878</v>
      </c>
      <c r="U233" s="9" t="n">
        <f aca="false">D233+E233+F233</f>
        <v>357875</v>
      </c>
      <c r="V233" s="9" t="n">
        <f aca="false">H233+I233+J233</f>
        <v>275236</v>
      </c>
      <c r="W233" s="9" t="n">
        <f aca="false">K233</f>
        <v>105158</v>
      </c>
      <c r="X233" s="11" t="n">
        <f aca="false">Q233/R233</f>
        <v>0.0409423355428785</v>
      </c>
    </row>
    <row r="234" customFormat="false" ht="15" hidden="false" customHeight="false" outlineLevel="0" collapsed="false">
      <c r="A234" s="16" t="s">
        <v>40</v>
      </c>
      <c r="B234" s="16" t="n">
        <v>2024</v>
      </c>
      <c r="C234" s="16" t="s">
        <v>4</v>
      </c>
      <c r="D234" s="22" t="n">
        <f aca="false">SUM(D202:D233)</f>
        <v>24605456</v>
      </c>
      <c r="E234" s="22" t="n">
        <f aca="false">SUM(E202:E233)</f>
        <v>3143165</v>
      </c>
      <c r="F234" s="22" t="n">
        <f aca="false">SUM(F202:F233)</f>
        <v>5308989</v>
      </c>
      <c r="G234" s="22" t="n">
        <f aca="false">SUM(G202:G233)</f>
        <v>0</v>
      </c>
      <c r="H234" s="22" t="n">
        <f aca="false">SUM(H202:H233)</f>
        <v>10160120</v>
      </c>
      <c r="I234" s="22" t="n">
        <f aca="false">SUM(I202:I233)</f>
        <v>6530476</v>
      </c>
      <c r="J234" s="22" t="n">
        <f aca="false">SUM(J202:J233)</f>
        <v>1310258</v>
      </c>
      <c r="K234" s="22" t="n">
        <f aca="false">SUM(K202:K233)</f>
        <v>6528238</v>
      </c>
      <c r="L234" s="22" t="n">
        <f aca="false">SUM(L202:L233)</f>
        <v>0</v>
      </c>
      <c r="M234" s="22" t="n">
        <f aca="false">SUM(M202:M233)</f>
        <v>0</v>
      </c>
      <c r="N234" s="22" t="n">
        <f aca="false">SUM(N202:N233)</f>
        <v>0</v>
      </c>
      <c r="O234" s="22" t="n">
        <f aca="false">SUM(O202:O233)</f>
        <v>0</v>
      </c>
      <c r="P234" s="22" t="n">
        <f aca="false">SUM(P202:P233)</f>
        <v>47092</v>
      </c>
      <c r="Q234" s="22" t="n">
        <f aca="false">SUM(Q202:Q233)</f>
        <v>2369932</v>
      </c>
      <c r="R234" s="22" t="n">
        <f aca="false">SUM(R202:R233)</f>
        <v>60003726</v>
      </c>
      <c r="S234" s="22" t="n">
        <f aca="false">SUM(S202:S233)</f>
        <v>98438250</v>
      </c>
      <c r="T234" s="17" t="n">
        <f aca="false">R234/S234</f>
        <v>0.609557016708444</v>
      </c>
      <c r="U234" s="22" t="n">
        <f aca="false">SUM(U202:U233)</f>
        <v>33057610</v>
      </c>
      <c r="V234" s="22" t="n">
        <f aca="false">SUM(V202:V233)</f>
        <v>18000854</v>
      </c>
      <c r="W234" s="22" t="n">
        <f aca="false">SUM(W202:W233)</f>
        <v>6528238</v>
      </c>
      <c r="X234" s="17" t="n">
        <f aca="false">Q234/R234</f>
        <v>0.039496413939361</v>
      </c>
    </row>
  </sheetData>
  <autoFilter ref="A3:X23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70"/>
  </cols>
  <sheetData>
    <row r="1" customFormat="false" ht="17.9" hidden="false" customHeight="false" outlineLevel="0" collapsed="false">
      <c r="A1" s="30" t="s">
        <v>174</v>
      </c>
    </row>
    <row r="2" customFormat="false" ht="15" hidden="false" customHeight="false" outlineLevel="0" collapsed="false">
      <c r="A2" s="4"/>
    </row>
    <row r="3" customFormat="false" ht="31.5" hidden="false" customHeight="true" outlineLevel="0" collapsed="false">
      <c r="A3" s="4" t="s">
        <v>175</v>
      </c>
    </row>
    <row r="4" customFormat="false" ht="31.5" hidden="false" customHeight="true" outlineLevel="0" collapsed="false">
      <c r="A4" s="4" t="s">
        <v>176</v>
      </c>
    </row>
    <row r="5" customFormat="false" ht="63.75" hidden="false" customHeight="true" outlineLevel="0" collapsed="false">
      <c r="A5" s="4" t="s">
        <v>177</v>
      </c>
    </row>
    <row r="6" customFormat="false" ht="48" hidden="false" customHeight="true" outlineLevel="0" collapsed="false">
      <c r="A6" s="4" t="s">
        <v>178</v>
      </c>
    </row>
    <row r="7" customFormat="false" ht="31.5" hidden="false" customHeight="true" outlineLevel="0" collapsed="false">
      <c r="A7" s="4" t="s">
        <v>179</v>
      </c>
    </row>
    <row r="8" customFormat="false" ht="31.5" hidden="false" customHeight="true" outlineLevel="0" collapsed="false">
      <c r="A8" s="4" t="s">
        <v>180</v>
      </c>
    </row>
    <row r="9" customFormat="false" ht="31.5" hidden="false" customHeight="true" outlineLevel="0" collapsed="false">
      <c r="A9" s="4" t="s">
        <v>181</v>
      </c>
    </row>
    <row r="10" customFormat="false" ht="48" hidden="false" customHeight="true" outlineLevel="0" collapsed="false">
      <c r="A10" s="4" t="s">
        <v>182</v>
      </c>
    </row>
    <row r="11" customFormat="false" ht="31.5" hidden="false" customHeight="true" outlineLevel="0" collapsed="false">
      <c r="A11" s="4" t="s">
        <v>183</v>
      </c>
    </row>
    <row r="12" customFormat="false" ht="48" hidden="false" customHeight="true" outlineLevel="0" collapsed="false">
      <c r="A12" s="4" t="s">
        <v>184</v>
      </c>
    </row>
    <row r="13" customFormat="false" ht="31.5" hidden="false" customHeight="true" outlineLevel="0" collapsed="false">
      <c r="A13" s="4" t="s">
        <v>185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2026-10-12T05:28:03Z</dcterms:created>
  <dc:creator>openpyxl</dc:creator>
  <dc:description/>
  <dc:language>en-US</dc:language>
  <cp:lastModifiedBy/>
  <dcterms:modified xsi:type="dcterms:W3CDTF">2026-10-12T05:28:05Z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