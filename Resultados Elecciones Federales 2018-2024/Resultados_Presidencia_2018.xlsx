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sumen por candidatura" sheetId="1" state="visible" r:id="rId3"/>
    <sheet name="Votos por partid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<sst xmlns="http://schemas.openxmlformats.org/spreadsheetml/2006/main" count="86" uniqueCount="82">
  <si>
    <t xml:space="preserve">Resultados generales por estado y candidatura – Elección presidencial 2018 (fuente: presidencia.xlsx)</t>
  </si>
  <si>
    <t xml:space="preserve">Votos por candidatura sumando partido solo + combinaciones de coalición. Las columnas % son sobre el total de votos emitidos.</t>
  </si>
  <si>
    <t xml:space="preserve">Estado</t>
  </si>
  <si>
    <t xml:space="preserve">López Obrador
(PT-Morena-PES)</t>
  </si>
  <si>
    <t xml:space="preserve">Anaya
(PAN-PRD-MC)</t>
  </si>
  <si>
    <t xml:space="preserve">Meade
(PRI-PVEM-NA)</t>
  </si>
  <si>
    <t xml:space="preserve">Independiente 02
(Rodríguez)</t>
  </si>
  <si>
    <t xml:space="preserve">Independiente 01
(Zavala)</t>
  </si>
  <si>
    <t xml:space="preserve">No registrados</t>
  </si>
  <si>
    <t xml:space="preserve">Votos nulos</t>
  </si>
  <si>
    <t xml:space="preserve">Total votos</t>
  </si>
  <si>
    <t xml:space="preserve">Lista nominal</t>
  </si>
  <si>
    <t xml:space="preserve">Participación</t>
  </si>
  <si>
    <t xml:space="preserve">López Obrador %</t>
  </si>
  <si>
    <t xml:space="preserve">Anaya %</t>
  </si>
  <si>
    <t xml:space="preserve">Meade %</t>
  </si>
  <si>
    <t xml:space="preserve">Independiente 02 %</t>
  </si>
  <si>
    <t xml:space="preserve">Independiente 01 %</t>
  </si>
  <si>
    <t xml:space="preserve">No registrados %</t>
  </si>
  <si>
    <t xml:space="preserve">Votos nulos %</t>
  </si>
  <si>
    <t xml:space="preserve">Ganador</t>
  </si>
  <si>
    <t xml:space="preserve">Margen (pts)</t>
  </si>
  <si>
    <t xml:space="preserve">Nacional</t>
  </si>
  <si>
    <t xml:space="preserve">Votos por partido y combinación de coalición, por estado – Elección presidencial 2018 (fuente: presidencia.xlsx)</t>
  </si>
  <si>
    <t xml:space="preserve">Casillas</t>
  </si>
  <si>
    <t xml:space="preserve">PAN</t>
  </si>
  <si>
    <t xml:space="preserve">PRI</t>
  </si>
  <si>
    <t xml:space="preserve">PRD</t>
  </si>
  <si>
    <t xml:space="preserve">PVEM</t>
  </si>
  <si>
    <t xml:space="preserve">PT</t>
  </si>
  <si>
    <t xml:space="preserve">MOVIMIENTO CIUDADANO</t>
  </si>
  <si>
    <t xml:space="preserve">NUEVA ALIANZA</t>
  </si>
  <si>
    <t xml:space="preserve">MORENA</t>
  </si>
  <si>
    <t xml:space="preserve">ENCUENTRO SOCIAL</t>
  </si>
  <si>
    <t xml:space="preserve">PAN-PRD-MC</t>
  </si>
  <si>
    <t xml:space="preserve">PAN-PRD</t>
  </si>
  <si>
    <t xml:space="preserve">PAN-MC</t>
  </si>
  <si>
    <t xml:space="preserve">PRD-MC</t>
  </si>
  <si>
    <t xml:space="preserve">PRI-PVEM-NA</t>
  </si>
  <si>
    <t xml:space="preserve">PRI-PVEM</t>
  </si>
  <si>
    <t xml:space="preserve">PRI-NA</t>
  </si>
  <si>
    <t xml:space="preserve">PVEM-NA</t>
  </si>
  <si>
    <t xml:space="preserve">PT-MORENA-PES</t>
  </si>
  <si>
    <t xml:space="preserve">PT-MORENA</t>
  </si>
  <si>
    <t xml:space="preserve">PT-PES</t>
  </si>
  <si>
    <t xml:space="preserve">MORENA-PES</t>
  </si>
  <si>
    <t xml:space="preserve">CAND-IND-01</t>
  </si>
  <si>
    <t xml:space="preserve">CAND-IND-02</t>
  </si>
  <si>
    <t xml:space="preserve">CNR</t>
  </si>
  <si>
    <t xml:space="preserve">VN</t>
  </si>
  <si>
    <t xml:space="preserve">Aguascalientes</t>
  </si>
  <si>
    <t xml:space="preserve">Baja California</t>
  </si>
  <si>
    <t xml:space="preserve">Baja California Sur</t>
  </si>
  <si>
    <t xml:space="preserve">Campeche</t>
  </si>
  <si>
    <t xml:space="preserve">Coahuila</t>
  </si>
  <si>
    <t xml:space="preserve">Colima</t>
  </si>
  <si>
    <t xml:space="preserve">Chiapas</t>
  </si>
  <si>
    <t xml:space="preserve">Chihuahua</t>
  </si>
  <si>
    <t xml:space="preserve">Ciudad de México</t>
  </si>
  <si>
    <t xml:space="preserve">Durango</t>
  </si>
  <si>
    <t xml:space="preserve">Guanajuato</t>
  </si>
  <si>
    <t xml:space="preserve">Guerrero</t>
  </si>
  <si>
    <t xml:space="preserve">Hidalgo</t>
  </si>
  <si>
    <t xml:space="preserve">Jalisco</t>
  </si>
  <si>
    <t xml:space="preserve">México</t>
  </si>
  <si>
    <t xml:space="preserve">Michoacán</t>
  </si>
  <si>
    <t xml:space="preserve">Morelos</t>
  </si>
  <si>
    <t xml:space="preserve">Nayarit</t>
  </si>
  <si>
    <t xml:space="preserve">Nuevo León</t>
  </si>
  <si>
    <t xml:space="preserve">Oaxaca</t>
  </si>
  <si>
    <t xml:space="preserve">Puebla</t>
  </si>
  <si>
    <t xml:space="preserve">Querétaro</t>
  </si>
  <si>
    <t xml:space="preserve">Quintana Roo</t>
  </si>
  <si>
    <t xml:space="preserve">San Luis Potosí</t>
  </si>
  <si>
    <t xml:space="preserve">Sinaloa</t>
  </si>
  <si>
    <t xml:space="preserve">Sonora</t>
  </si>
  <si>
    <t xml:space="preserve">Tabasco</t>
  </si>
  <si>
    <t xml:space="preserve">Tamaulipas</t>
  </si>
  <si>
    <t xml:space="preserve">Tlaxcala</t>
  </si>
  <si>
    <t xml:space="preserve">Veracruz</t>
  </si>
  <si>
    <t xml:space="preserve">Yucatán</t>
  </si>
  <si>
    <t xml:space="preserve">Zacatecas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</si>
</sst>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i val="true"/>
      <sz val="11"/>
      <color rgb="FF595959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18" min="2" style="0" width="14"/>
    <col collapsed="false" customWidth="true" hidden="false" outlineLevel="0" max="19" min="19" style="0" width="22"/>
    <col collapsed="false" customWidth="true" hidden="false" outlineLevel="0" max="20" min="20" style="0" width="1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4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</row>
    <row r="4" customFormat="false" ht="15" hidden="false" customHeight="false" outlineLevel="0" collapsed="false">
      <c r="A4" s="4" t="str">
        <f aca="false">'Votos por partido'!A4</f>
        <v>Aguascalientes</v>
      </c>
      <c r="B4" s="5" t="n">
        <f aca="false">'Votos por partido'!G4+'Votos por partido'!J4+'Votos por partido'!K4+'Votos por partido'!T4+'Votos por partido'!U4+'Votos por partido'!V4+'Votos por partido'!W4</f>
        <v>222528</v>
      </c>
      <c r="C4" s="5" t="n">
        <f aca="false">'Votos por partido'!C4+'Votos por partido'!E4+'Votos por partido'!H4+'Votos por partido'!L4+'Votos por partido'!M4+'Votos por partido'!N4+'Votos por partido'!O4</f>
        <v>178988</v>
      </c>
      <c r="D4" s="5" t="n">
        <f aca="false">'Votos por partido'!D4+'Votos por partido'!F4+'Votos por partido'!I4+'Votos por partido'!P4+'Votos por partido'!Q4+'Votos por partido'!R4+'Votos por partido'!S4</f>
        <v>103639</v>
      </c>
      <c r="E4" s="5" t="n">
        <f aca="false">'Votos por partido'!Y4</f>
        <v>40299</v>
      </c>
      <c r="F4" s="5" t="n">
        <f aca="false">'Votos por partido'!X4</f>
        <v>547</v>
      </c>
      <c r="G4" s="5" t="n">
        <f aca="false">'Votos por partido'!Z4</f>
        <v>391</v>
      </c>
      <c r="H4" s="5" t="n">
        <f aca="false">'Votos por partido'!AA4</f>
        <v>14714</v>
      </c>
      <c r="I4" s="5" t="n">
        <f aca="false">'Votos por partido'!AB4</f>
        <v>561106</v>
      </c>
      <c r="J4" s="5" t="n">
        <f aca="false">'Votos por partido'!AC4</f>
        <v>945131</v>
      </c>
      <c r="K4" s="6" t="n">
        <f aca="false">I4/J4</f>
        <v>0.59368066437351</v>
      </c>
      <c r="L4" s="6" t="n">
        <f aca="false">B4/I4</f>
        <v>0.396588166941719</v>
      </c>
      <c r="M4" s="6" t="n">
        <f aca="false">C4/I4</f>
        <v>0.31899142051591</v>
      </c>
      <c r="N4" s="6" t="n">
        <f aca="false">D4/I4</f>
        <v>0.184704850776859</v>
      </c>
      <c r="O4" s="6" t="n">
        <f aca="false">E4/I4</f>
        <v>0.0718206542079393</v>
      </c>
      <c r="P4" s="6" t="n">
        <f aca="false">F4/I4</f>
        <v>0.000974860365064712</v>
      </c>
      <c r="Q4" s="6" t="n">
        <f aca="false">G4/I4</f>
        <v>0.000696838030603843</v>
      </c>
      <c r="R4" s="6" t="n">
        <f aca="false">H4/I4</f>
        <v>0.0262232091619052</v>
      </c>
      <c r="S4" s="4" t="str">
        <f aca="false">SUBSTITUTE(INDEX($B$3:$E$3,MATCH(MAX(B4:E4),B4:E4,0)),CHAR(10)," ")</f>
        <v>López Obrador (PT-Morena-PES)</v>
      </c>
      <c r="T4" s="7" t="n">
        <f aca="false">(MAX(L4:O4)-LARGE(L4:O4,2))*100</f>
        <v>7.7596746425809</v>
      </c>
    </row>
    <row r="5" customFormat="false" ht="15" hidden="false" customHeight="false" outlineLevel="0" collapsed="false">
      <c r="A5" s="4" t="str">
        <f aca="false">'Votos por partido'!A5</f>
        <v>Baja California</v>
      </c>
      <c r="B5" s="5" t="n">
        <f aca="false">'Votos por partido'!G5+'Votos por partido'!J5+'Votos por partido'!K5+'Votos por partido'!T5+'Votos por partido'!U5+'Votos por partido'!V5+'Votos por partido'!W5</f>
        <v>918939</v>
      </c>
      <c r="C5" s="5" t="n">
        <f aca="false">'Votos por partido'!C5+'Votos por partido'!E5+'Votos por partido'!H5+'Votos por partido'!L5+'Votos por partido'!M5+'Votos por partido'!N5+'Votos por partido'!O5</f>
        <v>275503</v>
      </c>
      <c r="D5" s="5" t="n">
        <f aca="false">'Votos por partido'!D5+'Votos por partido'!F5+'Votos por partido'!I5+'Votos por partido'!P5+'Votos por partido'!Q5+'Votos por partido'!R5+'Votos por partido'!S5</f>
        <v>124225</v>
      </c>
      <c r="E5" s="5" t="n">
        <f aca="false">'Votos por partido'!Y5</f>
        <v>89823</v>
      </c>
      <c r="F5" s="5" t="n">
        <f aca="false">'Votos por partido'!X5</f>
        <v>479</v>
      </c>
      <c r="G5" s="5" t="n">
        <f aca="false">'Votos por partido'!Z5</f>
        <v>1252</v>
      </c>
      <c r="H5" s="5" t="n">
        <f aca="false">'Votos por partido'!AA5</f>
        <v>28201</v>
      </c>
      <c r="I5" s="5" t="n">
        <f aca="false">'Votos por partido'!AB5</f>
        <v>1438422</v>
      </c>
      <c r="J5" s="5" t="n">
        <f aca="false">'Votos por partido'!AC5</f>
        <v>2734195</v>
      </c>
      <c r="K5" s="6" t="n">
        <f aca="false">I5/J5</f>
        <v>0.526086105782506</v>
      </c>
      <c r="L5" s="6" t="n">
        <f aca="false">B5/I5</f>
        <v>0.638852158824045</v>
      </c>
      <c r="M5" s="6" t="n">
        <f aca="false">C5/I5</f>
        <v>0.191531414285933</v>
      </c>
      <c r="N5" s="6" t="n">
        <f aca="false">D5/I5</f>
        <v>0.0863619994688624</v>
      </c>
      <c r="O5" s="6" t="n">
        <f aca="false">E5/I5</f>
        <v>0.062445513208224</v>
      </c>
      <c r="P5" s="6" t="n">
        <f aca="false">F5/I5</f>
        <v>0.000333003805559147</v>
      </c>
      <c r="Q5" s="6" t="n">
        <f aca="false">G5/I5</f>
        <v>0.000870398255866498</v>
      </c>
      <c r="R5" s="6" t="n">
        <f aca="false">H5/I5</f>
        <v>0.0196055121515105</v>
      </c>
      <c r="S5" s="4" t="str">
        <f aca="false">SUBSTITUTE(INDEX($B$3:$E$3,MATCH(MAX(B5:E5),B5:E5,0)),CHAR(10)," ")</f>
        <v>López Obrador (PT-Morena-PES)</v>
      </c>
      <c r="T5" s="7" t="n">
        <f aca="false">(MAX(L5:O5)-LARGE(L5:O5,2))*100</f>
        <v>44.7320744538112</v>
      </c>
    </row>
    <row r="6" customFormat="false" ht="15" hidden="false" customHeight="false" outlineLevel="0" collapsed="false">
      <c r="A6" s="4" t="str">
        <f aca="false">'Votos por partido'!A6</f>
        <v>Baja California Sur</v>
      </c>
      <c r="B6" s="5" t="n">
        <f aca="false">'Votos por partido'!G6+'Votos por partido'!J6+'Votos por partido'!K6+'Votos por partido'!T6+'Votos por partido'!U6+'Votos por partido'!V6+'Votos por partido'!W6</f>
        <v>193842</v>
      </c>
      <c r="C6" s="5" t="n">
        <f aca="false">'Votos por partido'!C6+'Votos por partido'!E6+'Votos por partido'!H6+'Votos por partido'!L6+'Votos por partido'!M6+'Votos por partido'!N6+'Votos por partido'!O6</f>
        <v>56794</v>
      </c>
      <c r="D6" s="5" t="n">
        <f aca="false">'Votos por partido'!D6+'Votos por partido'!F6+'Votos por partido'!I6+'Votos por partido'!P6+'Votos por partido'!Q6+'Votos por partido'!R6+'Votos por partido'!S6</f>
        <v>28202</v>
      </c>
      <c r="E6" s="5" t="n">
        <f aca="false">'Votos por partido'!Y6</f>
        <v>16766</v>
      </c>
      <c r="F6" s="5" t="n">
        <f aca="false">'Votos por partido'!X6</f>
        <v>404</v>
      </c>
      <c r="G6" s="5" t="n">
        <f aca="false">'Votos por partido'!Z6</f>
        <v>235</v>
      </c>
      <c r="H6" s="5" t="n">
        <f aca="false">'Votos por partido'!AA6</f>
        <v>6645</v>
      </c>
      <c r="I6" s="5" t="n">
        <f aca="false">'Votos por partido'!AB6</f>
        <v>302888</v>
      </c>
      <c r="J6" s="5" t="n">
        <f aca="false">'Votos por partido'!AC6</f>
        <v>516365</v>
      </c>
      <c r="K6" s="6" t="n">
        <f aca="false">I6/J6</f>
        <v>0.586577324179602</v>
      </c>
      <c r="L6" s="6" t="n">
        <f aca="false">B6/I6</f>
        <v>0.639979134201421</v>
      </c>
      <c r="M6" s="6" t="n">
        <f aca="false">C6/I6</f>
        <v>0.18750825387602</v>
      </c>
      <c r="N6" s="6" t="n">
        <f aca="false">D6/I6</f>
        <v>0.0931103246084361</v>
      </c>
      <c r="O6" s="6" t="n">
        <f aca="false">E6/I6</f>
        <v>0.055353794141729</v>
      </c>
      <c r="P6" s="6" t="n">
        <f aca="false">F6/I6</f>
        <v>0.00133382636486094</v>
      </c>
      <c r="Q6" s="6" t="n">
        <f aca="false">G6/I6</f>
        <v>0.000775864345896833</v>
      </c>
      <c r="R6" s="6" t="n">
        <f aca="false">H6/I6</f>
        <v>0.021938802461636</v>
      </c>
      <c r="S6" s="4" t="str">
        <f aca="false">SUBSTITUTE(INDEX($B$3:$E$3,MATCH(MAX(B6:E6),B6:E6,0)),CHAR(10)," ")</f>
        <v>López Obrador (PT-Morena-PES)</v>
      </c>
      <c r="T6" s="7" t="n">
        <f aca="false">(MAX(L6:O6)-LARGE(L6:O6,2))*100</f>
        <v>45.2470880325401</v>
      </c>
    </row>
    <row r="7" customFormat="false" ht="15" hidden="false" customHeight="false" outlineLevel="0" collapsed="false">
      <c r="A7" s="4" t="str">
        <f aca="false">'Votos por partido'!A7</f>
        <v>Campeche</v>
      </c>
      <c r="B7" s="5" t="n">
        <f aca="false">'Votos por partido'!G7+'Votos por partido'!J7+'Votos por partido'!K7+'Votos por partido'!T7+'Votos por partido'!U7+'Votos por partido'!V7+'Votos por partido'!W7</f>
        <v>275262</v>
      </c>
      <c r="C7" s="5" t="n">
        <f aca="false">'Votos por partido'!C7+'Votos por partido'!E7+'Votos por partido'!H7+'Votos por partido'!L7+'Votos por partido'!M7+'Votos por partido'!N7+'Votos por partido'!O7</f>
        <v>54417</v>
      </c>
      <c r="D7" s="5" t="n">
        <f aca="false">'Votos por partido'!D7+'Votos por partido'!F7+'Votos por partido'!I7+'Votos por partido'!P7+'Votos por partido'!Q7+'Votos por partido'!R7+'Votos por partido'!S7</f>
        <v>96584</v>
      </c>
      <c r="E7" s="5" t="n">
        <f aca="false">'Votos por partido'!Y7</f>
        <v>11194</v>
      </c>
      <c r="F7" s="5" t="n">
        <f aca="false">'Votos por partido'!X7</f>
        <v>209</v>
      </c>
      <c r="G7" s="5" t="n">
        <f aca="false">'Votos por partido'!Z7</f>
        <v>146</v>
      </c>
      <c r="H7" s="5" t="n">
        <f aca="false">'Votos por partido'!AA7</f>
        <v>11735</v>
      </c>
      <c r="I7" s="5" t="n">
        <f aca="false">'Votos por partido'!AB7</f>
        <v>449547</v>
      </c>
      <c r="J7" s="5" t="n">
        <f aca="false">'Votos por partido'!AC7</f>
        <v>642407</v>
      </c>
      <c r="K7" s="6" t="n">
        <f aca="false">I7/J7</f>
        <v>0.699785338578191</v>
      </c>
      <c r="L7" s="6" t="n">
        <f aca="false">B7/I7</f>
        <v>0.612309725123291</v>
      </c>
      <c r="M7" s="6" t="n">
        <f aca="false">C7/I7</f>
        <v>0.121048522178994</v>
      </c>
      <c r="N7" s="6" t="n">
        <f aca="false">D7/I7</f>
        <v>0.214847390817868</v>
      </c>
      <c r="O7" s="6" t="n">
        <f aca="false">E7/I7</f>
        <v>0.0249006221818853</v>
      </c>
      <c r="P7" s="6" t="n">
        <f aca="false">F7/I7</f>
        <v>0.000464912456317137</v>
      </c>
      <c r="Q7" s="6" t="n">
        <f aca="false">G7/I7</f>
        <v>0.000324771380967952</v>
      </c>
      <c r="R7" s="6" t="n">
        <f aca="false">H7/I7</f>
        <v>0.0261040558606775</v>
      </c>
      <c r="S7" s="4" t="str">
        <f aca="false">SUBSTITUTE(INDEX($B$3:$E$3,MATCH(MAX(B7:E7),B7:E7,0)),CHAR(10)," ")</f>
        <v>López Obrador (PT-Morena-PES)</v>
      </c>
      <c r="T7" s="7" t="n">
        <f aca="false">(MAX(L7:O7)-LARGE(L7:O7,2))*100</f>
        <v>39.7462334305423</v>
      </c>
    </row>
    <row r="8" customFormat="false" ht="15" hidden="false" customHeight="false" outlineLevel="0" collapsed="false">
      <c r="A8" s="4" t="str">
        <f aca="false">'Votos por partido'!A8</f>
        <v>Coahuila</v>
      </c>
      <c r="B8" s="5" t="n">
        <f aca="false">'Votos por partido'!G8+'Votos por partido'!J8+'Votos por partido'!K8+'Votos por partido'!T8+'Votos por partido'!U8+'Votos por partido'!V8+'Votos por partido'!W8</f>
        <v>609362</v>
      </c>
      <c r="C8" s="5" t="n">
        <f aca="false">'Votos por partido'!C8+'Votos por partido'!E8+'Votos por partido'!H8+'Votos por partido'!L8+'Votos por partido'!M8+'Votos por partido'!N8+'Votos por partido'!O8</f>
        <v>307590</v>
      </c>
      <c r="D8" s="5" t="n">
        <f aca="false">'Votos por partido'!D8+'Votos por partido'!F8+'Votos por partido'!I8+'Votos por partido'!P8+'Votos por partido'!Q8+'Votos por partido'!R8+'Votos por partido'!S8</f>
        <v>358279</v>
      </c>
      <c r="E8" s="5" t="n">
        <f aca="false">'Votos por partido'!Y8</f>
        <v>71051</v>
      </c>
      <c r="F8" s="5" t="n">
        <f aca="false">'Votos por partido'!X8</f>
        <v>730</v>
      </c>
      <c r="G8" s="5" t="n">
        <f aca="false">'Votos por partido'!Z8</f>
        <v>437</v>
      </c>
      <c r="H8" s="5" t="n">
        <f aca="false">'Votos por partido'!AA8</f>
        <v>24367</v>
      </c>
      <c r="I8" s="5" t="n">
        <f aca="false">'Votos por partido'!AB8</f>
        <v>1371816</v>
      </c>
      <c r="J8" s="5" t="n">
        <f aca="false">'Votos por partido'!AC8</f>
        <v>2157244</v>
      </c>
      <c r="K8" s="6" t="n">
        <f aca="false">I8/J8</f>
        <v>0.635911375810988</v>
      </c>
      <c r="L8" s="6" t="n">
        <f aca="false">B8/I8</f>
        <v>0.444200971558868</v>
      </c>
      <c r="M8" s="6" t="n">
        <f aca="false">C8/I8</f>
        <v>0.224221032558302</v>
      </c>
      <c r="N8" s="6" t="n">
        <f aca="false">D8/I8</f>
        <v>0.261171323267844</v>
      </c>
      <c r="O8" s="6" t="n">
        <f aca="false">E8/I8</f>
        <v>0.0517933892008841</v>
      </c>
      <c r="P8" s="6" t="n">
        <f aca="false">F8/I8</f>
        <v>0.000532141336739038</v>
      </c>
      <c r="Q8" s="6" t="n">
        <f aca="false">G8/I8</f>
        <v>0.000318555841308164</v>
      </c>
      <c r="R8" s="6" t="n">
        <f aca="false">H8/I8</f>
        <v>0.017762586236055</v>
      </c>
      <c r="S8" s="4" t="str">
        <f aca="false">SUBSTITUTE(INDEX($B$3:$E$3,MATCH(MAX(B8:E8),B8:E8,0)),CHAR(10)," ")</f>
        <v>López Obrador (PT-Morena-PES)</v>
      </c>
      <c r="T8" s="7" t="n">
        <f aca="false">(MAX(L8:O8)-LARGE(L8:O8,2))*100</f>
        <v>18.3029648291024</v>
      </c>
    </row>
    <row r="9" customFormat="false" ht="15" hidden="false" customHeight="false" outlineLevel="0" collapsed="false">
      <c r="A9" s="4" t="str">
        <f aca="false">'Votos por partido'!A9</f>
        <v>Colima</v>
      </c>
      <c r="B9" s="5" t="n">
        <f aca="false">'Votos por partido'!G9+'Votos por partido'!J9+'Votos por partido'!K9+'Votos por partido'!T9+'Votos por partido'!U9+'Votos por partido'!V9+'Votos por partido'!W9</f>
        <v>197316</v>
      </c>
      <c r="C9" s="5" t="n">
        <f aca="false">'Votos por partido'!C9+'Votos por partido'!E9+'Votos por partido'!H9+'Votos por partido'!L9+'Votos por partido'!M9+'Votos por partido'!N9+'Votos por partido'!O9</f>
        <v>56428</v>
      </c>
      <c r="D9" s="5" t="n">
        <f aca="false">'Votos por partido'!D9+'Votos por partido'!F9+'Votos por partido'!I9+'Votos por partido'!P9+'Votos por partido'!Q9+'Votos por partido'!R9+'Votos por partido'!S9</f>
        <v>62004</v>
      </c>
      <c r="E9" s="5" t="n">
        <f aca="false">'Votos por partido'!Y9</f>
        <v>15753</v>
      </c>
      <c r="F9" s="5" t="n">
        <f aca="false">'Votos por partido'!X9</f>
        <v>346</v>
      </c>
      <c r="G9" s="5" t="n">
        <f aca="false">'Votos por partido'!Z9</f>
        <v>200</v>
      </c>
      <c r="H9" s="5" t="n">
        <f aca="false">'Votos por partido'!AA9</f>
        <v>9062</v>
      </c>
      <c r="I9" s="5" t="n">
        <f aca="false">'Votos por partido'!AB9</f>
        <v>341109</v>
      </c>
      <c r="J9" s="5" t="n">
        <f aca="false">'Votos por partido'!AC9</f>
        <v>531888</v>
      </c>
      <c r="K9" s="6" t="n">
        <f aca="false">I9/J9</f>
        <v>0.641317345004963</v>
      </c>
      <c r="L9" s="6" t="n">
        <f aca="false">B9/I9</f>
        <v>0.578454394343157</v>
      </c>
      <c r="M9" s="6" t="n">
        <f aca="false">C9/I9</f>
        <v>0.165425128038252</v>
      </c>
      <c r="N9" s="6" t="n">
        <f aca="false">D9/I9</f>
        <v>0.181771809011196</v>
      </c>
      <c r="O9" s="6" t="n">
        <f aca="false">E9/I9</f>
        <v>0.046181719039955</v>
      </c>
      <c r="P9" s="6" t="n">
        <f aca="false">F9/I9</f>
        <v>0.00101433852522214</v>
      </c>
      <c r="Q9" s="6" t="n">
        <f aca="false">G9/I9</f>
        <v>0.000586322846949216</v>
      </c>
      <c r="R9" s="6" t="n">
        <f aca="false">H9/I9</f>
        <v>0.026566288195269</v>
      </c>
      <c r="S9" s="4" t="str">
        <f aca="false">SUBSTITUTE(INDEX($B$3:$E$3,MATCH(MAX(B9:E9),B9:E9,0)),CHAR(10)," ")</f>
        <v>López Obrador (PT-Morena-PES)</v>
      </c>
      <c r="T9" s="7" t="n">
        <f aca="false">(MAX(L9:O9)-LARGE(L9:O9,2))*100</f>
        <v>39.6682585331961</v>
      </c>
    </row>
    <row r="10" customFormat="false" ht="15" hidden="false" customHeight="false" outlineLevel="0" collapsed="false">
      <c r="A10" s="4" t="str">
        <f aca="false">'Votos por partido'!A10</f>
        <v>Chiapas</v>
      </c>
      <c r="B10" s="5" t="n">
        <f aca="false">'Votos por partido'!G10+'Votos por partido'!J10+'Votos por partido'!K10+'Votos por partido'!T10+'Votos por partido'!U10+'Votos por partido'!V10+'Votos por partido'!W10</f>
        <v>1485699</v>
      </c>
      <c r="C10" s="5" t="n">
        <f aca="false">'Votos por partido'!C10+'Votos por partido'!E10+'Votos por partido'!H10+'Votos por partido'!L10+'Votos por partido'!M10+'Votos por partido'!N10+'Votos por partido'!O10</f>
        <v>198117</v>
      </c>
      <c r="D10" s="5" t="n">
        <f aca="false">'Votos por partido'!D10+'Votos por partido'!F10+'Votos por partido'!I10+'Votos por partido'!P10+'Votos por partido'!Q10+'Votos por partido'!R10+'Votos por partido'!S10</f>
        <v>562863</v>
      </c>
      <c r="E10" s="5" t="n">
        <f aca="false">'Votos por partido'!Y10</f>
        <v>39607</v>
      </c>
      <c r="F10" s="5" t="n">
        <f aca="false">'Votos por partido'!X10</f>
        <v>1697</v>
      </c>
      <c r="G10" s="5" t="n">
        <f aca="false">'Votos por partido'!Z10</f>
        <v>580</v>
      </c>
      <c r="H10" s="5" t="n">
        <f aca="false">'Votos por partido'!AA10</f>
        <v>137087</v>
      </c>
      <c r="I10" s="5" t="n">
        <f aca="false">'Votos por partido'!AB10</f>
        <v>2425650</v>
      </c>
      <c r="J10" s="5" t="n">
        <f aca="false">'Votos por partido'!AC10</f>
        <v>3501730</v>
      </c>
      <c r="K10" s="6" t="n">
        <f aca="false">I10/J10</f>
        <v>0.69270046519863</v>
      </c>
      <c r="L10" s="6" t="n">
        <f aca="false">B10/I10</f>
        <v>0.612495207470163</v>
      </c>
      <c r="M10" s="6" t="n">
        <f aca="false">C10/I10</f>
        <v>0.0816758394657102</v>
      </c>
      <c r="N10" s="6" t="n">
        <f aca="false">D10/I10</f>
        <v>0.232046255642817</v>
      </c>
      <c r="O10" s="6" t="n">
        <f aca="false">E10/I10</f>
        <v>0.0163284068187908</v>
      </c>
      <c r="P10" s="6" t="n">
        <f aca="false">F10/I10</f>
        <v>0.000699606291097232</v>
      </c>
      <c r="Q10" s="6" t="n">
        <f aca="false">G10/I10</f>
        <v>0.000239111166079195</v>
      </c>
      <c r="R10" s="6" t="n">
        <f aca="false">H10/I10</f>
        <v>0.0565155731453425</v>
      </c>
      <c r="S10" s="4" t="str">
        <f aca="false">SUBSTITUTE(INDEX($B$3:$E$3,MATCH(MAX(B10:E10),B10:E10,0)),CHAR(10)," ")</f>
        <v>López Obrador (PT-Morena-PES)</v>
      </c>
      <c r="T10" s="7" t="n">
        <f aca="false">(MAX(L10:O10)-LARGE(L10:O10,2))*100</f>
        <v>38.0448951827345</v>
      </c>
    </row>
    <row r="11" customFormat="false" ht="15" hidden="false" customHeight="false" outlineLevel="0" collapsed="false">
      <c r="A11" s="4" t="str">
        <f aca="false">'Votos por partido'!A11</f>
        <v>Chihuahua</v>
      </c>
      <c r="B11" s="5" t="n">
        <f aca="false">'Votos por partido'!G11+'Votos por partido'!J11+'Votos por partido'!K11+'Votos por partido'!T11+'Votos por partido'!U11+'Votos por partido'!V11+'Votos por partido'!W11</f>
        <v>643652</v>
      </c>
      <c r="C11" s="5" t="n">
        <f aca="false">'Votos por partido'!C11+'Votos por partido'!E11+'Votos por partido'!H11+'Votos por partido'!L11+'Votos por partido'!M11+'Votos por partido'!N11+'Votos por partido'!O11</f>
        <v>425919</v>
      </c>
      <c r="D11" s="5" t="n">
        <f aca="false">'Votos por partido'!D11+'Votos por partido'!F11+'Votos por partido'!I11+'Votos por partido'!P11+'Votos por partido'!Q11+'Votos por partido'!R11+'Votos por partido'!S11</f>
        <v>240725</v>
      </c>
      <c r="E11" s="5" t="n">
        <f aca="false">'Votos por partido'!Y11</f>
        <v>132242</v>
      </c>
      <c r="F11" s="5" t="n">
        <f aca="false">'Votos por partido'!X11</f>
        <v>1604</v>
      </c>
      <c r="G11" s="5" t="n">
        <f aca="false">'Votos por partido'!Z11</f>
        <v>1717</v>
      </c>
      <c r="H11" s="5" t="n">
        <f aca="false">'Votos por partido'!AA11</f>
        <v>48846</v>
      </c>
      <c r="I11" s="5" t="n">
        <f aca="false">'Votos por partido'!AB11</f>
        <v>1494705</v>
      </c>
      <c r="J11" s="5" t="n">
        <f aca="false">'Votos por partido'!AC11</f>
        <v>2745255</v>
      </c>
      <c r="K11" s="6" t="n">
        <f aca="false">I11/J11</f>
        <v>0.544468546637744</v>
      </c>
      <c r="L11" s="6" t="n">
        <f aca="false">B11/I11</f>
        <v>0.430621426970539</v>
      </c>
      <c r="M11" s="6" t="n">
        <f aca="false">C11/I11</f>
        <v>0.284951880136883</v>
      </c>
      <c r="N11" s="6" t="n">
        <f aca="false">D11/I11</f>
        <v>0.161051846350952</v>
      </c>
      <c r="O11" s="6" t="n">
        <f aca="false">E11/I11</f>
        <v>0.0884736453012467</v>
      </c>
      <c r="P11" s="6" t="n">
        <f aca="false">F11/I11</f>
        <v>0.0010731214520591</v>
      </c>
      <c r="Q11" s="6" t="n">
        <f aca="false">G11/I11</f>
        <v>0.00114872165410566</v>
      </c>
      <c r="R11" s="6" t="n">
        <f aca="false">H11/I11</f>
        <v>0.0326793581342138</v>
      </c>
      <c r="S11" s="4" t="str">
        <f aca="false">SUBSTITUTE(INDEX($B$3:$E$3,MATCH(MAX(B11:E11),B11:E11,0)),CHAR(10)," ")</f>
        <v>López Obrador (PT-Morena-PES)</v>
      </c>
      <c r="T11" s="7" t="n">
        <f aca="false">(MAX(L11:O11)-LARGE(L11:O11,2))*100</f>
        <v>14.5669546833656</v>
      </c>
    </row>
    <row r="12" customFormat="false" ht="15" hidden="false" customHeight="false" outlineLevel="0" collapsed="false">
      <c r="A12" s="4" t="str">
        <f aca="false">'Votos por partido'!A12</f>
        <v>Ciudad de México</v>
      </c>
      <c r="B12" s="5" t="n">
        <f aca="false">'Votos por partido'!G12+'Votos por partido'!J12+'Votos por partido'!K12+'Votos por partido'!T12+'Votos por partido'!U12+'Votos por partido'!V12+'Votos por partido'!W12</f>
        <v>3118478</v>
      </c>
      <c r="C12" s="5" t="n">
        <f aca="false">'Votos por partido'!C12+'Votos por partido'!E12+'Votos por partido'!H12+'Votos por partido'!L12+'Votos por partido'!M12+'Votos por partido'!N12+'Votos por partido'!O12</f>
        <v>1292623</v>
      </c>
      <c r="D12" s="5" t="n">
        <f aca="false">'Votos por partido'!D12+'Votos por partido'!F12+'Votos por partido'!I12+'Votos por partido'!P12+'Votos por partido'!Q12+'Votos por partido'!R12+'Votos por partido'!S12</f>
        <v>652073</v>
      </c>
      <c r="E12" s="5" t="n">
        <f aca="false">'Votos por partido'!Y12</f>
        <v>223261</v>
      </c>
      <c r="F12" s="5" t="n">
        <f aca="false">'Votos por partido'!X12</f>
        <v>3054</v>
      </c>
      <c r="G12" s="5" t="n">
        <f aca="false">'Votos por partido'!Z12</f>
        <v>4793</v>
      </c>
      <c r="H12" s="5" t="n">
        <f aca="false">'Votos por partido'!AA12</f>
        <v>111586</v>
      </c>
      <c r="I12" s="5" t="n">
        <f aca="false">'Votos por partido'!AB12</f>
        <v>5405868</v>
      </c>
      <c r="J12" s="5" t="n">
        <f aca="false">'Votos por partido'!AC12</f>
        <v>7655623</v>
      </c>
      <c r="K12" s="6" t="n">
        <f aca="false">I12/J12</f>
        <v>0.70613038285715</v>
      </c>
      <c r="L12" s="6" t="n">
        <f aca="false">B12/I12</f>
        <v>0.576869061545713</v>
      </c>
      <c r="M12" s="6" t="n">
        <f aca="false">C12/I12</f>
        <v>0.239114791556139</v>
      </c>
      <c r="N12" s="6" t="n">
        <f aca="false">D12/I12</f>
        <v>0.120623182068079</v>
      </c>
      <c r="O12" s="6" t="n">
        <f aca="false">E12/I12</f>
        <v>0.0412997505673464</v>
      </c>
      <c r="P12" s="6" t="n">
        <f aca="false">F12/I12</f>
        <v>0.000564941652293397</v>
      </c>
      <c r="Q12" s="6" t="n">
        <f aca="false">G12/I12</f>
        <v>0.000886629122279715</v>
      </c>
      <c r="R12" s="6" t="n">
        <f aca="false">H12/I12</f>
        <v>0.0206416434881503</v>
      </c>
      <c r="S12" s="4" t="str">
        <f aca="false">SUBSTITUTE(INDEX($B$3:$E$3,MATCH(MAX(B12:E12),B12:E12,0)),CHAR(10)," ")</f>
        <v>López Obrador (PT-Morena-PES)</v>
      </c>
      <c r="T12" s="7" t="n">
        <f aca="false">(MAX(L12:O12)-LARGE(L12:O12,2))*100</f>
        <v>33.7754269989574</v>
      </c>
    </row>
    <row r="13" customFormat="false" ht="15" hidden="false" customHeight="false" outlineLevel="0" collapsed="false">
      <c r="A13" s="4" t="str">
        <f aca="false">'Votos por partido'!A13</f>
        <v>Durango</v>
      </c>
      <c r="B13" s="5" t="n">
        <f aca="false">'Votos por partido'!G13+'Votos por partido'!J13+'Votos por partido'!K13+'Votos por partido'!T13+'Votos por partido'!U13+'Votos por partido'!V13+'Votos por partido'!W13</f>
        <v>340829</v>
      </c>
      <c r="C13" s="5" t="n">
        <f aca="false">'Votos por partido'!C13+'Votos por partido'!E13+'Votos por partido'!H13+'Votos por partido'!L13+'Votos por partido'!M13+'Votos por partido'!N13+'Votos por partido'!O13</f>
        <v>187947</v>
      </c>
      <c r="D13" s="5" t="n">
        <f aca="false">'Votos por partido'!D13+'Votos por partido'!F13+'Votos por partido'!I13+'Votos por partido'!P13+'Votos por partido'!Q13+'Votos por partido'!R13+'Votos por partido'!S13</f>
        <v>141291</v>
      </c>
      <c r="E13" s="5" t="n">
        <f aca="false">'Votos por partido'!Y13</f>
        <v>46009</v>
      </c>
      <c r="F13" s="5" t="n">
        <f aca="false">'Votos por partido'!X13</f>
        <v>636</v>
      </c>
      <c r="G13" s="5" t="n">
        <f aca="false">'Votos por partido'!Z13</f>
        <v>215</v>
      </c>
      <c r="H13" s="5" t="n">
        <f aca="false">'Votos por partido'!AA13</f>
        <v>16788</v>
      </c>
      <c r="I13" s="5" t="n">
        <f aca="false">'Votos por partido'!AB13</f>
        <v>733715</v>
      </c>
      <c r="J13" s="5" t="n">
        <f aca="false">'Votos por partido'!AC13</f>
        <v>1284462</v>
      </c>
      <c r="K13" s="6" t="n">
        <f aca="false">I13/J13</f>
        <v>0.571223594002781</v>
      </c>
      <c r="L13" s="6" t="n">
        <f aca="false">B13/I13</f>
        <v>0.464525054005983</v>
      </c>
      <c r="M13" s="6" t="n">
        <f aca="false">C13/I13</f>
        <v>0.25615804501748</v>
      </c>
      <c r="N13" s="6" t="n">
        <f aca="false">D13/I13</f>
        <v>0.19256932187566</v>
      </c>
      <c r="O13" s="6" t="n">
        <f aca="false">E13/I13</f>
        <v>0.0627069093585384</v>
      </c>
      <c r="P13" s="6" t="n">
        <f aca="false">F13/I13</f>
        <v>0.000866821586038176</v>
      </c>
      <c r="Q13" s="6" t="n">
        <f aca="false">G13/I13</f>
        <v>0.00029302930974561</v>
      </c>
      <c r="R13" s="6" t="n">
        <f aca="false">H13/I13</f>
        <v>0.0228808188465549</v>
      </c>
      <c r="S13" s="4" t="str">
        <f aca="false">SUBSTITUTE(INDEX($B$3:$E$3,MATCH(MAX(B13:E13),B13:E13,0)),CHAR(10)," ")</f>
        <v>López Obrador (PT-Morena-PES)</v>
      </c>
      <c r="T13" s="7" t="n">
        <f aca="false">(MAX(L13:O13)-LARGE(L13:O13,2))*100</f>
        <v>20.8367008988504</v>
      </c>
    </row>
    <row r="14" customFormat="false" ht="15" hidden="false" customHeight="false" outlineLevel="0" collapsed="false">
      <c r="A14" s="4" t="str">
        <f aca="false">'Votos por partido'!A14</f>
        <v>Guanajuato</v>
      </c>
      <c r="B14" s="5" t="n">
        <f aca="false">'Votos por partido'!G14+'Votos por partido'!J14+'Votos por partido'!K14+'Votos por partido'!T14+'Votos por partido'!U14+'Votos por partido'!V14+'Votos por partido'!W14</f>
        <v>707222</v>
      </c>
      <c r="C14" s="5" t="n">
        <f aca="false">'Votos por partido'!C14+'Votos por partido'!E14+'Votos por partido'!H14+'Votos por partido'!L14+'Votos por partido'!M14+'Votos por partido'!N14+'Votos por partido'!O14</f>
        <v>940133</v>
      </c>
      <c r="D14" s="5" t="n">
        <f aca="false">'Votos por partido'!D14+'Votos por partido'!F14+'Votos por partido'!I14+'Votos por partido'!P14+'Votos por partido'!Q14+'Votos por partido'!R14+'Votos por partido'!S14</f>
        <v>381692</v>
      </c>
      <c r="E14" s="5" t="n">
        <f aca="false">'Votos por partido'!Y14</f>
        <v>223214</v>
      </c>
      <c r="F14" s="5" t="n">
        <f aca="false">'Votos por partido'!X14</f>
        <v>1655</v>
      </c>
      <c r="G14" s="5" t="n">
        <f aca="false">'Votos por partido'!Z14</f>
        <v>1859</v>
      </c>
      <c r="H14" s="5" t="n">
        <f aca="false">'Votos por partido'!AA14</f>
        <v>69232</v>
      </c>
      <c r="I14" s="5" t="n">
        <f aca="false">'Votos por partido'!AB14</f>
        <v>2325007</v>
      </c>
      <c r="J14" s="5" t="n">
        <f aca="false">'Votos por partido'!AC14</f>
        <v>4370567</v>
      </c>
      <c r="K14" s="6" t="n">
        <f aca="false">I14/J14</f>
        <v>0.531969193013172</v>
      </c>
      <c r="L14" s="6" t="n">
        <f aca="false">B14/I14</f>
        <v>0.304180589563816</v>
      </c>
      <c r="M14" s="6" t="n">
        <f aca="false">C14/I14</f>
        <v>0.404357062150781</v>
      </c>
      <c r="N14" s="6" t="n">
        <f aca="false">D14/I14</f>
        <v>0.164168107880966</v>
      </c>
      <c r="O14" s="6" t="n">
        <f aca="false">E14/I14</f>
        <v>0.0960057324558593</v>
      </c>
      <c r="P14" s="6" t="n">
        <f aca="false">F14/I14</f>
        <v>0.000711825813857765</v>
      </c>
      <c r="Q14" s="6" t="n">
        <f aca="false">G14/I14</f>
        <v>0.000799567485173163</v>
      </c>
      <c r="R14" s="6" t="n">
        <f aca="false">H14/I14</f>
        <v>0.0297771146495473</v>
      </c>
      <c r="S14" s="4" t="str">
        <f aca="false">SUBSTITUTE(INDEX($B$3:$E$3,MATCH(MAX(B14:E14),B14:E14,0)),CHAR(10)," ")</f>
        <v>Anaya (PAN-PRD-MC)</v>
      </c>
      <c r="T14" s="7" t="n">
        <f aca="false">(MAX(L14:O14)-LARGE(L14:O14,2))*100</f>
        <v>10.0176472586964</v>
      </c>
    </row>
    <row r="15" customFormat="false" ht="15" hidden="false" customHeight="false" outlineLevel="0" collapsed="false">
      <c r="A15" s="4" t="str">
        <f aca="false">'Votos por partido'!A15</f>
        <v>Guerrero</v>
      </c>
      <c r="B15" s="5" t="n">
        <f aca="false">'Votos por partido'!G15+'Votos por partido'!J15+'Votos por partido'!K15+'Votos por partido'!T15+'Votos por partido'!U15+'Votos por partido'!V15+'Votos por partido'!W15</f>
        <v>1018163</v>
      </c>
      <c r="C15" s="5" t="n">
        <f aca="false">'Votos por partido'!C15+'Votos por partido'!E15+'Votos por partido'!H15+'Votos por partido'!L15+'Votos por partido'!M15+'Votos por partido'!N15+'Votos por partido'!O15</f>
        <v>217838</v>
      </c>
      <c r="D15" s="5" t="n">
        <f aca="false">'Votos por partido'!D15+'Votos por partido'!F15+'Votos por partido'!I15+'Votos por partido'!P15+'Votos por partido'!Q15+'Votos por partido'!R15+'Votos por partido'!S15</f>
        <v>285799</v>
      </c>
      <c r="E15" s="5" t="n">
        <f aca="false">'Votos por partido'!Y15</f>
        <v>24531</v>
      </c>
      <c r="F15" s="5" t="n">
        <f aca="false">'Votos por partido'!X15</f>
        <v>277</v>
      </c>
      <c r="G15" s="5" t="n">
        <f aca="false">'Votos por partido'!Z15</f>
        <v>362</v>
      </c>
      <c r="H15" s="5" t="n">
        <f aca="false">'Votos por partido'!AA15</f>
        <v>66168</v>
      </c>
      <c r="I15" s="5" t="n">
        <f aca="false">'Votos por partido'!AB15</f>
        <v>1613138</v>
      </c>
      <c r="J15" s="5" t="n">
        <f aca="false">'Votos por partido'!AC15</f>
        <v>2512092</v>
      </c>
      <c r="K15" s="6" t="n">
        <f aca="false">I15/J15</f>
        <v>0.64214925249553</v>
      </c>
      <c r="L15" s="6" t="n">
        <f aca="false">B15/I15</f>
        <v>0.631169187013138</v>
      </c>
      <c r="M15" s="6" t="n">
        <f aca="false">C15/I15</f>
        <v>0.135039903591633</v>
      </c>
      <c r="N15" s="6" t="n">
        <f aca="false">D15/I15</f>
        <v>0.177169591194306</v>
      </c>
      <c r="O15" s="6" t="n">
        <f aca="false">E15/I15</f>
        <v>0.0152070064681385</v>
      </c>
      <c r="P15" s="6" t="n">
        <f aca="false">F15/I15</f>
        <v>0.000171715005163848</v>
      </c>
      <c r="Q15" s="6" t="n">
        <f aca="false">G15/I15</f>
        <v>0.000224407335268278</v>
      </c>
      <c r="R15" s="6" t="n">
        <f aca="false">H15/I15</f>
        <v>0.0410181893923521</v>
      </c>
      <c r="S15" s="4" t="str">
        <f aca="false">SUBSTITUTE(INDEX($B$3:$E$3,MATCH(MAX(B15:E15),B15:E15,0)),CHAR(10)," ")</f>
        <v>López Obrador (PT-Morena-PES)</v>
      </c>
      <c r="T15" s="7" t="n">
        <f aca="false">(MAX(L15:O15)-LARGE(L15:O15,2))*100</f>
        <v>45.3999595818833</v>
      </c>
    </row>
    <row r="16" customFormat="false" ht="15" hidden="false" customHeight="false" outlineLevel="0" collapsed="false">
      <c r="A16" s="4" t="str">
        <f aca="false">'Votos por partido'!A16</f>
        <v>Hidalgo</v>
      </c>
      <c r="B16" s="5" t="n">
        <f aca="false">'Votos por partido'!G16+'Votos por partido'!J16+'Votos por partido'!K16+'Votos por partido'!T16+'Votos por partido'!U16+'Votos por partido'!V16+'Votos por partido'!W16</f>
        <v>850863</v>
      </c>
      <c r="C16" s="5" t="n">
        <f aca="false">'Votos por partido'!C16+'Votos por partido'!E16+'Votos por partido'!H16+'Votos por partido'!L16+'Votos por partido'!M16+'Votos por partido'!N16+'Votos por partido'!O16</f>
        <v>188028</v>
      </c>
      <c r="D16" s="5" t="n">
        <f aca="false">'Votos por partido'!D16+'Votos por partido'!F16+'Votos por partido'!I16+'Votos por partido'!P16+'Votos por partido'!Q16+'Votos por partido'!R16+'Votos por partido'!S16</f>
        <v>257548</v>
      </c>
      <c r="E16" s="5" t="n">
        <f aca="false">'Votos por partido'!Y16</f>
        <v>59630</v>
      </c>
      <c r="F16" s="5" t="n">
        <f aca="false">'Votos por partido'!X16</f>
        <v>473</v>
      </c>
      <c r="G16" s="5" t="n">
        <f aca="false">'Votos por partido'!Z16</f>
        <v>454</v>
      </c>
      <c r="H16" s="5" t="n">
        <f aca="false">'Votos por partido'!AA16</f>
        <v>37916</v>
      </c>
      <c r="I16" s="5" t="n">
        <f aca="false">'Votos por partido'!AB16</f>
        <v>1394912</v>
      </c>
      <c r="J16" s="5" t="n">
        <f aca="false">'Votos por partido'!AC16</f>
        <v>2122657</v>
      </c>
      <c r="K16" s="6" t="n">
        <f aca="false">I16/J16</f>
        <v>0.657153746460215</v>
      </c>
      <c r="L16" s="6" t="n">
        <f aca="false">B16/I16</f>
        <v>0.609976113188502</v>
      </c>
      <c r="M16" s="6" t="n">
        <f aca="false">C16/I16</f>
        <v>0.134795600009176</v>
      </c>
      <c r="N16" s="6" t="n">
        <f aca="false">D16/I16</f>
        <v>0.184633869376706</v>
      </c>
      <c r="O16" s="6" t="n">
        <f aca="false">E16/I16</f>
        <v>0.0427482163749398</v>
      </c>
      <c r="P16" s="6" t="n">
        <f aca="false">F16/I16</f>
        <v>0.000339089490949967</v>
      </c>
      <c r="Q16" s="6" t="n">
        <f aca="false">G16/I16</f>
        <v>0.000325468560023858</v>
      </c>
      <c r="R16" s="6" t="n">
        <f aca="false">H16/I16</f>
        <v>0.0271816429997018</v>
      </c>
      <c r="S16" s="4" t="str">
        <f aca="false">SUBSTITUTE(INDEX($B$3:$E$3,MATCH(MAX(B16:E16),B16:E16,0)),CHAR(10)," ")</f>
        <v>López Obrador (PT-Morena-PES)</v>
      </c>
      <c r="T16" s="7" t="n">
        <f aca="false">(MAX(L16:O16)-LARGE(L16:O16,2))*100</f>
        <v>42.5342243811796</v>
      </c>
    </row>
    <row r="17" customFormat="false" ht="15" hidden="false" customHeight="false" outlineLevel="0" collapsed="false">
      <c r="A17" s="4" t="str">
        <f aca="false">'Votos por partido'!A17</f>
        <v>Jalisco</v>
      </c>
      <c r="B17" s="5" t="n">
        <f aca="false">'Votos por partido'!G17+'Votos por partido'!J17+'Votos por partido'!K17+'Votos por partido'!T17+'Votos por partido'!U17+'Votos por partido'!V17+'Votos por partido'!W17</f>
        <v>1461348</v>
      </c>
      <c r="C17" s="5" t="n">
        <f aca="false">'Votos por partido'!C17+'Votos por partido'!E17+'Votos por partido'!H17+'Votos por partido'!L17+'Votos por partido'!M17+'Votos por partido'!N17+'Votos por partido'!O17</f>
        <v>1179300</v>
      </c>
      <c r="D17" s="5" t="n">
        <f aca="false">'Votos por partido'!D17+'Votos por partido'!F17+'Votos por partido'!I17+'Votos por partido'!P17+'Votos por partido'!Q17+'Votos por partido'!R17+'Votos por partido'!S17</f>
        <v>509157</v>
      </c>
      <c r="E17" s="5" t="n">
        <f aca="false">'Votos por partido'!Y17</f>
        <v>246924</v>
      </c>
      <c r="F17" s="5" t="n">
        <f aca="false">'Votos por partido'!X17</f>
        <v>3152</v>
      </c>
      <c r="G17" s="5" t="n">
        <f aca="false">'Votos por partido'!Z17</f>
        <v>2954</v>
      </c>
      <c r="H17" s="5" t="n">
        <f aca="false">'Votos por partido'!AA17</f>
        <v>96988</v>
      </c>
      <c r="I17" s="5" t="n">
        <f aca="false">'Votos por partido'!AB17</f>
        <v>3499823</v>
      </c>
      <c r="J17" s="5" t="n">
        <f aca="false">'Votos por partido'!AC17</f>
        <v>5913395</v>
      </c>
      <c r="K17" s="6" t="n">
        <f aca="false">I17/J17</f>
        <v>0.591846646469583</v>
      </c>
      <c r="L17" s="6" t="n">
        <f aca="false">B17/I17</f>
        <v>0.417549116055298</v>
      </c>
      <c r="M17" s="6" t="n">
        <f aca="false">C17/I17</f>
        <v>0.336959897686254</v>
      </c>
      <c r="N17" s="6" t="n">
        <f aca="false">D17/I17</f>
        <v>0.145480785742593</v>
      </c>
      <c r="O17" s="6" t="n">
        <f aca="false">E17/I17</f>
        <v>0.0705532822659889</v>
      </c>
      <c r="P17" s="6" t="n">
        <f aca="false">F17/I17</f>
        <v>0.000900616974058402</v>
      </c>
      <c r="Q17" s="6" t="n">
        <f aca="false">G17/I17</f>
        <v>0.000844042684444328</v>
      </c>
      <c r="R17" s="6" t="n">
        <f aca="false">H17/I17</f>
        <v>0.0277122585913631</v>
      </c>
      <c r="S17" s="4" t="str">
        <f aca="false">SUBSTITUTE(INDEX($B$3:$E$3,MATCH(MAX(B17:E17),B17:E17,0)),CHAR(10)," ")</f>
        <v>López Obrador (PT-Morena-PES)</v>
      </c>
      <c r="T17" s="7" t="n">
        <f aca="false">(MAX(L17:O17)-LARGE(L17:O17,2))*100</f>
        <v>8.05892183690433</v>
      </c>
    </row>
    <row r="18" customFormat="false" ht="15" hidden="false" customHeight="false" outlineLevel="0" collapsed="false">
      <c r="A18" s="4" t="str">
        <f aca="false">'Votos por partido'!A18</f>
        <v>México</v>
      </c>
      <c r="B18" s="5" t="n">
        <f aca="false">'Votos por partido'!G18+'Votos por partido'!J18+'Votos por partido'!K18+'Votos por partido'!T18+'Votos por partido'!U18+'Votos por partido'!V18+'Votos por partido'!W18</f>
        <v>4373267</v>
      </c>
      <c r="C18" s="5" t="n">
        <f aca="false">'Votos por partido'!C18+'Votos por partido'!E18+'Votos por partido'!H18+'Votos por partido'!L18+'Votos por partido'!M18+'Votos por partido'!N18+'Votos por partido'!O18</f>
        <v>1549824</v>
      </c>
      <c r="D18" s="5" t="n">
        <f aca="false">'Votos por partido'!D18+'Votos por partido'!F18+'Votos por partido'!I18+'Votos por partido'!P18+'Votos por partido'!Q18+'Votos por partido'!R18+'Votos por partido'!S18</f>
        <v>1548662</v>
      </c>
      <c r="E18" s="5" t="n">
        <f aca="false">'Votos por partido'!Y18</f>
        <v>383684</v>
      </c>
      <c r="F18" s="5" t="n">
        <f aca="false">'Votos por partido'!X18</f>
        <v>3092</v>
      </c>
      <c r="G18" s="5" t="n">
        <f aca="false">'Votos por partido'!Z18</f>
        <v>4653</v>
      </c>
      <c r="H18" s="5" t="n">
        <f aca="false">'Votos por partido'!AA18</f>
        <v>176978</v>
      </c>
      <c r="I18" s="5" t="n">
        <f aca="false">'Votos por partido'!AB18</f>
        <v>8040160</v>
      </c>
      <c r="J18" s="5" t="n">
        <f aca="false">'Votos por partido'!AC18</f>
        <v>11841734</v>
      </c>
      <c r="K18" s="6" t="n">
        <f aca="false">I18/J18</f>
        <v>0.678968130849756</v>
      </c>
      <c r="L18" s="6" t="n">
        <f aca="false">B18/I18</f>
        <v>0.543927857157072</v>
      </c>
      <c r="M18" s="6" t="n">
        <f aca="false">C18/I18</f>
        <v>0.19276034307775</v>
      </c>
      <c r="N18" s="6" t="n">
        <f aca="false">D18/I18</f>
        <v>0.192615818590675</v>
      </c>
      <c r="O18" s="6" t="n">
        <f aca="false">E18/I18</f>
        <v>0.0477209408767985</v>
      </c>
      <c r="P18" s="6" t="n">
        <f aca="false">F18/I18</f>
        <v>0.000384569461304253</v>
      </c>
      <c r="Q18" s="6" t="n">
        <f aca="false">G18/I18</f>
        <v>0.000578719826471115</v>
      </c>
      <c r="R18" s="6" t="n">
        <f aca="false">H18/I18</f>
        <v>0.0220117510099302</v>
      </c>
      <c r="S18" s="4" t="str">
        <f aca="false">SUBSTITUTE(INDEX($B$3:$E$3,MATCH(MAX(B18:E18),B18:E18,0)),CHAR(10)," ")</f>
        <v>López Obrador (PT-Morena-PES)</v>
      </c>
      <c r="T18" s="7" t="n">
        <f aca="false">(MAX(L18:O18)-LARGE(L18:O18,2))*100</f>
        <v>35.1167514079322</v>
      </c>
    </row>
    <row r="19" customFormat="false" ht="15" hidden="false" customHeight="false" outlineLevel="0" collapsed="false">
      <c r="A19" s="4" t="str">
        <f aca="false">'Votos por partido'!A19</f>
        <v>Michoacán</v>
      </c>
      <c r="B19" s="5" t="n">
        <f aca="false">'Votos por partido'!G19+'Votos por partido'!J19+'Votos por partido'!K19+'Votos por partido'!T19+'Votos por partido'!U19+'Votos por partido'!V19+'Votos por partido'!W19</f>
        <v>991154</v>
      </c>
      <c r="C19" s="5" t="n">
        <f aca="false">'Votos por partido'!C19+'Votos por partido'!E19+'Votos por partido'!H19+'Votos por partido'!L19+'Votos por partido'!M19+'Votos por partido'!N19+'Votos por partido'!O19</f>
        <v>443805</v>
      </c>
      <c r="D19" s="5" t="n">
        <f aca="false">'Votos por partido'!D19+'Votos por partido'!F19+'Votos por partido'!I19+'Votos por partido'!P19+'Votos por partido'!Q19+'Votos por partido'!R19+'Votos por partido'!S19</f>
        <v>335854</v>
      </c>
      <c r="E19" s="5" t="n">
        <f aca="false">'Votos por partido'!Y19</f>
        <v>122469</v>
      </c>
      <c r="F19" s="5" t="n">
        <f aca="false">'Votos por partido'!X19</f>
        <v>1176</v>
      </c>
      <c r="G19" s="5" t="n">
        <f aca="false">'Votos por partido'!Z19</f>
        <v>1097</v>
      </c>
      <c r="H19" s="5" t="n">
        <f aca="false">'Votos por partido'!AA19</f>
        <v>85400</v>
      </c>
      <c r="I19" s="5" t="n">
        <f aca="false">'Votos por partido'!AB19</f>
        <v>1980955</v>
      </c>
      <c r="J19" s="5" t="n">
        <f aca="false">'Votos por partido'!AC19</f>
        <v>3382252</v>
      </c>
      <c r="K19" s="6" t="n">
        <f aca="false">I19/J19</f>
        <v>0.585691131234456</v>
      </c>
      <c r="L19" s="6" t="n">
        <f aca="false">B19/I19</f>
        <v>0.500341501952341</v>
      </c>
      <c r="M19" s="6" t="n">
        <f aca="false">C19/I19</f>
        <v>0.22403588168333</v>
      </c>
      <c r="N19" s="6" t="n">
        <f aca="false">D19/I19</f>
        <v>0.169541458538937</v>
      </c>
      <c r="O19" s="6" t="n">
        <f aca="false">E19/I19</f>
        <v>0.0618232115318117</v>
      </c>
      <c r="P19" s="6" t="n">
        <f aca="false">F19/I19</f>
        <v>0.000593653061276001</v>
      </c>
      <c r="Q19" s="6" t="n">
        <f aca="false">G19/I19</f>
        <v>0.000553773306309331</v>
      </c>
      <c r="R19" s="6" t="n">
        <f aca="false">H19/I19</f>
        <v>0.0431105199259953</v>
      </c>
      <c r="S19" s="4" t="str">
        <f aca="false">SUBSTITUTE(INDEX($B$3:$E$3,MATCH(MAX(B19:E19),B19:E19,0)),CHAR(10)," ")</f>
        <v>López Obrador (PT-Morena-PES)</v>
      </c>
      <c r="T19" s="7" t="n">
        <f aca="false">(MAX(L19:O19)-LARGE(L19:O19,2))*100</f>
        <v>27.6305620269012</v>
      </c>
    </row>
    <row r="20" customFormat="false" ht="15" hidden="false" customHeight="false" outlineLevel="0" collapsed="false">
      <c r="A20" s="4" t="str">
        <f aca="false">'Votos por partido'!A20</f>
        <v>Morelos</v>
      </c>
      <c r="B20" s="5" t="n">
        <f aca="false">'Votos por partido'!G20+'Votos por partido'!J20+'Votos por partido'!K20+'Votos por partido'!T20+'Votos por partido'!U20+'Votos por partido'!V20+'Votos por partido'!W20</f>
        <v>638689</v>
      </c>
      <c r="C20" s="5" t="n">
        <f aca="false">'Votos por partido'!C20+'Votos por partido'!E20+'Votos por partido'!H20+'Votos por partido'!L20+'Votos por partido'!M20+'Votos por partido'!N20+'Votos por partido'!O20</f>
        <v>142553</v>
      </c>
      <c r="D20" s="5" t="n">
        <f aca="false">'Votos por partido'!D20+'Votos por partido'!F20+'Votos por partido'!I20+'Votos por partido'!P20+'Votos por partido'!Q20+'Votos por partido'!R20+'Votos por partido'!S20</f>
        <v>99506</v>
      </c>
      <c r="E20" s="5" t="n">
        <f aca="false">'Votos por partido'!Y20</f>
        <v>60083</v>
      </c>
      <c r="F20" s="5" t="n">
        <f aca="false">'Votos por partido'!X20</f>
        <v>680</v>
      </c>
      <c r="G20" s="5" t="n">
        <f aca="false">'Votos por partido'!Z20</f>
        <v>510</v>
      </c>
      <c r="H20" s="5" t="n">
        <f aca="false">'Votos por partido'!AA20</f>
        <v>26169</v>
      </c>
      <c r="I20" s="5" t="n">
        <f aca="false">'Votos por partido'!AB20</f>
        <v>968190</v>
      </c>
      <c r="J20" s="5" t="n">
        <f aca="false">'Votos por partido'!AC20</f>
        <v>1442849</v>
      </c>
      <c r="K20" s="6" t="n">
        <f aca="false">I20/J20</f>
        <v>0.6710265592588</v>
      </c>
      <c r="L20" s="6" t="n">
        <f aca="false">B20/I20</f>
        <v>0.659673204639585</v>
      </c>
      <c r="M20" s="6" t="n">
        <f aca="false">C20/I20</f>
        <v>0.147236596122662</v>
      </c>
      <c r="N20" s="6" t="n">
        <f aca="false">D20/I20</f>
        <v>0.102775281711234</v>
      </c>
      <c r="O20" s="6" t="n">
        <f aca="false">E20/I20</f>
        <v>0.0620570342598044</v>
      </c>
      <c r="P20" s="6" t="n">
        <f aca="false">F20/I20</f>
        <v>0.000702341482560241</v>
      </c>
      <c r="Q20" s="6" t="n">
        <f aca="false">G20/I20</f>
        <v>0.000526756111920181</v>
      </c>
      <c r="R20" s="6" t="n">
        <f aca="false">H20/I20</f>
        <v>0.0270287856722338</v>
      </c>
      <c r="S20" s="4" t="str">
        <f aca="false">SUBSTITUTE(INDEX($B$3:$E$3,MATCH(MAX(B20:E20),B20:E20,0)),CHAR(10)," ")</f>
        <v>López Obrador (PT-Morena-PES)</v>
      </c>
      <c r="T20" s="7" t="n">
        <f aca="false">(MAX(L20:O20)-LARGE(L20:O20,2))*100</f>
        <v>51.2436608516923</v>
      </c>
    </row>
    <row r="21" customFormat="false" ht="15" hidden="false" customHeight="false" outlineLevel="0" collapsed="false">
      <c r="A21" s="4" t="str">
        <f aca="false">'Votos por partido'!A21</f>
        <v>Nayarit</v>
      </c>
      <c r="B21" s="5" t="n">
        <f aca="false">'Votos por partido'!G21+'Votos por partido'!J21+'Votos por partido'!K21+'Votos por partido'!T21+'Votos por partido'!U21+'Votos por partido'!V21+'Votos por partido'!W21</f>
        <v>315816</v>
      </c>
      <c r="C21" s="5" t="n">
        <f aca="false">'Votos por partido'!C21+'Votos por partido'!E21+'Votos por partido'!H21+'Votos por partido'!L21+'Votos por partido'!M21+'Votos por partido'!N21+'Votos por partido'!O21</f>
        <v>79818</v>
      </c>
      <c r="D21" s="5" t="n">
        <f aca="false">'Votos por partido'!D21+'Votos por partido'!F21+'Votos por partido'!I21+'Votos por partido'!P21+'Votos por partido'!Q21+'Votos por partido'!R21+'Votos por partido'!S21</f>
        <v>66447</v>
      </c>
      <c r="E21" s="5" t="n">
        <f aca="false">'Votos por partido'!Y21</f>
        <v>10382</v>
      </c>
      <c r="F21" s="5" t="n">
        <f aca="false">'Votos por partido'!X21</f>
        <v>280</v>
      </c>
      <c r="G21" s="5" t="n">
        <f aca="false">'Votos por partido'!Z21</f>
        <v>183</v>
      </c>
      <c r="H21" s="5" t="n">
        <f aca="false">'Votos por partido'!AA21</f>
        <v>11750</v>
      </c>
      <c r="I21" s="5" t="n">
        <f aca="false">'Votos por partido'!AB21</f>
        <v>484676</v>
      </c>
      <c r="J21" s="5" t="n">
        <f aca="false">'Votos por partido'!AC21</f>
        <v>848895</v>
      </c>
      <c r="K21" s="6" t="n">
        <f aca="false">I21/J21</f>
        <v>0.570949292904305</v>
      </c>
      <c r="L21" s="6" t="n">
        <f aca="false">B21/I21</f>
        <v>0.651602307520901</v>
      </c>
      <c r="M21" s="6" t="n">
        <f aca="false">C21/I21</f>
        <v>0.164683211052332</v>
      </c>
      <c r="N21" s="6" t="n">
        <f aca="false">D21/I21</f>
        <v>0.137095709298583</v>
      </c>
      <c r="O21" s="6" t="n">
        <f aca="false">E21/I21</f>
        <v>0.0214204953412176</v>
      </c>
      <c r="P21" s="6" t="n">
        <f aca="false">F21/I21</f>
        <v>0.000577705518738291</v>
      </c>
      <c r="Q21" s="6" t="n">
        <f aca="false">G21/I21</f>
        <v>0.000377571821175383</v>
      </c>
      <c r="R21" s="6" t="n">
        <f aca="false">H21/I21</f>
        <v>0.0242429994470533</v>
      </c>
      <c r="S21" s="4" t="str">
        <f aca="false">SUBSTITUTE(INDEX($B$3:$E$3,MATCH(MAX(B21:E21),B21:E21,0)),CHAR(10)," ")</f>
        <v>López Obrador (PT-Morena-PES)</v>
      </c>
      <c r="T21" s="7" t="n">
        <f aca="false">(MAX(L21:O21)-LARGE(L21:O21,2))*100</f>
        <v>48.6919096468569</v>
      </c>
    </row>
    <row r="22" customFormat="false" ht="15" hidden="false" customHeight="false" outlineLevel="0" collapsed="false">
      <c r="A22" s="4" t="str">
        <f aca="false">'Votos por partido'!A22</f>
        <v>Nuevo León</v>
      </c>
      <c r="B22" s="5" t="n">
        <f aca="false">'Votos por partido'!G22+'Votos por partido'!J22+'Votos por partido'!K22+'Votos por partido'!T22+'Votos por partido'!U22+'Votos por partido'!V22+'Votos por partido'!W22</f>
        <v>748104</v>
      </c>
      <c r="C22" s="5" t="n">
        <f aca="false">'Votos por partido'!C22+'Votos por partido'!E22+'Votos por partido'!H22+'Votos por partido'!L22+'Votos por partido'!M22+'Votos por partido'!N22+'Votos por partido'!O22</f>
        <v>703866</v>
      </c>
      <c r="D22" s="5" t="n">
        <f aca="false">'Votos por partido'!D22+'Votos por partido'!F22+'Votos por partido'!I22+'Votos por partido'!P22+'Votos por partido'!Q22+'Votos por partido'!R22+'Votos por partido'!S22</f>
        <v>315379</v>
      </c>
      <c r="E22" s="5" t="n">
        <f aca="false">'Votos por partido'!Y22</f>
        <v>360050</v>
      </c>
      <c r="F22" s="5" t="n">
        <f aca="false">'Votos por partido'!X22</f>
        <v>2000</v>
      </c>
      <c r="G22" s="5" t="n">
        <f aca="false">'Votos por partido'!Z22</f>
        <v>1931</v>
      </c>
      <c r="H22" s="5" t="n">
        <f aca="false">'Votos por partido'!AA22</f>
        <v>47432</v>
      </c>
      <c r="I22" s="5" t="n">
        <f aca="false">'Votos por partido'!AB22</f>
        <v>2178762</v>
      </c>
      <c r="J22" s="5" t="n">
        <f aca="false">'Votos por partido'!AC22</f>
        <v>3905471</v>
      </c>
      <c r="K22" s="6" t="n">
        <f aca="false">I22/J22</f>
        <v>0.557874325529494</v>
      </c>
      <c r="L22" s="6" t="n">
        <f aca="false">B22/I22</f>
        <v>0.343361964271453</v>
      </c>
      <c r="M22" s="6" t="n">
        <f aca="false">C22/I22</f>
        <v>0.323057773175776</v>
      </c>
      <c r="N22" s="6" t="n">
        <f aca="false">D22/I22</f>
        <v>0.14475146895347</v>
      </c>
      <c r="O22" s="6" t="n">
        <f aca="false">E22/I22</f>
        <v>0.165254396762932</v>
      </c>
      <c r="P22" s="6" t="n">
        <f aca="false">F22/I22</f>
        <v>0.000917952488615094</v>
      </c>
      <c r="Q22" s="6" t="n">
        <f aca="false">G22/I22</f>
        <v>0.000886283127757874</v>
      </c>
      <c r="R22" s="6" t="n">
        <f aca="false">H22/I22</f>
        <v>0.0217701612199956</v>
      </c>
      <c r="S22" s="4" t="str">
        <f aca="false">SUBSTITUTE(INDEX($B$3:$E$3,MATCH(MAX(B22:E22),B22:E22,0)),CHAR(10)," ")</f>
        <v>López Obrador (PT-Morena-PES)</v>
      </c>
      <c r="T22" s="7" t="n">
        <f aca="false">(MAX(L22:O22)-LARGE(L22:O22,2))*100</f>
        <v>2.03041910956773</v>
      </c>
    </row>
    <row r="23" customFormat="false" ht="15" hidden="false" customHeight="false" outlineLevel="0" collapsed="false">
      <c r="A23" s="4" t="str">
        <f aca="false">'Votos por partido'!A23</f>
        <v>Oaxaca</v>
      </c>
      <c r="B23" s="5" t="n">
        <f aca="false">'Votos por partido'!G23+'Votos por partido'!J23+'Votos por partido'!K23+'Votos por partido'!T23+'Votos por partido'!U23+'Votos por partido'!V23+'Votos por partido'!W23</f>
        <v>1260562</v>
      </c>
      <c r="C23" s="5" t="n">
        <f aca="false">'Votos por partido'!C23+'Votos por partido'!E23+'Votos por partido'!H23+'Votos por partido'!L23+'Votos por partido'!M23+'Votos por partido'!N23+'Votos por partido'!O23</f>
        <v>221686</v>
      </c>
      <c r="D23" s="5" t="n">
        <f aca="false">'Votos por partido'!D23+'Votos por partido'!F23+'Votos por partido'!I23+'Votos por partido'!P23+'Votos por partido'!Q23+'Votos por partido'!R23+'Votos por partido'!S23</f>
        <v>342108</v>
      </c>
      <c r="E23" s="5" t="n">
        <f aca="false">'Votos por partido'!Y23</f>
        <v>39020</v>
      </c>
      <c r="F23" s="5" t="n">
        <f aca="false">'Votos por partido'!X23</f>
        <v>931</v>
      </c>
      <c r="G23" s="5" t="n">
        <f aca="false">'Votos por partido'!Z23</f>
        <v>548</v>
      </c>
      <c r="H23" s="5" t="n">
        <f aca="false">'Votos por partido'!AA23</f>
        <v>64602</v>
      </c>
      <c r="I23" s="5" t="n">
        <f aca="false">'Votos por partido'!AB23</f>
        <v>1929457</v>
      </c>
      <c r="J23" s="5" t="n">
        <f aca="false">'Votos por partido'!AC23</f>
        <v>2866552</v>
      </c>
      <c r="K23" s="6" t="n">
        <f aca="false">I23/J23</f>
        <v>0.673093319081601</v>
      </c>
      <c r="L23" s="6" t="n">
        <f aca="false">B23/I23</f>
        <v>0.65332474369732</v>
      </c>
      <c r="M23" s="6" t="n">
        <f aca="false">C23/I23</f>
        <v>0.114895537967418</v>
      </c>
      <c r="N23" s="6" t="n">
        <f aca="false">D23/I23</f>
        <v>0.177307916165014</v>
      </c>
      <c r="O23" s="6" t="n">
        <f aca="false">E23/I23</f>
        <v>0.0202233063499212</v>
      </c>
      <c r="P23" s="6" t="n">
        <f aca="false">F23/I23</f>
        <v>0.000482519175083974</v>
      </c>
      <c r="Q23" s="6" t="n">
        <f aca="false">G23/I23</f>
        <v>0.000284017731413553</v>
      </c>
      <c r="R23" s="6" t="n">
        <f aca="false">H23/I23</f>
        <v>0.0334819589138291</v>
      </c>
      <c r="S23" s="4" t="str">
        <f aca="false">SUBSTITUTE(INDEX($B$3:$E$3,MATCH(MAX(B23:E23),B23:E23,0)),CHAR(10)," ")</f>
        <v>López Obrador (PT-Morena-PES)</v>
      </c>
      <c r="T23" s="7" t="n">
        <f aca="false">(MAX(L23:O23)-LARGE(L23:O23,2))*100</f>
        <v>47.6016827532306</v>
      </c>
    </row>
    <row r="24" customFormat="false" ht="15" hidden="false" customHeight="false" outlineLevel="0" collapsed="false">
      <c r="A24" s="4" t="str">
        <f aca="false">'Votos por partido'!A24</f>
        <v>Puebla</v>
      </c>
      <c r="B24" s="5" t="n">
        <f aca="false">'Votos por partido'!G24+'Votos por partido'!J24+'Votos por partido'!K24+'Votos por partido'!T24+'Votos por partido'!U24+'Votos por partido'!V24+'Votos por partido'!W24</f>
        <v>1754596</v>
      </c>
      <c r="C24" s="5" t="n">
        <f aca="false">'Votos por partido'!C24+'Votos por partido'!E24+'Votos por partido'!H24+'Votos por partido'!L24+'Votos por partido'!M24+'Votos por partido'!N24+'Votos por partido'!O24</f>
        <v>618397</v>
      </c>
      <c r="D24" s="5" t="n">
        <f aca="false">'Votos por partido'!D24+'Votos por partido'!F24+'Votos por partido'!I24+'Votos por partido'!P24+'Votos por partido'!Q24+'Votos por partido'!R24+'Votos por partido'!S24</f>
        <v>490737</v>
      </c>
      <c r="E24" s="5" t="n">
        <f aca="false">'Votos por partido'!Y24</f>
        <v>113461</v>
      </c>
      <c r="F24" s="5" t="n">
        <f aca="false">'Votos por partido'!X24</f>
        <v>1562</v>
      </c>
      <c r="G24" s="5" t="n">
        <f aca="false">'Votos por partido'!Z24</f>
        <v>1509</v>
      </c>
      <c r="H24" s="5" t="n">
        <f aca="false">'Votos por partido'!AA24</f>
        <v>102525</v>
      </c>
      <c r="I24" s="5" t="n">
        <f aca="false">'Votos por partido'!AB24</f>
        <v>3082787</v>
      </c>
      <c r="J24" s="5" t="n">
        <f aca="false">'Votos por partido'!AC24</f>
        <v>4468710</v>
      </c>
      <c r="K24" s="6" t="n">
        <f aca="false">I24/J24</f>
        <v>0.68986060854251</v>
      </c>
      <c r="L24" s="6" t="n">
        <f aca="false">B24/I24</f>
        <v>0.569159010985838</v>
      </c>
      <c r="M24" s="6" t="n">
        <f aca="false">C24/I24</f>
        <v>0.200596732761621</v>
      </c>
      <c r="N24" s="6" t="n">
        <f aca="false">D24/I24</f>
        <v>0.159186152011151</v>
      </c>
      <c r="O24" s="6" t="n">
        <f aca="false">E24/I24</f>
        <v>0.0368046835541995</v>
      </c>
      <c r="P24" s="6" t="n">
        <f aca="false">F24/I24</f>
        <v>0.000506684373587925</v>
      </c>
      <c r="Q24" s="6" t="n">
        <f aca="false">G24/I24</f>
        <v>0.000489492138120473</v>
      </c>
      <c r="R24" s="6" t="n">
        <f aca="false">H24/I24</f>
        <v>0.0332572441754815</v>
      </c>
      <c r="S24" s="4" t="str">
        <f aca="false">SUBSTITUTE(INDEX($B$3:$E$3,MATCH(MAX(B24:E24),B24:E24,0)),CHAR(10)," ")</f>
        <v>López Obrador (PT-Morena-PES)</v>
      </c>
      <c r="T24" s="7" t="n">
        <f aca="false">(MAX(L24:O24)-LARGE(L24:O24,2))*100</f>
        <v>36.8562278224217</v>
      </c>
    </row>
    <row r="25" customFormat="false" ht="15" hidden="false" customHeight="false" outlineLevel="0" collapsed="false">
      <c r="A25" s="4" t="str">
        <f aca="false">'Votos por partido'!A25</f>
        <v>Querétaro</v>
      </c>
      <c r="B25" s="5" t="n">
        <f aca="false">'Votos por partido'!G25+'Votos por partido'!J25+'Votos por partido'!K25+'Votos por partido'!T25+'Votos por partido'!U25+'Votos por partido'!V25+'Votos por partido'!W25</f>
        <v>424162</v>
      </c>
      <c r="C25" s="5" t="n">
        <f aca="false">'Votos por partido'!C25+'Votos por partido'!E25+'Votos por partido'!H25+'Votos por partido'!L25+'Votos por partido'!M25+'Votos por partido'!N25+'Votos por partido'!O25</f>
        <v>347664</v>
      </c>
      <c r="D25" s="5" t="n">
        <f aca="false">'Votos por partido'!D25+'Votos por partido'!F25+'Votos por partido'!I25+'Votos por partido'!P25+'Votos por partido'!Q25+'Votos por partido'!R25+'Votos por partido'!S25</f>
        <v>150927</v>
      </c>
      <c r="E25" s="5" t="n">
        <f aca="false">'Votos por partido'!Y25</f>
        <v>72905</v>
      </c>
      <c r="F25" s="5" t="n">
        <f aca="false">'Votos por partido'!X25</f>
        <v>1347</v>
      </c>
      <c r="G25" s="5" t="n">
        <f aca="false">'Votos por partido'!Z25</f>
        <v>855</v>
      </c>
      <c r="H25" s="5" t="n">
        <f aca="false">'Votos por partido'!AA25</f>
        <v>27501</v>
      </c>
      <c r="I25" s="5" t="n">
        <f aca="false">'Votos por partido'!AB25</f>
        <v>1025361</v>
      </c>
      <c r="J25" s="5" t="n">
        <f aca="false">'Votos por partido'!AC25</f>
        <v>1585370</v>
      </c>
      <c r="K25" s="6" t="n">
        <f aca="false">I25/J25</f>
        <v>0.646764477692905</v>
      </c>
      <c r="L25" s="6" t="n">
        <f aca="false">B25/I25</f>
        <v>0.413670892495424</v>
      </c>
      <c r="M25" s="6" t="n">
        <f aca="false">C25/I25</f>
        <v>0.339064973214312</v>
      </c>
      <c r="N25" s="6" t="n">
        <f aca="false">D25/I25</f>
        <v>0.147194012645303</v>
      </c>
      <c r="O25" s="6" t="n">
        <f aca="false">E25/I25</f>
        <v>0.0711017875655501</v>
      </c>
      <c r="P25" s="6" t="n">
        <f aca="false">F25/I25</f>
        <v>0.00131368366848359</v>
      </c>
      <c r="Q25" s="6" t="n">
        <f aca="false">G25/I25</f>
        <v>0.000833852662623213</v>
      </c>
      <c r="R25" s="6" t="n">
        <f aca="false">H25/I25</f>
        <v>0.0268207977483052</v>
      </c>
      <c r="S25" s="4" t="str">
        <f aca="false">SUBSTITUTE(INDEX($B$3:$E$3,MATCH(MAX(B25:E25),B25:E25,0)),CHAR(10)," ")</f>
        <v>López Obrador (PT-Morena-PES)</v>
      </c>
      <c r="T25" s="7" t="n">
        <f aca="false">(MAX(L25:O25)-LARGE(L25:O25,2))*100</f>
        <v>7.46059192811117</v>
      </c>
    </row>
    <row r="26" customFormat="false" ht="15" hidden="false" customHeight="false" outlineLevel="0" collapsed="false">
      <c r="A26" s="4" t="str">
        <f aca="false">'Votos por partido'!A26</f>
        <v>Quintana Roo</v>
      </c>
      <c r="B26" s="5" t="n">
        <f aca="false">'Votos por partido'!G26+'Votos por partido'!J26+'Votos por partido'!K26+'Votos por partido'!T26+'Votos por partido'!U26+'Votos por partido'!V26+'Votos por partido'!W26</f>
        <v>488434</v>
      </c>
      <c r="C26" s="5" t="n">
        <f aca="false">'Votos por partido'!C26+'Votos por partido'!E26+'Votos por partido'!H26+'Votos por partido'!L26+'Votos por partido'!M26+'Votos por partido'!N26+'Votos por partido'!O26</f>
        <v>116031</v>
      </c>
      <c r="D26" s="5" t="n">
        <f aca="false">'Votos por partido'!D26+'Votos por partido'!F26+'Votos por partido'!I26+'Votos por partido'!P26+'Votos por partido'!Q26+'Votos por partido'!R26+'Votos por partido'!S26</f>
        <v>76758</v>
      </c>
      <c r="E26" s="5" t="n">
        <f aca="false">'Votos por partido'!Y26</f>
        <v>29441</v>
      </c>
      <c r="F26" s="5" t="n">
        <f aca="false">'Votos por partido'!X26</f>
        <v>361</v>
      </c>
      <c r="G26" s="5" t="n">
        <f aca="false">'Votos por partido'!Z26</f>
        <v>424</v>
      </c>
      <c r="H26" s="5" t="n">
        <f aca="false">'Votos por partido'!AA26</f>
        <v>16207</v>
      </c>
      <c r="I26" s="5" t="n">
        <f aca="false">'Votos por partido'!AB26</f>
        <v>727656</v>
      </c>
      <c r="J26" s="5" t="n">
        <f aca="false">'Votos por partido'!AC26</f>
        <v>1209354</v>
      </c>
      <c r="K26" s="6" t="n">
        <f aca="false">I26/J26</f>
        <v>0.601689827792359</v>
      </c>
      <c r="L26" s="6" t="n">
        <f aca="false">B26/I26</f>
        <v>0.671243004936399</v>
      </c>
      <c r="M26" s="6" t="n">
        <f aca="false">C26/I26</f>
        <v>0.1594585903229</v>
      </c>
      <c r="N26" s="6" t="n">
        <f aca="false">D26/I26</f>
        <v>0.105486658530954</v>
      </c>
      <c r="O26" s="6" t="n">
        <f aca="false">E26/I26</f>
        <v>0.0404600525523049</v>
      </c>
      <c r="P26" s="6" t="n">
        <f aca="false">F26/I26</f>
        <v>0.00049611354816012</v>
      </c>
      <c r="Q26" s="6" t="n">
        <f aca="false">G26/I26</f>
        <v>0.000582692920830722</v>
      </c>
      <c r="R26" s="6" t="n">
        <f aca="false">H26/I26</f>
        <v>0.0222728871884517</v>
      </c>
      <c r="S26" s="4" t="str">
        <f aca="false">SUBSTITUTE(INDEX($B$3:$E$3,MATCH(MAX(B26:E26),B26:E26,0)),CHAR(10)," ")</f>
        <v>López Obrador (PT-Morena-PES)</v>
      </c>
      <c r="T26" s="7" t="n">
        <f aca="false">(MAX(L26:O26)-LARGE(L26:O26,2))*100</f>
        <v>51.1784414613499</v>
      </c>
    </row>
    <row r="27" customFormat="false" ht="15" hidden="false" customHeight="false" outlineLevel="0" collapsed="false">
      <c r="A27" s="4" t="str">
        <f aca="false">'Votos por partido'!A27</f>
        <v>San Luis Potosí</v>
      </c>
      <c r="B27" s="5" t="n">
        <f aca="false">'Votos por partido'!G27+'Votos por partido'!J27+'Votos por partido'!K27+'Votos por partido'!T27+'Votos por partido'!U27+'Votos por partido'!V27+'Votos por partido'!W27</f>
        <v>527546</v>
      </c>
      <c r="C27" s="5" t="n">
        <f aca="false">'Votos por partido'!C27+'Votos por partido'!E27+'Votos por partido'!H27+'Votos por partido'!L27+'Votos por partido'!M27+'Votos por partido'!N27+'Votos por partido'!O27</f>
        <v>334763</v>
      </c>
      <c r="D27" s="5" t="n">
        <f aca="false">'Votos por partido'!D27+'Votos por partido'!F27+'Votos por partido'!I27+'Votos por partido'!P27+'Votos por partido'!Q27+'Votos por partido'!R27+'Votos por partido'!S27</f>
        <v>260211</v>
      </c>
      <c r="E27" s="5" t="n">
        <f aca="false">'Votos por partido'!Y27</f>
        <v>82956</v>
      </c>
      <c r="F27" s="5" t="n">
        <f aca="false">'Votos por partido'!X27</f>
        <v>717</v>
      </c>
      <c r="G27" s="5" t="n">
        <f aca="false">'Votos por partido'!Z27</f>
        <v>677</v>
      </c>
      <c r="H27" s="5" t="n">
        <f aca="false">'Votos por partido'!AA27</f>
        <v>51722</v>
      </c>
      <c r="I27" s="5" t="n">
        <f aca="false">'Votos por partido'!AB27</f>
        <v>1258592</v>
      </c>
      <c r="J27" s="5" t="n">
        <f aca="false">'Votos por partido'!AC27</f>
        <v>1979480</v>
      </c>
      <c r="K27" s="6" t="n">
        <f aca="false">I27/J27</f>
        <v>0.635819508153657</v>
      </c>
      <c r="L27" s="6" t="n">
        <f aca="false">B27/I27</f>
        <v>0.419155691439323</v>
      </c>
      <c r="M27" s="6" t="n">
        <f aca="false">C27/I27</f>
        <v>0.265982145127253</v>
      </c>
      <c r="N27" s="6" t="n">
        <f aca="false">D27/I27</f>
        <v>0.206747699016043</v>
      </c>
      <c r="O27" s="6" t="n">
        <f aca="false">E27/I27</f>
        <v>0.0659117490020594</v>
      </c>
      <c r="P27" s="6" t="n">
        <f aca="false">F27/I27</f>
        <v>0.000569684218555338</v>
      </c>
      <c r="Q27" s="6" t="n">
        <f aca="false">G27/I27</f>
        <v>0.000537902672192418</v>
      </c>
      <c r="R27" s="6" t="n">
        <f aca="false">H27/I27</f>
        <v>0.0410951285245735</v>
      </c>
      <c r="S27" s="4" t="str">
        <f aca="false">SUBSTITUTE(INDEX($B$3:$E$3,MATCH(MAX(B27:E27),B27:E27,0)),CHAR(10)," ")</f>
        <v>López Obrador (PT-Morena-PES)</v>
      </c>
      <c r="T27" s="7" t="n">
        <f aca="false">(MAX(L27:O27)-LARGE(L27:O27,2))*100</f>
        <v>15.3173546312069</v>
      </c>
    </row>
    <row r="28" customFormat="false" ht="15" hidden="false" customHeight="false" outlineLevel="0" collapsed="false">
      <c r="A28" s="4" t="str">
        <f aca="false">'Votos por partido'!A28</f>
        <v>Sinaloa</v>
      </c>
      <c r="B28" s="5" t="n">
        <f aca="false">'Votos por partido'!G28+'Votos por partido'!J28+'Votos por partido'!K28+'Votos por partido'!T28+'Votos por partido'!U28+'Votos por partido'!V28+'Votos por partido'!W28</f>
        <v>834001</v>
      </c>
      <c r="C28" s="5" t="n">
        <f aca="false">'Votos por partido'!C28+'Votos por partido'!E28+'Votos por partido'!H28+'Votos por partido'!L28+'Votos por partido'!M28+'Votos por partido'!N28+'Votos por partido'!O28</f>
        <v>163956</v>
      </c>
      <c r="D28" s="5" t="n">
        <f aca="false">'Votos por partido'!D28+'Votos por partido'!F28+'Votos por partido'!I28+'Votos por partido'!P28+'Votos por partido'!Q28+'Votos por partido'!R28+'Votos por partido'!S28</f>
        <v>234416</v>
      </c>
      <c r="E28" s="5" t="n">
        <f aca="false">'Votos por partido'!Y28</f>
        <v>29173</v>
      </c>
      <c r="F28" s="5" t="n">
        <f aca="false">'Votos por partido'!X28</f>
        <v>475</v>
      </c>
      <c r="G28" s="5" t="n">
        <f aca="false">'Votos por partido'!Z28</f>
        <v>470</v>
      </c>
      <c r="H28" s="5" t="n">
        <f aca="false">'Votos por partido'!AA28</f>
        <v>31809</v>
      </c>
      <c r="I28" s="5" t="n">
        <f aca="false">'Votos por partido'!AB28</f>
        <v>1294300</v>
      </c>
      <c r="J28" s="5" t="n">
        <f aca="false">'Votos por partido'!AC28</f>
        <v>2138197</v>
      </c>
      <c r="K28" s="6" t="n">
        <f aca="false">I28/J28</f>
        <v>0.6053230829526</v>
      </c>
      <c r="L28" s="6" t="n">
        <f aca="false">B28/I28</f>
        <v>0.644364521362899</v>
      </c>
      <c r="M28" s="6" t="n">
        <f aca="false">C28/I28</f>
        <v>0.126675423008576</v>
      </c>
      <c r="N28" s="6" t="n">
        <f aca="false">D28/I28</f>
        <v>0.181114115738237</v>
      </c>
      <c r="O28" s="6" t="n">
        <f aca="false">E28/I28</f>
        <v>0.0225395966931932</v>
      </c>
      <c r="P28" s="6" t="n">
        <f aca="false">F28/I28</f>
        <v>0.000366993741790929</v>
      </c>
      <c r="Q28" s="6" t="n">
        <f aca="false">G28/I28</f>
        <v>0.000363130649772078</v>
      </c>
      <c r="R28" s="6" t="n">
        <f aca="false">H28/I28</f>
        <v>0.0245762188055319</v>
      </c>
      <c r="S28" s="4" t="str">
        <f aca="false">SUBSTITUTE(INDEX($B$3:$E$3,MATCH(MAX(B28:E28),B28:E28,0)),CHAR(10)," ")</f>
        <v>López Obrador (PT-Morena-PES)</v>
      </c>
      <c r="T28" s="7" t="n">
        <f aca="false">(MAX(L28:O28)-LARGE(L28:O28,2))*100</f>
        <v>46.3250405624662</v>
      </c>
    </row>
    <row r="29" customFormat="false" ht="15" hidden="false" customHeight="false" outlineLevel="0" collapsed="false">
      <c r="A29" s="4" t="str">
        <f aca="false">'Votos por partido'!A29</f>
        <v>Sonora</v>
      </c>
      <c r="B29" s="5" t="n">
        <f aca="false">'Votos por partido'!G29+'Votos por partido'!J29+'Votos por partido'!K29+'Votos por partido'!T29+'Votos por partido'!U29+'Votos por partido'!V29+'Votos por partido'!W29</f>
        <v>651806</v>
      </c>
      <c r="C29" s="5" t="n">
        <f aca="false">'Votos por partido'!C29+'Votos por partido'!E29+'Votos por partido'!H29+'Votos por partido'!L29+'Votos por partido'!M29+'Votos por partido'!N29+'Votos por partido'!O29</f>
        <v>167273</v>
      </c>
      <c r="D29" s="5" t="n">
        <f aca="false">'Votos por partido'!D29+'Votos por partido'!F29+'Votos por partido'!I29+'Votos por partido'!P29+'Votos por partido'!Q29+'Votos por partido'!R29+'Votos por partido'!S29</f>
        <v>181059</v>
      </c>
      <c r="E29" s="5" t="n">
        <f aca="false">'Votos por partido'!Y29</f>
        <v>63800</v>
      </c>
      <c r="F29" s="5" t="n">
        <f aca="false">'Votos por partido'!X29</f>
        <v>858</v>
      </c>
      <c r="G29" s="5" t="n">
        <f aca="false">'Votos por partido'!Z29</f>
        <v>505</v>
      </c>
      <c r="H29" s="5" t="n">
        <f aca="false">'Votos por partido'!AA29</f>
        <v>26366</v>
      </c>
      <c r="I29" s="5" t="n">
        <f aca="false">'Votos por partido'!AB29</f>
        <v>1091667</v>
      </c>
      <c r="J29" s="5" t="n">
        <f aca="false">'Votos por partido'!AC29</f>
        <v>2093949</v>
      </c>
      <c r="K29" s="6" t="n">
        <f aca="false">I29/J29</f>
        <v>0.521343643040017</v>
      </c>
      <c r="L29" s="6" t="n">
        <f aca="false">B29/I29</f>
        <v>0.597074016160606</v>
      </c>
      <c r="M29" s="6" t="n">
        <f aca="false">C29/I29</f>
        <v>0.15322712878561</v>
      </c>
      <c r="N29" s="6" t="n">
        <f aca="false">D29/I29</f>
        <v>0.165855521876177</v>
      </c>
      <c r="O29" s="6" t="n">
        <f aca="false">E29/I29</f>
        <v>0.0584427302464946</v>
      </c>
      <c r="P29" s="6" t="n">
        <f aca="false">F29/I29</f>
        <v>0.000785953958487341</v>
      </c>
      <c r="Q29" s="6" t="n">
        <f aca="false">G29/I29</f>
        <v>0.000462595278596862</v>
      </c>
      <c r="R29" s="6" t="n">
        <f aca="false">H29/I29</f>
        <v>0.0241520536940294</v>
      </c>
      <c r="S29" s="4" t="str">
        <f aca="false">SUBSTITUTE(INDEX($B$3:$E$3,MATCH(MAX(B29:E29),B29:E29,0)),CHAR(10)," ")</f>
        <v>López Obrador (PT-Morena-PES)</v>
      </c>
      <c r="T29" s="7" t="n">
        <f aca="false">(MAX(L29:O29)-LARGE(L29:O29,2))*100</f>
        <v>43.1218494284429</v>
      </c>
    </row>
    <row r="30" customFormat="false" ht="15" hidden="false" customHeight="false" outlineLevel="0" collapsed="false">
      <c r="A30" s="4" t="str">
        <f aca="false">'Votos por partido'!A30</f>
        <v>Tabasco</v>
      </c>
      <c r="B30" s="5" t="n">
        <f aca="false">'Votos por partido'!G30+'Votos por partido'!J30+'Votos por partido'!K30+'Votos por partido'!T30+'Votos por partido'!U30+'Votos por partido'!V30+'Votos por partido'!W30</f>
        <v>961710</v>
      </c>
      <c r="C30" s="5" t="n">
        <f aca="false">'Votos por partido'!C30+'Votos por partido'!E30+'Votos por partido'!H30+'Votos por partido'!L30+'Votos por partido'!M30+'Votos por partido'!N30+'Votos por partido'!O30</f>
        <v>91342</v>
      </c>
      <c r="D30" s="5" t="n">
        <f aca="false">'Votos por partido'!D30+'Votos por partido'!F30+'Votos por partido'!I30+'Votos por partido'!P30+'Votos por partido'!Q30+'Votos por partido'!R30+'Votos por partido'!S30</f>
        <v>107538</v>
      </c>
      <c r="E30" s="5" t="n">
        <f aca="false">'Votos por partido'!Y30</f>
        <v>9749</v>
      </c>
      <c r="F30" s="5" t="n">
        <f aca="false">'Votos por partido'!X30</f>
        <v>378</v>
      </c>
      <c r="G30" s="5" t="n">
        <f aca="false">'Votos por partido'!Z30</f>
        <v>279</v>
      </c>
      <c r="H30" s="5" t="n">
        <f aca="false">'Votos por partido'!AA30</f>
        <v>29849</v>
      </c>
      <c r="I30" s="5" t="n">
        <f aca="false">'Votos por partido'!AB30</f>
        <v>1200845</v>
      </c>
      <c r="J30" s="5" t="n">
        <f aca="false">'Votos por partido'!AC30</f>
        <v>1688647</v>
      </c>
      <c r="K30" s="6" t="n">
        <f aca="false">I30/J30</f>
        <v>0.711128495179869</v>
      </c>
      <c r="L30" s="6" t="n">
        <f aca="false">B30/I30</f>
        <v>0.80086106033668</v>
      </c>
      <c r="M30" s="6" t="n">
        <f aca="false">C30/I30</f>
        <v>0.0760647710570473</v>
      </c>
      <c r="N30" s="6" t="n">
        <f aca="false">D30/I30</f>
        <v>0.0895519405085586</v>
      </c>
      <c r="O30" s="6" t="n">
        <f aca="false">E30/I30</f>
        <v>0.00811844992484459</v>
      </c>
      <c r="P30" s="6" t="n">
        <f aca="false">F30/I30</f>
        <v>0.00031477834358306</v>
      </c>
      <c r="Q30" s="6" t="n">
        <f aca="false">G30/I30</f>
        <v>0.000232336396454164</v>
      </c>
      <c r="R30" s="6" t="n">
        <f aca="false">H30/I30</f>
        <v>0.0248566634328327</v>
      </c>
      <c r="S30" s="4" t="str">
        <f aca="false">SUBSTITUTE(INDEX($B$3:$E$3,MATCH(MAX(B30:E30),B30:E30,0)),CHAR(10)," ")</f>
        <v>López Obrador (PT-Morena-PES)</v>
      </c>
      <c r="T30" s="7" t="n">
        <f aca="false">(MAX(L30:O30)-LARGE(L30:O30,2))*100</f>
        <v>71.1309119828121</v>
      </c>
    </row>
    <row r="31" customFormat="false" ht="15" hidden="false" customHeight="false" outlineLevel="0" collapsed="false">
      <c r="A31" s="4" t="str">
        <f aca="false">'Votos por partido'!A31</f>
        <v>Tamaulipas</v>
      </c>
      <c r="B31" s="5" t="n">
        <f aca="false">'Votos por partido'!G31+'Votos por partido'!J31+'Votos por partido'!K31+'Votos por partido'!T31+'Votos por partido'!U31+'Votos por partido'!V31+'Votos por partido'!W31</f>
        <v>786210</v>
      </c>
      <c r="C31" s="5" t="n">
        <f aca="false">'Votos por partido'!C31+'Votos por partido'!E31+'Votos por partido'!H31+'Votos por partido'!L31+'Votos por partido'!M31+'Votos por partido'!N31+'Votos por partido'!O31</f>
        <v>475201</v>
      </c>
      <c r="D31" s="5" t="n">
        <f aca="false">'Votos por partido'!D31+'Votos por partido'!F31+'Votos por partido'!I31+'Votos por partido'!P31+'Votos por partido'!Q31+'Votos por partido'!R31+'Votos por partido'!S31</f>
        <v>228386</v>
      </c>
      <c r="E31" s="5" t="n">
        <f aca="false">'Votos por partido'!Y31</f>
        <v>110246</v>
      </c>
      <c r="F31" s="5" t="n">
        <f aca="false">'Votos por partido'!X31</f>
        <v>1143</v>
      </c>
      <c r="G31" s="5" t="n">
        <f aca="false">'Votos por partido'!Z31</f>
        <v>531</v>
      </c>
      <c r="H31" s="5" t="n">
        <f aca="false">'Votos por partido'!AA31</f>
        <v>33933</v>
      </c>
      <c r="I31" s="5" t="n">
        <f aca="false">'Votos por partido'!AB31</f>
        <v>1635650</v>
      </c>
      <c r="J31" s="5" t="n">
        <f aca="false">'Votos por partido'!AC31</f>
        <v>2633030</v>
      </c>
      <c r="K31" s="6" t="n">
        <f aca="false">I31/J31</f>
        <v>0.621204467856424</v>
      </c>
      <c r="L31" s="6" t="n">
        <f aca="false">B31/I31</f>
        <v>0.480671292758231</v>
      </c>
      <c r="M31" s="6" t="n">
        <f aca="false">C31/I31</f>
        <v>0.290527313300523</v>
      </c>
      <c r="N31" s="6" t="n">
        <f aca="false">D31/I31</f>
        <v>0.139630116467459</v>
      </c>
      <c r="O31" s="6" t="n">
        <f aca="false">E31/I31</f>
        <v>0.0674019502949898</v>
      </c>
      <c r="P31" s="6" t="n">
        <f aca="false">F31/I31</f>
        <v>0.000698804756518815</v>
      </c>
      <c r="Q31" s="6" t="n">
        <f aca="false">G31/I31</f>
        <v>0.00032464157980008</v>
      </c>
      <c r="R31" s="6" t="n">
        <f aca="false">H31/I31</f>
        <v>0.0207458808424785</v>
      </c>
      <c r="S31" s="4" t="str">
        <f aca="false">SUBSTITUTE(INDEX($B$3:$E$3,MATCH(MAX(B31:E31),B31:E31,0)),CHAR(10)," ")</f>
        <v>López Obrador (PT-Morena-PES)</v>
      </c>
      <c r="T31" s="7" t="n">
        <f aca="false">(MAX(L31:O31)-LARGE(L31:O31,2))*100</f>
        <v>19.0143979457708</v>
      </c>
    </row>
    <row r="32" customFormat="false" ht="15" hidden="false" customHeight="false" outlineLevel="0" collapsed="false">
      <c r="A32" s="4" t="str">
        <f aca="false">'Votos por partido'!A32</f>
        <v>Tlaxcala</v>
      </c>
      <c r="B32" s="5" t="n">
        <f aca="false">'Votos por partido'!G32+'Votos por partido'!J32+'Votos por partido'!K32+'Votos por partido'!T32+'Votos por partido'!U32+'Votos por partido'!V32+'Votos por partido'!W32</f>
        <v>433127</v>
      </c>
      <c r="C32" s="5" t="n">
        <f aca="false">'Votos por partido'!C32+'Votos por partido'!E32+'Votos por partido'!H32+'Votos por partido'!L32+'Votos por partido'!M32+'Votos por partido'!N32+'Votos por partido'!O32</f>
        <v>66729</v>
      </c>
      <c r="D32" s="5" t="n">
        <f aca="false">'Votos por partido'!D32+'Votos por partido'!F32+'Votos por partido'!I32+'Votos por partido'!P32+'Votos por partido'!Q32+'Votos por partido'!R32+'Votos por partido'!S32</f>
        <v>74744</v>
      </c>
      <c r="E32" s="5" t="n">
        <f aca="false">'Votos por partido'!Y32</f>
        <v>25941</v>
      </c>
      <c r="F32" s="5" t="n">
        <f aca="false">'Votos por partido'!X32</f>
        <v>213</v>
      </c>
      <c r="G32" s="5" t="n">
        <f aca="false">'Votos por partido'!Z32</f>
        <v>276</v>
      </c>
      <c r="H32" s="5" t="n">
        <f aca="false">'Votos por partido'!AA32</f>
        <v>12392</v>
      </c>
      <c r="I32" s="5" t="n">
        <f aca="false">'Votos por partido'!AB32</f>
        <v>613422</v>
      </c>
      <c r="J32" s="5" t="n">
        <f aca="false">'Votos por partido'!AC32</f>
        <v>923272</v>
      </c>
      <c r="K32" s="6" t="n">
        <f aca="false">I32/J32</f>
        <v>0.664400090114289</v>
      </c>
      <c r="L32" s="6" t="n">
        <f aca="false">B32/I32</f>
        <v>0.706083251008278</v>
      </c>
      <c r="M32" s="6" t="n">
        <f aca="false">C32/I32</f>
        <v>0.108781556579321</v>
      </c>
      <c r="N32" s="6" t="n">
        <f aca="false">D32/I32</f>
        <v>0.121847602466165</v>
      </c>
      <c r="O32" s="6" t="n">
        <f aca="false">E32/I32</f>
        <v>0.042288995177871</v>
      </c>
      <c r="P32" s="6" t="n">
        <f aca="false">F32/I32</f>
        <v>0.000347232410966675</v>
      </c>
      <c r="Q32" s="6" t="n">
        <f aca="false">G32/I32</f>
        <v>0.000449934955055411</v>
      </c>
      <c r="R32" s="6" t="n">
        <f aca="false">H32/I32</f>
        <v>0.0202014274023429</v>
      </c>
      <c r="S32" s="4" t="str">
        <f aca="false">SUBSTITUTE(INDEX($B$3:$E$3,MATCH(MAX(B32:E32),B32:E32,0)),CHAR(10)," ")</f>
        <v>López Obrador (PT-Morena-PES)</v>
      </c>
      <c r="T32" s="7" t="n">
        <f aca="false">(MAX(L32:O32)-LARGE(L32:O32,2))*100</f>
        <v>58.4235648542113</v>
      </c>
    </row>
    <row r="33" customFormat="false" ht="15" hidden="false" customHeight="false" outlineLevel="0" collapsed="false">
      <c r="A33" s="4" t="str">
        <f aca="false">'Votos por partido'!A33</f>
        <v>Veracruz</v>
      </c>
      <c r="B33" s="5" t="n">
        <f aca="false">'Votos por partido'!G33+'Votos por partido'!J33+'Votos por partido'!K33+'Votos por partido'!T33+'Votos por partido'!U33+'Votos por partido'!V33+'Votos por partido'!W33</f>
        <v>2059209</v>
      </c>
      <c r="C33" s="5" t="n">
        <f aca="false">'Votos por partido'!C33+'Votos por partido'!E33+'Votos por partido'!H33+'Votos por partido'!L33+'Votos por partido'!M33+'Votos por partido'!N33+'Votos por partido'!O33</f>
        <v>1050599</v>
      </c>
      <c r="D33" s="5" t="n">
        <f aca="false">'Votos por partido'!D33+'Votos por partido'!F33+'Votos por partido'!I33+'Votos por partido'!P33+'Votos por partido'!Q33+'Votos por partido'!R33+'Votos por partido'!S33</f>
        <v>471313</v>
      </c>
      <c r="E33" s="5" t="n">
        <f aca="false">'Votos por partido'!Y33</f>
        <v>132737</v>
      </c>
      <c r="F33" s="5" t="n">
        <f aca="false">'Votos por partido'!X33</f>
        <v>1224</v>
      </c>
      <c r="G33" s="5" t="n">
        <f aca="false">'Votos por partido'!Z33</f>
        <v>1307</v>
      </c>
      <c r="H33" s="5" t="n">
        <f aca="false">'Votos por partido'!AA33</f>
        <v>98061</v>
      </c>
      <c r="I33" s="5" t="n">
        <f aca="false">'Votos por partido'!AB33</f>
        <v>3814450</v>
      </c>
      <c r="J33" s="5" t="n">
        <f aca="false">'Votos por partido'!AC33</f>
        <v>5781779</v>
      </c>
      <c r="K33" s="6" t="n">
        <f aca="false">I33/J33</f>
        <v>0.659736389094083</v>
      </c>
      <c r="L33" s="6" t="n">
        <f aca="false">B33/I33</f>
        <v>0.539844276370119</v>
      </c>
      <c r="M33" s="6" t="n">
        <f aca="false">C33/I33</f>
        <v>0.27542607715398</v>
      </c>
      <c r="N33" s="6" t="n">
        <f aca="false">D33/I33</f>
        <v>0.123559884124841</v>
      </c>
      <c r="O33" s="6" t="n">
        <f aca="false">E33/I33</f>
        <v>0.0347984637365806</v>
      </c>
      <c r="P33" s="6" t="n">
        <f aca="false">F33/I33</f>
        <v>0.00032088505551259</v>
      </c>
      <c r="Q33" s="6" t="n">
        <f aca="false">G33/I33</f>
        <v>0.000342644417937055</v>
      </c>
      <c r="R33" s="6" t="n">
        <f aca="false">H33/I33</f>
        <v>0.0257077691410295</v>
      </c>
      <c r="S33" s="4" t="str">
        <f aca="false">SUBSTITUTE(INDEX($B$3:$E$3,MATCH(MAX(B33:E33),B33:E33,0)),CHAR(10)," ")</f>
        <v>López Obrador (PT-Morena-PES)</v>
      </c>
      <c r="T33" s="7" t="n">
        <f aca="false">(MAX(L33:O33)-LARGE(L33:O33,2))*100</f>
        <v>26.4418199216139</v>
      </c>
    </row>
    <row r="34" customFormat="false" ht="15" hidden="false" customHeight="false" outlineLevel="0" collapsed="false">
      <c r="A34" s="4" t="str">
        <f aca="false">'Votos por partido'!A34</f>
        <v>Yucatán</v>
      </c>
      <c r="B34" s="5" t="n">
        <f aca="false">'Votos por partido'!G34+'Votos por partido'!J34+'Votos por partido'!K34+'Votos por partido'!T34+'Votos por partido'!U34+'Votos por partido'!V34+'Votos por partido'!W34</f>
        <v>455216</v>
      </c>
      <c r="C34" s="5" t="n">
        <f aca="false">'Votos por partido'!C34+'Votos por partido'!E34+'Votos por partido'!H34+'Votos por partido'!L34+'Votos por partido'!M34+'Votos por partido'!N34+'Votos por partido'!O34</f>
        <v>320144</v>
      </c>
      <c r="D34" s="5" t="n">
        <f aca="false">'Votos por partido'!D34+'Votos por partido'!F34+'Votos por partido'!I34+'Votos por partido'!P34+'Votos por partido'!Q34+'Votos por partido'!R34+'Votos por partido'!S34</f>
        <v>324055</v>
      </c>
      <c r="E34" s="5" t="n">
        <f aca="false">'Votos por partido'!Y34</f>
        <v>39111</v>
      </c>
      <c r="F34" s="5" t="n">
        <f aca="false">'Votos por partido'!X34</f>
        <v>384</v>
      </c>
      <c r="G34" s="5" t="n">
        <f aca="false">'Votos por partido'!Z34</f>
        <v>333</v>
      </c>
      <c r="H34" s="5" t="n">
        <f aca="false">'Votos por partido'!AA34</f>
        <v>25509</v>
      </c>
      <c r="I34" s="5" t="n">
        <f aca="false">'Votos por partido'!AB34</f>
        <v>1164752</v>
      </c>
      <c r="J34" s="5" t="n">
        <f aca="false">'Votos por partido'!AC34</f>
        <v>1539640</v>
      </c>
      <c r="K34" s="6" t="n">
        <f aca="false">I34/J34</f>
        <v>0.756509313865579</v>
      </c>
      <c r="L34" s="6" t="n">
        <f aca="false">B34/I34</f>
        <v>0.390826545049933</v>
      </c>
      <c r="M34" s="6" t="n">
        <f aca="false">C34/I34</f>
        <v>0.274860227756638</v>
      </c>
      <c r="N34" s="6" t="n">
        <f aca="false">D34/I34</f>
        <v>0.2782180240944</v>
      </c>
      <c r="O34" s="6" t="n">
        <f aca="false">E34/I34</f>
        <v>0.0335788219294751</v>
      </c>
      <c r="P34" s="6" t="n">
        <f aca="false">F34/I34</f>
        <v>0.00032968391554597</v>
      </c>
      <c r="Q34" s="6" t="n">
        <f aca="false">G34/I34</f>
        <v>0.000285897770512521</v>
      </c>
      <c r="R34" s="6" t="n">
        <f aca="false">H34/I34</f>
        <v>0.0219007994834952</v>
      </c>
      <c r="S34" s="4" t="str">
        <f aca="false">SUBSTITUTE(INDEX($B$3:$E$3,MATCH(MAX(B34:E34),B34:E34,0)),CHAR(10)," ")</f>
        <v>López Obrador (PT-Morena-PES)</v>
      </c>
      <c r="T34" s="7" t="n">
        <f aca="false">(MAX(L34:O34)-LARGE(L34:O34,2))*100</f>
        <v>11.2608520955534</v>
      </c>
    </row>
    <row r="35" customFormat="false" ht="15" hidden="false" customHeight="false" outlineLevel="0" collapsed="false">
      <c r="A35" s="4" t="str">
        <f aca="false">'Votos por partido'!A35</f>
        <v>Zacatecas</v>
      </c>
      <c r="B35" s="5" t="n">
        <f aca="false">'Votos por partido'!G35+'Votos por partido'!J35+'Votos por partido'!K35+'Votos por partido'!T35+'Votos por partido'!U35+'Votos por partido'!V35+'Votos por partido'!W35</f>
        <v>366371</v>
      </c>
      <c r="C35" s="5" t="n">
        <f aca="false">'Votos por partido'!C35+'Votos por partido'!E35+'Votos por partido'!H35+'Votos por partido'!L35+'Votos por partido'!M35+'Votos por partido'!N35+'Votos por partido'!O35</f>
        <v>156844</v>
      </c>
      <c r="D35" s="5" t="n">
        <f aca="false">'Votos por partido'!D35+'Votos por partido'!F35+'Votos por partido'!I35+'Votos por partido'!P35+'Votos por partido'!Q35+'Votos por partido'!R35+'Votos por partido'!S35</f>
        <v>177672</v>
      </c>
      <c r="E35" s="5" t="n">
        <f aca="false">'Votos por partido'!Y35</f>
        <v>36220</v>
      </c>
      <c r="F35" s="5" t="n">
        <f aca="false">'Votos por partido'!X35</f>
        <v>659</v>
      </c>
      <c r="G35" s="5" t="n">
        <f aca="false">'Votos por partido'!Z35</f>
        <v>299</v>
      </c>
      <c r="H35" s="5" t="n">
        <f aca="false">'Votos por partido'!AA35</f>
        <v>23574</v>
      </c>
      <c r="I35" s="5" t="n">
        <f aca="false">'Votos por partido'!AB35</f>
        <v>761639</v>
      </c>
      <c r="J35" s="5" t="n">
        <f aca="false">'Votos por partido'!AC35</f>
        <v>1167497</v>
      </c>
      <c r="K35" s="6" t="n">
        <f aca="false">I35/J35</f>
        <v>0.65236912814337</v>
      </c>
      <c r="L35" s="6" t="n">
        <f aca="false">B35/I35</f>
        <v>0.481029726681538</v>
      </c>
      <c r="M35" s="6" t="n">
        <f aca="false">C35/I35</f>
        <v>0.205929580811907</v>
      </c>
      <c r="N35" s="6" t="n">
        <f aca="false">D35/I35</f>
        <v>0.233275869539244</v>
      </c>
      <c r="O35" s="6" t="n">
        <f aca="false">E35/I35</f>
        <v>0.0475553378963</v>
      </c>
      <c r="P35" s="6" t="n">
        <f aca="false">F35/I35</f>
        <v>0.000865239306285524</v>
      </c>
      <c r="Q35" s="6" t="n">
        <f aca="false">G35/I35</f>
        <v>0.000392574434870063</v>
      </c>
      <c r="R35" s="6" t="n">
        <f aca="false">H35/I35</f>
        <v>0.0309516713298557</v>
      </c>
      <c r="S35" s="4" t="str">
        <f aca="false">SUBSTITUTE(INDEX($B$3:$E$3,MATCH(MAX(B35:E35),B35:E35,0)),CHAR(10)," ")</f>
        <v>López Obrador (PT-Morena-PES)</v>
      </c>
      <c r="T35" s="7" t="n">
        <f aca="false">(MAX(L35:O35)-LARGE(L35:O35,2))*100</f>
        <v>24.7753857142294</v>
      </c>
    </row>
    <row r="36" customFormat="false" ht="15" hidden="false" customHeight="false" outlineLevel="0" collapsed="false">
      <c r="A36" s="8" t="s">
        <v>22</v>
      </c>
      <c r="B36" s="9" t="n">
        <f aca="false">SUM(B4:B35)</f>
        <v>30113483</v>
      </c>
      <c r="C36" s="9" t="n">
        <f aca="false">SUM(C4:C35)</f>
        <v>12610120</v>
      </c>
      <c r="D36" s="9" t="n">
        <f aca="false">SUM(D4:D35)</f>
        <v>9289853</v>
      </c>
      <c r="E36" s="9" t="n">
        <f aca="false">SUM(E4:E35)</f>
        <v>2961732</v>
      </c>
      <c r="F36" s="9" t="n">
        <f aca="false">SUM(F4:F35)</f>
        <v>32743</v>
      </c>
      <c r="G36" s="9" t="n">
        <f aca="false">SUM(G4:G35)</f>
        <v>31982</v>
      </c>
      <c r="H36" s="9" t="n">
        <f aca="false">SUM(H4:H35)</f>
        <v>1571114</v>
      </c>
      <c r="I36" s="9" t="n">
        <f aca="false">SUM(I4:I35)</f>
        <v>56611027</v>
      </c>
      <c r="J36" s="9" t="n">
        <f aca="false">SUM(J4:J35)</f>
        <v>89129689</v>
      </c>
      <c r="K36" s="10" t="n">
        <f aca="false">I36/J36</f>
        <v>0.635153422334953</v>
      </c>
      <c r="L36" s="10" t="n">
        <f aca="false">B36/I36</f>
        <v>0.531936702013903</v>
      </c>
      <c r="M36" s="10" t="n">
        <f aca="false">C36/I36</f>
        <v>0.222750242633825</v>
      </c>
      <c r="N36" s="10" t="n">
        <f aca="false">D36/I36</f>
        <v>0.164099707995052</v>
      </c>
      <c r="O36" s="10" t="n">
        <f aca="false">E36/I36</f>
        <v>0.0523172278785898</v>
      </c>
      <c r="P36" s="10" t="n">
        <f aca="false">F36/I36</f>
        <v>0.000578385550221514</v>
      </c>
      <c r="Q36" s="10" t="n">
        <f aca="false">G36/I36</f>
        <v>0.000564942939473612</v>
      </c>
      <c r="R36" s="10" t="n">
        <f aca="false">H36/I36</f>
        <v>0.0277527909889358</v>
      </c>
      <c r="S36" s="8" t="str">
        <f aca="false">SUBSTITUTE(INDEX($B$3:$E$3,MATCH(MAX(B36:E36),B36:E36,0)),CHAR(10)," ")</f>
        <v>López Obrador (PT-Morena-PES)</v>
      </c>
      <c r="T36" s="11" t="n">
        <f aca="false">(MAX(L36:O36)-LARGE(L36:O36,2))*100</f>
        <v>30.9186459380078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9" min="2" style="0" width="13"/>
  </cols>
  <sheetData>
    <row r="1" customFormat="false" ht="16.15" hidden="false" customHeight="false" outlineLevel="0" collapsed="false">
      <c r="A1" s="1" t="s">
        <v>23</v>
      </c>
    </row>
    <row r="3" customFormat="false" ht="31.5" hidden="false" customHeight="true" outlineLevel="0" collapsed="false">
      <c r="A3" s="3" t="s">
        <v>2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29</v>
      </c>
      <c r="H3" s="3" t="s">
        <v>30</v>
      </c>
      <c r="I3" s="3" t="s">
        <v>31</v>
      </c>
      <c r="J3" s="3" t="s">
        <v>32</v>
      </c>
      <c r="K3" s="3" t="s">
        <v>33</v>
      </c>
      <c r="L3" s="3" t="s">
        <v>34</v>
      </c>
      <c r="M3" s="3" t="s">
        <v>35</v>
      </c>
      <c r="N3" s="3" t="s">
        <v>36</v>
      </c>
      <c r="O3" s="3" t="s">
        <v>37</v>
      </c>
      <c r="P3" s="3" t="s">
        <v>38</v>
      </c>
      <c r="Q3" s="3" t="s">
        <v>39</v>
      </c>
      <c r="R3" s="3" t="s">
        <v>40</v>
      </c>
      <c r="S3" s="3" t="s">
        <v>41</v>
      </c>
      <c r="T3" s="3" t="s">
        <v>42</v>
      </c>
      <c r="U3" s="3" t="s">
        <v>43</v>
      </c>
      <c r="V3" s="3" t="s">
        <v>44</v>
      </c>
      <c r="W3" s="3" t="s">
        <v>45</v>
      </c>
      <c r="X3" s="3" t="s">
        <v>46</v>
      </c>
      <c r="Y3" s="3" t="s">
        <v>47</v>
      </c>
      <c r="Z3" s="3" t="s">
        <v>48</v>
      </c>
      <c r="AA3" s="3" t="s">
        <v>49</v>
      </c>
      <c r="AB3" s="3" t="s">
        <v>10</v>
      </c>
      <c r="AC3" s="3" t="s">
        <v>11</v>
      </c>
    </row>
    <row r="4" customFormat="false" ht="15" hidden="false" customHeight="false" outlineLevel="0" collapsed="false">
      <c r="A4" s="4" t="s">
        <v>50</v>
      </c>
      <c r="B4" s="5" t="n">
        <v>1599</v>
      </c>
      <c r="C4" s="5" t="n">
        <v>162349</v>
      </c>
      <c r="D4" s="5" t="n">
        <v>88820</v>
      </c>
      <c r="E4" s="5" t="n">
        <v>7442</v>
      </c>
      <c r="F4" s="5" t="n">
        <v>6216</v>
      </c>
      <c r="G4" s="5" t="n">
        <v>23579</v>
      </c>
      <c r="H4" s="5" t="n">
        <v>4407</v>
      </c>
      <c r="I4" s="5" t="n">
        <v>6145</v>
      </c>
      <c r="J4" s="5" t="n">
        <v>177935</v>
      </c>
      <c r="K4" s="5" t="n">
        <v>9681</v>
      </c>
      <c r="L4" s="5" t="n">
        <v>3122</v>
      </c>
      <c r="M4" s="5" t="n">
        <v>974</v>
      </c>
      <c r="N4" s="5" t="n">
        <v>602</v>
      </c>
      <c r="O4" s="5" t="n">
        <v>92</v>
      </c>
      <c r="P4" s="5" t="n">
        <v>1102</v>
      </c>
      <c r="Q4" s="5" t="n">
        <v>855</v>
      </c>
      <c r="R4" s="5" t="n">
        <v>400</v>
      </c>
      <c r="S4" s="5" t="n">
        <v>101</v>
      </c>
      <c r="T4" s="5" t="n">
        <v>6993</v>
      </c>
      <c r="U4" s="5" t="n">
        <v>2181</v>
      </c>
      <c r="V4" s="5" t="n">
        <v>432</v>
      </c>
      <c r="W4" s="5" t="n">
        <v>1727</v>
      </c>
      <c r="X4" s="5" t="n">
        <v>547</v>
      </c>
      <c r="Y4" s="5" t="n">
        <v>40299</v>
      </c>
      <c r="Z4" s="5" t="n">
        <v>391</v>
      </c>
      <c r="AA4" s="5" t="n">
        <v>14714</v>
      </c>
      <c r="AB4" s="5" t="n">
        <v>561106</v>
      </c>
      <c r="AC4" s="5" t="n">
        <v>945131</v>
      </c>
    </row>
    <row r="5" customFormat="false" ht="15" hidden="false" customHeight="false" outlineLevel="0" collapsed="false">
      <c r="A5" s="4" t="s">
        <v>51</v>
      </c>
      <c r="B5" s="5" t="n">
        <v>4702</v>
      </c>
      <c r="C5" s="5" t="n">
        <v>239038</v>
      </c>
      <c r="D5" s="5" t="n">
        <v>102272</v>
      </c>
      <c r="E5" s="5" t="n">
        <v>13090</v>
      </c>
      <c r="F5" s="5" t="n">
        <v>8873</v>
      </c>
      <c r="G5" s="5" t="n">
        <v>70374</v>
      </c>
      <c r="H5" s="5" t="n">
        <v>12004</v>
      </c>
      <c r="I5" s="5" t="n">
        <v>6935</v>
      </c>
      <c r="J5" s="5" t="n">
        <v>764910</v>
      </c>
      <c r="K5" s="5" t="n">
        <v>27365</v>
      </c>
      <c r="L5" s="5" t="n">
        <v>7277</v>
      </c>
      <c r="M5" s="5" t="n">
        <v>1811</v>
      </c>
      <c r="N5" s="5" t="n">
        <v>2031</v>
      </c>
      <c r="O5" s="5" t="n">
        <v>252</v>
      </c>
      <c r="P5" s="5" t="n">
        <v>2510</v>
      </c>
      <c r="Q5" s="5" t="n">
        <v>2718</v>
      </c>
      <c r="R5" s="5" t="n">
        <v>573</v>
      </c>
      <c r="S5" s="5" t="n">
        <v>344</v>
      </c>
      <c r="T5" s="5" t="n">
        <v>34419</v>
      </c>
      <c r="U5" s="5" t="n">
        <v>11726</v>
      </c>
      <c r="V5" s="5" t="n">
        <v>1764</v>
      </c>
      <c r="W5" s="5" t="n">
        <v>8381</v>
      </c>
      <c r="X5" s="5" t="n">
        <v>479</v>
      </c>
      <c r="Y5" s="5" t="n">
        <v>89823</v>
      </c>
      <c r="Z5" s="5" t="n">
        <v>1252</v>
      </c>
      <c r="AA5" s="5" t="n">
        <v>28201</v>
      </c>
      <c r="AB5" s="5" t="n">
        <v>1438422</v>
      </c>
      <c r="AC5" s="5" t="n">
        <v>2734195</v>
      </c>
    </row>
    <row r="6" customFormat="false" ht="15" hidden="false" customHeight="false" outlineLevel="0" collapsed="false">
      <c r="A6" s="4" t="s">
        <v>52</v>
      </c>
      <c r="B6" s="5" t="n">
        <v>979</v>
      </c>
      <c r="C6" s="5" t="n">
        <v>51812</v>
      </c>
      <c r="D6" s="5" t="n">
        <v>21631</v>
      </c>
      <c r="E6" s="5" t="n">
        <v>1409</v>
      </c>
      <c r="F6" s="5" t="n">
        <v>2797</v>
      </c>
      <c r="G6" s="5" t="n">
        <v>24099</v>
      </c>
      <c r="H6" s="5" t="n">
        <v>1453</v>
      </c>
      <c r="I6" s="5" t="n">
        <v>2478</v>
      </c>
      <c r="J6" s="5" t="n">
        <v>151102</v>
      </c>
      <c r="K6" s="5" t="n">
        <v>6174</v>
      </c>
      <c r="L6" s="5" t="n">
        <v>1274</v>
      </c>
      <c r="M6" s="5" t="n">
        <v>479</v>
      </c>
      <c r="N6" s="5" t="n">
        <v>301</v>
      </c>
      <c r="O6" s="5" t="n">
        <v>66</v>
      </c>
      <c r="P6" s="5" t="n">
        <v>551</v>
      </c>
      <c r="Q6" s="5" t="n">
        <v>551</v>
      </c>
      <c r="R6" s="5" t="n">
        <v>137</v>
      </c>
      <c r="S6" s="5" t="n">
        <v>57</v>
      </c>
      <c r="T6" s="5" t="n">
        <v>6462</v>
      </c>
      <c r="U6" s="5" t="n">
        <v>2857</v>
      </c>
      <c r="V6" s="5" t="n">
        <v>519</v>
      </c>
      <c r="W6" s="5" t="n">
        <v>2629</v>
      </c>
      <c r="X6" s="5" t="n">
        <v>404</v>
      </c>
      <c r="Y6" s="5" t="n">
        <v>16766</v>
      </c>
      <c r="Z6" s="5" t="n">
        <v>235</v>
      </c>
      <c r="AA6" s="5" t="n">
        <v>6645</v>
      </c>
      <c r="AB6" s="5" t="n">
        <v>302888</v>
      </c>
      <c r="AC6" s="5" t="n">
        <v>516365</v>
      </c>
    </row>
    <row r="7" customFormat="false" ht="15" hidden="false" customHeight="false" outlineLevel="0" collapsed="false">
      <c r="A7" s="4" t="s">
        <v>53</v>
      </c>
      <c r="B7" s="5" t="n">
        <v>1156</v>
      </c>
      <c r="C7" s="5" t="n">
        <v>43742</v>
      </c>
      <c r="D7" s="5" t="n">
        <v>82300</v>
      </c>
      <c r="E7" s="5" t="n">
        <v>4945</v>
      </c>
      <c r="F7" s="5" t="n">
        <v>2950</v>
      </c>
      <c r="G7" s="5" t="n">
        <v>29956</v>
      </c>
      <c r="H7" s="5" t="n">
        <v>3329</v>
      </c>
      <c r="I7" s="5" t="n">
        <v>3560</v>
      </c>
      <c r="J7" s="5" t="n">
        <v>220905</v>
      </c>
      <c r="K7" s="5" t="n">
        <v>9700</v>
      </c>
      <c r="L7" s="5" t="n">
        <v>1088</v>
      </c>
      <c r="M7" s="5" t="n">
        <v>429</v>
      </c>
      <c r="N7" s="5" t="n">
        <v>751</v>
      </c>
      <c r="O7" s="5" t="n">
        <v>133</v>
      </c>
      <c r="P7" s="5" t="n">
        <v>4678</v>
      </c>
      <c r="Q7" s="5" t="n">
        <v>2426</v>
      </c>
      <c r="R7" s="5" t="n">
        <v>555</v>
      </c>
      <c r="S7" s="5" t="n">
        <v>115</v>
      </c>
      <c r="T7" s="5" t="n">
        <v>8919</v>
      </c>
      <c r="U7" s="5" t="n">
        <v>3237</v>
      </c>
      <c r="V7" s="5" t="n">
        <v>444</v>
      </c>
      <c r="W7" s="5" t="n">
        <v>2101</v>
      </c>
      <c r="X7" s="5" t="n">
        <v>209</v>
      </c>
      <c r="Y7" s="5" t="n">
        <v>11194</v>
      </c>
      <c r="Z7" s="5" t="n">
        <v>146</v>
      </c>
      <c r="AA7" s="5" t="n">
        <v>11735</v>
      </c>
      <c r="AB7" s="5" t="n">
        <v>449547</v>
      </c>
      <c r="AC7" s="5" t="n">
        <v>642407</v>
      </c>
    </row>
    <row r="8" customFormat="false" ht="15" hidden="false" customHeight="false" outlineLevel="0" collapsed="false">
      <c r="A8" s="4" t="s">
        <v>54</v>
      </c>
      <c r="B8" s="5" t="n">
        <v>3762</v>
      </c>
      <c r="C8" s="5" t="n">
        <v>278832</v>
      </c>
      <c r="D8" s="5" t="n">
        <v>330493</v>
      </c>
      <c r="E8" s="5" t="n">
        <v>10799</v>
      </c>
      <c r="F8" s="5" t="n">
        <v>10338</v>
      </c>
      <c r="G8" s="5" t="n">
        <v>61740</v>
      </c>
      <c r="H8" s="5" t="n">
        <v>10531</v>
      </c>
      <c r="I8" s="5" t="n">
        <v>8144</v>
      </c>
      <c r="J8" s="5" t="n">
        <v>503430</v>
      </c>
      <c r="K8" s="5" t="n">
        <v>20058</v>
      </c>
      <c r="L8" s="5" t="n">
        <v>4132</v>
      </c>
      <c r="M8" s="5" t="n">
        <v>1243</v>
      </c>
      <c r="N8" s="5" t="n">
        <v>1880</v>
      </c>
      <c r="O8" s="5" t="n">
        <v>173</v>
      </c>
      <c r="P8" s="5" t="n">
        <v>3423</v>
      </c>
      <c r="Q8" s="5" t="n">
        <v>4842</v>
      </c>
      <c r="R8" s="5" t="n">
        <v>838</v>
      </c>
      <c r="S8" s="5" t="n">
        <v>201</v>
      </c>
      <c r="T8" s="5" t="n">
        <v>14643</v>
      </c>
      <c r="U8" s="5" t="n">
        <v>4857</v>
      </c>
      <c r="V8" s="5" t="n">
        <v>916</v>
      </c>
      <c r="W8" s="5" t="n">
        <v>3718</v>
      </c>
      <c r="X8" s="5" t="n">
        <v>730</v>
      </c>
      <c r="Y8" s="5" t="n">
        <v>71051</v>
      </c>
      <c r="Z8" s="5" t="n">
        <v>437</v>
      </c>
      <c r="AA8" s="5" t="n">
        <v>24367</v>
      </c>
      <c r="AB8" s="5" t="n">
        <v>1371816</v>
      </c>
      <c r="AC8" s="5" t="n">
        <v>2157244</v>
      </c>
    </row>
    <row r="9" customFormat="false" ht="15" hidden="false" customHeight="false" outlineLevel="0" collapsed="false">
      <c r="A9" s="4" t="s">
        <v>55</v>
      </c>
      <c r="B9" s="5" t="n">
        <v>951</v>
      </c>
      <c r="C9" s="5" t="n">
        <v>46956</v>
      </c>
      <c r="D9" s="5" t="n">
        <v>49042</v>
      </c>
      <c r="E9" s="5" t="n">
        <v>2555</v>
      </c>
      <c r="F9" s="5" t="n">
        <v>6473</v>
      </c>
      <c r="G9" s="5" t="n">
        <v>20499</v>
      </c>
      <c r="H9" s="5" t="n">
        <v>4568</v>
      </c>
      <c r="I9" s="5" t="n">
        <v>2851</v>
      </c>
      <c r="J9" s="5" t="n">
        <v>159317</v>
      </c>
      <c r="K9" s="5" t="n">
        <v>5842</v>
      </c>
      <c r="L9" s="5" t="n">
        <v>1137</v>
      </c>
      <c r="M9" s="5" t="n">
        <v>692</v>
      </c>
      <c r="N9" s="5" t="n">
        <v>453</v>
      </c>
      <c r="O9" s="5" t="n">
        <v>67</v>
      </c>
      <c r="P9" s="5" t="n">
        <v>949</v>
      </c>
      <c r="Q9" s="5" t="n">
        <v>2282</v>
      </c>
      <c r="R9" s="5" t="n">
        <v>280</v>
      </c>
      <c r="S9" s="5" t="n">
        <v>127</v>
      </c>
      <c r="T9" s="5" t="n">
        <v>7656</v>
      </c>
      <c r="U9" s="5" t="n">
        <v>2252</v>
      </c>
      <c r="V9" s="5" t="n">
        <v>384</v>
      </c>
      <c r="W9" s="5" t="n">
        <v>1366</v>
      </c>
      <c r="X9" s="5" t="n">
        <v>346</v>
      </c>
      <c r="Y9" s="5" t="n">
        <v>15753</v>
      </c>
      <c r="Z9" s="5" t="n">
        <v>200</v>
      </c>
      <c r="AA9" s="5" t="n">
        <v>9062</v>
      </c>
      <c r="AB9" s="5" t="n">
        <v>341109</v>
      </c>
      <c r="AC9" s="5" t="n">
        <v>531888</v>
      </c>
    </row>
    <row r="10" customFormat="false" ht="15" hidden="false" customHeight="false" outlineLevel="0" collapsed="false">
      <c r="A10" s="4" t="s">
        <v>56</v>
      </c>
      <c r="B10" s="5" t="n">
        <v>6304</v>
      </c>
      <c r="C10" s="5" t="n">
        <v>100282</v>
      </c>
      <c r="D10" s="5" t="n">
        <v>266980</v>
      </c>
      <c r="E10" s="5" t="n">
        <v>55093</v>
      </c>
      <c r="F10" s="5" t="n">
        <v>243730</v>
      </c>
      <c r="G10" s="5" t="n">
        <v>167251</v>
      </c>
      <c r="H10" s="5" t="n">
        <v>35724</v>
      </c>
      <c r="I10" s="5" t="n">
        <v>38668</v>
      </c>
      <c r="J10" s="5" t="n">
        <v>1169474</v>
      </c>
      <c r="K10" s="5" t="n">
        <v>66569</v>
      </c>
      <c r="L10" s="5" t="n">
        <v>3989</v>
      </c>
      <c r="M10" s="5" t="n">
        <v>1429</v>
      </c>
      <c r="N10" s="5" t="n">
        <v>1001</v>
      </c>
      <c r="O10" s="5" t="n">
        <v>599</v>
      </c>
      <c r="P10" s="5" t="n">
        <v>3131</v>
      </c>
      <c r="Q10" s="5" t="n">
        <v>6873</v>
      </c>
      <c r="R10" s="5" t="n">
        <v>1690</v>
      </c>
      <c r="S10" s="5" t="n">
        <v>1791</v>
      </c>
      <c r="T10" s="5" t="n">
        <v>50884</v>
      </c>
      <c r="U10" s="5" t="n">
        <v>14874</v>
      </c>
      <c r="V10" s="5" t="n">
        <v>3282</v>
      </c>
      <c r="W10" s="5" t="n">
        <v>13365</v>
      </c>
      <c r="X10" s="5" t="n">
        <v>1697</v>
      </c>
      <c r="Y10" s="5" t="n">
        <v>39607</v>
      </c>
      <c r="Z10" s="5" t="n">
        <v>580</v>
      </c>
      <c r="AA10" s="5" t="n">
        <v>137087</v>
      </c>
      <c r="AB10" s="5" t="n">
        <v>2425650</v>
      </c>
      <c r="AC10" s="5" t="n">
        <v>3501730</v>
      </c>
    </row>
    <row r="11" customFormat="false" ht="15" hidden="false" customHeight="false" outlineLevel="0" collapsed="false">
      <c r="A11" s="4" t="s">
        <v>57</v>
      </c>
      <c r="B11" s="5" t="n">
        <v>5298</v>
      </c>
      <c r="C11" s="5" t="n">
        <v>379040</v>
      </c>
      <c r="D11" s="5" t="n">
        <v>202373</v>
      </c>
      <c r="E11" s="5" t="n">
        <v>15621</v>
      </c>
      <c r="F11" s="5" t="n">
        <v>16734</v>
      </c>
      <c r="G11" s="5" t="n">
        <v>75310</v>
      </c>
      <c r="H11" s="5" t="n">
        <v>17610</v>
      </c>
      <c r="I11" s="5" t="n">
        <v>14790</v>
      </c>
      <c r="J11" s="5" t="n">
        <v>497079</v>
      </c>
      <c r="K11" s="5" t="n">
        <v>32123</v>
      </c>
      <c r="L11" s="5" t="n">
        <v>7484</v>
      </c>
      <c r="M11" s="5" t="n">
        <v>2236</v>
      </c>
      <c r="N11" s="5" t="n">
        <v>3506</v>
      </c>
      <c r="O11" s="5" t="n">
        <v>422</v>
      </c>
      <c r="P11" s="5" t="n">
        <v>2334</v>
      </c>
      <c r="Q11" s="5" t="n">
        <v>3061</v>
      </c>
      <c r="R11" s="5" t="n">
        <v>1017</v>
      </c>
      <c r="S11" s="5" t="n">
        <v>416</v>
      </c>
      <c r="T11" s="5" t="n">
        <v>22842</v>
      </c>
      <c r="U11" s="5" t="n">
        <v>8043</v>
      </c>
      <c r="V11" s="5" t="n">
        <v>1752</v>
      </c>
      <c r="W11" s="5" t="n">
        <v>6503</v>
      </c>
      <c r="X11" s="5" t="n">
        <v>1604</v>
      </c>
      <c r="Y11" s="5" t="n">
        <v>132242</v>
      </c>
      <c r="Z11" s="5" t="n">
        <v>1717</v>
      </c>
      <c r="AA11" s="5" t="n">
        <v>48846</v>
      </c>
      <c r="AB11" s="5" t="n">
        <v>1494705</v>
      </c>
      <c r="AC11" s="5" t="n">
        <v>2745255</v>
      </c>
    </row>
    <row r="12" customFormat="false" ht="15" hidden="false" customHeight="false" outlineLevel="0" collapsed="false">
      <c r="A12" s="4" t="s">
        <v>58</v>
      </c>
      <c r="B12" s="5" t="n">
        <v>12977</v>
      </c>
      <c r="C12" s="5" t="n">
        <v>928519</v>
      </c>
      <c r="D12" s="5" t="n">
        <v>564965</v>
      </c>
      <c r="E12" s="5" t="n">
        <v>252025</v>
      </c>
      <c r="F12" s="5" t="n">
        <v>32288</v>
      </c>
      <c r="G12" s="5" t="n">
        <v>187919</v>
      </c>
      <c r="H12" s="5" t="n">
        <v>37477</v>
      </c>
      <c r="I12" s="5" t="n">
        <v>22292</v>
      </c>
      <c r="J12" s="5" t="n">
        <v>2609728</v>
      </c>
      <c r="K12" s="5" t="n">
        <v>81542</v>
      </c>
      <c r="L12" s="5" t="n">
        <v>50555</v>
      </c>
      <c r="M12" s="5" t="n">
        <v>15283</v>
      </c>
      <c r="N12" s="5" t="n">
        <v>5878</v>
      </c>
      <c r="O12" s="5" t="n">
        <v>2886</v>
      </c>
      <c r="P12" s="5" t="n">
        <v>18229</v>
      </c>
      <c r="Q12" s="5" t="n">
        <v>10200</v>
      </c>
      <c r="R12" s="5" t="n">
        <v>2770</v>
      </c>
      <c r="S12" s="5" t="n">
        <v>1329</v>
      </c>
      <c r="T12" s="5" t="n">
        <v>171254</v>
      </c>
      <c r="U12" s="5" t="n">
        <v>36901</v>
      </c>
      <c r="V12" s="5" t="n">
        <v>5587</v>
      </c>
      <c r="W12" s="5" t="n">
        <v>25547</v>
      </c>
      <c r="X12" s="5" t="n">
        <v>3054</v>
      </c>
      <c r="Y12" s="5" t="n">
        <v>223261</v>
      </c>
      <c r="Z12" s="5" t="n">
        <v>4793</v>
      </c>
      <c r="AA12" s="5" t="n">
        <v>111586</v>
      </c>
      <c r="AB12" s="5" t="n">
        <v>5405868</v>
      </c>
      <c r="AC12" s="5" t="n">
        <v>7655623</v>
      </c>
    </row>
    <row r="13" customFormat="false" ht="15" hidden="false" customHeight="false" outlineLevel="0" collapsed="false">
      <c r="A13" s="4" t="s">
        <v>59</v>
      </c>
      <c r="B13" s="5" t="n">
        <v>2480</v>
      </c>
      <c r="C13" s="5" t="n">
        <v>165008</v>
      </c>
      <c r="D13" s="5" t="n">
        <v>123627</v>
      </c>
      <c r="E13" s="5" t="n">
        <v>7296</v>
      </c>
      <c r="F13" s="5" t="n">
        <v>9234</v>
      </c>
      <c r="G13" s="5" t="n">
        <v>61432</v>
      </c>
      <c r="H13" s="5" t="n">
        <v>8198</v>
      </c>
      <c r="I13" s="5" t="n">
        <v>4578</v>
      </c>
      <c r="J13" s="5" t="n">
        <v>242016</v>
      </c>
      <c r="K13" s="5" t="n">
        <v>15030</v>
      </c>
      <c r="L13" s="5" t="n">
        <v>4113</v>
      </c>
      <c r="M13" s="5" t="n">
        <v>1895</v>
      </c>
      <c r="N13" s="5" t="n">
        <v>1291</v>
      </c>
      <c r="O13" s="5" t="n">
        <v>146</v>
      </c>
      <c r="P13" s="5" t="n">
        <v>1340</v>
      </c>
      <c r="Q13" s="5" t="n">
        <v>1970</v>
      </c>
      <c r="R13" s="5" t="n">
        <v>391</v>
      </c>
      <c r="S13" s="5" t="n">
        <v>151</v>
      </c>
      <c r="T13" s="5" t="n">
        <v>12636</v>
      </c>
      <c r="U13" s="5" t="n">
        <v>5969</v>
      </c>
      <c r="V13" s="5" t="n">
        <v>852</v>
      </c>
      <c r="W13" s="5" t="n">
        <v>2894</v>
      </c>
      <c r="X13" s="5" t="n">
        <v>636</v>
      </c>
      <c r="Y13" s="5" t="n">
        <v>46009</v>
      </c>
      <c r="Z13" s="5" t="n">
        <v>215</v>
      </c>
      <c r="AA13" s="5" t="n">
        <v>16788</v>
      </c>
      <c r="AB13" s="5" t="n">
        <v>733715</v>
      </c>
      <c r="AC13" s="5" t="n">
        <v>1284462</v>
      </c>
    </row>
    <row r="14" customFormat="false" ht="15" hidden="false" customHeight="false" outlineLevel="0" collapsed="false">
      <c r="A14" s="4" t="s">
        <v>60</v>
      </c>
      <c r="B14" s="5" t="n">
        <v>7464</v>
      </c>
      <c r="C14" s="5" t="n">
        <v>844396</v>
      </c>
      <c r="D14" s="5" t="n">
        <v>288212</v>
      </c>
      <c r="E14" s="5" t="n">
        <v>41272</v>
      </c>
      <c r="F14" s="5" t="n">
        <v>58492</v>
      </c>
      <c r="G14" s="5" t="n">
        <v>82449</v>
      </c>
      <c r="H14" s="5" t="n">
        <v>29357</v>
      </c>
      <c r="I14" s="5" t="n">
        <v>24302</v>
      </c>
      <c r="J14" s="5" t="n">
        <v>560058</v>
      </c>
      <c r="K14" s="5" t="n">
        <v>26669</v>
      </c>
      <c r="L14" s="5" t="n">
        <v>15521</v>
      </c>
      <c r="M14" s="5" t="n">
        <v>4857</v>
      </c>
      <c r="N14" s="5" t="n">
        <v>4221</v>
      </c>
      <c r="O14" s="5" t="n">
        <v>509</v>
      </c>
      <c r="P14" s="5" t="n">
        <v>3861</v>
      </c>
      <c r="Q14" s="5" t="n">
        <v>5129</v>
      </c>
      <c r="R14" s="5" t="n">
        <v>1049</v>
      </c>
      <c r="S14" s="5" t="n">
        <v>647</v>
      </c>
      <c r="T14" s="5" t="n">
        <v>23874</v>
      </c>
      <c r="U14" s="5" t="n">
        <v>8028</v>
      </c>
      <c r="V14" s="5" t="n">
        <v>1348</v>
      </c>
      <c r="W14" s="5" t="n">
        <v>4796</v>
      </c>
      <c r="X14" s="5" t="n">
        <v>1655</v>
      </c>
      <c r="Y14" s="5" t="n">
        <v>223214</v>
      </c>
      <c r="Z14" s="5" t="n">
        <v>1859</v>
      </c>
      <c r="AA14" s="5" t="n">
        <v>69232</v>
      </c>
      <c r="AB14" s="5" t="n">
        <v>2325007</v>
      </c>
      <c r="AC14" s="5" t="n">
        <v>4370567</v>
      </c>
    </row>
    <row r="15" customFormat="false" ht="15" hidden="false" customHeight="false" outlineLevel="0" collapsed="false">
      <c r="A15" s="4" t="s">
        <v>61</v>
      </c>
      <c r="B15" s="5" t="n">
        <v>4951</v>
      </c>
      <c r="C15" s="5" t="n">
        <v>75457</v>
      </c>
      <c r="D15" s="5" t="n">
        <v>221412</v>
      </c>
      <c r="E15" s="5" t="n">
        <v>103088</v>
      </c>
      <c r="F15" s="5" t="n">
        <v>37776</v>
      </c>
      <c r="G15" s="5" t="n">
        <v>121951</v>
      </c>
      <c r="H15" s="5" t="n">
        <v>31119</v>
      </c>
      <c r="I15" s="5" t="n">
        <v>13408</v>
      </c>
      <c r="J15" s="5" t="n">
        <v>809963</v>
      </c>
      <c r="K15" s="5" t="n">
        <v>35855</v>
      </c>
      <c r="L15" s="5" t="n">
        <v>3627</v>
      </c>
      <c r="M15" s="5" t="n">
        <v>2249</v>
      </c>
      <c r="N15" s="5" t="n">
        <v>898</v>
      </c>
      <c r="O15" s="5" t="n">
        <v>1400</v>
      </c>
      <c r="P15" s="5" t="n">
        <v>3229</v>
      </c>
      <c r="Q15" s="5" t="n">
        <v>8797</v>
      </c>
      <c r="R15" s="5" t="n">
        <v>757</v>
      </c>
      <c r="S15" s="5" t="n">
        <v>420</v>
      </c>
      <c r="T15" s="5" t="n">
        <v>29177</v>
      </c>
      <c r="U15" s="5" t="n">
        <v>11552</v>
      </c>
      <c r="V15" s="5" t="n">
        <v>1708</v>
      </c>
      <c r="W15" s="5" t="n">
        <v>7957</v>
      </c>
      <c r="X15" s="5" t="n">
        <v>277</v>
      </c>
      <c r="Y15" s="5" t="n">
        <v>24531</v>
      </c>
      <c r="Z15" s="5" t="n">
        <v>362</v>
      </c>
      <c r="AA15" s="5" t="n">
        <v>66168</v>
      </c>
      <c r="AB15" s="5" t="n">
        <v>1613138</v>
      </c>
      <c r="AC15" s="5" t="n">
        <v>2512092</v>
      </c>
    </row>
    <row r="16" customFormat="false" ht="15" hidden="false" customHeight="false" outlineLevel="0" collapsed="false">
      <c r="A16" s="4" t="s">
        <v>62</v>
      </c>
      <c r="B16" s="5" t="n">
        <v>3788</v>
      </c>
      <c r="C16" s="5" t="n">
        <v>141609</v>
      </c>
      <c r="D16" s="5" t="n">
        <v>214692</v>
      </c>
      <c r="E16" s="5" t="n">
        <v>27275</v>
      </c>
      <c r="F16" s="5" t="n">
        <v>11273</v>
      </c>
      <c r="G16" s="5" t="n">
        <v>56621</v>
      </c>
      <c r="H16" s="5" t="n">
        <v>10728</v>
      </c>
      <c r="I16" s="5" t="n">
        <v>22113</v>
      </c>
      <c r="J16" s="5" t="n">
        <v>718229</v>
      </c>
      <c r="K16" s="5" t="n">
        <v>33701</v>
      </c>
      <c r="L16" s="5" t="n">
        <v>5060</v>
      </c>
      <c r="M16" s="5" t="n">
        <v>2250</v>
      </c>
      <c r="N16" s="5" t="n">
        <v>848</v>
      </c>
      <c r="O16" s="5" t="n">
        <v>258</v>
      </c>
      <c r="P16" s="5" t="n">
        <v>4275</v>
      </c>
      <c r="Q16" s="5" t="n">
        <v>3224</v>
      </c>
      <c r="R16" s="5" t="n">
        <v>1589</v>
      </c>
      <c r="S16" s="5" t="n">
        <v>382</v>
      </c>
      <c r="T16" s="5" t="n">
        <v>25477</v>
      </c>
      <c r="U16" s="5" t="n">
        <v>7981</v>
      </c>
      <c r="V16" s="5" t="n">
        <v>1277</v>
      </c>
      <c r="W16" s="5" t="n">
        <v>7577</v>
      </c>
      <c r="X16" s="5" t="n">
        <v>473</v>
      </c>
      <c r="Y16" s="5" t="n">
        <v>59630</v>
      </c>
      <c r="Z16" s="5" t="n">
        <v>454</v>
      </c>
      <c r="AA16" s="5" t="n">
        <v>37916</v>
      </c>
      <c r="AB16" s="5" t="n">
        <v>1394912</v>
      </c>
      <c r="AC16" s="5" t="n">
        <v>2122657</v>
      </c>
    </row>
    <row r="17" customFormat="false" ht="15" hidden="false" customHeight="false" outlineLevel="0" collapsed="false">
      <c r="A17" s="4" t="s">
        <v>63</v>
      </c>
      <c r="B17" s="5" t="n">
        <v>9809</v>
      </c>
      <c r="C17" s="5" t="n">
        <v>806319</v>
      </c>
      <c r="D17" s="5" t="n">
        <v>413366</v>
      </c>
      <c r="E17" s="5" t="n">
        <v>31780</v>
      </c>
      <c r="F17" s="5" t="n">
        <v>52148</v>
      </c>
      <c r="G17" s="5" t="n">
        <v>153236</v>
      </c>
      <c r="H17" s="5" t="n">
        <v>295044</v>
      </c>
      <c r="I17" s="5" t="n">
        <v>30897</v>
      </c>
      <c r="J17" s="5" t="n">
        <v>1166856</v>
      </c>
      <c r="K17" s="5" t="n">
        <v>66310</v>
      </c>
      <c r="L17" s="5" t="n">
        <v>23988</v>
      </c>
      <c r="M17" s="5" t="n">
        <v>3590</v>
      </c>
      <c r="N17" s="5" t="n">
        <v>16476</v>
      </c>
      <c r="O17" s="5" t="n">
        <v>2103</v>
      </c>
      <c r="P17" s="5" t="n">
        <v>4939</v>
      </c>
      <c r="Q17" s="5" t="n">
        <v>5420</v>
      </c>
      <c r="R17" s="5" t="n">
        <v>1491</v>
      </c>
      <c r="S17" s="5" t="n">
        <v>896</v>
      </c>
      <c r="T17" s="5" t="n">
        <v>47603</v>
      </c>
      <c r="U17" s="5" t="n">
        <v>14295</v>
      </c>
      <c r="V17" s="5" t="n">
        <v>2737</v>
      </c>
      <c r="W17" s="5" t="n">
        <v>10311</v>
      </c>
      <c r="X17" s="5" t="n">
        <v>3152</v>
      </c>
      <c r="Y17" s="5" t="n">
        <v>246924</v>
      </c>
      <c r="Z17" s="5" t="n">
        <v>2954</v>
      </c>
      <c r="AA17" s="5" t="n">
        <v>96988</v>
      </c>
      <c r="AB17" s="5" t="n">
        <v>3499823</v>
      </c>
      <c r="AC17" s="5" t="n">
        <v>5913395</v>
      </c>
    </row>
    <row r="18" customFormat="false" ht="15" hidden="false" customHeight="false" outlineLevel="0" collapsed="false">
      <c r="A18" s="4" t="s">
        <v>64</v>
      </c>
      <c r="B18" s="5" t="n">
        <v>19299</v>
      </c>
      <c r="C18" s="5" t="n">
        <v>1207646</v>
      </c>
      <c r="D18" s="5" t="n">
        <v>1333484</v>
      </c>
      <c r="E18" s="5" t="n">
        <v>206635</v>
      </c>
      <c r="F18" s="5" t="n">
        <v>92507</v>
      </c>
      <c r="G18" s="5" t="n">
        <v>303021</v>
      </c>
      <c r="H18" s="5" t="n">
        <v>65607</v>
      </c>
      <c r="I18" s="5" t="n">
        <v>69010</v>
      </c>
      <c r="J18" s="5" t="n">
        <v>3676889</v>
      </c>
      <c r="K18" s="5" t="n">
        <v>128153</v>
      </c>
      <c r="L18" s="5" t="n">
        <v>46086</v>
      </c>
      <c r="M18" s="5" t="n">
        <v>14389</v>
      </c>
      <c r="N18" s="5" t="n">
        <v>7273</v>
      </c>
      <c r="O18" s="5" t="n">
        <v>2188</v>
      </c>
      <c r="P18" s="5" t="n">
        <v>22738</v>
      </c>
      <c r="Q18" s="5" t="n">
        <v>23963</v>
      </c>
      <c r="R18" s="5" t="n">
        <v>4909</v>
      </c>
      <c r="S18" s="5" t="n">
        <v>2051</v>
      </c>
      <c r="T18" s="5" t="n">
        <v>181632</v>
      </c>
      <c r="U18" s="5" t="n">
        <v>42834</v>
      </c>
      <c r="V18" s="5" t="n">
        <v>7150</v>
      </c>
      <c r="W18" s="5" t="n">
        <v>33588</v>
      </c>
      <c r="X18" s="5" t="n">
        <v>3092</v>
      </c>
      <c r="Y18" s="5" t="n">
        <v>383684</v>
      </c>
      <c r="Z18" s="5" t="n">
        <v>4653</v>
      </c>
      <c r="AA18" s="5" t="n">
        <v>176978</v>
      </c>
      <c r="AB18" s="5" t="n">
        <v>8040160</v>
      </c>
      <c r="AC18" s="5" t="n">
        <v>11841734</v>
      </c>
    </row>
    <row r="19" customFormat="false" ht="15" hidden="false" customHeight="false" outlineLevel="0" collapsed="false">
      <c r="A19" s="4" t="s">
        <v>65</v>
      </c>
      <c r="B19" s="5" t="n">
        <v>5978</v>
      </c>
      <c r="C19" s="5" t="n">
        <v>248702</v>
      </c>
      <c r="D19" s="5" t="n">
        <v>250783</v>
      </c>
      <c r="E19" s="5" t="n">
        <v>150247</v>
      </c>
      <c r="F19" s="5" t="n">
        <v>54066</v>
      </c>
      <c r="G19" s="5" t="n">
        <v>153967</v>
      </c>
      <c r="H19" s="5" t="n">
        <v>26269</v>
      </c>
      <c r="I19" s="5" t="n">
        <v>22130</v>
      </c>
      <c r="J19" s="5" t="n">
        <v>737257</v>
      </c>
      <c r="K19" s="5" t="n">
        <v>42837</v>
      </c>
      <c r="L19" s="5" t="n">
        <v>8940</v>
      </c>
      <c r="M19" s="5" t="n">
        <v>6048</v>
      </c>
      <c r="N19" s="5" t="n">
        <v>2278</v>
      </c>
      <c r="O19" s="5" t="n">
        <v>1321</v>
      </c>
      <c r="P19" s="5" t="n">
        <v>2669</v>
      </c>
      <c r="Q19" s="5" t="n">
        <v>4275</v>
      </c>
      <c r="R19" s="5" t="n">
        <v>1183</v>
      </c>
      <c r="S19" s="5" t="n">
        <v>748</v>
      </c>
      <c r="T19" s="5" t="n">
        <v>30224</v>
      </c>
      <c r="U19" s="5" t="n">
        <v>17369</v>
      </c>
      <c r="V19" s="5" t="n">
        <v>2519</v>
      </c>
      <c r="W19" s="5" t="n">
        <v>6981</v>
      </c>
      <c r="X19" s="5" t="n">
        <v>1176</v>
      </c>
      <c r="Y19" s="5" t="n">
        <v>122469</v>
      </c>
      <c r="Z19" s="5" t="n">
        <v>1097</v>
      </c>
      <c r="AA19" s="5" t="n">
        <v>85400</v>
      </c>
      <c r="AB19" s="5" t="n">
        <v>1980955</v>
      </c>
      <c r="AC19" s="5" t="n">
        <v>3382252</v>
      </c>
    </row>
    <row r="20" customFormat="false" ht="15" hidden="false" customHeight="false" outlineLevel="0" collapsed="false">
      <c r="A20" s="4" t="s">
        <v>66</v>
      </c>
      <c r="B20" s="5" t="n">
        <v>2422</v>
      </c>
      <c r="C20" s="5" t="n">
        <v>95411</v>
      </c>
      <c r="D20" s="5" t="n">
        <v>73703</v>
      </c>
      <c r="E20" s="5" t="n">
        <v>30115</v>
      </c>
      <c r="F20" s="5" t="n">
        <v>12854</v>
      </c>
      <c r="G20" s="5" t="n">
        <v>82538</v>
      </c>
      <c r="H20" s="5" t="n">
        <v>10657</v>
      </c>
      <c r="I20" s="5" t="n">
        <v>8691</v>
      </c>
      <c r="J20" s="5" t="n">
        <v>464524</v>
      </c>
      <c r="K20" s="5" t="n">
        <v>42312</v>
      </c>
      <c r="L20" s="5" t="n">
        <v>3372</v>
      </c>
      <c r="M20" s="5" t="n">
        <v>1166</v>
      </c>
      <c r="N20" s="5" t="n">
        <v>1438</v>
      </c>
      <c r="O20" s="5" t="n">
        <v>394</v>
      </c>
      <c r="P20" s="5" t="n">
        <v>1950</v>
      </c>
      <c r="Q20" s="5" t="n">
        <v>1433</v>
      </c>
      <c r="R20" s="5" t="n">
        <v>604</v>
      </c>
      <c r="S20" s="5" t="n">
        <v>271</v>
      </c>
      <c r="T20" s="5" t="n">
        <v>31106</v>
      </c>
      <c r="U20" s="5" t="n">
        <v>8347</v>
      </c>
      <c r="V20" s="5" t="n">
        <v>2093</v>
      </c>
      <c r="W20" s="5" t="n">
        <v>7769</v>
      </c>
      <c r="X20" s="5" t="n">
        <v>680</v>
      </c>
      <c r="Y20" s="5" t="n">
        <v>60083</v>
      </c>
      <c r="Z20" s="5" t="n">
        <v>510</v>
      </c>
      <c r="AA20" s="5" t="n">
        <v>26169</v>
      </c>
      <c r="AB20" s="5" t="n">
        <v>968190</v>
      </c>
      <c r="AC20" s="5" t="n">
        <v>1442849</v>
      </c>
    </row>
    <row r="21" customFormat="false" ht="15" hidden="false" customHeight="false" outlineLevel="0" collapsed="false">
      <c r="A21" s="4" t="s">
        <v>67</v>
      </c>
      <c r="B21" s="5" t="n">
        <v>1669</v>
      </c>
      <c r="C21" s="5" t="n">
        <v>59489</v>
      </c>
      <c r="D21" s="5" t="n">
        <v>58585</v>
      </c>
      <c r="E21" s="5" t="n">
        <v>9943</v>
      </c>
      <c r="F21" s="5" t="n">
        <v>2637</v>
      </c>
      <c r="G21" s="5" t="n">
        <v>30863</v>
      </c>
      <c r="H21" s="5" t="n">
        <v>6765</v>
      </c>
      <c r="I21" s="5" t="n">
        <v>3178</v>
      </c>
      <c r="J21" s="5" t="n">
        <v>254509</v>
      </c>
      <c r="K21" s="5" t="n">
        <v>12590</v>
      </c>
      <c r="L21" s="5" t="n">
        <v>2219</v>
      </c>
      <c r="M21" s="5" t="n">
        <v>827</v>
      </c>
      <c r="N21" s="5" t="n">
        <v>437</v>
      </c>
      <c r="O21" s="5" t="n">
        <v>138</v>
      </c>
      <c r="P21" s="5" t="n">
        <v>938</v>
      </c>
      <c r="Q21" s="5" t="n">
        <v>759</v>
      </c>
      <c r="R21" s="5" t="n">
        <v>264</v>
      </c>
      <c r="S21" s="5" t="n">
        <v>86</v>
      </c>
      <c r="T21" s="5" t="n">
        <v>11368</v>
      </c>
      <c r="U21" s="5" t="n">
        <v>3240</v>
      </c>
      <c r="V21" s="5" t="n">
        <v>634</v>
      </c>
      <c r="W21" s="5" t="n">
        <v>2612</v>
      </c>
      <c r="X21" s="5" t="n">
        <v>280</v>
      </c>
      <c r="Y21" s="5" t="n">
        <v>10382</v>
      </c>
      <c r="Z21" s="5" t="n">
        <v>183</v>
      </c>
      <c r="AA21" s="5" t="n">
        <v>11750</v>
      </c>
      <c r="AB21" s="5" t="n">
        <v>484676</v>
      </c>
      <c r="AC21" s="5" t="n">
        <v>848895</v>
      </c>
    </row>
    <row r="22" customFormat="false" ht="15" hidden="false" customHeight="false" outlineLevel="0" collapsed="false">
      <c r="A22" s="4" t="s">
        <v>68</v>
      </c>
      <c r="B22" s="5" t="n">
        <v>6586</v>
      </c>
      <c r="C22" s="5" t="n">
        <v>643297</v>
      </c>
      <c r="D22" s="5" t="n">
        <v>268213</v>
      </c>
      <c r="E22" s="5" t="n">
        <v>10437</v>
      </c>
      <c r="F22" s="5" t="n">
        <v>21663</v>
      </c>
      <c r="G22" s="5" t="n">
        <v>151531</v>
      </c>
      <c r="H22" s="5" t="n">
        <v>31585</v>
      </c>
      <c r="I22" s="5" t="n">
        <v>15499</v>
      </c>
      <c r="J22" s="5" t="n">
        <v>527567</v>
      </c>
      <c r="K22" s="5" t="n">
        <v>28753</v>
      </c>
      <c r="L22" s="5" t="n">
        <v>12008</v>
      </c>
      <c r="M22" s="5" t="n">
        <v>2246</v>
      </c>
      <c r="N22" s="5" t="n">
        <v>3904</v>
      </c>
      <c r="O22" s="5" t="n">
        <v>389</v>
      </c>
      <c r="P22" s="5" t="n">
        <v>3674</v>
      </c>
      <c r="Q22" s="5" t="n">
        <v>4703</v>
      </c>
      <c r="R22" s="5" t="n">
        <v>1173</v>
      </c>
      <c r="S22" s="5" t="n">
        <v>454</v>
      </c>
      <c r="T22" s="5" t="n">
        <v>24453</v>
      </c>
      <c r="U22" s="5" t="n">
        <v>9778</v>
      </c>
      <c r="V22" s="5" t="n">
        <v>1745</v>
      </c>
      <c r="W22" s="5" t="n">
        <v>4277</v>
      </c>
      <c r="X22" s="5" t="n">
        <v>2000</v>
      </c>
      <c r="Y22" s="5" t="n">
        <v>360050</v>
      </c>
      <c r="Z22" s="5" t="n">
        <v>1931</v>
      </c>
      <c r="AA22" s="5" t="n">
        <v>47432</v>
      </c>
      <c r="AB22" s="5" t="n">
        <v>2178762</v>
      </c>
      <c r="AC22" s="5" t="n">
        <v>3905471</v>
      </c>
    </row>
    <row r="23" customFormat="false" ht="15" hidden="false" customHeight="false" outlineLevel="0" collapsed="false">
      <c r="A23" s="4" t="s">
        <v>69</v>
      </c>
      <c r="B23" s="5" t="n">
        <v>5416</v>
      </c>
      <c r="C23" s="5" t="n">
        <v>122090</v>
      </c>
      <c r="D23" s="5" t="n">
        <v>272004</v>
      </c>
      <c r="E23" s="5" t="n">
        <v>73057</v>
      </c>
      <c r="F23" s="5" t="n">
        <v>27040</v>
      </c>
      <c r="G23" s="5" t="n">
        <v>134423</v>
      </c>
      <c r="H23" s="5" t="n">
        <v>19078</v>
      </c>
      <c r="I23" s="5" t="n">
        <v>30748</v>
      </c>
      <c r="J23" s="5" t="n">
        <v>1030772</v>
      </c>
      <c r="K23" s="5" t="n">
        <v>37203</v>
      </c>
      <c r="L23" s="5" t="n">
        <v>3772</v>
      </c>
      <c r="M23" s="5" t="n">
        <v>2269</v>
      </c>
      <c r="N23" s="5" t="n">
        <v>816</v>
      </c>
      <c r="O23" s="5" t="n">
        <v>604</v>
      </c>
      <c r="P23" s="5" t="n">
        <v>4454</v>
      </c>
      <c r="Q23" s="5" t="n">
        <v>5978</v>
      </c>
      <c r="R23" s="5" t="n">
        <v>1341</v>
      </c>
      <c r="S23" s="5" t="n">
        <v>543</v>
      </c>
      <c r="T23" s="5" t="n">
        <v>35148</v>
      </c>
      <c r="U23" s="5" t="n">
        <v>13313</v>
      </c>
      <c r="V23" s="5" t="n">
        <v>2083</v>
      </c>
      <c r="W23" s="5" t="n">
        <v>7620</v>
      </c>
      <c r="X23" s="5" t="n">
        <v>931</v>
      </c>
      <c r="Y23" s="5" t="n">
        <v>39020</v>
      </c>
      <c r="Z23" s="5" t="n">
        <v>548</v>
      </c>
      <c r="AA23" s="5" t="n">
        <v>64602</v>
      </c>
      <c r="AB23" s="5" t="n">
        <v>1929457</v>
      </c>
      <c r="AC23" s="5" t="n">
        <v>2866552</v>
      </c>
    </row>
    <row r="24" customFormat="false" ht="15" hidden="false" customHeight="false" outlineLevel="0" collapsed="false">
      <c r="A24" s="4" t="s">
        <v>70</v>
      </c>
      <c r="B24" s="5" t="n">
        <v>7548</v>
      </c>
      <c r="C24" s="5" t="n">
        <v>493760</v>
      </c>
      <c r="D24" s="5" t="n">
        <v>399940</v>
      </c>
      <c r="E24" s="5" t="n">
        <v>47836</v>
      </c>
      <c r="F24" s="5" t="n">
        <v>41485</v>
      </c>
      <c r="G24" s="5" t="n">
        <v>172950</v>
      </c>
      <c r="H24" s="5" t="n">
        <v>54501</v>
      </c>
      <c r="I24" s="5" t="n">
        <v>34815</v>
      </c>
      <c r="J24" s="5" t="n">
        <v>1419049</v>
      </c>
      <c r="K24" s="5" t="n">
        <v>53657</v>
      </c>
      <c r="L24" s="5" t="n">
        <v>11069</v>
      </c>
      <c r="M24" s="5" t="n">
        <v>6125</v>
      </c>
      <c r="N24" s="5" t="n">
        <v>3992</v>
      </c>
      <c r="O24" s="5" t="n">
        <v>1114</v>
      </c>
      <c r="P24" s="5" t="n">
        <v>4676</v>
      </c>
      <c r="Q24" s="5" t="n">
        <v>7145</v>
      </c>
      <c r="R24" s="5" t="n">
        <v>1856</v>
      </c>
      <c r="S24" s="5" t="n">
        <v>820</v>
      </c>
      <c r="T24" s="5" t="n">
        <v>66335</v>
      </c>
      <c r="U24" s="5" t="n">
        <v>22174</v>
      </c>
      <c r="V24" s="5" t="n">
        <v>3901</v>
      </c>
      <c r="W24" s="5" t="n">
        <v>16530</v>
      </c>
      <c r="X24" s="5" t="n">
        <v>1562</v>
      </c>
      <c r="Y24" s="5" t="n">
        <v>113461</v>
      </c>
      <c r="Z24" s="5" t="n">
        <v>1509</v>
      </c>
      <c r="AA24" s="5" t="n">
        <v>102525</v>
      </c>
      <c r="AB24" s="5" t="n">
        <v>3082787</v>
      </c>
      <c r="AC24" s="5" t="n">
        <v>4468710</v>
      </c>
    </row>
    <row r="25" customFormat="false" ht="15" hidden="false" customHeight="false" outlineLevel="0" collapsed="false">
      <c r="A25" s="4" t="s">
        <v>71</v>
      </c>
      <c r="B25" s="5" t="n">
        <v>2649</v>
      </c>
      <c r="C25" s="5" t="n">
        <v>316164</v>
      </c>
      <c r="D25" s="5" t="n">
        <v>127283</v>
      </c>
      <c r="E25" s="5" t="n">
        <v>11397</v>
      </c>
      <c r="F25" s="5" t="n">
        <v>8890</v>
      </c>
      <c r="G25" s="5" t="n">
        <v>45331</v>
      </c>
      <c r="H25" s="5" t="n">
        <v>7428</v>
      </c>
      <c r="I25" s="5" t="n">
        <v>7032</v>
      </c>
      <c r="J25" s="5" t="n">
        <v>333327</v>
      </c>
      <c r="K25" s="5" t="n">
        <v>16614</v>
      </c>
      <c r="L25" s="5" t="n">
        <v>8012</v>
      </c>
      <c r="M25" s="5" t="n">
        <v>2744</v>
      </c>
      <c r="N25" s="5" t="n">
        <v>1701</v>
      </c>
      <c r="O25" s="5" t="n">
        <v>218</v>
      </c>
      <c r="P25" s="5" t="n">
        <v>2371</v>
      </c>
      <c r="Q25" s="5" t="n">
        <v>4435</v>
      </c>
      <c r="R25" s="5" t="n">
        <v>654</v>
      </c>
      <c r="S25" s="5" t="n">
        <v>262</v>
      </c>
      <c r="T25" s="5" t="n">
        <v>18933</v>
      </c>
      <c r="U25" s="5" t="n">
        <v>5179</v>
      </c>
      <c r="V25" s="5" t="n">
        <v>957</v>
      </c>
      <c r="W25" s="5" t="n">
        <v>3821</v>
      </c>
      <c r="X25" s="5" t="n">
        <v>1347</v>
      </c>
      <c r="Y25" s="5" t="n">
        <v>72905</v>
      </c>
      <c r="Z25" s="5" t="n">
        <v>855</v>
      </c>
      <c r="AA25" s="5" t="n">
        <v>27501</v>
      </c>
      <c r="AB25" s="5" t="n">
        <v>1025361</v>
      </c>
      <c r="AC25" s="5" t="n">
        <v>1585370</v>
      </c>
    </row>
    <row r="26" customFormat="false" ht="15" hidden="false" customHeight="false" outlineLevel="0" collapsed="false">
      <c r="A26" s="4" t="s">
        <v>72</v>
      </c>
      <c r="B26" s="5" t="n">
        <v>2099</v>
      </c>
      <c r="C26" s="5" t="n">
        <v>91884</v>
      </c>
      <c r="D26" s="5" t="n">
        <v>57184</v>
      </c>
      <c r="E26" s="5" t="n">
        <v>11626</v>
      </c>
      <c r="F26" s="5" t="n">
        <v>10004</v>
      </c>
      <c r="G26" s="5" t="n">
        <v>38029</v>
      </c>
      <c r="H26" s="5" t="n">
        <v>6265</v>
      </c>
      <c r="I26" s="5" t="n">
        <v>5297</v>
      </c>
      <c r="J26" s="5" t="n">
        <v>400964</v>
      </c>
      <c r="K26" s="5" t="n">
        <v>20516</v>
      </c>
      <c r="L26" s="5" t="n">
        <v>3957</v>
      </c>
      <c r="M26" s="5" t="n">
        <v>1372</v>
      </c>
      <c r="N26" s="5" t="n">
        <v>691</v>
      </c>
      <c r="O26" s="5" t="n">
        <v>236</v>
      </c>
      <c r="P26" s="5" t="n">
        <v>1702</v>
      </c>
      <c r="Q26" s="5" t="n">
        <v>2069</v>
      </c>
      <c r="R26" s="5" t="n">
        <v>303</v>
      </c>
      <c r="S26" s="5" t="n">
        <v>199</v>
      </c>
      <c r="T26" s="5" t="n">
        <v>17035</v>
      </c>
      <c r="U26" s="5" t="n">
        <v>6119</v>
      </c>
      <c r="V26" s="5" t="n">
        <v>845</v>
      </c>
      <c r="W26" s="5" t="n">
        <v>4926</v>
      </c>
      <c r="X26" s="5" t="n">
        <v>361</v>
      </c>
      <c r="Y26" s="5" t="n">
        <v>29441</v>
      </c>
      <c r="Z26" s="5" t="n">
        <v>424</v>
      </c>
      <c r="AA26" s="5" t="n">
        <v>16207</v>
      </c>
      <c r="AB26" s="5" t="n">
        <v>727656</v>
      </c>
      <c r="AC26" s="5" t="n">
        <v>1209354</v>
      </c>
    </row>
    <row r="27" customFormat="false" ht="15" hidden="false" customHeight="false" outlineLevel="0" collapsed="false">
      <c r="A27" s="4" t="s">
        <v>73</v>
      </c>
      <c r="B27" s="5" t="n">
        <v>3625</v>
      </c>
      <c r="C27" s="5" t="n">
        <v>246724</v>
      </c>
      <c r="D27" s="5" t="n">
        <v>205890</v>
      </c>
      <c r="E27" s="5" t="n">
        <v>58226</v>
      </c>
      <c r="F27" s="5" t="n">
        <v>28237</v>
      </c>
      <c r="G27" s="5" t="n">
        <v>83864</v>
      </c>
      <c r="H27" s="5" t="n">
        <v>16194</v>
      </c>
      <c r="I27" s="5" t="n">
        <v>13523</v>
      </c>
      <c r="J27" s="5" t="n">
        <v>391134</v>
      </c>
      <c r="K27" s="5" t="n">
        <v>21684</v>
      </c>
      <c r="L27" s="5" t="n">
        <v>6048</v>
      </c>
      <c r="M27" s="5" t="n">
        <v>4219</v>
      </c>
      <c r="N27" s="5" t="n">
        <v>2710</v>
      </c>
      <c r="O27" s="5" t="n">
        <v>642</v>
      </c>
      <c r="P27" s="5" t="n">
        <v>4155</v>
      </c>
      <c r="Q27" s="5" t="n">
        <v>5770</v>
      </c>
      <c r="R27" s="5" t="n">
        <v>1775</v>
      </c>
      <c r="S27" s="5" t="n">
        <v>861</v>
      </c>
      <c r="T27" s="5" t="n">
        <v>18465</v>
      </c>
      <c r="U27" s="5" t="n">
        <v>6654</v>
      </c>
      <c r="V27" s="5" t="n">
        <v>1341</v>
      </c>
      <c r="W27" s="5" t="n">
        <v>4404</v>
      </c>
      <c r="X27" s="5" t="n">
        <v>717</v>
      </c>
      <c r="Y27" s="5" t="n">
        <v>82956</v>
      </c>
      <c r="Z27" s="5" t="n">
        <v>677</v>
      </c>
      <c r="AA27" s="5" t="n">
        <v>51722</v>
      </c>
      <c r="AB27" s="5" t="n">
        <v>1258592</v>
      </c>
      <c r="AC27" s="5" t="n">
        <v>1979480</v>
      </c>
    </row>
    <row r="28" customFormat="false" ht="15" hidden="false" customHeight="false" outlineLevel="0" collapsed="false">
      <c r="A28" s="4" t="s">
        <v>74</v>
      </c>
      <c r="B28" s="5" t="n">
        <v>4842</v>
      </c>
      <c r="C28" s="5" t="n">
        <v>128716</v>
      </c>
      <c r="D28" s="5" t="n">
        <v>202067</v>
      </c>
      <c r="E28" s="5" t="n">
        <v>15055</v>
      </c>
      <c r="F28" s="5" t="n">
        <v>9691</v>
      </c>
      <c r="G28" s="5" t="n">
        <v>71298</v>
      </c>
      <c r="H28" s="5" t="n">
        <v>13080</v>
      </c>
      <c r="I28" s="5" t="n">
        <v>10033</v>
      </c>
      <c r="J28" s="5" t="n">
        <v>685599</v>
      </c>
      <c r="K28" s="5" t="n">
        <v>27031</v>
      </c>
      <c r="L28" s="5" t="n">
        <v>4173</v>
      </c>
      <c r="M28" s="5" t="n">
        <v>1423</v>
      </c>
      <c r="N28" s="5" t="n">
        <v>1244</v>
      </c>
      <c r="O28" s="5" t="n">
        <v>265</v>
      </c>
      <c r="P28" s="5" t="n">
        <v>5313</v>
      </c>
      <c r="Q28" s="5" t="n">
        <v>5759</v>
      </c>
      <c r="R28" s="5" t="n">
        <v>1074</v>
      </c>
      <c r="S28" s="5" t="n">
        <v>479</v>
      </c>
      <c r="T28" s="5" t="n">
        <v>30483</v>
      </c>
      <c r="U28" s="5" t="n">
        <v>9916</v>
      </c>
      <c r="V28" s="5" t="n">
        <v>1724</v>
      </c>
      <c r="W28" s="5" t="n">
        <v>7950</v>
      </c>
      <c r="X28" s="5" t="n">
        <v>475</v>
      </c>
      <c r="Y28" s="5" t="n">
        <v>29173</v>
      </c>
      <c r="Z28" s="5" t="n">
        <v>470</v>
      </c>
      <c r="AA28" s="5" t="n">
        <v>31809</v>
      </c>
      <c r="AB28" s="5" t="n">
        <v>1294300</v>
      </c>
      <c r="AC28" s="5" t="n">
        <v>2138197</v>
      </c>
    </row>
    <row r="29" customFormat="false" ht="15" hidden="false" customHeight="false" outlineLevel="0" collapsed="false">
      <c r="A29" s="4" t="s">
        <v>75</v>
      </c>
      <c r="B29" s="5" t="n">
        <v>3637</v>
      </c>
      <c r="C29" s="5" t="n">
        <v>136823</v>
      </c>
      <c r="D29" s="5" t="n">
        <v>154987</v>
      </c>
      <c r="E29" s="5" t="n">
        <v>9703</v>
      </c>
      <c r="F29" s="5" t="n">
        <v>7325</v>
      </c>
      <c r="G29" s="5" t="n">
        <v>63796</v>
      </c>
      <c r="H29" s="5" t="n">
        <v>13711</v>
      </c>
      <c r="I29" s="5" t="n">
        <v>7300</v>
      </c>
      <c r="J29" s="5" t="n">
        <v>536213</v>
      </c>
      <c r="K29" s="5" t="n">
        <v>16012</v>
      </c>
      <c r="L29" s="5" t="n">
        <v>3278</v>
      </c>
      <c r="M29" s="5" t="n">
        <v>2386</v>
      </c>
      <c r="N29" s="5" t="n">
        <v>1127</v>
      </c>
      <c r="O29" s="5" t="n">
        <v>245</v>
      </c>
      <c r="P29" s="5" t="n">
        <v>5424</v>
      </c>
      <c r="Q29" s="5" t="n">
        <v>4551</v>
      </c>
      <c r="R29" s="5" t="n">
        <v>1140</v>
      </c>
      <c r="S29" s="5" t="n">
        <v>332</v>
      </c>
      <c r="T29" s="5" t="n">
        <v>20351</v>
      </c>
      <c r="U29" s="5" t="n">
        <v>9121</v>
      </c>
      <c r="V29" s="5" t="n">
        <v>1241</v>
      </c>
      <c r="W29" s="5" t="n">
        <v>5072</v>
      </c>
      <c r="X29" s="5" t="n">
        <v>858</v>
      </c>
      <c r="Y29" s="5" t="n">
        <v>63800</v>
      </c>
      <c r="Z29" s="5" t="n">
        <v>505</v>
      </c>
      <c r="AA29" s="5" t="n">
        <v>26366</v>
      </c>
      <c r="AB29" s="5" t="n">
        <v>1091667</v>
      </c>
      <c r="AC29" s="5" t="n">
        <v>2093949</v>
      </c>
    </row>
    <row r="30" customFormat="false" ht="15" hidden="false" customHeight="false" outlineLevel="0" collapsed="false">
      <c r="A30" s="4" t="s">
        <v>76</v>
      </c>
      <c r="B30" s="5" t="n">
        <v>2913</v>
      </c>
      <c r="C30" s="5" t="n">
        <v>22487</v>
      </c>
      <c r="D30" s="5" t="n">
        <v>84421</v>
      </c>
      <c r="E30" s="5" t="n">
        <v>55748</v>
      </c>
      <c r="F30" s="5" t="n">
        <v>13300</v>
      </c>
      <c r="G30" s="5" t="n">
        <v>38286</v>
      </c>
      <c r="H30" s="5" t="n">
        <v>8332</v>
      </c>
      <c r="I30" s="5" t="n">
        <v>6829</v>
      </c>
      <c r="J30" s="5" t="n">
        <v>862494</v>
      </c>
      <c r="K30" s="5" t="n">
        <v>21947</v>
      </c>
      <c r="L30" s="5" t="n">
        <v>2828</v>
      </c>
      <c r="M30" s="5" t="n">
        <v>928</v>
      </c>
      <c r="N30" s="5" t="n">
        <v>243</v>
      </c>
      <c r="O30" s="5" t="n">
        <v>776</v>
      </c>
      <c r="P30" s="5" t="n">
        <v>1093</v>
      </c>
      <c r="Q30" s="5" t="n">
        <v>1363</v>
      </c>
      <c r="R30" s="5" t="n">
        <v>325</v>
      </c>
      <c r="S30" s="5" t="n">
        <v>207</v>
      </c>
      <c r="T30" s="5" t="n">
        <v>24527</v>
      </c>
      <c r="U30" s="5" t="n">
        <v>7509</v>
      </c>
      <c r="V30" s="5" t="n">
        <v>1057</v>
      </c>
      <c r="W30" s="5" t="n">
        <v>5890</v>
      </c>
      <c r="X30" s="5" t="n">
        <v>378</v>
      </c>
      <c r="Y30" s="5" t="n">
        <v>9749</v>
      </c>
      <c r="Z30" s="5" t="n">
        <v>279</v>
      </c>
      <c r="AA30" s="5" t="n">
        <v>29849</v>
      </c>
      <c r="AB30" s="5" t="n">
        <v>1200845</v>
      </c>
      <c r="AC30" s="5" t="n">
        <v>1688647</v>
      </c>
    </row>
    <row r="31" customFormat="false" ht="15" hidden="false" customHeight="false" outlineLevel="0" collapsed="false">
      <c r="A31" s="4" t="s">
        <v>77</v>
      </c>
      <c r="B31" s="5" t="n">
        <v>4629</v>
      </c>
      <c r="C31" s="5" t="n">
        <v>434366</v>
      </c>
      <c r="D31" s="5" t="n">
        <v>207241</v>
      </c>
      <c r="E31" s="5" t="n">
        <v>12272</v>
      </c>
      <c r="F31" s="5" t="n">
        <v>8674</v>
      </c>
      <c r="G31" s="5" t="n">
        <v>76797</v>
      </c>
      <c r="H31" s="5" t="n">
        <v>14127</v>
      </c>
      <c r="I31" s="5" t="n">
        <v>7300</v>
      </c>
      <c r="J31" s="5" t="n">
        <v>644536</v>
      </c>
      <c r="K31" s="5" t="n">
        <v>26991</v>
      </c>
      <c r="L31" s="5" t="n">
        <v>8695</v>
      </c>
      <c r="M31" s="5" t="n">
        <v>2657</v>
      </c>
      <c r="N31" s="5" t="n">
        <v>2850</v>
      </c>
      <c r="O31" s="5" t="n">
        <v>234</v>
      </c>
      <c r="P31" s="5" t="n">
        <v>2073</v>
      </c>
      <c r="Q31" s="5" t="n">
        <v>2153</v>
      </c>
      <c r="R31" s="5" t="n">
        <v>660</v>
      </c>
      <c r="S31" s="5" t="n">
        <v>285</v>
      </c>
      <c r="T31" s="5" t="n">
        <v>23303</v>
      </c>
      <c r="U31" s="5" t="n">
        <v>7886</v>
      </c>
      <c r="V31" s="5" t="n">
        <v>1297</v>
      </c>
      <c r="W31" s="5" t="n">
        <v>5400</v>
      </c>
      <c r="X31" s="5" t="n">
        <v>1143</v>
      </c>
      <c r="Y31" s="5" t="n">
        <v>110246</v>
      </c>
      <c r="Z31" s="5" t="n">
        <v>531</v>
      </c>
      <c r="AA31" s="5" t="n">
        <v>33933</v>
      </c>
      <c r="AB31" s="5" t="n">
        <v>1635650</v>
      </c>
      <c r="AC31" s="5" t="n">
        <v>2633030</v>
      </c>
    </row>
    <row r="32" customFormat="false" ht="15" hidden="false" customHeight="false" outlineLevel="0" collapsed="false">
      <c r="A32" s="4" t="s">
        <v>78</v>
      </c>
      <c r="B32" s="5" t="n">
        <v>1535</v>
      </c>
      <c r="C32" s="5" t="n">
        <v>51962</v>
      </c>
      <c r="D32" s="5" t="n">
        <v>64247</v>
      </c>
      <c r="E32" s="5" t="n">
        <v>6824</v>
      </c>
      <c r="F32" s="5" t="n">
        <v>3526</v>
      </c>
      <c r="G32" s="5" t="n">
        <v>41973</v>
      </c>
      <c r="H32" s="5" t="n">
        <v>4436</v>
      </c>
      <c r="I32" s="5" t="n">
        <v>3257</v>
      </c>
      <c r="J32" s="5" t="n">
        <v>350486</v>
      </c>
      <c r="K32" s="5" t="n">
        <v>13040</v>
      </c>
      <c r="L32" s="5" t="n">
        <v>2203</v>
      </c>
      <c r="M32" s="5" t="n">
        <v>774</v>
      </c>
      <c r="N32" s="5" t="n">
        <v>424</v>
      </c>
      <c r="O32" s="5" t="n">
        <v>106</v>
      </c>
      <c r="P32" s="5" t="n">
        <v>1762</v>
      </c>
      <c r="Q32" s="5" t="n">
        <v>1491</v>
      </c>
      <c r="R32" s="5" t="n">
        <v>358</v>
      </c>
      <c r="S32" s="5" t="n">
        <v>103</v>
      </c>
      <c r="T32" s="5" t="n">
        <v>17457</v>
      </c>
      <c r="U32" s="5" t="n">
        <v>5519</v>
      </c>
      <c r="V32" s="5" t="n">
        <v>822</v>
      </c>
      <c r="W32" s="5" t="n">
        <v>3830</v>
      </c>
      <c r="X32" s="5" t="n">
        <v>213</v>
      </c>
      <c r="Y32" s="5" t="n">
        <v>25941</v>
      </c>
      <c r="Z32" s="5" t="n">
        <v>276</v>
      </c>
      <c r="AA32" s="5" t="n">
        <v>12392</v>
      </c>
      <c r="AB32" s="5" t="n">
        <v>613422</v>
      </c>
      <c r="AC32" s="5" t="n">
        <v>923272</v>
      </c>
    </row>
    <row r="33" customFormat="false" ht="15" hidden="false" customHeight="false" outlineLevel="0" collapsed="false">
      <c r="A33" s="4" t="s">
        <v>79</v>
      </c>
      <c r="B33" s="5" t="n">
        <v>10596</v>
      </c>
      <c r="C33" s="5" t="n">
        <v>848111</v>
      </c>
      <c r="D33" s="5" t="n">
        <v>387420</v>
      </c>
      <c r="E33" s="5" t="n">
        <v>114400</v>
      </c>
      <c r="F33" s="5" t="n">
        <v>43792</v>
      </c>
      <c r="G33" s="5" t="n">
        <v>111191</v>
      </c>
      <c r="H33" s="5" t="n">
        <v>44222</v>
      </c>
      <c r="I33" s="5" t="n">
        <v>20964</v>
      </c>
      <c r="J33" s="5" t="n">
        <v>1815310</v>
      </c>
      <c r="K33" s="5" t="n">
        <v>48956</v>
      </c>
      <c r="L33" s="5" t="n">
        <v>23101</v>
      </c>
      <c r="M33" s="5" t="n">
        <v>15559</v>
      </c>
      <c r="N33" s="5" t="n">
        <v>4334</v>
      </c>
      <c r="O33" s="5" t="n">
        <v>872</v>
      </c>
      <c r="P33" s="5" t="n">
        <v>5086</v>
      </c>
      <c r="Q33" s="5" t="n">
        <v>12438</v>
      </c>
      <c r="R33" s="5" t="n">
        <v>1076</v>
      </c>
      <c r="S33" s="5" t="n">
        <v>537</v>
      </c>
      <c r="T33" s="5" t="n">
        <v>50714</v>
      </c>
      <c r="U33" s="5" t="n">
        <v>16297</v>
      </c>
      <c r="V33" s="5" t="n">
        <v>2625</v>
      </c>
      <c r="W33" s="5" t="n">
        <v>14116</v>
      </c>
      <c r="X33" s="5" t="n">
        <v>1224</v>
      </c>
      <c r="Y33" s="5" t="n">
        <v>132737</v>
      </c>
      <c r="Z33" s="5" t="n">
        <v>1307</v>
      </c>
      <c r="AA33" s="5" t="n">
        <v>98061</v>
      </c>
      <c r="AB33" s="5" t="n">
        <v>3814450</v>
      </c>
      <c r="AC33" s="5" t="n">
        <v>5781779</v>
      </c>
    </row>
    <row r="34" customFormat="false" ht="15" hidden="false" customHeight="false" outlineLevel="0" collapsed="false">
      <c r="A34" s="4" t="s">
        <v>80</v>
      </c>
      <c r="B34" s="5" t="n">
        <v>2667</v>
      </c>
      <c r="C34" s="5" t="n">
        <v>282865</v>
      </c>
      <c r="D34" s="5" t="n">
        <v>283518</v>
      </c>
      <c r="E34" s="5" t="n">
        <v>17344</v>
      </c>
      <c r="F34" s="5" t="n">
        <v>19678</v>
      </c>
      <c r="G34" s="5" t="n">
        <v>42038</v>
      </c>
      <c r="H34" s="5" t="n">
        <v>12207</v>
      </c>
      <c r="I34" s="5" t="n">
        <v>14154</v>
      </c>
      <c r="J34" s="5" t="n">
        <v>380323</v>
      </c>
      <c r="K34" s="5" t="n">
        <v>14318</v>
      </c>
      <c r="L34" s="5" t="n">
        <v>3573</v>
      </c>
      <c r="M34" s="5" t="n">
        <v>1682</v>
      </c>
      <c r="N34" s="5" t="n">
        <v>2311</v>
      </c>
      <c r="O34" s="5" t="n">
        <v>162</v>
      </c>
      <c r="P34" s="5" t="n">
        <v>2417</v>
      </c>
      <c r="Q34" s="5" t="n">
        <v>3461</v>
      </c>
      <c r="R34" s="5" t="n">
        <v>608</v>
      </c>
      <c r="S34" s="5" t="n">
        <v>219</v>
      </c>
      <c r="T34" s="5" t="n">
        <v>11688</v>
      </c>
      <c r="U34" s="5" t="n">
        <v>3480</v>
      </c>
      <c r="V34" s="5" t="n">
        <v>605</v>
      </c>
      <c r="W34" s="5" t="n">
        <v>2764</v>
      </c>
      <c r="X34" s="5" t="n">
        <v>384</v>
      </c>
      <c r="Y34" s="5" t="n">
        <v>39111</v>
      </c>
      <c r="Z34" s="5" t="n">
        <v>333</v>
      </c>
      <c r="AA34" s="5" t="n">
        <v>25509</v>
      </c>
      <c r="AB34" s="5" t="n">
        <v>1164752</v>
      </c>
      <c r="AC34" s="5" t="n">
        <v>1539640</v>
      </c>
    </row>
    <row r="35" customFormat="false" ht="15" hidden="false" customHeight="false" outlineLevel="0" collapsed="false">
      <c r="A35" s="4" t="s">
        <v>81</v>
      </c>
      <c r="B35" s="5" t="n">
        <v>2510</v>
      </c>
      <c r="C35" s="5" t="n">
        <v>112251</v>
      </c>
      <c r="D35" s="5" t="n">
        <v>140547</v>
      </c>
      <c r="E35" s="5" t="n">
        <v>27746</v>
      </c>
      <c r="F35" s="5" t="n">
        <v>20426</v>
      </c>
      <c r="G35" s="5" t="n">
        <v>61063</v>
      </c>
      <c r="H35" s="5" t="n">
        <v>9594</v>
      </c>
      <c r="I35" s="5" t="n">
        <v>13324</v>
      </c>
      <c r="J35" s="5" t="n">
        <v>275802</v>
      </c>
      <c r="K35" s="5" t="n">
        <v>11757</v>
      </c>
      <c r="L35" s="5" t="n">
        <v>3785</v>
      </c>
      <c r="M35" s="5" t="n">
        <v>2459</v>
      </c>
      <c r="N35" s="5" t="n">
        <v>725</v>
      </c>
      <c r="O35" s="5" t="n">
        <v>284</v>
      </c>
      <c r="P35" s="5" t="n">
        <v>1050</v>
      </c>
      <c r="Q35" s="5" t="n">
        <v>1677</v>
      </c>
      <c r="R35" s="5" t="n">
        <v>400</v>
      </c>
      <c r="S35" s="5" t="n">
        <v>248</v>
      </c>
      <c r="T35" s="5" t="n">
        <v>9915</v>
      </c>
      <c r="U35" s="5" t="n">
        <v>5102</v>
      </c>
      <c r="V35" s="5" t="n">
        <v>665</v>
      </c>
      <c r="W35" s="5" t="n">
        <v>2067</v>
      </c>
      <c r="X35" s="5" t="n">
        <v>659</v>
      </c>
      <c r="Y35" s="5" t="n">
        <v>36220</v>
      </c>
      <c r="Z35" s="5" t="n">
        <v>299</v>
      </c>
      <c r="AA35" s="5" t="n">
        <v>23574</v>
      </c>
      <c r="AB35" s="5" t="n">
        <v>761639</v>
      </c>
      <c r="AC35" s="5" t="n">
        <v>1167497</v>
      </c>
    </row>
    <row r="36" customFormat="false" ht="15" hidden="false" customHeight="false" outlineLevel="0" collapsed="false">
      <c r="A36" s="8" t="s">
        <v>22</v>
      </c>
      <c r="B36" s="9" t="n">
        <f aca="false">SUM(B4:B35)</f>
        <v>156840</v>
      </c>
      <c r="C36" s="9" t="n">
        <f aca="false">SUM(C4:C35)</f>
        <v>9806107</v>
      </c>
      <c r="D36" s="9" t="n">
        <f aca="false">SUM(D4:D35)</f>
        <v>7541702</v>
      </c>
      <c r="E36" s="9" t="n">
        <f aca="false">SUM(E4:E35)</f>
        <v>1442301</v>
      </c>
      <c r="F36" s="9" t="n">
        <f aca="false">SUM(F4:F35)</f>
        <v>925117</v>
      </c>
      <c r="G36" s="9" t="n">
        <f aca="false">SUM(G4:G35)</f>
        <v>2839375</v>
      </c>
      <c r="H36" s="9" t="n">
        <f aca="false">SUM(H4:H35)</f>
        <v>865607</v>
      </c>
      <c r="I36" s="9" t="n">
        <f aca="false">SUM(I4:I35)</f>
        <v>494245</v>
      </c>
      <c r="J36" s="9" t="n">
        <f aca="false">SUM(J4:J35)</f>
        <v>24537757</v>
      </c>
      <c r="K36" s="9" t="n">
        <f aca="false">SUM(K4:K35)</f>
        <v>1020990</v>
      </c>
      <c r="L36" s="9" t="n">
        <f aca="false">SUM(L4:L35)</f>
        <v>289486</v>
      </c>
      <c r="M36" s="9" t="n">
        <f aca="false">SUM(M4:M35)</f>
        <v>108690</v>
      </c>
      <c r="N36" s="9" t="n">
        <f aca="false">SUM(N4:N35)</f>
        <v>78635</v>
      </c>
      <c r="O36" s="9" t="n">
        <f aca="false">SUM(O4:O35)</f>
        <v>19294</v>
      </c>
      <c r="P36" s="9" t="n">
        <f aca="false">SUM(P4:P35)</f>
        <v>128096</v>
      </c>
      <c r="Q36" s="9" t="n">
        <f aca="false">SUM(Q4:Q35)</f>
        <v>151771</v>
      </c>
      <c r="R36" s="9" t="n">
        <f aca="false">SUM(R4:R35)</f>
        <v>33240</v>
      </c>
      <c r="S36" s="9" t="n">
        <f aca="false">SUM(S4:S35)</f>
        <v>15682</v>
      </c>
      <c r="T36" s="9" t="n">
        <f aca="false">SUM(T4:T35)</f>
        <v>1085976</v>
      </c>
      <c r="U36" s="9" t="n">
        <f aca="false">SUM(U4:U35)</f>
        <v>334590</v>
      </c>
      <c r="V36" s="9" t="n">
        <f aca="false">SUM(V4:V35)</f>
        <v>56306</v>
      </c>
      <c r="W36" s="9" t="n">
        <f aca="false">SUM(W4:W35)</f>
        <v>238489</v>
      </c>
      <c r="X36" s="9" t="n">
        <f aca="false">SUM(X4:X35)</f>
        <v>32743</v>
      </c>
      <c r="Y36" s="9" t="n">
        <f aca="false">SUM(Y4:Y35)</f>
        <v>2961732</v>
      </c>
      <c r="Z36" s="9" t="n">
        <f aca="false">SUM(Z4:Z35)</f>
        <v>31982</v>
      </c>
      <c r="AA36" s="9" t="n">
        <f aca="false">SUM(AA4:AA35)</f>
        <v>1571114</v>
      </c>
      <c r="AB36" s="9" t="n">
        <f aca="false">SUM(AB4:AB35)</f>
        <v>56611027</v>
      </c>
      <c r="AC36" s="9" t="n">
        <f aca="false">SUM(AC4:AC35)</f>
        <v>89129689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2026-10-12T02:42:07Z</dcterms:created>
  <dc:creator>openpyxl</dc:creator>
  <dc:description/>
  <dc:language>en-US</dc:language>
  <cp:lastModifiedBy/>
  <dcterms:modified xsi:type="dcterms:W3CDTF">2026-10-12T02:42:07Z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